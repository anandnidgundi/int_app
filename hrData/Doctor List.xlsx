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4F1C6D6-4566-4D30-B4FC-6EC370E65762}" xr6:coauthVersionLast="36" xr6:coauthVersionMax="36" xr10:uidLastSave="{00000000-0000-0000-0000-000000000000}"/>
  <bookViews>
    <workbookView xWindow="0" yWindow="0" windowWidth="20490" windowHeight="7125" xr2:uid="{4FD594F4-A462-4D11-9B39-E9078980DB7B}"/>
  </bookViews>
  <sheets>
    <sheet name="Sheet1" sheetId="2" r:id="rId1"/>
  </sheets>
  <externalReferences>
    <externalReference r:id="rId2"/>
    <externalReference r:id="rId3"/>
    <externalReference r:id="rId4"/>
  </externalReferences>
  <definedNames>
    <definedName name="_xlnm._FilterDatabase" localSheetId="0" hidden="1">Sheet1!$A$1:$BC$1204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1204" i="2" l="1"/>
  <c r="AP1203" i="2"/>
  <c r="AP1202" i="2"/>
  <c r="AP1201" i="2"/>
  <c r="AP1200" i="2"/>
  <c r="AP1199" i="2"/>
  <c r="AP1198" i="2"/>
  <c r="AP1197" i="2"/>
  <c r="AP1196" i="2"/>
  <c r="AP1195" i="2"/>
  <c r="AP1194" i="2"/>
  <c r="AP1193" i="2"/>
  <c r="AP1192" i="2"/>
  <c r="AP1191" i="2"/>
  <c r="AP1190" i="2"/>
  <c r="AP1189" i="2"/>
  <c r="AP1188" i="2"/>
  <c r="AP1187" i="2"/>
  <c r="AP1186" i="2"/>
  <c r="AP1185" i="2"/>
  <c r="AP1184" i="2"/>
  <c r="J1182" i="2"/>
  <c r="J1164" i="2"/>
  <c r="J1162" i="2"/>
  <c r="J1161" i="2"/>
  <c r="J1160" i="2"/>
  <c r="J1159" i="2"/>
  <c r="J1158" i="2"/>
  <c r="J1157" i="2"/>
  <c r="J1156" i="2"/>
  <c r="J1155" i="2"/>
  <c r="J1153" i="2"/>
  <c r="J1152" i="2"/>
  <c r="J1150" i="2"/>
  <c r="J1146" i="2"/>
  <c r="J1145" i="2"/>
  <c r="J1143" i="2"/>
  <c r="J1142" i="2"/>
  <c r="J1141" i="2"/>
  <c r="J1140" i="2"/>
  <c r="J1139" i="2"/>
  <c r="J1138" i="2"/>
  <c r="J1135" i="2"/>
  <c r="J1134" i="2"/>
  <c r="J1132" i="2"/>
  <c r="J1118" i="2"/>
  <c r="J1117" i="2"/>
  <c r="J1115" i="2"/>
  <c r="J1111" i="2"/>
  <c r="J1093" i="2"/>
  <c r="J1063" i="2"/>
  <c r="J1056" i="2"/>
  <c r="J1054" i="2"/>
  <c r="J1052" i="2"/>
  <c r="J1041" i="2"/>
  <c r="J1039" i="2"/>
  <c r="J1037" i="2"/>
  <c r="J1033" i="2"/>
  <c r="J1030" i="2"/>
  <c r="J1028" i="2"/>
  <c r="J1027" i="2"/>
  <c r="J1024" i="2"/>
  <c r="J1021" i="2"/>
  <c r="J1019" i="2"/>
  <c r="S1018" i="2"/>
  <c r="Q1018" i="2"/>
  <c r="J1015" i="2"/>
  <c r="J1007" i="2"/>
  <c r="J1006" i="2"/>
  <c r="J1004" i="2"/>
  <c r="J1000" i="2"/>
  <c r="J996" i="2"/>
  <c r="J995" i="2"/>
  <c r="AQ994" i="2"/>
  <c r="J994" i="2"/>
  <c r="AQ992" i="2"/>
  <c r="J992" i="2"/>
  <c r="J990" i="2"/>
  <c r="AQ989" i="2"/>
  <c r="J989" i="2"/>
  <c r="AQ987" i="2"/>
  <c r="J987" i="2"/>
  <c r="J986" i="2"/>
  <c r="J985" i="2"/>
  <c r="J983" i="2"/>
  <c r="J982" i="2"/>
  <c r="J979" i="2"/>
  <c r="AQ978" i="2"/>
  <c r="J978" i="2"/>
  <c r="AQ977" i="2"/>
  <c r="J977" i="2"/>
  <c r="AQ976" i="2"/>
  <c r="J976" i="2"/>
  <c r="J975" i="2"/>
  <c r="J974" i="2"/>
  <c r="AQ973" i="2"/>
  <c r="J973" i="2"/>
  <c r="S972" i="2"/>
  <c r="Q972" i="2"/>
  <c r="J972" i="2"/>
  <c r="J971" i="2"/>
  <c r="J970" i="2"/>
  <c r="J969" i="2"/>
  <c r="J968" i="2"/>
  <c r="J967" i="2"/>
  <c r="J966" i="2"/>
  <c r="J965" i="2"/>
  <c r="J963" i="2"/>
  <c r="AQ961" i="2"/>
  <c r="J961" i="2"/>
  <c r="J959" i="2"/>
  <c r="J958" i="2"/>
  <c r="J957" i="2"/>
  <c r="J955" i="2"/>
  <c r="J952" i="2"/>
  <c r="J951" i="2"/>
  <c r="AQ950" i="2"/>
  <c r="J950" i="2"/>
  <c r="AQ949" i="2"/>
  <c r="AQ947" i="2"/>
  <c r="J947" i="2"/>
  <c r="J946" i="2"/>
  <c r="AQ945" i="2"/>
  <c r="J944" i="2"/>
  <c r="AQ942" i="2"/>
  <c r="J942" i="2"/>
  <c r="J941" i="2"/>
  <c r="AQ940" i="2"/>
  <c r="J940" i="2"/>
  <c r="J938" i="2"/>
  <c r="J937" i="2"/>
  <c r="J936" i="2"/>
  <c r="AQ935" i="2"/>
  <c r="J934" i="2"/>
  <c r="AQ933" i="2"/>
  <c r="J932" i="2"/>
  <c r="J931" i="2"/>
  <c r="J930" i="2"/>
  <c r="J929" i="2"/>
  <c r="J928" i="2"/>
  <c r="J927" i="2"/>
  <c r="J925" i="2"/>
  <c r="J924" i="2"/>
  <c r="J923" i="2"/>
  <c r="J921" i="2"/>
  <c r="J920" i="2"/>
  <c r="J919" i="2"/>
  <c r="J917" i="2"/>
  <c r="J914" i="2"/>
  <c r="J913" i="2"/>
  <c r="J912" i="2"/>
  <c r="J911" i="2"/>
  <c r="J910" i="2"/>
  <c r="AQ909" i="2"/>
  <c r="J908" i="2"/>
  <c r="J907" i="2"/>
  <c r="J906" i="2"/>
  <c r="J905" i="2"/>
  <c r="J904" i="2"/>
  <c r="J903" i="2"/>
  <c r="J901" i="2"/>
  <c r="J900" i="2"/>
  <c r="J899" i="2"/>
  <c r="J898" i="2"/>
  <c r="J894" i="2"/>
  <c r="J892" i="2"/>
  <c r="S891" i="2"/>
  <c r="Q891" i="2"/>
  <c r="J891" i="2"/>
  <c r="J890" i="2"/>
  <c r="J889" i="2"/>
  <c r="J888" i="2"/>
  <c r="S887" i="2"/>
  <c r="Q887" i="2"/>
  <c r="S886" i="2"/>
  <c r="Q886" i="2"/>
  <c r="J886" i="2"/>
  <c r="J884" i="2"/>
  <c r="J883" i="2"/>
  <c r="J882" i="2"/>
  <c r="J879" i="2"/>
  <c r="J878" i="2"/>
  <c r="J877" i="2"/>
  <c r="J876" i="2"/>
  <c r="J875" i="2"/>
  <c r="J874" i="2"/>
  <c r="J873" i="2"/>
  <c r="J872" i="2"/>
  <c r="J871" i="2"/>
  <c r="J870" i="2"/>
  <c r="J868" i="2"/>
  <c r="J866" i="2"/>
  <c r="J863" i="2"/>
  <c r="J862" i="2"/>
  <c r="J861" i="2"/>
  <c r="J858" i="2"/>
  <c r="J856" i="2"/>
  <c r="J855" i="2"/>
  <c r="J854" i="2"/>
  <c r="J853" i="2"/>
  <c r="J850" i="2"/>
  <c r="J848" i="2"/>
  <c r="J845" i="2"/>
  <c r="J842" i="2"/>
  <c r="J841" i="2"/>
  <c r="J840" i="2"/>
  <c r="J839" i="2"/>
  <c r="J838" i="2"/>
  <c r="J836" i="2"/>
  <c r="J835" i="2"/>
  <c r="J834" i="2"/>
  <c r="J833" i="2"/>
  <c r="J832" i="2"/>
  <c r="J830" i="2"/>
  <c r="J827" i="2"/>
  <c r="J826" i="2"/>
  <c r="J820" i="2"/>
  <c r="J819" i="2"/>
  <c r="J818" i="2"/>
  <c r="J817" i="2"/>
  <c r="J816" i="2"/>
  <c r="J813" i="2"/>
  <c r="J811" i="2"/>
  <c r="R810" i="2"/>
  <c r="S810" i="2" s="1"/>
  <c r="J810" i="2"/>
  <c r="R809" i="2"/>
  <c r="S809" i="2" s="1"/>
  <c r="J809" i="2"/>
  <c r="J807" i="2"/>
  <c r="J804" i="2"/>
  <c r="J803" i="2"/>
  <c r="J802" i="2"/>
  <c r="AC800" i="2"/>
  <c r="J800" i="2"/>
  <c r="J799" i="2"/>
  <c r="J798" i="2"/>
  <c r="R797" i="2"/>
  <c r="S797" i="2" s="1"/>
  <c r="R796" i="2"/>
  <c r="S796" i="2" s="1"/>
  <c r="AC795" i="2"/>
  <c r="R795" i="2"/>
  <c r="S795" i="2" s="1"/>
  <c r="J795" i="2"/>
  <c r="J794" i="2"/>
  <c r="J792" i="2"/>
  <c r="J791" i="2"/>
  <c r="J788" i="2"/>
  <c r="J783" i="2"/>
  <c r="J782" i="2"/>
  <c r="J781" i="2"/>
  <c r="J780" i="2"/>
  <c r="R778" i="2"/>
  <c r="S778" i="2" s="1"/>
  <c r="J778" i="2"/>
  <c r="J777" i="2"/>
  <c r="R776" i="2"/>
  <c r="S776" i="2" s="1"/>
  <c r="S773" i="2"/>
  <c r="J772" i="2"/>
  <c r="J771" i="2"/>
  <c r="J770" i="2"/>
  <c r="J768" i="2"/>
  <c r="J766" i="2"/>
  <c r="J763" i="2"/>
  <c r="J762" i="2"/>
  <c r="J761" i="2"/>
  <c r="J759" i="2"/>
  <c r="J756" i="2"/>
  <c r="J755" i="2"/>
  <c r="J754" i="2"/>
  <c r="AY753" i="2"/>
  <c r="R753" i="2"/>
  <c r="S753" i="2" s="1"/>
  <c r="J752" i="2"/>
  <c r="R750" i="2"/>
  <c r="S750" i="2" s="1"/>
  <c r="J750" i="2"/>
  <c r="J749" i="2"/>
  <c r="J748" i="2"/>
  <c r="R747" i="2"/>
  <c r="S747" i="2" s="1"/>
  <c r="J747" i="2"/>
  <c r="AY746" i="2"/>
  <c r="R746" i="2"/>
  <c r="S746" i="2" s="1"/>
  <c r="J746" i="2"/>
  <c r="J745" i="2"/>
  <c r="R744" i="2"/>
  <c r="S744" i="2" s="1"/>
  <c r="J744" i="2"/>
  <c r="R742" i="2"/>
  <c r="R741" i="2"/>
  <c r="S741" i="2" s="1"/>
  <c r="J740" i="2"/>
  <c r="R739" i="2"/>
  <c r="S739" i="2" s="1"/>
  <c r="J739" i="2"/>
  <c r="R738" i="2"/>
  <c r="AY737" i="2"/>
  <c r="J737" i="2"/>
  <c r="AQ736" i="2"/>
  <c r="R736" i="2"/>
  <c r="S736" i="2" s="1"/>
  <c r="J736" i="2"/>
  <c r="J735" i="2"/>
  <c r="R733" i="2"/>
  <c r="S733" i="2" s="1"/>
  <c r="J732" i="2"/>
  <c r="AY731" i="2"/>
  <c r="J730" i="2"/>
  <c r="J729" i="2"/>
  <c r="J728" i="2"/>
  <c r="R727" i="2"/>
  <c r="S727" i="2" s="1"/>
  <c r="R724" i="2"/>
  <c r="S724" i="2" s="1"/>
  <c r="AY723" i="2"/>
  <c r="R723" i="2"/>
  <c r="S723" i="2" s="1"/>
  <c r="J723" i="2"/>
  <c r="AY722" i="2"/>
  <c r="J721" i="2"/>
  <c r="J720" i="2"/>
  <c r="Q719" i="2"/>
  <c r="J719" i="2"/>
  <c r="Q718" i="2"/>
  <c r="R718" i="2" s="1"/>
  <c r="S718" i="2" s="1"/>
  <c r="J717" i="2"/>
  <c r="J716" i="2"/>
  <c r="J715" i="2"/>
  <c r="AY714" i="2"/>
  <c r="J714" i="2"/>
  <c r="J713" i="2"/>
  <c r="AY712" i="2"/>
  <c r="AY711" i="2"/>
  <c r="J711" i="2"/>
  <c r="AY710" i="2"/>
  <c r="J710" i="2"/>
  <c r="AY708" i="2"/>
  <c r="AY706" i="2"/>
  <c r="J706" i="2"/>
  <c r="J705" i="2"/>
  <c r="AY701" i="2"/>
  <c r="J701" i="2"/>
  <c r="AY700" i="2"/>
  <c r="AQ699" i="2"/>
  <c r="J699" i="2"/>
  <c r="J698" i="2"/>
  <c r="J696" i="2"/>
  <c r="J695" i="2"/>
  <c r="J694" i="2"/>
  <c r="J692" i="2"/>
  <c r="J691" i="2"/>
  <c r="AY689" i="2"/>
  <c r="J689" i="2"/>
  <c r="J688" i="2"/>
  <c r="S686" i="2"/>
  <c r="J686" i="2"/>
  <c r="J685" i="2"/>
  <c r="AY684" i="2"/>
  <c r="J684" i="2"/>
  <c r="AY683" i="2"/>
  <c r="J683" i="2"/>
  <c r="AY682" i="2"/>
  <c r="AY681" i="2"/>
  <c r="S681" i="2"/>
  <c r="J681" i="2"/>
  <c r="J679" i="2"/>
  <c r="AY678" i="2"/>
  <c r="J678" i="2"/>
  <c r="J677" i="2"/>
  <c r="S676" i="2"/>
  <c r="J676" i="2"/>
  <c r="AY675" i="2"/>
  <c r="S675" i="2"/>
  <c r="S674" i="2"/>
  <c r="S673" i="2"/>
  <c r="J673" i="2"/>
  <c r="AY672" i="2"/>
  <c r="S672" i="2"/>
  <c r="J672" i="2"/>
  <c r="S671" i="2"/>
  <c r="S670" i="2"/>
  <c r="S669" i="2"/>
  <c r="AY668" i="2"/>
  <c r="S668" i="2"/>
  <c r="AY667" i="2"/>
  <c r="S667" i="2"/>
  <c r="J667" i="2"/>
  <c r="AY666" i="2"/>
  <c r="AY665" i="2"/>
  <c r="S665" i="2"/>
  <c r="AY664" i="2"/>
  <c r="J664" i="2"/>
  <c r="AY663" i="2"/>
  <c r="S663" i="2"/>
  <c r="S662" i="2"/>
  <c r="AY660" i="2"/>
  <c r="AQ660" i="2"/>
  <c r="S660" i="2"/>
  <c r="S659" i="2"/>
  <c r="J658" i="2"/>
  <c r="J657" i="2"/>
  <c r="AY656" i="2"/>
  <c r="J656" i="2"/>
  <c r="AY655" i="2"/>
  <c r="S655" i="2"/>
  <c r="AY654" i="2"/>
  <c r="J653" i="2"/>
  <c r="AY652" i="2"/>
  <c r="J652" i="2"/>
  <c r="AY651" i="2"/>
  <c r="S651" i="2"/>
  <c r="J651" i="2"/>
  <c r="AY650" i="2"/>
  <c r="J650" i="2"/>
  <c r="S648" i="2"/>
  <c r="J648" i="2"/>
  <c r="AY647" i="2"/>
  <c r="J647" i="2"/>
  <c r="S646" i="2"/>
  <c r="AQ645" i="2"/>
  <c r="S645" i="2"/>
  <c r="J645" i="2"/>
  <c r="AY644" i="2"/>
  <c r="S644" i="2"/>
  <c r="S643" i="2"/>
  <c r="J642" i="2"/>
  <c r="J641" i="2"/>
  <c r="AY640" i="2"/>
  <c r="S640" i="2"/>
  <c r="AY639" i="2"/>
  <c r="S639" i="2"/>
  <c r="S638" i="2"/>
  <c r="J638" i="2"/>
  <c r="S637" i="2"/>
  <c r="S636" i="2"/>
  <c r="AY634" i="2"/>
  <c r="S634" i="2"/>
  <c r="S633" i="2"/>
  <c r="AY632" i="2"/>
  <c r="S632" i="2"/>
  <c r="AY631" i="2"/>
  <c r="S631" i="2"/>
  <c r="S630" i="2"/>
  <c r="AY629" i="2"/>
  <c r="S629" i="2"/>
  <c r="S628" i="2"/>
  <c r="AY627" i="2"/>
  <c r="S627" i="2"/>
  <c r="AY626" i="2"/>
  <c r="S626" i="2"/>
  <c r="J626" i="2"/>
  <c r="S625" i="2"/>
  <c r="J625" i="2"/>
  <c r="AY624" i="2"/>
  <c r="S624" i="2"/>
  <c r="AY623" i="2"/>
  <c r="J623" i="2"/>
  <c r="AY622" i="2"/>
  <c r="S622" i="2"/>
  <c r="J621" i="2"/>
  <c r="AY620" i="2"/>
  <c r="J620" i="2"/>
  <c r="AY619" i="2"/>
  <c r="J619" i="2"/>
  <c r="AY618" i="2"/>
  <c r="S618" i="2"/>
  <c r="J618" i="2"/>
  <c r="J617" i="2"/>
  <c r="AY616" i="2"/>
  <c r="J616" i="2"/>
  <c r="AY615" i="2"/>
  <c r="AY614" i="2"/>
  <c r="S614" i="2"/>
  <c r="S613" i="2"/>
  <c r="AY612" i="2"/>
  <c r="S612" i="2"/>
  <c r="AY611" i="2"/>
  <c r="S611" i="2"/>
  <c r="S610" i="2"/>
  <c r="AY609" i="2"/>
  <c r="S609" i="2"/>
  <c r="AY608" i="2"/>
  <c r="J607" i="2"/>
  <c r="AY606" i="2"/>
  <c r="S606" i="2"/>
  <c r="AY605" i="2"/>
  <c r="S605" i="2"/>
  <c r="J605" i="2"/>
  <c r="S604" i="2"/>
  <c r="AY603" i="2"/>
  <c r="J603" i="2"/>
  <c r="J602" i="2"/>
  <c r="AY601" i="2"/>
  <c r="AQ601" i="2"/>
  <c r="S601" i="2"/>
  <c r="AY600" i="2"/>
  <c r="S600" i="2"/>
  <c r="AY599" i="2"/>
  <c r="S599" i="2"/>
  <c r="AY598" i="2"/>
  <c r="S598" i="2"/>
  <c r="AY597" i="2"/>
  <c r="S597" i="2"/>
  <c r="AY596" i="2"/>
  <c r="AY595" i="2"/>
  <c r="S595" i="2"/>
  <c r="J594" i="2"/>
  <c r="AY593" i="2"/>
  <c r="S593" i="2"/>
  <c r="AY592" i="2"/>
  <c r="S592" i="2"/>
  <c r="AY591" i="2"/>
  <c r="S591" i="2"/>
  <c r="AY590" i="2"/>
  <c r="S590" i="2"/>
  <c r="AY589" i="2"/>
  <c r="AY588" i="2"/>
  <c r="S588" i="2"/>
  <c r="AY587" i="2"/>
  <c r="S587" i="2"/>
  <c r="AY586" i="2"/>
  <c r="S586" i="2"/>
  <c r="AY585" i="2"/>
  <c r="AY584" i="2"/>
  <c r="S584" i="2"/>
  <c r="AY583" i="2"/>
  <c r="S583" i="2"/>
  <c r="AY582" i="2"/>
  <c r="S582" i="2"/>
  <c r="S581" i="2"/>
  <c r="AY580" i="2"/>
  <c r="AY579" i="2"/>
  <c r="S579" i="2"/>
  <c r="S578" i="2"/>
  <c r="AY577" i="2"/>
  <c r="J577" i="2"/>
  <c r="AY576" i="2"/>
  <c r="S576" i="2"/>
  <c r="AY574" i="2"/>
  <c r="S574" i="2"/>
  <c r="AY573" i="2"/>
  <c r="S573" i="2"/>
  <c r="AY572" i="2"/>
  <c r="S572" i="2"/>
  <c r="AY571" i="2"/>
  <c r="S571" i="2"/>
  <c r="J571" i="2"/>
  <c r="S570" i="2"/>
  <c r="S569" i="2"/>
  <c r="J568" i="2"/>
  <c r="S567" i="2"/>
  <c r="S566" i="2"/>
  <c r="AY565" i="2"/>
  <c r="S565" i="2"/>
  <c r="AY564" i="2"/>
  <c r="S564" i="2"/>
  <c r="AY563" i="2"/>
  <c r="S563" i="2"/>
  <c r="S562" i="2"/>
  <c r="AY561" i="2"/>
  <c r="S561" i="2"/>
  <c r="AY560" i="2"/>
  <c r="S560" i="2"/>
  <c r="S559" i="2"/>
  <c r="S558" i="2"/>
  <c r="S557" i="2"/>
  <c r="AY556" i="2"/>
  <c r="S556" i="2"/>
  <c r="S555" i="2"/>
  <c r="AY554" i="2"/>
  <c r="S554" i="2"/>
  <c r="AY553" i="2"/>
  <c r="J553" i="2"/>
  <c r="AY552" i="2"/>
  <c r="S552" i="2"/>
  <c r="AY551" i="2"/>
  <c r="S551" i="2"/>
  <c r="AY549" i="2"/>
  <c r="S549" i="2"/>
  <c r="AY548" i="2"/>
  <c r="AY547" i="2"/>
  <c r="S547" i="2"/>
  <c r="AY546" i="2"/>
  <c r="S546" i="2"/>
  <c r="AY545" i="2"/>
  <c r="S545" i="2"/>
  <c r="AY544" i="2"/>
  <c r="S544" i="2"/>
  <c r="AY543" i="2"/>
  <c r="S543" i="2"/>
  <c r="J543" i="2"/>
  <c r="AY542" i="2"/>
  <c r="S542" i="2"/>
  <c r="AY541" i="2"/>
  <c r="S541" i="2"/>
  <c r="AY540" i="2"/>
  <c r="S540" i="2"/>
  <c r="AY539" i="2"/>
  <c r="S539" i="2"/>
  <c r="AY538" i="2"/>
  <c r="S538" i="2"/>
  <c r="AY537" i="2"/>
  <c r="S537" i="2"/>
  <c r="AY536" i="2"/>
  <c r="S536" i="2"/>
  <c r="AY535" i="2"/>
  <c r="S535" i="2"/>
  <c r="AY534" i="2"/>
  <c r="S534" i="2"/>
  <c r="S533" i="2"/>
  <c r="AY532" i="2"/>
  <c r="S532" i="2"/>
  <c r="J532" i="2"/>
  <c r="S531" i="2"/>
  <c r="AY530" i="2"/>
  <c r="S530" i="2"/>
  <c r="AY529" i="2"/>
  <c r="S529" i="2"/>
  <c r="S528" i="2"/>
  <c r="AY527" i="2"/>
  <c r="S527" i="2"/>
  <c r="S526" i="2"/>
  <c r="S525" i="2"/>
  <c r="S524" i="2"/>
  <c r="AY522" i="2"/>
  <c r="S522" i="2"/>
  <c r="AY521" i="2"/>
  <c r="S521" i="2"/>
  <c r="AY519" i="2"/>
  <c r="J519" i="2"/>
  <c r="AY518" i="2"/>
  <c r="S518" i="2"/>
  <c r="AY517" i="2"/>
  <c r="S517" i="2"/>
  <c r="AY516" i="2"/>
  <c r="S516" i="2"/>
  <c r="AY515" i="2"/>
  <c r="S515" i="2"/>
  <c r="J515" i="2"/>
  <c r="AY513" i="2"/>
  <c r="J513" i="2"/>
  <c r="AY512" i="2"/>
  <c r="J512" i="2"/>
  <c r="AY511" i="2"/>
  <c r="S511" i="2"/>
  <c r="AY510" i="2"/>
  <c r="S510" i="2"/>
  <c r="AY509" i="2"/>
  <c r="S509" i="2"/>
  <c r="AY507" i="2"/>
  <c r="AY506" i="2"/>
  <c r="AC506" i="2"/>
  <c r="S506" i="2"/>
  <c r="AY505" i="2"/>
  <c r="S505" i="2"/>
  <c r="J505" i="2"/>
  <c r="AY503" i="2"/>
  <c r="J503" i="2"/>
  <c r="J502" i="2"/>
  <c r="AY501" i="2"/>
  <c r="S501" i="2"/>
  <c r="AY500" i="2"/>
  <c r="S500" i="2"/>
  <c r="AY499" i="2"/>
  <c r="S499" i="2"/>
  <c r="AY498" i="2"/>
  <c r="S498" i="2"/>
  <c r="AY497" i="2"/>
  <c r="S497" i="2"/>
  <c r="S496" i="2"/>
  <c r="AY495" i="2"/>
  <c r="S495" i="2"/>
  <c r="AY494" i="2"/>
  <c r="S494" i="2"/>
  <c r="AY493" i="2"/>
  <c r="S493" i="2"/>
  <c r="S492" i="2"/>
  <c r="AY491" i="2"/>
  <c r="S491" i="2"/>
  <c r="AY490" i="2"/>
  <c r="S490" i="2"/>
  <c r="AY489" i="2"/>
  <c r="S489" i="2"/>
  <c r="AY488" i="2"/>
  <c r="S488" i="2"/>
  <c r="AY487" i="2"/>
  <c r="S487" i="2"/>
  <c r="AY486" i="2"/>
  <c r="S486" i="2"/>
  <c r="S485" i="2"/>
  <c r="AY483" i="2"/>
  <c r="J483" i="2"/>
  <c r="AY482" i="2"/>
  <c r="S482" i="2"/>
  <c r="AY481" i="2"/>
  <c r="S481" i="2"/>
  <c r="AY480" i="2"/>
  <c r="S480" i="2"/>
  <c r="AY479" i="2"/>
  <c r="S479" i="2"/>
  <c r="AY478" i="2"/>
  <c r="S478" i="2"/>
  <c r="AY477" i="2"/>
  <c r="S477" i="2"/>
  <c r="AY476" i="2"/>
  <c r="S476" i="2"/>
  <c r="AY474" i="2"/>
  <c r="S474" i="2"/>
  <c r="AY473" i="2"/>
  <c r="S473" i="2"/>
  <c r="S472" i="2"/>
  <c r="AY470" i="2"/>
  <c r="S470" i="2"/>
  <c r="AY469" i="2"/>
  <c r="J469" i="2"/>
  <c r="AY468" i="2"/>
  <c r="S468" i="2"/>
  <c r="AY467" i="2"/>
  <c r="S467" i="2"/>
  <c r="AY466" i="2"/>
  <c r="AY465" i="2"/>
  <c r="S465" i="2"/>
  <c r="AY464" i="2"/>
  <c r="S464" i="2"/>
  <c r="AY463" i="2"/>
  <c r="S463" i="2"/>
  <c r="AY462" i="2"/>
  <c r="S462" i="2"/>
  <c r="AY461" i="2"/>
  <c r="S461" i="2"/>
  <c r="AY460" i="2"/>
  <c r="S460" i="2"/>
  <c r="S459" i="2"/>
  <c r="AY458" i="2"/>
  <c r="S458" i="2"/>
  <c r="AY457" i="2"/>
  <c r="J457" i="2"/>
  <c r="AY456" i="2"/>
  <c r="J456" i="2"/>
  <c r="AY455" i="2"/>
  <c r="S455" i="2"/>
  <c r="AY454" i="2"/>
  <c r="S454" i="2"/>
  <c r="AY453" i="2"/>
  <c r="S453" i="2"/>
  <c r="AY452" i="2"/>
  <c r="S452" i="2"/>
  <c r="J451" i="2"/>
  <c r="AY450" i="2"/>
  <c r="S450" i="2"/>
  <c r="AY449" i="2"/>
  <c r="S449" i="2"/>
  <c r="AY448" i="2"/>
  <c r="J448" i="2"/>
  <c r="S447" i="2"/>
  <c r="AY446" i="2"/>
  <c r="S446" i="2"/>
  <c r="AY445" i="2"/>
  <c r="S445" i="2"/>
  <c r="AY444" i="2"/>
  <c r="AY443" i="2"/>
  <c r="S443" i="2"/>
  <c r="AY442" i="2"/>
  <c r="S442" i="2"/>
  <c r="AY441" i="2"/>
  <c r="J441" i="2"/>
  <c r="AY440" i="2"/>
  <c r="S440" i="2"/>
  <c r="AY439" i="2"/>
  <c r="S439" i="2"/>
  <c r="AY437" i="2"/>
  <c r="J437" i="2"/>
  <c r="AY436" i="2"/>
  <c r="J436" i="2"/>
  <c r="AY435" i="2"/>
  <c r="S435" i="2"/>
  <c r="J433" i="2"/>
  <c r="AY432" i="2"/>
  <c r="J432" i="2"/>
  <c r="AY431" i="2"/>
  <c r="J431" i="2"/>
  <c r="AY430" i="2"/>
  <c r="J430" i="2"/>
  <c r="AY429" i="2"/>
  <c r="S429" i="2"/>
  <c r="AY428" i="2"/>
  <c r="J428" i="2"/>
  <c r="AY426" i="2"/>
  <c r="S426" i="2"/>
  <c r="J425" i="2"/>
  <c r="J424" i="2"/>
  <c r="AY423" i="2"/>
  <c r="S423" i="2"/>
  <c r="J423" i="2"/>
  <c r="J422" i="2"/>
  <c r="S421" i="2"/>
  <c r="AY420" i="2"/>
  <c r="S420" i="2"/>
  <c r="J420" i="2"/>
  <c r="J419" i="2"/>
  <c r="AY418" i="2"/>
  <c r="S418" i="2"/>
  <c r="AY417" i="2"/>
  <c r="S417" i="2"/>
  <c r="AY416" i="2"/>
  <c r="S416" i="2"/>
  <c r="AP415" i="2"/>
  <c r="AP414" i="2"/>
  <c r="AP413" i="2"/>
  <c r="AP412" i="2"/>
  <c r="AP411" i="2"/>
  <c r="AP410" i="2"/>
  <c r="AP409" i="2"/>
  <c r="AP408" i="2"/>
  <c r="AP407" i="2"/>
  <c r="AP406" i="2"/>
  <c r="AP405" i="2"/>
  <c r="AP404" i="2"/>
  <c r="AP403" i="2"/>
  <c r="AP402" i="2"/>
  <c r="AP401" i="2"/>
  <c r="AP400" i="2"/>
  <c r="AP399" i="2"/>
  <c r="AP398" i="2"/>
  <c r="AP397" i="2"/>
  <c r="AP396" i="2"/>
  <c r="W395" i="2"/>
  <c r="V395" i="2"/>
  <c r="U395" i="2"/>
  <c r="T395" i="2"/>
  <c r="W394" i="2"/>
  <c r="V394" i="2"/>
  <c r="U394" i="2"/>
  <c r="T394" i="2"/>
  <c r="W393" i="2"/>
  <c r="V393" i="2"/>
  <c r="U393" i="2"/>
  <c r="T393" i="2"/>
  <c r="W392" i="2"/>
  <c r="V392" i="2"/>
  <c r="U392" i="2"/>
  <c r="T392" i="2"/>
  <c r="W391" i="2"/>
  <c r="V391" i="2"/>
  <c r="U391" i="2"/>
  <c r="T391" i="2"/>
  <c r="W390" i="2"/>
  <c r="V390" i="2"/>
  <c r="U390" i="2"/>
  <c r="T390" i="2"/>
  <c r="W389" i="2"/>
  <c r="V389" i="2"/>
  <c r="U389" i="2"/>
  <c r="T389" i="2"/>
  <c r="W388" i="2"/>
  <c r="V388" i="2"/>
  <c r="U388" i="2"/>
  <c r="T388" i="2"/>
  <c r="W387" i="2"/>
  <c r="V387" i="2"/>
  <c r="U387" i="2"/>
  <c r="T387" i="2"/>
  <c r="W386" i="2"/>
  <c r="V386" i="2"/>
  <c r="U386" i="2"/>
  <c r="T386" i="2"/>
  <c r="W385" i="2"/>
  <c r="V385" i="2"/>
  <c r="U385" i="2"/>
  <c r="T385" i="2"/>
  <c r="W384" i="2"/>
  <c r="V384" i="2"/>
  <c r="U384" i="2"/>
  <c r="T384" i="2"/>
  <c r="AP383" i="2"/>
  <c r="AP382" i="2"/>
  <c r="AP381" i="2"/>
  <c r="AP380" i="2"/>
  <c r="AP379" i="2"/>
  <c r="AP378" i="2"/>
  <c r="AP377" i="2"/>
  <c r="AP376" i="2"/>
  <c r="AP375" i="2"/>
  <c r="AP374" i="2"/>
  <c r="AP373" i="2"/>
  <c r="AP372" i="2"/>
  <c r="AP371" i="2"/>
  <c r="AP369" i="2"/>
  <c r="AP368" i="2"/>
  <c r="AP367" i="2"/>
  <c r="AP366" i="2"/>
  <c r="AP365" i="2"/>
  <c r="AP364" i="2"/>
  <c r="AP363" i="2"/>
  <c r="AP362" i="2"/>
  <c r="AP361" i="2"/>
  <c r="AP360" i="2"/>
  <c r="AP359" i="2"/>
  <c r="AP358" i="2"/>
  <c r="AP357" i="2"/>
  <c r="AP356" i="2"/>
  <c r="AP355" i="2"/>
  <c r="AP354" i="2"/>
  <c r="AP353" i="2"/>
  <c r="AP352" i="2"/>
  <c r="AP351" i="2"/>
  <c r="AP350" i="2"/>
  <c r="AP349" i="2"/>
  <c r="AP348" i="2"/>
  <c r="AP347" i="2"/>
  <c r="AP346" i="2"/>
  <c r="AP345" i="2"/>
  <c r="AP344" i="2"/>
  <c r="AP343" i="2"/>
  <c r="AP342" i="2"/>
  <c r="AP341" i="2"/>
  <c r="AP340" i="2"/>
  <c r="AP339" i="2"/>
  <c r="AP338" i="2"/>
  <c r="AP337" i="2"/>
  <c r="AP336" i="2"/>
  <c r="AP335" i="2"/>
  <c r="AP334" i="2"/>
  <c r="AP333" i="2"/>
  <c r="AP331" i="2"/>
  <c r="AP330" i="2"/>
  <c r="AP329" i="2"/>
  <c r="AP328" i="2"/>
  <c r="AP326" i="2"/>
  <c r="AP325" i="2"/>
  <c r="AP324" i="2"/>
  <c r="AP322" i="2"/>
  <c r="AP321" i="2"/>
  <c r="AP320" i="2"/>
  <c r="AP319" i="2"/>
  <c r="AP318" i="2"/>
  <c r="AP317" i="2"/>
  <c r="AP316" i="2"/>
  <c r="AP315" i="2"/>
  <c r="AP314" i="2"/>
  <c r="AP313" i="2"/>
  <c r="AP312" i="2"/>
  <c r="AP311" i="2"/>
  <c r="AP310" i="2"/>
  <c r="AP309" i="2"/>
  <c r="AP308" i="2"/>
  <c r="AP307" i="2"/>
  <c r="AP306" i="2"/>
  <c r="AP305" i="2"/>
  <c r="AP304" i="2"/>
  <c r="AP303" i="2"/>
  <c r="AP302" i="2"/>
  <c r="AP301" i="2"/>
  <c r="AP300" i="2"/>
  <c r="AP299" i="2"/>
  <c r="AP298" i="2"/>
  <c r="AP297" i="2"/>
  <c r="AP296" i="2"/>
  <c r="AP295" i="2"/>
  <c r="AP294" i="2"/>
  <c r="AP293" i="2"/>
  <c r="AP292" i="2"/>
  <c r="AP291" i="2"/>
  <c r="AP290" i="2"/>
  <c r="AP289" i="2"/>
  <c r="AP288" i="2"/>
  <c r="AP287" i="2"/>
  <c r="AP286" i="2"/>
  <c r="AP285" i="2"/>
  <c r="AP284" i="2"/>
  <c r="AP283" i="2"/>
  <c r="AP282" i="2"/>
  <c r="AP281" i="2"/>
  <c r="AP280" i="2"/>
  <c r="AP279" i="2"/>
  <c r="AP278" i="2"/>
  <c r="AP277" i="2"/>
  <c r="AP276" i="2"/>
  <c r="AP275" i="2"/>
  <c r="AP274" i="2"/>
  <c r="AP273" i="2"/>
  <c r="AP272" i="2"/>
  <c r="AP271" i="2"/>
  <c r="AP270" i="2"/>
  <c r="AP269" i="2"/>
  <c r="AP268" i="2"/>
  <c r="AP267" i="2"/>
  <c r="AP266" i="2"/>
  <c r="AP265" i="2"/>
  <c r="AP264" i="2"/>
  <c r="AP263" i="2"/>
  <c r="AP262" i="2"/>
  <c r="AP261" i="2"/>
  <c r="AP260" i="2"/>
  <c r="AP259" i="2"/>
  <c r="AP258" i="2"/>
  <c r="AP257" i="2"/>
  <c r="AP256" i="2"/>
  <c r="AP255" i="2"/>
  <c r="AP254" i="2"/>
  <c r="AP253" i="2"/>
  <c r="AP252" i="2"/>
  <c r="AP251" i="2"/>
  <c r="AP250" i="2"/>
  <c r="AP249" i="2"/>
  <c r="AP248" i="2"/>
  <c r="AP247" i="2"/>
  <c r="AP246" i="2"/>
  <c r="AP245" i="2"/>
  <c r="AP244" i="2"/>
  <c r="AP243" i="2"/>
  <c r="AP242" i="2"/>
  <c r="AP241" i="2"/>
  <c r="AP240" i="2"/>
  <c r="AP239" i="2"/>
  <c r="AP238" i="2"/>
  <c r="AP237" i="2"/>
  <c r="AP236" i="2"/>
  <c r="AP235" i="2"/>
  <c r="AP234" i="2"/>
  <c r="AP233" i="2"/>
  <c r="AP232" i="2"/>
  <c r="AP231" i="2"/>
  <c r="AP230" i="2"/>
  <c r="AP229" i="2"/>
  <c r="AP228" i="2"/>
  <c r="AP227" i="2"/>
  <c r="AP226" i="2"/>
  <c r="AP225" i="2"/>
  <c r="AP224" i="2"/>
  <c r="AP223" i="2"/>
  <c r="AP222" i="2"/>
  <c r="AP221" i="2"/>
  <c r="AP220" i="2"/>
  <c r="AP219" i="2"/>
  <c r="AP218" i="2"/>
  <c r="AP217" i="2"/>
  <c r="AP216" i="2"/>
  <c r="AP215" i="2"/>
  <c r="AP214" i="2"/>
  <c r="AP213" i="2"/>
  <c r="AP212" i="2"/>
  <c r="AP211" i="2"/>
  <c r="AP210" i="2"/>
  <c r="AP209" i="2"/>
  <c r="AP208" i="2"/>
  <c r="AP207" i="2"/>
  <c r="AP206" i="2"/>
  <c r="AP205" i="2"/>
  <c r="AP204" i="2"/>
  <c r="AP203" i="2"/>
  <c r="AP202" i="2"/>
  <c r="AP201" i="2"/>
  <c r="AP200" i="2"/>
  <c r="AP199" i="2"/>
  <c r="AP198" i="2"/>
  <c r="AP197" i="2"/>
  <c r="AP196" i="2"/>
  <c r="AP195" i="2"/>
  <c r="AP194" i="2"/>
  <c r="AP193" i="2"/>
  <c r="AP192" i="2"/>
  <c r="AP191" i="2"/>
  <c r="AP190" i="2"/>
  <c r="AP189" i="2"/>
  <c r="AP188" i="2"/>
  <c r="AP187" i="2"/>
  <c r="AP186" i="2"/>
  <c r="AP185" i="2"/>
  <c r="AP184" i="2"/>
  <c r="AP183" i="2"/>
  <c r="AP182" i="2"/>
  <c r="AP181" i="2"/>
  <c r="AP180" i="2"/>
  <c r="AP179" i="2"/>
  <c r="AP178" i="2"/>
  <c r="AP177" i="2"/>
  <c r="AP176" i="2"/>
  <c r="AP175" i="2"/>
  <c r="AP174" i="2"/>
  <c r="AP173" i="2"/>
  <c r="AP172" i="2"/>
  <c r="AK172" i="2"/>
  <c r="AP171" i="2"/>
  <c r="AK171" i="2"/>
  <c r="AP170" i="2"/>
  <c r="AP169" i="2"/>
  <c r="AK169" i="2"/>
  <c r="AP168" i="2"/>
  <c r="AP167" i="2"/>
  <c r="AK167" i="2"/>
  <c r="AP166" i="2"/>
  <c r="AP165" i="2"/>
  <c r="AP164" i="2"/>
  <c r="AK164" i="2"/>
  <c r="AP163" i="2"/>
  <c r="AK163" i="2"/>
  <c r="AP162" i="2"/>
  <c r="AK162" i="2"/>
  <c r="AP161" i="2"/>
  <c r="AK161" i="2"/>
  <c r="AP160" i="2"/>
  <c r="AK160" i="2"/>
  <c r="AP159" i="2"/>
  <c r="AK159" i="2"/>
  <c r="AP158" i="2"/>
  <c r="AK158" i="2"/>
  <c r="AP157" i="2"/>
  <c r="AK157" i="2"/>
  <c r="AP156" i="2"/>
  <c r="AK156" i="2"/>
  <c r="AP155" i="2"/>
  <c r="AP154" i="2"/>
  <c r="AP153" i="2"/>
  <c r="AP152" i="2"/>
  <c r="AP151" i="2"/>
  <c r="AP150" i="2"/>
  <c r="AP149" i="2"/>
  <c r="AP148" i="2"/>
  <c r="AP147" i="2"/>
  <c r="AP146" i="2"/>
  <c r="AP145" i="2"/>
  <c r="AP144" i="2"/>
  <c r="AP143" i="2"/>
  <c r="AP142" i="2"/>
  <c r="AP141" i="2"/>
  <c r="AP140" i="2"/>
  <c r="AP139" i="2"/>
  <c r="AP138" i="2"/>
  <c r="AP137" i="2"/>
  <c r="AP136" i="2"/>
  <c r="AP135" i="2"/>
  <c r="AP134" i="2"/>
  <c r="AP133" i="2"/>
  <c r="AP132" i="2"/>
  <c r="AP131" i="2"/>
  <c r="AP130" i="2"/>
  <c r="AP129" i="2"/>
  <c r="AP128" i="2"/>
  <c r="AP127" i="2"/>
  <c r="AP126" i="2"/>
  <c r="AP125" i="2"/>
  <c r="AP124" i="2"/>
  <c r="AP123" i="2"/>
  <c r="AP122" i="2"/>
  <c r="AP121" i="2"/>
  <c r="AP120" i="2"/>
  <c r="AP119" i="2"/>
  <c r="AP118" i="2"/>
  <c r="AP117" i="2"/>
  <c r="AP116" i="2"/>
  <c r="AP115" i="2"/>
  <c r="AP114" i="2"/>
  <c r="AP113" i="2"/>
  <c r="AP112" i="2"/>
  <c r="AK112" i="2"/>
  <c r="AP111" i="2"/>
  <c r="AP110" i="2"/>
  <c r="AP109" i="2"/>
  <c r="AP108" i="2"/>
  <c r="AP107" i="2"/>
  <c r="AP106" i="2"/>
  <c r="AP105" i="2"/>
  <c r="AP104" i="2"/>
  <c r="AP103" i="2"/>
  <c r="AP102" i="2"/>
  <c r="AP101" i="2"/>
  <c r="AP100" i="2"/>
  <c r="AP99" i="2"/>
  <c r="AP98" i="2"/>
  <c r="AP97" i="2"/>
  <c r="AP96" i="2"/>
  <c r="AP95" i="2"/>
  <c r="AP94" i="2"/>
  <c r="AP93" i="2"/>
  <c r="AP92" i="2"/>
  <c r="AP91" i="2"/>
  <c r="AP90" i="2"/>
  <c r="AP89" i="2"/>
  <c r="AP88" i="2"/>
  <c r="AP87" i="2"/>
  <c r="AP86" i="2"/>
  <c r="AP85" i="2"/>
  <c r="AP84" i="2"/>
  <c r="AP83" i="2"/>
  <c r="AP82" i="2"/>
  <c r="AP81" i="2"/>
  <c r="AP80" i="2"/>
  <c r="AK80" i="2"/>
  <c r="AP79" i="2"/>
  <c r="AP78" i="2"/>
  <c r="AP77" i="2"/>
  <c r="AP76" i="2"/>
  <c r="AP75" i="2"/>
  <c r="AP74" i="2"/>
  <c r="AP73" i="2"/>
  <c r="AP72" i="2"/>
  <c r="AP71" i="2"/>
  <c r="AP70" i="2"/>
  <c r="AP69" i="2"/>
  <c r="AP68" i="2"/>
  <c r="AP67" i="2"/>
  <c r="AP66" i="2"/>
  <c r="AP65" i="2"/>
  <c r="AP64" i="2"/>
  <c r="AP63" i="2"/>
  <c r="AP62" i="2"/>
  <c r="AP61" i="2"/>
  <c r="AP60" i="2"/>
  <c r="AP59" i="2"/>
  <c r="AP58" i="2"/>
  <c r="AP57" i="2"/>
  <c r="AP56" i="2"/>
  <c r="AP55" i="2"/>
  <c r="AP54" i="2"/>
  <c r="AP53" i="2"/>
  <c r="AP52" i="2"/>
  <c r="AP51" i="2"/>
  <c r="AP50" i="2"/>
  <c r="AP49" i="2"/>
  <c r="AP48" i="2"/>
  <c r="AP47" i="2"/>
  <c r="AP46" i="2"/>
  <c r="AP45" i="2"/>
  <c r="AP44" i="2"/>
  <c r="AP43" i="2"/>
  <c r="AP41" i="2"/>
  <c r="AP40" i="2"/>
  <c r="AP38" i="2"/>
  <c r="AP37" i="2"/>
  <c r="AP36" i="2"/>
  <c r="AP35" i="2"/>
  <c r="AP34" i="2"/>
  <c r="AP33" i="2"/>
  <c r="AP32" i="2"/>
  <c r="AP30" i="2"/>
  <c r="AP29" i="2"/>
  <c r="AP28" i="2"/>
  <c r="AP27" i="2"/>
  <c r="AP25" i="2"/>
  <c r="AP24" i="2"/>
  <c r="AP22" i="2"/>
  <c r="AP21" i="2"/>
  <c r="AP20" i="2"/>
  <c r="AP19" i="2"/>
  <c r="AP15" i="2"/>
  <c r="AP14" i="2"/>
  <c r="AP13" i="2"/>
  <c r="AP12" i="2"/>
  <c r="AP11" i="2"/>
  <c r="AP10" i="2"/>
  <c r="AP9" i="2"/>
  <c r="AP8" i="2"/>
  <c r="AP6" i="2"/>
  <c r="AP5" i="2"/>
  <c r="AP4" i="2"/>
  <c r="AP3" i="2"/>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P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Super User</author>
    <author>Administrator</author>
    <author>Maddi Sunil</author>
    <author>tc={B8D67AB6-DDF5-4556-8D28-3ABF98049A6E}</author>
    <author>K Chandra sekhar</author>
    <author>tc={573E0E72-F5EE-4E54-A01C-F986E8343351}</author>
  </authors>
  <commentList>
    <comment ref="H441" authorId="0" shapeId="0" xr:uid="{4E790697-79DD-4A5C-AA48-37CA441D2A1D}">
      <text>
        <r>
          <rPr>
            <b/>
            <sz val="9"/>
            <color indexed="81"/>
            <rFont val="Tahoma"/>
            <family val="2"/>
          </rPr>
          <t>Author:</t>
        </r>
        <r>
          <rPr>
            <sz val="9"/>
            <color indexed="81"/>
            <rFont val="Tahoma"/>
            <family val="2"/>
          </rPr>
          <t xml:space="preserve">
Any 2 hours from 16:00 to 21:00</t>
        </r>
      </text>
    </comment>
    <comment ref="I441" authorId="0" shapeId="0" xr:uid="{CB270381-49BA-4061-9913-B5937ED3BFCB}">
      <text>
        <r>
          <rPr>
            <b/>
            <sz val="9"/>
            <color indexed="81"/>
            <rFont val="Tahoma"/>
            <family val="2"/>
          </rPr>
          <t>Author:</t>
        </r>
        <r>
          <rPr>
            <sz val="9"/>
            <color indexed="81"/>
            <rFont val="Tahoma"/>
            <family val="2"/>
          </rPr>
          <t xml:space="preserve">
Any 2 hours from 16:00 to 21:00</t>
        </r>
      </text>
    </comment>
    <comment ref="AL656" authorId="1" shapeId="0" xr:uid="{CB59EDFB-18CA-4846-B3E9-5891CE8521FC}">
      <text>
        <r>
          <rPr>
            <b/>
            <sz val="9"/>
            <color indexed="81"/>
            <rFont val="Tahoma"/>
            <family val="2"/>
          </rPr>
          <t>Super User:</t>
        </r>
        <r>
          <rPr>
            <sz val="9"/>
            <color indexed="81"/>
            <rFont val="Tahoma"/>
            <family val="2"/>
          </rPr>
          <t xml:space="preserve">
Moved to ONCALL</t>
        </r>
      </text>
    </comment>
    <comment ref="H724" authorId="0" shapeId="0" xr:uid="{299CB709-4E05-47E8-8032-222E7CD7FDAB}">
      <text>
        <r>
          <rPr>
            <b/>
            <sz val="9"/>
            <color indexed="81"/>
            <rFont val="Tahoma"/>
            <family val="2"/>
          </rPr>
          <t>Author:</t>
        </r>
        <r>
          <rPr>
            <sz val="9"/>
            <color indexed="81"/>
            <rFont val="Tahoma"/>
            <family val="2"/>
          </rPr>
          <t xml:space="preserve">
Transferred to Madhapur effective June 27, 2022 for 2 hours i.e. 9:00 to 11:00 and professional fee is Rs.15000/-</t>
        </r>
      </text>
    </comment>
    <comment ref="I724" authorId="0" shapeId="0" xr:uid="{FAF8CC81-A0D2-49FF-9FA0-28C65937018C}">
      <text>
        <r>
          <rPr>
            <b/>
            <sz val="9"/>
            <color indexed="81"/>
            <rFont val="Tahoma"/>
            <family val="2"/>
          </rPr>
          <t>Author:</t>
        </r>
        <r>
          <rPr>
            <sz val="9"/>
            <color indexed="81"/>
            <rFont val="Tahoma"/>
            <family val="2"/>
          </rPr>
          <t xml:space="preserve">
Transferred to Madhapur effective June 27, 2022 for 2 hours i.e. 9:00 to 11:00 and professional fee is Rs.15000/-</t>
        </r>
      </text>
    </comment>
    <comment ref="J724" authorId="0" shapeId="0" xr:uid="{C3A9189C-275B-40B8-BE71-86CCA738C705}">
      <text>
        <r>
          <rPr>
            <b/>
            <sz val="9"/>
            <color indexed="81"/>
            <rFont val="Tahoma"/>
            <family val="2"/>
          </rPr>
          <t>Author:</t>
        </r>
        <r>
          <rPr>
            <sz val="9"/>
            <color indexed="81"/>
            <rFont val="Tahoma"/>
            <family val="2"/>
          </rPr>
          <t xml:space="preserve">
Transferred to Madhapur effective June 27, 2022 for 2 hours i.e. 9:00 to 11:00 and professional fee is Rs.15000/-</t>
        </r>
      </text>
    </comment>
    <comment ref="K724" authorId="0" shapeId="0" xr:uid="{F45FC08A-D681-48FA-900F-92051A9BC27A}">
      <text>
        <r>
          <rPr>
            <b/>
            <sz val="9"/>
            <color indexed="81"/>
            <rFont val="Tahoma"/>
            <family val="2"/>
          </rPr>
          <t>Author:</t>
        </r>
        <r>
          <rPr>
            <sz val="9"/>
            <color indexed="81"/>
            <rFont val="Tahoma"/>
            <family val="2"/>
          </rPr>
          <t xml:space="preserve">
Transferred from Manikonda (1 hour- ( am to 10 :00 AM) to Madhapur effective June 27, 2022 for 2 hours i.e. 9:00 to 11:00 and professional fee is Rs.15000/-</t>
        </r>
      </text>
    </comment>
    <comment ref="D759" authorId="2" shapeId="0" xr:uid="{1A96621D-58F2-4622-87AB-990AA20E9D1A}">
      <text>
        <r>
          <rPr>
            <b/>
            <sz val="9"/>
            <color indexed="81"/>
            <rFont val="Tahoma"/>
            <family val="2"/>
          </rPr>
          <t>Administrator:</t>
        </r>
        <r>
          <rPr>
            <sz val="9"/>
            <color indexed="81"/>
            <rFont val="Tahoma"/>
            <family val="2"/>
          </rPr>
          <t xml:space="preserve">
Maternity Leave
</t>
        </r>
      </text>
    </comment>
    <comment ref="H759" authorId="0" shapeId="0" xr:uid="{58BCEC5E-946E-4DF4-AB56-6CF54551F955}">
      <text>
        <r>
          <rPr>
            <b/>
            <sz val="9"/>
            <color indexed="81"/>
            <rFont val="Tahoma"/>
            <family val="2"/>
          </rPr>
          <t>Author:</t>
        </r>
        <r>
          <rPr>
            <sz val="9"/>
            <color indexed="81"/>
            <rFont val="Tahoma"/>
            <family val="2"/>
          </rPr>
          <t xml:space="preserve">
14:00 to 17:00 - Any 2 hours shift as per Operational requirement</t>
        </r>
      </text>
    </comment>
    <comment ref="I759" authorId="0" shapeId="0" xr:uid="{63F72FE7-7C9D-4ED4-938F-8A67F14D2EAA}">
      <text>
        <r>
          <rPr>
            <b/>
            <sz val="9"/>
            <color indexed="81"/>
            <rFont val="Tahoma"/>
            <family val="2"/>
          </rPr>
          <t>Author:</t>
        </r>
        <r>
          <rPr>
            <sz val="9"/>
            <color indexed="81"/>
            <rFont val="Tahoma"/>
            <family val="2"/>
          </rPr>
          <t xml:space="preserve">
14:00 to 17:00 - Any 2 hours shift as per Operational requirement</t>
        </r>
      </text>
    </comment>
    <comment ref="AL761" authorId="3" shapeId="0" xr:uid="{2871797D-C8CB-47AB-83FA-6A41FD3132A4}">
      <text>
        <r>
          <rPr>
            <b/>
            <sz val="9"/>
            <color indexed="81"/>
            <rFont val="Tahoma"/>
            <family val="2"/>
          </rPr>
          <t>Maddi Sunil:</t>
        </r>
        <r>
          <rPr>
            <sz val="9"/>
            <color indexed="81"/>
            <rFont val="Tahoma"/>
            <family val="2"/>
          </rPr>
          <t xml:space="preserve">
Maternity Leave</t>
        </r>
      </text>
    </comment>
    <comment ref="G848" authorId="2" shapeId="0" xr:uid="{5089DDF5-06F6-40CA-92DB-965E6398511F}">
      <text>
        <r>
          <rPr>
            <b/>
            <sz val="9"/>
            <color indexed="81"/>
            <rFont val="Tahoma"/>
            <family val="2"/>
          </rPr>
          <t>Administrator:</t>
        </r>
        <r>
          <rPr>
            <sz val="9"/>
            <color indexed="81"/>
            <rFont val="Tahoma"/>
            <family val="2"/>
          </rPr>
          <t xml:space="preserve">
Author:
Wednesday, Thursday, Friday, Saturday working. Week offs - Sunday, Monday, Tuesday.</t>
        </r>
      </text>
    </comment>
    <comment ref="B878" authorId="1" shapeId="0" xr:uid="{5DAC76E6-845B-4207-AA63-104696957F79}">
      <text>
        <r>
          <rPr>
            <b/>
            <sz val="9"/>
            <color indexed="81"/>
            <rFont val="Tahoma"/>
            <family val="2"/>
          </rPr>
          <t>Super User:</t>
        </r>
        <r>
          <rPr>
            <sz val="9"/>
            <color indexed="81"/>
            <rFont val="Tahoma"/>
            <family val="2"/>
          </rPr>
          <t xml:space="preserve">
Meternity Leave</t>
        </r>
      </text>
    </comment>
    <comment ref="G893" authorId="3" shapeId="0" xr:uid="{0496EE00-6087-4FAB-8313-77F369B23746}">
      <text>
        <r>
          <rPr>
            <b/>
            <sz val="9"/>
            <color indexed="81"/>
            <rFont val="Tahoma"/>
            <family val="2"/>
          </rPr>
          <t>Maddi Sunil:</t>
        </r>
        <r>
          <rPr>
            <sz val="9"/>
            <color indexed="81"/>
            <rFont val="Tahoma"/>
            <family val="2"/>
          </rPr>
          <t xml:space="preserve">
Tuesday and Thursday - Working days</t>
        </r>
      </text>
    </comment>
    <comment ref="G894" authorId="2" shapeId="0" xr:uid="{89BAFB34-AAA1-4498-948F-2E35AD83368E}">
      <text>
        <r>
          <rPr>
            <b/>
            <sz val="9"/>
            <color indexed="81"/>
            <rFont val="Tahoma"/>
            <family val="2"/>
          </rPr>
          <t>Administrator:</t>
        </r>
        <r>
          <rPr>
            <sz val="9"/>
            <color indexed="81"/>
            <rFont val="Tahoma"/>
            <family val="2"/>
          </rPr>
          <t xml:space="preserve">
Working day - Monday</t>
        </r>
      </text>
    </comment>
    <comment ref="J895" authorId="4" shapeId="0" xr:uid="{B85B2EA4-8E5B-43C1-9363-15C2585B7C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Old timings 8am to 2pm-6hrs changes from 13.06.24</t>
        </r>
      </text>
    </comment>
    <comment ref="H900" authorId="0" shapeId="0" xr:uid="{38D3527B-CB04-4B92-8D7D-B282F3563DAD}">
      <text>
        <r>
          <rPr>
            <b/>
            <sz val="9"/>
            <color indexed="81"/>
            <rFont val="Tahoma"/>
            <family val="2"/>
          </rPr>
          <t>Author:</t>
        </r>
        <r>
          <rPr>
            <sz val="9"/>
            <color indexed="81"/>
            <rFont val="Tahoma"/>
            <family val="2"/>
          </rPr>
          <t xml:space="preserve">
Any 2 hours from 17:00 to 20:00</t>
        </r>
      </text>
    </comment>
    <comment ref="I900" authorId="0" shapeId="0" xr:uid="{0A81A7E5-F5C2-4F43-8D0B-20C07A39295E}">
      <text>
        <r>
          <rPr>
            <b/>
            <sz val="9"/>
            <color indexed="81"/>
            <rFont val="Tahoma"/>
            <family val="2"/>
          </rPr>
          <t>Author:</t>
        </r>
        <r>
          <rPr>
            <sz val="9"/>
            <color indexed="81"/>
            <rFont val="Tahoma"/>
            <family val="2"/>
          </rPr>
          <t xml:space="preserve">
Any 2 hours from 17:00 to 20:00</t>
        </r>
      </text>
    </comment>
    <comment ref="H926" authorId="2" shapeId="0" xr:uid="{2B439A88-6A86-41E9-8847-6C18D02FDFC8}">
      <text>
        <r>
          <rPr>
            <b/>
            <sz val="9"/>
            <color indexed="81"/>
            <rFont val="Tahoma"/>
            <family val="2"/>
          </rPr>
          <t>Working Days :</t>
        </r>
        <r>
          <rPr>
            <sz val="9"/>
            <color indexed="81"/>
            <rFont val="Tahoma"/>
            <family val="2"/>
          </rPr>
          <t xml:space="preserve">
Monday, Tuesday, Thursday, Saturday</t>
        </r>
      </text>
    </comment>
    <comment ref="I926" authorId="2" shapeId="0" xr:uid="{E5EB23CE-FAFF-4CF5-A3FF-312AED386858}">
      <text>
        <r>
          <rPr>
            <b/>
            <sz val="9"/>
            <color indexed="81"/>
            <rFont val="Tahoma"/>
            <family val="2"/>
          </rPr>
          <t>Working Days :</t>
        </r>
        <r>
          <rPr>
            <sz val="9"/>
            <color indexed="81"/>
            <rFont val="Tahoma"/>
            <family val="2"/>
          </rPr>
          <t xml:space="preserve">
Wednesday , Friday</t>
        </r>
      </text>
    </comment>
    <comment ref="B1009" authorId="2" shapeId="0" xr:uid="{8174B385-FAAB-41B2-9228-3A74EA46B6B0}">
      <text>
        <r>
          <rPr>
            <b/>
            <sz val="9"/>
            <color indexed="81"/>
            <rFont val="Tahoma"/>
            <family val="2"/>
          </rPr>
          <t xml:space="preserve">6 Weeks leave from 1-05-2023 till 6 weeks </t>
        </r>
      </text>
    </comment>
    <comment ref="L1082" authorId="5" shapeId="0" xr:uid="{180BEDD0-630B-4AF1-8E6D-6CFA98D9C1CC}">
      <text>
        <r>
          <rPr>
            <b/>
            <sz val="9"/>
            <color indexed="81"/>
            <rFont val="Tahoma"/>
            <family val="2"/>
          </rPr>
          <t>K Chandra sekhar:</t>
        </r>
        <r>
          <rPr>
            <sz val="9"/>
            <color indexed="81"/>
            <rFont val="Tahoma"/>
            <family val="2"/>
          </rPr>
          <t xml:space="preserve">
@</t>
        </r>
      </text>
    </comment>
    <comment ref="J1093" authorId="6" shapeId="0" xr:uid="{453BE267-9132-44B4-A16F-10C69757E5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Old timings from 5pm to 7pm . Wef.01.06.24</t>
        </r>
      </text>
    </comment>
    <comment ref="G1149" authorId="2" shapeId="0" xr:uid="{A704447F-1665-4B4D-BF08-CA3D3F3AE080}">
      <text>
        <r>
          <rPr>
            <b/>
            <sz val="9"/>
            <color indexed="81"/>
            <rFont val="Tahoma"/>
            <family val="2"/>
          </rPr>
          <t>Administrator:</t>
        </r>
        <r>
          <rPr>
            <sz val="9"/>
            <color indexed="81"/>
            <rFont val="Tahoma"/>
            <family val="2"/>
          </rPr>
          <t xml:space="preserve">
Once in a week and only 1 Hour</t>
        </r>
      </text>
    </comment>
  </commentList>
</comments>
</file>

<file path=xl/sharedStrings.xml><?xml version="1.0" encoding="utf-8"?>
<sst xmlns="http://schemas.openxmlformats.org/spreadsheetml/2006/main" count="33217" uniqueCount="11092">
  <si>
    <t>Sl No</t>
  </si>
  <si>
    <t>Vendor Code</t>
  </si>
  <si>
    <t>Consultant ID</t>
  </si>
  <si>
    <t>Regular / Target</t>
  </si>
  <si>
    <t>Consultant Name</t>
  </si>
  <si>
    <t>No. of days per week</t>
  </si>
  <si>
    <t>In Time</t>
  </si>
  <si>
    <t>Out Time</t>
  </si>
  <si>
    <t>Total Hours</t>
  </si>
  <si>
    <t>Branch</t>
  </si>
  <si>
    <t>Modalities</t>
  </si>
  <si>
    <t>Department</t>
  </si>
  <si>
    <t>Designation</t>
  </si>
  <si>
    <t xml:space="preserve">MBBS - Year of Passing </t>
  </si>
  <si>
    <t>MBBS College</t>
  </si>
  <si>
    <t xml:space="preserve">PG - Year of Passing </t>
  </si>
  <si>
    <t>PG College</t>
  </si>
  <si>
    <t>Qualification</t>
  </si>
  <si>
    <t>Full Time / Part Time</t>
  </si>
  <si>
    <t>Category</t>
  </si>
  <si>
    <t>Company</t>
  </si>
  <si>
    <t>Active / Inactive</t>
  </si>
  <si>
    <t>D1120543</t>
  </si>
  <si>
    <t>Regular/Case Base</t>
  </si>
  <si>
    <t>Dr.Prosenjit Sarkar</t>
  </si>
  <si>
    <t>Medinova-052</t>
  </si>
  <si>
    <t>Radiology</t>
  </si>
  <si>
    <t>Consultant Sonilogist</t>
  </si>
  <si>
    <t>CALCUTTA UNIVERSITY</t>
  </si>
  <si>
    <t>MBBS, DGO (Dip in Gync &amp; Obs)</t>
  </si>
  <si>
    <t>NA</t>
  </si>
  <si>
    <t>s.prosenjit@gmail.com</t>
  </si>
  <si>
    <t>Part Time</t>
  </si>
  <si>
    <t>MSDL</t>
  </si>
  <si>
    <t>Active</t>
  </si>
  <si>
    <t>D1120535</t>
  </si>
  <si>
    <t>Regular</t>
  </si>
  <si>
    <t>Dr.Sanjukta Ghosh</t>
  </si>
  <si>
    <t>Consultant Radiologist</t>
  </si>
  <si>
    <t>MBBS, DNB Radio Diagnosis</t>
  </si>
  <si>
    <t>sanju_g81@rediffmail.com</t>
  </si>
  <si>
    <t>D1123165</t>
  </si>
  <si>
    <t>Target</t>
  </si>
  <si>
    <t xml:space="preserve">Dr.Prasad Janardan Borkar </t>
  </si>
  <si>
    <t>PH-KONDHAWA - 605</t>
  </si>
  <si>
    <t>X-Ray,CT,MRI- Reporting</t>
  </si>
  <si>
    <t xml:space="preserve"> Consultant Radiologist</t>
  </si>
  <si>
    <t>Seth G.S Medical College and KEM Hospital</t>
  </si>
  <si>
    <t>Grant Government Medical College and JJ Hospital</t>
  </si>
  <si>
    <t>MBBS, MD Radio Diagnosis</t>
  </si>
  <si>
    <t>drprasad.borkar@gmail.com</t>
  </si>
  <si>
    <t>Pune</t>
  </si>
  <si>
    <t>D1120336</t>
  </si>
  <si>
    <t>Dr.Rohit Kishti</t>
  </si>
  <si>
    <t>PH-MAYUR COLONY-602</t>
  </si>
  <si>
    <t>Consultant - Radiologist</t>
  </si>
  <si>
    <t>NKP Salve Institute of Medical Sciences and Research Centre, Nagpur</t>
  </si>
  <si>
    <t>Government Medical College</t>
  </si>
  <si>
    <t>MBBS, MD,DNB,PDCC</t>
  </si>
  <si>
    <t>rohitkhisti2010@gmail.com</t>
  </si>
  <si>
    <t>D1120322</t>
  </si>
  <si>
    <t>Dr.Nilesh Patil</t>
  </si>
  <si>
    <t>PH-SATARA RD - 601</t>
  </si>
  <si>
    <t>Plain Film Interpretation(head including sinuses,mastoids,skull,mandible,optic foramina,facial bones etc,chest including ribs and sternum,abdomen,spinmal,cervical,thoracic,lumbosacral,pelvis including hips and sacroiliac(SI) joints,extremities), Mammography(Film interpretataion), Diagnostic Ultrasound- Abdomen and retroperitoneum(general diagnostic studies), Obstetric and gynecological ultrasonography(obstetrical diagnosis,gynecologic diagnosis,transvaginal), Periphral vascular(color doppler flow,duplex screening), Superficial(thyroid,breast,scrotum), CT(Head and neck,body,spine,extremities,chest), Others(teleradiology interpretation)</t>
  </si>
  <si>
    <t>Byramjee Jeejeebhoy Medical College</t>
  </si>
  <si>
    <t>Pune University</t>
  </si>
  <si>
    <t>MBBS, DMRD Radio Diagnosis</t>
  </si>
  <si>
    <t>getnils@gmail.com</t>
  </si>
  <si>
    <t>Full Time</t>
  </si>
  <si>
    <t>D1120338</t>
  </si>
  <si>
    <t>Dr.Ajinkya Redij</t>
  </si>
  <si>
    <t>USG,Doppler,Sono-mammo,CT-reporting,X-Ray reporting</t>
  </si>
  <si>
    <t>Sir JJ group of Hospital</t>
  </si>
  <si>
    <t>MBBS, DNB, Diploma in radiognosis</t>
  </si>
  <si>
    <t>redijajinkya@yahoo.co.in</t>
  </si>
  <si>
    <t>D1120335</t>
  </si>
  <si>
    <t>Dr.Dipti Sudame</t>
  </si>
  <si>
    <t>MRI/CT,USG,Mammo,Color Doppler,X-Ray</t>
  </si>
  <si>
    <t>diptihingolikar@ymail.com</t>
  </si>
  <si>
    <t>D1120969</t>
  </si>
  <si>
    <t>Dr.Chaitanya Manik Shete</t>
  </si>
  <si>
    <t>PH-HADAPSAR - 603</t>
  </si>
  <si>
    <t>MM Patel Charitable Trust,Ashwini Rural Medical College, Hospital &amp; Research Centre, Solapur</t>
  </si>
  <si>
    <t>DMRE , Mumbai</t>
  </si>
  <si>
    <t>MBBS, DMRE</t>
  </si>
  <si>
    <t>chaitanyashete34@gmail.com</t>
  </si>
  <si>
    <t>D1120967</t>
  </si>
  <si>
    <t>Dr.Rahul Jayawant Patil</t>
  </si>
  <si>
    <t>X-Ray(Plain Radiography-Basic, Advanced), USG (Basic, Doppler Studies, Thyroid/Scrotum USG,TIFFA)</t>
  </si>
  <si>
    <t>SRTR Govt Medical College, Ambajogai, Maharashtra</t>
  </si>
  <si>
    <t>patilr44444@gmail.com</t>
  </si>
  <si>
    <t>D1120968</t>
  </si>
  <si>
    <t>Dr.Charudutt Desai</t>
  </si>
  <si>
    <t>PH-CHINCHWAD - 604</t>
  </si>
  <si>
    <t>USG,Xray,Colour doppler,Mammography</t>
  </si>
  <si>
    <t>Goa Medical College</t>
  </si>
  <si>
    <t>Grant Medical College &amp; JJ GRP of Hospitals, Mumbai</t>
  </si>
  <si>
    <t>MBBS, MD Radio diagnosis</t>
  </si>
  <si>
    <t>charudutt100@gmail.com</t>
  </si>
  <si>
    <t>D1117090</t>
  </si>
  <si>
    <t>Dr.Sanjay Narayanrao Totawar</t>
  </si>
  <si>
    <t>Government Medical College,Mira</t>
  </si>
  <si>
    <t>Indira Gandhi Government Medical College,Nagpur</t>
  </si>
  <si>
    <t>inmanadesana1184@gmail.com</t>
  </si>
  <si>
    <t>D1121718</t>
  </si>
  <si>
    <t>Dr.Phulphagar Mahavir Vijay</t>
  </si>
  <si>
    <t xml:space="preserve"> X-Ray(Plain Radiography-Basic, Advanced),USG (Basic, Doppler Studies, Thyroid/Scrotum USG, Breast USG,TIFFA, MSK USG,TRUS),Special Procedures (IVP, RGU, MCUG, Barium Swallow, Barium Enema, HSG)</t>
  </si>
  <si>
    <t>Rural Medical College,Loni</t>
  </si>
  <si>
    <t>Jawaharlal Nehru Medical College,Belgavi</t>
  </si>
  <si>
    <t>MBBS,DMRD Radio diagnosis</t>
  </si>
  <si>
    <t>mahavirphulphagar@gmail.com</t>
  </si>
  <si>
    <t>D1121988</t>
  </si>
  <si>
    <t>Dr.Trupti Satyajit Jagdale</t>
  </si>
  <si>
    <t>X-Ray(Plain Radiography-Basic, Advanced, Mammography), USG (Basic, Doppler Studies, Thyroid/Scrotum USG, Breast USG,TIFFA, MSK USG), Special Procedures (IVP, RGU, MCUG, Barium Swallow, Barium Enema, HSG)</t>
  </si>
  <si>
    <t xml:space="preserve"> Bharti Vidyapeeth, Pune</t>
  </si>
  <si>
    <t>MBBS,DMRE</t>
  </si>
  <si>
    <t xml:space="preserve"> 
9372038415/7020464424</t>
  </si>
  <si>
    <t>dr.trupti4178@gmail.com</t>
  </si>
  <si>
    <t>D1121987</t>
  </si>
  <si>
    <t>Dr.Bhagyashri Pravinsingh Parmar</t>
  </si>
  <si>
    <t>PH-PIMPLE SAUDAGAR-624</t>
  </si>
  <si>
    <t xml:space="preserve"> X-Ray(Plain Radiography-Basic, Advanced, Mammography), USG (Basic, Doppler Studies, Thyroid/Scrotum USG, Breast USG,TIFFA, Foetal Echo, MSK USG, Penile Doppler, TRUS,USG Guided FNAC,USG Guided Trucut blopsy, USG Guided aspiration, Breast Biospy, TRUS Guided Biospy ),CT(Basic, Chest/Abdomen/Neck,3DCT,CT Angiography, Coronary CT, Virtual Bronchoscopy, CT Perfusion, CT Guided Biospy ), MRI (Basic, MSK Studies-Knee/Shoulder, MRI MRCP/Abdomen/Liver, MR Prostate/Rectum, MRI breast), Special Procedures (IVP, RGU, MCUG, Barium Swallow, Barium Enema, HSG)</t>
  </si>
  <si>
    <t>Seth Gordhandas Sunderdas Medical College And KEM Hospital, Parel Mumbai </t>
  </si>
  <si>
    <t xml:space="preserve">NKP salve Institute of medical science and research centre,Nagpur </t>
  </si>
  <si>
    <t>MBBS,DMRD,DNB Radio diagnosis</t>
  </si>
  <si>
    <t>bhagyashriparmar02@gmail.com</t>
  </si>
  <si>
    <t>D1122444</t>
  </si>
  <si>
    <t>Dr.Rachna Gupta</t>
  </si>
  <si>
    <t>PH-DHANORI-625</t>
  </si>
  <si>
    <t>X-Ray(Plain Radiography-Basic, Advanced), Mammography , USG (Basic, Doppler Studies, Thyroid/Scrotum USG, Breast USG,TIFFA, Foetal Echo, MSK USG), Special Procedure(RGU, MCUG, Barium Swallow, Barium Enema, HSG)</t>
  </si>
  <si>
    <t>Government Medical College, Miraj</t>
  </si>
  <si>
    <t>rachnagupta2709@gmail.com</t>
  </si>
  <si>
    <t>D1122840</t>
  </si>
  <si>
    <t>Dr.Pooja Borwankar</t>
  </si>
  <si>
    <t>X-Ray (Plain Radiography - Basic, Advanced, Lower Limb Scanogram, Whole Spine X-Ray), Mammography, USG (Basic, Doppler Studies, Thyroid/Scrotum USG, Breast USG, TIFFA, Foetal Echo, MSK USG, USG Guided FNAC, USG Guided Trucut Biopsy, Breast Biopsy, USG Guided Aspiration), CT (Basic, Chest/Abdomen /Neck, 3DCT, CT Angiography, Coronary CT, Virtual Bronchoscopy, CT Perfusion), MRI(Basic, MSK Studies-Knee/Shoulder, MSK Studies Wrist/Ankle, Cardiac MR, MR Perfusion, MR Tractography, Functional MRI, Foetal MR, MR Defecography, MRI MRCP /Abdomen / Liver, MR Prostate/Rectum, MR Neurography, MRI Breast, MRI TM Joints, MRI Enterography, MRI Cochlear Implant Protocol), Special Procedures (IVP, RGU, MCUG, Barium Swallow, Barium Enema, HSG)</t>
  </si>
  <si>
    <t>Banaras Hindu University</t>
  </si>
  <si>
    <t>Lokmanya Tilak Municipal Medical College &amp; General hospital</t>
  </si>
  <si>
    <t>poojaborwankar96@gmail.com</t>
  </si>
  <si>
    <t>D1121361</t>
  </si>
  <si>
    <t>Dr.Nikhita Gaddam</t>
  </si>
  <si>
    <t>X-Ray(Plain Radiography- Basic, Advanced, Whole Spine X-Ray), Mammography, USG(Basic, Doppler Studies, Thyroid, Breast USG, TIFFA, MSK USG, USG Guided FNAC, USG Guided Aspiration, Breast Biopsy-after assessing Pt.), CT (Basic, Chest/Abdomen/Neck, 3DCT, CT Angiography), MRI(Basic, MSK Studies-Knee/Shoulder, MSK Studies-Wrist/Ankle, MRI MRCP/Abdomen, MR Prostate/Rectum), Special Procedures (IVP, RGU, MCUG, Barium Swallow, Barium Enema, HSG)</t>
  </si>
  <si>
    <t>Gandhi Medical College</t>
  </si>
  <si>
    <t>Apollo Medical College</t>
  </si>
  <si>
    <t>nikhita0712@gmail.com</t>
  </si>
  <si>
    <t>V1101784</t>
  </si>
  <si>
    <t>Dr.Akila Narasimhan</t>
  </si>
  <si>
    <t>16:30:00</t>
  </si>
  <si>
    <t>Himayatnagar</t>
  </si>
  <si>
    <t>USG, X-Ray</t>
  </si>
  <si>
    <t>Christian Medical College</t>
  </si>
  <si>
    <t>akila_narasimhan@rediffmail.com</t>
  </si>
  <si>
    <t>VDCL</t>
  </si>
  <si>
    <t>V1101808</t>
  </si>
  <si>
    <t>Dr.A Prasad Gunturi</t>
  </si>
  <si>
    <t>Dilsukhnagar - 12</t>
  </si>
  <si>
    <t>CT &amp; MRI</t>
  </si>
  <si>
    <t>Armed Forces Medical College</t>
  </si>
  <si>
    <t>Topiwala National Medical College</t>
  </si>
  <si>
    <t>MBBS, DMRD, DNB Radiodiagnosis</t>
  </si>
  <si>
    <t>gap8gap@gmail.com</t>
  </si>
  <si>
    <t>V1101870</t>
  </si>
  <si>
    <t>Dr.Sireesha Prabhala</t>
  </si>
  <si>
    <t>USG, X-Ray, Mamography</t>
  </si>
  <si>
    <t>Kamineni Institute of Medical Sciences</t>
  </si>
  <si>
    <t>Kamineni Hospital</t>
  </si>
  <si>
    <t>siriprabhala@yahoo.com, siriprabhala3@gmail.com</t>
  </si>
  <si>
    <t>V1101793</t>
  </si>
  <si>
    <t>Dr.Divya Raju Alluri</t>
  </si>
  <si>
    <t>USG, X-Ray Mammography, Basic USG, TIFFA</t>
  </si>
  <si>
    <t>SVS Medical College</t>
  </si>
  <si>
    <t xml:space="preserve">SVS Medical College </t>
  </si>
  <si>
    <t>divyaraju.a@gmail.com</t>
  </si>
  <si>
    <t>V1101844</t>
  </si>
  <si>
    <t>Dr.Mohammed Abdul Azher</t>
  </si>
  <si>
    <t>Vijayanagar - 51</t>
  </si>
  <si>
    <t>M R Medical College</t>
  </si>
  <si>
    <t>Kamineni Institute of Medical Science</t>
  </si>
  <si>
    <t>azhar_mubeen2002@yahoo.com</t>
  </si>
  <si>
    <t>V1101830</t>
  </si>
  <si>
    <t>Dr.Vijayanand H Kelkeri</t>
  </si>
  <si>
    <t>Director of Radiology</t>
  </si>
  <si>
    <t>Sri Mahadevappa Rampure Medical College</t>
  </si>
  <si>
    <t>Sri Devraj Urs Medical College</t>
  </si>
  <si>
    <t>MBBS, DNB Radio diagnosis</t>
  </si>
  <si>
    <t>drvijay2010@gmail.com</t>
  </si>
  <si>
    <t>V1101866</t>
  </si>
  <si>
    <t>Dr.Varsha Mahesh Joshi</t>
  </si>
  <si>
    <t>Madhapur-2 - 70</t>
  </si>
  <si>
    <t>Grant Medical College</t>
  </si>
  <si>
    <t>Lokmanya Tilak Municipal Medical College</t>
  </si>
  <si>
    <t>drjoshivarsha@gmail.com</t>
  </si>
  <si>
    <t>V1101792</t>
  </si>
  <si>
    <t>Case Base</t>
  </si>
  <si>
    <t>Dr.Sriramineni Deepthi</t>
  </si>
  <si>
    <t>Kukatpally - 20</t>
  </si>
  <si>
    <t>USG, X-RAY, MAMMOGRAPHY</t>
  </si>
  <si>
    <t>Kakatiya Medical College</t>
  </si>
  <si>
    <t>Jawaharlal Nehru Medical College</t>
  </si>
  <si>
    <t>dr.s.deepthisandeep@gmail.com</t>
  </si>
  <si>
    <t>V1101820</t>
  </si>
  <si>
    <t>Dr.Rashmi Sudhir</t>
  </si>
  <si>
    <t>Reporting</t>
  </si>
  <si>
    <t>X-Ray, CT, MRI</t>
  </si>
  <si>
    <t>Apollo Hospitals,Hyderabad</t>
  </si>
  <si>
    <t>rashmi4210@gmail.com</t>
  </si>
  <si>
    <t>V1101869</t>
  </si>
  <si>
    <t>Dr.Komarapu Dileep Kumar</t>
  </si>
  <si>
    <t>Vizag - 37</t>
  </si>
  <si>
    <t>USG, X-Ray, CT, MRI</t>
  </si>
  <si>
    <t>Osmania Medical College</t>
  </si>
  <si>
    <t>Post Graduate Institute of Medical Education and Research</t>
  </si>
  <si>
    <t>dileepomc@gmail.com</t>
  </si>
  <si>
    <t>V1101810</t>
  </si>
  <si>
    <t>Dr.Shaik Abdul Raheem</t>
  </si>
  <si>
    <t>SVIMS</t>
  </si>
  <si>
    <t>drraheemsk@gmail.com</t>
  </si>
  <si>
    <t>V1101761</t>
  </si>
  <si>
    <t>Dr.Ravi Kishore G</t>
  </si>
  <si>
    <t>08:00 to 12:00</t>
  </si>
  <si>
    <t>17:00 to 20:00</t>
  </si>
  <si>
    <t>Sec II S D Road - 13</t>
  </si>
  <si>
    <t>USG, Doppler</t>
  </si>
  <si>
    <t>Consultant  Sonologist</t>
  </si>
  <si>
    <t>Mahadevappa Rampure Medical College</t>
  </si>
  <si>
    <t>Pursuing</t>
  </si>
  <si>
    <t>Apollo Hospital</t>
  </si>
  <si>
    <t>MBBS</t>
  </si>
  <si>
    <t>drravikishore26@gmail.com</t>
  </si>
  <si>
    <t>V1101852</t>
  </si>
  <si>
    <t>Dr.Lakshmi Srujana Kapuganty</t>
  </si>
  <si>
    <t>Andhra Medical College</t>
  </si>
  <si>
    <t>NIMS</t>
  </si>
  <si>
    <t>drsrujana.ravuri@gmail.com</t>
  </si>
  <si>
    <t>V1101692</t>
  </si>
  <si>
    <t>Dr.More Pallavi Bapurao</t>
  </si>
  <si>
    <t>08:00:00</t>
  </si>
  <si>
    <t>15:00:00</t>
  </si>
  <si>
    <t>XRAY, BMD,MAMOGRAPHY, USG</t>
  </si>
  <si>
    <t>Lokmanya Tilak Municipal General Hospital And Medical College</t>
  </si>
  <si>
    <t>Breach Candy Hospital</t>
  </si>
  <si>
    <t>drpalvi812@yahoo.co.in</t>
  </si>
  <si>
    <t>V1101773</t>
  </si>
  <si>
    <t>Dr.Ankit Balani</t>
  </si>
  <si>
    <t>USG ( Basic, Tiffa, Fetal Echo, MSK, Penile Doppler/TRUS, Guided Procedures), CT ( Basic, All Angios, Virtual Endoscopy, CT Perfusion, CT Enteroclysis, Guided Procedures, MRI (Basic, Cardiac MR, CSF Flow study, MR Perfusion, Fetal MR, MR Defecography, MR Prostate, MR Neurography), X-Ray (Regular) Mammography, Special Procedures (IVP,RGU,MCGU,Barium Swallow, Barium Enema, HSG)</t>
  </si>
  <si>
    <t>Seth GS Medical College Y&amp; KEM Hospital</t>
  </si>
  <si>
    <t>Yashoda Hospitals</t>
  </si>
  <si>
    <t>drankitbalani@gmail.com</t>
  </si>
  <si>
    <t>V1101831</t>
  </si>
  <si>
    <t>Dr.Swetha Gurram</t>
  </si>
  <si>
    <t>USG ( Basic, Tiffa, Fetal echo, MSK, Guided procedures), CT (Basic), X- Ray(Plain Radiography) Mammography, Special Procedures (IVP, RGU,MCUG, Barium Swallow, Barium Enema, HSG).</t>
  </si>
  <si>
    <t>Chalmeda Anand Rao Institute of Medical Sciences</t>
  </si>
  <si>
    <t>Navodaya Medical College</t>
  </si>
  <si>
    <t>swethagurram29@gmail.com</t>
  </si>
  <si>
    <t>V1101847</t>
  </si>
  <si>
    <t>Dr.Patil Pritam Manohar</t>
  </si>
  <si>
    <t>Panjagutta-121</t>
  </si>
  <si>
    <t>Seth G S Medical College &amp; King Edward Memorial</t>
  </si>
  <si>
    <t>drpritam2007@gmail.com</t>
  </si>
  <si>
    <t>V1101791</t>
  </si>
  <si>
    <t>Dr.Deepak Bulla</t>
  </si>
  <si>
    <t>St. John's Medical College</t>
  </si>
  <si>
    <t>deepak0107@yahoo.com</t>
  </si>
  <si>
    <t>V1101712</t>
  </si>
  <si>
    <t>Dr.Vikas Maini</t>
  </si>
  <si>
    <t>5 (Thursday and Sunday week off)</t>
  </si>
  <si>
    <t xml:space="preserve">KMC </t>
  </si>
  <si>
    <t>vikasmaini@yahoo.com</t>
  </si>
  <si>
    <t>D1119726</t>
  </si>
  <si>
    <t>MG + Incentives</t>
  </si>
  <si>
    <t>Dr.P Sri Vaishnavi</t>
  </si>
  <si>
    <t>Basic USG, Doppler Studies, Thyroid/Scrotum USG, Tiffa, Foetal Echo, MSK USG, TRUS, USG Guided FNAC, USG Guided Trucut Biopsy, USG Guided Aspiration, Breast Biopsy, TRUS Guided Biopsy, Guided Procedures, Basic CT, Chest/Abdomen/Neck, 3DCT, Virtual Bronchoscopy, Basic MRI, MSK Studies - Knee/Shoulder, X Ray, Plain Radiography, IVP, RGU, MCUG, Barium Swallow, Barium Anema, HSG.
(Can Do USG, X-Ray Reporting)</t>
  </si>
  <si>
    <t xml:space="preserve">Kamineni Institute of Medical Sciences, Narketpally </t>
  </si>
  <si>
    <t>srivaishnavireddy23@gmail.com</t>
  </si>
  <si>
    <t>V1101589</t>
  </si>
  <si>
    <t>Dr.Tourani Kishore Lakshmichand</t>
  </si>
  <si>
    <t>Gachibowli-66</t>
  </si>
  <si>
    <t>X Ray, CT, MRI</t>
  </si>
  <si>
    <t>Director - Radiology Education and Training</t>
  </si>
  <si>
    <t>kishorelt@yahoo.co.in</t>
  </si>
  <si>
    <t>V1101588</t>
  </si>
  <si>
    <t>Dr.Apoorva Chintamadaka</t>
  </si>
  <si>
    <t>USG, X Ray</t>
  </si>
  <si>
    <t>Deccan College of Medical Science</t>
  </si>
  <si>
    <t>NRI Medical College</t>
  </si>
  <si>
    <t>preethi1009@gmail.com</t>
  </si>
  <si>
    <t>V1101582</t>
  </si>
  <si>
    <t>Dr.P Arun Santosh</t>
  </si>
  <si>
    <t>Habsiguda - 17</t>
  </si>
  <si>
    <t>USG, X-Ray, CT</t>
  </si>
  <si>
    <t>S Nijalingappa Medical College</t>
  </si>
  <si>
    <t>Nizam's Institute of Medical College</t>
  </si>
  <si>
    <t>arunsantosh1988@gmail.com</t>
  </si>
  <si>
    <t>V1101845</t>
  </si>
  <si>
    <t>Dr.Mohammed Abdul Basith</t>
  </si>
  <si>
    <t>Shah-Ali-Banda - 85</t>
  </si>
  <si>
    <t>USG, XRAY</t>
  </si>
  <si>
    <t>Deccan Medical College</t>
  </si>
  <si>
    <t>basith400@yahoo.com</t>
  </si>
  <si>
    <t>V1101508</t>
  </si>
  <si>
    <t>Dr.Sireesha Chinta</t>
  </si>
  <si>
    <t>Uncertain</t>
  </si>
  <si>
    <t>MBBS, DNM Radiodiagnosis</t>
  </si>
  <si>
    <t>hidrsireesha@yahoo.com</t>
  </si>
  <si>
    <t>V1101513</t>
  </si>
  <si>
    <t>Dr.K Shanti</t>
  </si>
  <si>
    <t>Basic USG, Tiffa, Fetal Echo, X Ray, Mammography, Basic CT, IVP, RGU, MCGU, Barium Swallow, Barium Enema, HSG</t>
  </si>
  <si>
    <t>Guntur Medical College</t>
  </si>
  <si>
    <t>drshantikola@gmail.com</t>
  </si>
  <si>
    <t>D1114613</t>
  </si>
  <si>
    <t>Dr.Kosara Loka Pavani</t>
  </si>
  <si>
    <t>X-Ray (Regular), Mamography, USG, FNAC, IVP, RGU, MCGU, Barium Swallow, Barium Enemma and HSG, Basic CT, all Angios except Coronary, CT Enteroclysis and Basic MRI</t>
  </si>
  <si>
    <t>lokapavani247@gmail.com</t>
  </si>
  <si>
    <t>D1121554</t>
  </si>
  <si>
    <t>Dr.Mahesh C</t>
  </si>
  <si>
    <t>Kalaburagi-Gulbarga-144</t>
  </si>
  <si>
    <t>X-Ray(Plain Radiography-Basic,Advanced), Mammography, USG (Basic, Doppler Studies, Thyroid/scrotum USG, Breast USG, MSK USG, TRUS, USG Guided FNAC, USG Guided Trucut Biopsy, USG Guided Aspiration, Breast biopsy, Trus Guided biopsy) CT(Basic, Chest/Abdomen/Neck/ 3DCT, CT Angiography, Coronary CT, Virtual Bronchoscopy, CT Perfusion, CT Guided Biopsy) MRI(Basic, MSK Studies-Knee/Shoulder, MRI MRCP/Abdomen/Liver) Special Procedures (IVP,RGU,MCUG, Barium Swallow, Barium Enema,HSG)</t>
  </si>
  <si>
    <t>ESIC Medical College, Kalaburagi</t>
  </si>
  <si>
    <t>Nizams Institute of Medical Sciences</t>
  </si>
  <si>
    <t>9380495420 / 9880723752</t>
  </si>
  <si>
    <t>maheshtskudluru@gmail.com</t>
  </si>
  <si>
    <t>D1115442</t>
  </si>
  <si>
    <t>Dr.Nagilla Ashwin Kumar</t>
  </si>
  <si>
    <t xml:space="preserve">8:00 to 10:00 </t>
  </si>
  <si>
    <t>18:00 to 21:00</t>
  </si>
  <si>
    <t>USG, Tiffa, MSK, Penile Dopplers/TRUS , Guided Procedures, IVP, RGU, MCGU, Barium Swallow, Barium Enemma, HSG, X Ray,  Mamography, Basic CT, All Angios except Coronary, Virtual Endoscopy, Basic MRI</t>
  </si>
  <si>
    <t>Shadan Medical College</t>
  </si>
  <si>
    <t>JJM Medical College</t>
  </si>
  <si>
    <t>nagillaashwin28@gmail.com</t>
  </si>
  <si>
    <t>D1115778</t>
  </si>
  <si>
    <t>Dr.Cheppa Varun Raghav</t>
  </si>
  <si>
    <t>(X-Ray - Regular,Mammography), USG (Basic, Tiffa, MSK, Penile Doppler/Trus, Guided Procedures), CT(Basic), MRI(Basic), Special Procedures (IVP, RGU, MCUG, Barium Swallow, Barium Enema, HSG)</t>
  </si>
  <si>
    <t>Kamineni Medical College</t>
  </si>
  <si>
    <t>Dr. DY Patil Medical College</t>
  </si>
  <si>
    <t>varunraghavc@gmail.com</t>
  </si>
  <si>
    <t>Tele reporting</t>
  </si>
  <si>
    <t>V1101786</t>
  </si>
  <si>
    <t>Dr.Anand Abkari</t>
  </si>
  <si>
    <t>X-Ray</t>
  </si>
  <si>
    <t>anand_abkari@rediffmail.com</t>
  </si>
  <si>
    <t>V1101821</t>
  </si>
  <si>
    <t>Dr.Sudhir Shamgar Borelli</t>
  </si>
  <si>
    <t>A S Rao Nagar - 18</t>
  </si>
  <si>
    <t>USG, Tiffa, MSK, Basic CT, Xray, Mammography, IVP, RGU, MCGU, Barium Swallow, Barium Enema, HSG</t>
  </si>
  <si>
    <t>Kurnool Medical College</t>
  </si>
  <si>
    <t>NTR University of Health Science, Vijayawada, Andhra Pradesh</t>
  </si>
  <si>
    <t>sudhir_bs@yahoo.co.uk</t>
  </si>
  <si>
    <t>D1115448</t>
  </si>
  <si>
    <t>Dr.Kaluva Leela Sarvani</t>
  </si>
  <si>
    <t>Karimnagar-75</t>
  </si>
  <si>
    <t>USG, Tiffa,  MSK, Guided Procedures, IVP, RGU, MCGU, Barium Swallow, Barium Enemma, HSG, X Ray,  Mamography, Basic CT, CT Enteroclysis, All Angios, CT Guided Procedures, Basic MRI</t>
  </si>
  <si>
    <t>Rajiv Gandhi Institute of Medical Sciences</t>
  </si>
  <si>
    <t>Prathima Institute of Medical Science</t>
  </si>
  <si>
    <t>leelasarvani89@gmail.com</t>
  </si>
  <si>
    <t>D1117100</t>
  </si>
  <si>
    <t>Dr.Kotha Vinay Kumar Reddy</t>
  </si>
  <si>
    <t>Basic USG, Tiffa, Penile dopplers, Guided procedures, Basic CT, All Angios, CT Enteroclysis, Guided procedures, Basic MRI, X-Ray, Mammography, IVP, RGU, MCGU, Barium Swallow, Barium Enema, HSG</t>
  </si>
  <si>
    <t xml:space="preserve">Mamata Medical College, Khammam </t>
  </si>
  <si>
    <t>Vaidehi Institute of Medical Sciences and Research Centre, Bangalore</t>
  </si>
  <si>
    <t>kothavinaykumarreddy@gmail.com</t>
  </si>
  <si>
    <t>D1112829</t>
  </si>
  <si>
    <t>Dr.Shabanabanu</t>
  </si>
  <si>
    <t>Basic USG, Tiffa, Guided Procedures, Basic CT, CT Enterclysis, Basic MRI, MR Perfusion, MR Prostate, X-Ray, Mammography, IVP, RGU, MCGU, Barium Swallow, Barium Enema, HSG</t>
  </si>
  <si>
    <t>Rangaraya Medical College, Kakinada, Andhra Pradesh</t>
  </si>
  <si>
    <t>fizadocin@gmail.com</t>
  </si>
  <si>
    <t>D1119834</t>
  </si>
  <si>
    <t>Dr.Kalyani Bankupalli</t>
  </si>
  <si>
    <t>Basic USG, Doppler Studies, Thyroid/Scrotum USG, Tiffa, USG Guided FNAC, USG Guided Aspiration, Guided Procedures, Basic CT, Chest/Abdomen/Neck, X Ray, Plain Radiography, Mammography, IVP, RGU, MCUG, Barium Swallow, Barium Anema, HSG.
(Can be taken for USG, Doppler, X-Ray and Mammography)</t>
  </si>
  <si>
    <t>Alluri Sitaram Raju Academy of Medical Science, Eluru, Andhra Pradesh</t>
  </si>
  <si>
    <t>Great Eastern Medical School</t>
  </si>
  <si>
    <t>kalyani.bankupalli@gmail.com</t>
  </si>
  <si>
    <t>D1122033</t>
  </si>
  <si>
    <t>Dr.Gunjan Gupta</t>
  </si>
  <si>
    <t>X-Ray, CT, MRI reporting</t>
  </si>
  <si>
    <t>NRS Medical College, Calcutta University, West Bengal</t>
  </si>
  <si>
    <t>Calcutta Medical College and Hospitals</t>
  </si>
  <si>
    <t>drgunjan123@rediffmail.com</t>
  </si>
  <si>
    <t>D1121005</t>
  </si>
  <si>
    <t>Dr.Manikonda Raghavender Redddy</t>
  </si>
  <si>
    <t>Kokapet - 03</t>
  </si>
  <si>
    <t>X-Ray (Plain Radiography-Basic,Advanced), USG(Basic, Doppler Studies,Thyroid/Scrotum USG, Breast USG,TIFFA, USG Guided FNAC,USG Guided Trucut biopsy, USG Guided Aspirations), CT (Basic, Chest/Abdomen/Neck) ,Special Procedures (IVP,RGU,MCUG, Barium Swallow)</t>
  </si>
  <si>
    <t>Mamata Medical College</t>
  </si>
  <si>
    <t>raghavendrareddy56@gmail.com</t>
  </si>
  <si>
    <t>D1117396</t>
  </si>
  <si>
    <t>Dr.Babireddy Gari Archana</t>
  </si>
  <si>
    <t>Kondapur - 125</t>
  </si>
  <si>
    <t>Basic USG, Dopplers, Basic CT, X-Ray, IVP, RGU, MCGU, Barium Swallow, Barium Enema, HSG</t>
  </si>
  <si>
    <t xml:space="preserve"> Prathima Institute of Medical Sciences, Karimnagar, NTRUHS</t>
  </si>
  <si>
    <t>Narayana Medical College, Nellore, NTRUHS</t>
  </si>
  <si>
    <t>babi.archanareddy@gmail.com</t>
  </si>
  <si>
    <t>D1117397</t>
  </si>
  <si>
    <t>Dr.Mohd Abdul Khalid</t>
  </si>
  <si>
    <t>Basic CT,All Angios, Virtual Endoscopy, CT Perfusion, CT Enteroclysis, Guided Procedures, Basic MRI, Advanced Applications, Fetak MR,  X-Ray, IVP, RGU, MCGU, Barium, Swallow, Barium Enema, HSG; Specialised in Paediatric Radiology -MRI and CT</t>
  </si>
  <si>
    <t>Osmania Medical College–Hyderabad , India</t>
  </si>
  <si>
    <t>Mamata Medical College–Khammam, India</t>
  </si>
  <si>
    <t>MBBS,MD,DNB Radiodiagnosis</t>
  </si>
  <si>
    <t>khalid.about.me@gmail.com</t>
  </si>
  <si>
    <t>D1117533</t>
  </si>
  <si>
    <t>Dr.Kurakula Harika</t>
  </si>
  <si>
    <t>Basic USG, Tiffa, MSK, Guided Procedures, Basic CT, Basic MRI,MR Perfusion, MR Prostate, X-Ray Regular, Mammography, IVP, RGU, MCGU, Barium Swallow, Barium Enema, HSG</t>
  </si>
  <si>
    <t>Narayana Medical College Nellore</t>
  </si>
  <si>
    <t>Chalmeda Anand Rao Institute of Medical Sciences College Karimnagar-</t>
  </si>
  <si>
    <t>batchuanudeep@yahoo.com</t>
  </si>
  <si>
    <t>V1101623</t>
  </si>
  <si>
    <t>Dr.Sandeep Surisetty </t>
  </si>
  <si>
    <t>Suncity - 83</t>
  </si>
  <si>
    <t>USG, Tiffa, Dopplers, X- Ray</t>
  </si>
  <si>
    <t>GSL Medical College</t>
  </si>
  <si>
    <t>sandeep.surisetty@gmail.com</t>
  </si>
  <si>
    <t>Dr. NTR University of Health Sciences - 2009</t>
  </si>
  <si>
    <t>D1117864</t>
  </si>
  <si>
    <t>Dr.M Hemalatha Bheesetti</t>
  </si>
  <si>
    <t>Rajahmundry-118</t>
  </si>
  <si>
    <t>USG, Tiffa, MSK, Guided Procedures, IVP, RGU, MCGU, Barium Swallow, Barium Enemma, HSG, X Ray, Mammograpgy,  Basic CT, All Angios except Coronary and CT Enterclysis</t>
  </si>
  <si>
    <t>Dr. NTR University of Health Sciences - 2017</t>
  </si>
  <si>
    <t>suridoctor80@gmail.com</t>
  </si>
  <si>
    <t>D1117858</t>
  </si>
  <si>
    <t>Dr.Sappidi Reddi Hema Latha</t>
  </si>
  <si>
    <t>Basic USG, Tiffa, MSK, Guided Procedures, Basic CT, All Angios, CT Perfusion, Basic MRI, Fetal MR, MR Prostate, X Ray, Plain Radiography, Mammography, IVP, RGU, MCGU, Barium Swallow, Barium Anema, HSG</t>
  </si>
  <si>
    <t>Dr. NTR University of Health Sciences - 2011</t>
  </si>
  <si>
    <t>hemalatha2911@gmail.com</t>
  </si>
  <si>
    <t>D1118026</t>
  </si>
  <si>
    <t>Dr.Vempuluru Kusuma</t>
  </si>
  <si>
    <t>Nellore - 27</t>
  </si>
  <si>
    <t>Basic USG, Tiffa, Fetal Echo,MSK, Basic CT, All Angios, Basic MRI,MSK, MRI ,X Ray, Plain Radiography, Mammography, IVP, RGU, MCUG, Barium Swallow, Barium Anema, HSG.</t>
  </si>
  <si>
    <t>NTR University</t>
  </si>
  <si>
    <t>vempulurukusuma02@gmail.com</t>
  </si>
  <si>
    <t>V1101682</t>
  </si>
  <si>
    <t>Dr.Venkata Suresh Jammula</t>
  </si>
  <si>
    <t>Basic USG, Tiffa, Guided Procedure, X Ray, Plain Radiography,  IVP, RGU, MCUG, Barium Swallow, Barium Anema, HSG.</t>
  </si>
  <si>
    <t>Jiamusi University</t>
  </si>
  <si>
    <t>Rajiv Gandhi University of Health Sciences</t>
  </si>
  <si>
    <t>sureshjammula@gmail.com</t>
  </si>
  <si>
    <t>D1118321</t>
  </si>
  <si>
    <t>Dr.Vikram Reddy</t>
  </si>
  <si>
    <t>Basic USG, Tiffa, Fetal Echo, Guided Procedure, Basic CT, All Angios, Basic MRI, Cardiac MIR, MR Positate, X Ray, Plain Radiography, Mammography, IVP, RGU, MCUG, Barium Swallow, Barium Anema, HSG.</t>
  </si>
  <si>
    <t>Vijayanagara institute of medical sciences</t>
  </si>
  <si>
    <t>Maharastra University of Medical Science</t>
  </si>
  <si>
    <t>vikky1992@gmail.com</t>
  </si>
  <si>
    <t>D1118322</t>
  </si>
  <si>
    <t>Dr.Rintu George</t>
  </si>
  <si>
    <t>Basic USG, Tiffa, Guided Procedure, Basic CT, All Angios, Basic MRI, X Ray, Plain Radiography, Mammography, IVP, RGU, MCUG, Barium Swallow, Barium Anema, HSG.</t>
  </si>
  <si>
    <t>Karuna Medical College</t>
  </si>
  <si>
    <t>Sri Manakula Vinayagar Medical College &amp; Hospital</t>
  </si>
  <si>
    <t>rintugeorgekattungal@gmail.com</t>
  </si>
  <si>
    <t>D1116344</t>
  </si>
  <si>
    <t>Dr.Chinky Chatur</t>
  </si>
  <si>
    <t>Ameerpet - 14</t>
  </si>
  <si>
    <t>Basis USG, MSK, Basic CT, All Angios, Basic MRI, Xray, Mammography</t>
  </si>
  <si>
    <t>Chalmeda Ananda Rao Institute of Medical Science</t>
  </si>
  <si>
    <t>Yashodha Hospital</t>
  </si>
  <si>
    <t>chinkychatur@gmail.com</t>
  </si>
  <si>
    <t>D1118330</t>
  </si>
  <si>
    <t>Dr.K. Hanisha Himasree</t>
  </si>
  <si>
    <t>Gopalapatnam - 49</t>
  </si>
  <si>
    <t>Basic USG, Tiffa,  Basic CT, Basic MRI, X Ray, Radiography, Mammography, IVP, RGU, MCUG, Barium Swallow, Barium Anema, HSG</t>
  </si>
  <si>
    <t>Sri Manakula Vinayagar Medical College</t>
  </si>
  <si>
    <t>Maharaja Institute of Medical Sciences</t>
  </si>
  <si>
    <t>hanisha62@gmail.com</t>
  </si>
  <si>
    <t>Dammaiguda - 82</t>
  </si>
  <si>
    <t>D1122034</t>
  </si>
  <si>
    <t>Dr.A Harsha Vardhan</t>
  </si>
  <si>
    <t>harshacm1986@gmail.com</t>
  </si>
  <si>
    <t>D1118521</t>
  </si>
  <si>
    <t>Dr.Raktim Mukherjee</t>
  </si>
  <si>
    <t>08:00 AM to 11:00 AM</t>
  </si>
  <si>
    <t>09:00:00 to 12:00:00 Sun (3 Hours)</t>
  </si>
  <si>
    <t>Kolkata VIP Road -91</t>
  </si>
  <si>
    <t>Basic USG, Tiffa, MSK, Penile Doppler/TRUS,  Guided Procedures, Basic CT, All Angios,Virtual Endoscopy, CT Perfusion, CT Enteroclysis, Guided Procedures, Basic MRI,Fetal MR, MR Prostate, MR Neurography, X Ray, Plain Radiology, Mammography, IVP, RGU, MCGU, Barium Swallow, Barium Anema, HSG</t>
  </si>
  <si>
    <t>R . G Kar Medical college</t>
  </si>
  <si>
    <t>University of Kolkatta</t>
  </si>
  <si>
    <t>raktimmukherjee80@gmail.com</t>
  </si>
  <si>
    <t>D1119173</t>
  </si>
  <si>
    <t>Dr.Tattipally Vamshi Mohan</t>
  </si>
  <si>
    <t>Nizam Institute of Medical Science</t>
  </si>
  <si>
    <t>mohantatipally2023@gmail.com</t>
  </si>
  <si>
    <t>D1118694</t>
  </si>
  <si>
    <t>Dr.Ganesh S</t>
  </si>
  <si>
    <t>Hanamkonda - 40</t>
  </si>
  <si>
    <t>Basic USG, Tiffa, Guided Procedures, Basic CT,  X Ray, Plain Radiology, IVP, RGU, MCGU, Barium Swallow, Barium Anema, HSG</t>
  </si>
  <si>
    <t>Ananda Rao Institute of Medical Science , Karimnagar</t>
  </si>
  <si>
    <t>Mamata Medical college,Khammam,Telangana--2021</t>
  </si>
  <si>
    <t>samudrala.ganesh@gmail.com</t>
  </si>
  <si>
    <t>D1118696</t>
  </si>
  <si>
    <t>Dr.Chintada Sindhu</t>
  </si>
  <si>
    <t>Gajuwaka-133</t>
  </si>
  <si>
    <t>Basic USG, Tiffa, Guided Procedures, Basic CT, X Ray, Plain Radiology, Mammography, IVP, RGU, MCGU, Barium Swallow, Barium Anema, HSG</t>
  </si>
  <si>
    <t>Maharajah's Institute of Medical Sciences</t>
  </si>
  <si>
    <t>Andhra Medical College, Visakhapatnam</t>
  </si>
  <si>
    <t>ch8sindhu@gmail.com</t>
  </si>
  <si>
    <t>V1101822</t>
  </si>
  <si>
    <t>Dr.Bandela Sushma</t>
  </si>
  <si>
    <t>Basic USG, Tiffa, Basic CT, X Ray, Plain Radiology, Mammography, IVP, RGU, MCGU, Barium Swallow, Barium Anema, HSG</t>
  </si>
  <si>
    <t>Pinnamaneni Siddhartha Institute of Medical Sciences</t>
  </si>
  <si>
    <t>Maharajhas institute of Medical Science</t>
  </si>
  <si>
    <t>drsushmamdrd@gmail.com</t>
  </si>
  <si>
    <t>D1120770</t>
  </si>
  <si>
    <t>Dr.Vishal Singh</t>
  </si>
  <si>
    <t>Yousufguda -160</t>
  </si>
  <si>
    <t>X-Ray (Plain Radiography-Basic,Advanced), Mammography, USG(Basic, Doppler Studies,Thyroid/Scrotum USG, Breast USG,TIFFA, MSK USG, Penile Doppler, USG Guided FNAC, USG Guided Aspirations), CT (Basic, Chest/Abdomen,3DCT,CT Angiography, Coronary CT), MRI(Basic, MSk Studies- Knee/Shoulder, MRI MRCP/Abdomen/Liver, MR Prostate/Rectum), Special Procedures (RGU,MCUG, Barium Swallow, Barium Enema, HSG)</t>
  </si>
  <si>
    <t>Mediciti Institute of Medical Sciences</t>
  </si>
  <si>
    <t>smart007vishal@gmail.com</t>
  </si>
  <si>
    <t>D1119429</t>
  </si>
  <si>
    <t>Dr.Kommisetti Yogananda</t>
  </si>
  <si>
    <t>Basic USG, Penile Doppler/TRUS, Basic CT, All Angios, Basic MRI, Fetal MR, MR Defecography, X Ray, Plain Radiology, IVP, RGU, MCGU, Barium Swallow, Barium Anema, HSG</t>
  </si>
  <si>
    <t>PGIMER</t>
  </si>
  <si>
    <t>yogi2874@gmail.com</t>
  </si>
  <si>
    <t>D1119556</t>
  </si>
  <si>
    <t>Dr.Vaishnavi Vemuganti</t>
  </si>
  <si>
    <t>Yapral - 88</t>
  </si>
  <si>
    <t>Basic USG, Tiffa, Guided Procedure, Basic CT, X Ray, Plain Radiography, IVP, RGU, MCUG, Barium Swallow, Barium Anema, HSG
(Can do USG, Tiffa, Doppler Standers, X-Ray, Basic CT )</t>
  </si>
  <si>
    <t>vaishnavivemuganti7@gmail.com</t>
  </si>
  <si>
    <t>D1114195</t>
  </si>
  <si>
    <t>Dr.Kiran Chander</t>
  </si>
  <si>
    <t>Madinaguda - 112</t>
  </si>
  <si>
    <t>Basic USG, Tiffa, Guided Procedure, Basic CT, Basic MRI, X Ray, Plain Radiography, Mammography, IVP, RGU, MCUG, Barium Swallow, Barium Anema, HSG.
(Can do USG, TIFFA, Mamography, CT, MRI, guided FNAC)</t>
  </si>
  <si>
    <t>Sri Venkateswara Medical College</t>
  </si>
  <si>
    <t>Narayana Medical College</t>
  </si>
  <si>
    <t>9949056929, 9494110077</t>
  </si>
  <si>
    <t>drkiranchander@gmail.com</t>
  </si>
  <si>
    <t>D1119725</t>
  </si>
  <si>
    <t>Dr.Anshu Agarwal</t>
  </si>
  <si>
    <t>Basic USG, Tiffa, MSK, Guided Procedures, Basic CT, All Angios, Basic MRI, MR Prostate, X Ray, Plain Radiography, Mammography, IVP, RGU, MCUG, Barium Swallow, Barium Anema, HSG.
(Can Do TIFFA, Basic CT, MRI Reporting , MRI - Regular (Other Then Abdomen), MRI - Whole Abdomen, CT - All Cases, US - Regular, US - Doppler, X- Ray)</t>
  </si>
  <si>
    <t>Pranav Rural University</t>
  </si>
  <si>
    <t>Sri Aurobindo Medical College</t>
  </si>
  <si>
    <t>agaranshu@gmail.com</t>
  </si>
  <si>
    <t>D1119706</t>
  </si>
  <si>
    <t>Dr.Kotamraju Sai</t>
  </si>
  <si>
    <t>Basic USG, Tiffa, Guided Procedures, Basic CT, X Ray, Plain Radiography, IVP, RGU, MCUG, Barium Swallow, Barium Anema, HSG.
(Can Do USG, TIFFA, Doppler, Basic CT)</t>
  </si>
  <si>
    <t>Malla Reddy Medical College</t>
  </si>
  <si>
    <t>saikotamraju.rad@gmail.com</t>
  </si>
  <si>
    <t>V1101817</t>
  </si>
  <si>
    <t>Dr.Srivani Gollamala</t>
  </si>
  <si>
    <t>Nallakunta - 67</t>
  </si>
  <si>
    <t>USG,Doppler,TIFFA,X-Ray reporting Basic&amp; Advanced, Mammography, CT-Basic, Special Procedures IVP,RGU,MCUG,Barium Swallow, Barium Enema, HSG.</t>
  </si>
  <si>
    <t>Dr NTR University of health sciences,Vijayawada,Andhra Pradesh</t>
  </si>
  <si>
    <t>siriradiology@gmail.com</t>
  </si>
  <si>
    <t>V1101510</t>
  </si>
  <si>
    <t>Dr.Aitipamula Sreelaxmi</t>
  </si>
  <si>
    <t>Vanasthalipuram - 33</t>
  </si>
  <si>
    <t>Basic USG, Tiffa, Guided Procedure, Doppler, Basic CT, All Angios, Basic MRI, X Ray, Radiography, Mammography, IVP, RGU, MCUG, Barium Swallow, Barium Anema, HSG</t>
  </si>
  <si>
    <t>Dr. NTR University of Health Sciences - 2015</t>
  </si>
  <si>
    <t>Kaloji Narayana Rao University of Sciences - 2019</t>
  </si>
  <si>
    <t>sreelaxmi.aitipamula@gmail.com</t>
  </si>
  <si>
    <t>V1101554</t>
  </si>
  <si>
    <t>Dr.Deevi Hemanth Kumar</t>
  </si>
  <si>
    <t>Basic USG, Tiffa,Penile Doppler /TRUS,Guided Procedures, Basic CT,All Angios, Basic MRI, Plain Radiography, X-RAY IVP, RGU, MCUG,Barium Swallow, Barium Enema, HSG</t>
  </si>
  <si>
    <t>Kasturba Hospitals Manipal</t>
  </si>
  <si>
    <t>deevihemu@gmail.com</t>
  </si>
  <si>
    <t>V1101637</t>
  </si>
  <si>
    <t>Dr.Sindhura Bhimavarapu</t>
  </si>
  <si>
    <t>Basic USG, Tiffa, MSK, Guided Procedures, Basic CT, Basic MRI, Xray, Plain Radiology, Mammography, IVP, RGU, MCGU, Barium Swallow, Barium Enema, HSG</t>
  </si>
  <si>
    <t>sindhu.3788@gmail.com</t>
  </si>
  <si>
    <t>Andhra University</t>
  </si>
  <si>
    <t>D1120006</t>
  </si>
  <si>
    <t>Dr.Katangoor Rohini Reddy</t>
  </si>
  <si>
    <t>09:00 AM to 12:00 PM</t>
  </si>
  <si>
    <t>17:30 PM to 19:30 PM</t>
  </si>
  <si>
    <t>Kavuri Hills-5</t>
  </si>
  <si>
    <t>Basic USG, Doppler Studies, Thyroid/Scrotum USG, Breast USG, Tiffa, USG Guided FNAC, USG Guided Aspiration, Breast Biopsy, Guided Procedures, Basic CT, Chest/ Abdomen/Neck, 3DCT, CT Angiography, CT Guided Biopsy, Basic MRI, MRI MRCP/Abdomen/Liver, MR Neurography, MRI Breast, X Ray, Plain Radiography, IVP, RGU, MCUG, Barium Swallow, Barium Anema, HSG.</t>
  </si>
  <si>
    <t>Chalmeda Anand Rao Institite of Medical Science</t>
  </si>
  <si>
    <t>rohinireddy99999@gmail.com</t>
  </si>
  <si>
    <t>V1101495</t>
  </si>
  <si>
    <t>Dr.Akkilagunta Sundar Dinesh</t>
  </si>
  <si>
    <t>Kurnool - 43</t>
  </si>
  <si>
    <t>Basic USG, Doppler Studies, Thyroid/Scrotum USG, Breast USG, Tiffa, Penile Droppler, USG Guided FNAC,  USG Guided Aspiration, Guided Procedures, Basic CT, Chest/Abdomen/ Neck, CT Angiography, Basic MRI, MSK Studies- Knee/ Shoulder,  X Ray, Plain Radiography, Mammography, RGU, MCUG , Barium Swallow, Barium Anema, HSG.</t>
  </si>
  <si>
    <t>Dr. NTR University of Health and Science</t>
  </si>
  <si>
    <t>sundardinesh55@gmail.com</t>
  </si>
  <si>
    <t>D1120317</t>
  </si>
  <si>
    <t>Dr.Harikiran Pokam</t>
  </si>
  <si>
    <t>X-Ray,USG,CT,MRI,Special procedures</t>
  </si>
  <si>
    <t>Government Medical college</t>
  </si>
  <si>
    <t>Chalmeda Anand rao institue of medical sciences,Karimnagar,Telangana</t>
  </si>
  <si>
    <t>kirannpokam@gmail.com</t>
  </si>
  <si>
    <t>D1117265</t>
  </si>
  <si>
    <t>Dr.D Sreenivasulu</t>
  </si>
  <si>
    <t>Basic Tiffa, MSK, Penile doppler / TRUs, Guided procedures,   Basic CT, Chest/Abdomen/ Neck,Basic, Cardiac MR, MR perfusion, fetal Mr, MR Prostate,  ,Basic &amp; Advanced Plain Radiography, IVP,  RGU, MCUG , Barium Swallow, Barium Anema, HSG. Plain Radiography basic advance, Mammography.</t>
  </si>
  <si>
    <t>Jawaharlal Institute of Medical Educational Research</t>
  </si>
  <si>
    <t>PGIMER Chandigarh</t>
  </si>
  <si>
    <t>sreenivasulu.des@gmail.com</t>
  </si>
  <si>
    <t>D1120311</t>
  </si>
  <si>
    <t>Dr.Ranjith Kumar Blathu</t>
  </si>
  <si>
    <t>17:00 to 19:00</t>
  </si>
  <si>
    <t>Vasavi Colony - 151</t>
  </si>
  <si>
    <t>X-Ray (Plain Radiography-Basic,Advanced), USG(Basic,Doppler Studies,Thyroid/Scrotum USG, Breast USG, TIFFA, Foetal Echo, Penile Doppler, Trus, USG Guided FNAC, Guided Aspiration), CT (Basic,Chest/Abdomen/Neck,3DCT, CT Angiography), MRI (Basic,MSK studies-Knee/Shoulder, Foeta MR, MRI MRCP/Abdomen/Liver), Special Procedures (IVP,RGU,MCUG, Barium Swallow, Barium Enema, HSG)</t>
  </si>
  <si>
    <t>ranjuk999@gmail.com</t>
  </si>
  <si>
    <t>D1118529</t>
  </si>
  <si>
    <t>Dr.Shaik Ismail</t>
  </si>
  <si>
    <t>Manchieral-105</t>
  </si>
  <si>
    <t>Basic USG, Tiffa,  MSK, Penile Dopplers, Guided Procedures, Basic CT, Basic MRI,  X Ray, Mammography, IVP, RGU, MCGU, Barium Swallow, Barium Anema, HSG</t>
  </si>
  <si>
    <t>Dr. NTR University</t>
  </si>
  <si>
    <t>shaikismail3675@gmail.com</t>
  </si>
  <si>
    <t>D1120526</t>
  </si>
  <si>
    <t>Dr.Fathimunisa Begum</t>
  </si>
  <si>
    <t>Dwarakanagar - 6</t>
  </si>
  <si>
    <t>X-Ray (Plain Radiography-Basic,Advanced,Mammography), USG(Basic,Doppler Studies,Thyroid/Scrotum USG, Breast USG, TIFFA,USG Guided FNAC, USG Guided Trucut Biopsy,USG Guided Aspiration, Breast Biopsy), CT (Basic,Chest/Abdomen/Neck,3DCT, CT Angiography), Special Procedures (IVP,RGU,MCUG, Barium Swallow, Barium Enema, HSG)</t>
  </si>
  <si>
    <t>Great Eastern Medical School and Hospital</t>
  </si>
  <si>
    <t>fathima.786.fatty@gmail.com</t>
  </si>
  <si>
    <t>D1109918</t>
  </si>
  <si>
    <t>Dr.Nalla Jagadeesh Babu</t>
  </si>
  <si>
    <t>X-Ray (Plain Radiography-Basic,Advanced), USG(Basic, Doppler Studies,Thyroid/Scrotum USG, Breast USG,TIFFA,MSK USG,USG Guided FNAC, USG Guided Aspiration), CT (Basic, Chest/Abdomen/Neck,3DCT,CT Angiography),MRI(Basic), Special Procedures (IVP,RGU,MCUG, Barium Swallow, Barium Enema, HSG)</t>
  </si>
  <si>
    <t>Kakatiya University</t>
  </si>
  <si>
    <t>nalla.jagadeeshbabu9@gmail.com</t>
  </si>
  <si>
    <t>D1120743</t>
  </si>
  <si>
    <t>Dr.Subhadip Saha</t>
  </si>
  <si>
    <t>X-Ray (Plain Radiography-Basic,Advanced,Mammography), USG(Basic,Doppler Studies,Thyroid/Scrotum USG, Breast USG, TIFFA, Foetal Echo, MSK USG, Penile Doppler, TRUS,USG Guided FNAC, USG Guided Trucut Biopsy,USG Guided Aspiration), CT (Basic,Chest/Abdomen/Neck,3DCT, CT Angiography,coronry CT), MRI ( Basic, MSK studies-Knee/Shoulder, MSK studies-wrist/Ankle,cardiac MR,Foetal MR, MRI MRCP/ Abdomen/ Liver, MR prostate/Rectum, MR Neurography, MR cartigram, MRI Breast, MRI TM Joints, MRI Enterography).</t>
  </si>
  <si>
    <t>Nil Ratan Sircar Medical College, Kolkata</t>
  </si>
  <si>
    <t>IPGME&amp;R and SSKM Hospital, Kolkata</t>
  </si>
  <si>
    <t>subhadip.soumya135@gmail.com</t>
  </si>
  <si>
    <t>D1120758</t>
  </si>
  <si>
    <t>Dr.Kasturi Das</t>
  </si>
  <si>
    <t>3 ( Monday Tuesday &amp; Wednesday )</t>
  </si>
  <si>
    <t>CT, MRI Reporting</t>
  </si>
  <si>
    <t>R G Kar Medical College, Calcutta</t>
  </si>
  <si>
    <t>BJMC - Ahmedabad</t>
  </si>
  <si>
    <t>dr.drkas@gmail.com</t>
  </si>
  <si>
    <t>D1117121</t>
  </si>
  <si>
    <t>Dr.Sarika Ganganna Bolenwar</t>
  </si>
  <si>
    <t>Basic USG, MSK, Basic CT, All Angios, CT Enteroclysis, Basic MRI, MR Perfusion, Xray, Mammography, IVP, RGU, MCGU, Barium Swallow, Barium Enema, HSG</t>
  </si>
  <si>
    <t>Government Medical College, Nanded, Maharashtra</t>
  </si>
  <si>
    <t xml:space="preserve">KEM Hospital, Mumbai </t>
  </si>
  <si>
    <t>sarika1ved@gmail.com</t>
  </si>
  <si>
    <t>D1121412</t>
  </si>
  <si>
    <t>Dr.Udit Kumar</t>
  </si>
  <si>
    <t>X-Ray,CT(Screening, Angios, Brain &amp; NPS), MRI Screening , Brain &amp; Spine</t>
  </si>
  <si>
    <t>Agartala Govt Medical College Agartala, Tripura</t>
  </si>
  <si>
    <t>NH Rabindranath Tagore Institute of Cardiac Sciences, Kolakat</t>
  </si>
  <si>
    <t>uditkumr@gmail.com</t>
  </si>
  <si>
    <t>D1120756</t>
  </si>
  <si>
    <t>Dr.Rahul</t>
  </si>
  <si>
    <t>X-Ray (Plain Radiography-Basic,Advanced), Mammography, USG(Basic, Doppler Studies,Thyroid/Scrotum USG, Breast USG,TIFFA,  Foetal ECHO, MSK USG, TRUS, USG Guided FNAC, USG guided trucut biopsy, USG Guided Aspirations, Breast Biopsy, TRUS guided biopsy), CT (Basic, Chest/Abdomen,3DCT,CT Angiography, Coronary CT, CT Guided Biopsy), MRI(Basic, MSk Studies- Knee/Shoulder,Foetal MR, MR Neurography), Special Procedures (RGU,MCUG, Barium Swallow, Barium Enema, HSG)</t>
  </si>
  <si>
    <t>Bangalore Medical college and research Institute</t>
  </si>
  <si>
    <t>University College of Medical sciences</t>
  </si>
  <si>
    <t>rahul.bellichukki@gmail.com</t>
  </si>
  <si>
    <t>D1120761</t>
  </si>
  <si>
    <t>Dr.Vummaneni Latha Mounika</t>
  </si>
  <si>
    <t>Ongole-154</t>
  </si>
  <si>
    <t>X-Ray (Plain Radiography-Basic,Advanced), USG(Basic, Doppler Studies,Thyroid/Scrotum USG, Breast USG,TIFFA,  Foetal ECHO), CT (Basic, Chest/Abdomen/Neck)</t>
  </si>
  <si>
    <t>vlmounika95@gmail.com</t>
  </si>
  <si>
    <t>V1101768</t>
  </si>
  <si>
    <t>Dr.Prathik Chada</t>
  </si>
  <si>
    <t>Motinagar - 19</t>
  </si>
  <si>
    <t>X-Ray (Plain Radiography-Basic,Advanced), Mammography, USG(Basic, Doppler Studies,Thyroid/Scrotum USG, Breast USG,TIFFA, MSK USG, Penile Doppler, USG Guided FNAC, USG guided Aspiration), Special Procedures (RGU,MCUG, Barium Swallow, Barium Enema, HSG)</t>
  </si>
  <si>
    <t>Bhaskar Medical College</t>
  </si>
  <si>
    <t>Vydehi Medical College</t>
  </si>
  <si>
    <t>prathikcreddy@gmail.com</t>
  </si>
  <si>
    <t>D1121410</t>
  </si>
  <si>
    <t>Dr.Taniya Barla</t>
  </si>
  <si>
    <t>St.John's Medical College, Bangalore</t>
  </si>
  <si>
    <t>Government Medical College, Nagpur</t>
  </si>
  <si>
    <t>writetotania@gmail.com</t>
  </si>
  <si>
    <t>D1120953</t>
  </si>
  <si>
    <t>Dr.D Umashankar</t>
  </si>
  <si>
    <t>YELAHANKA-172</t>
  </si>
  <si>
    <t>Kasturba Medical College</t>
  </si>
  <si>
    <t>Government Medical College, Mysore</t>
  </si>
  <si>
    <t>drumashankar@gmail.com</t>
  </si>
  <si>
    <t>D1121009</t>
  </si>
  <si>
    <t>Dr.Padmanabula Priyanka Chowdhary</t>
  </si>
  <si>
    <t>X-Ray (Plain Radiography-Basic,advanced,lower limb scanogram, whole spine X-ray), Mammography, USG(Basic, Doppler Studies,Thyroid/Scrotum USG,Breast USG, TIFFA, Foetal Echo,MSK USG, USG Guided FNAC, USG Guided Truct biopsy, USG guided Aspiration, Breast Biopsy), CT (Basic, Chest/Abdomen,3DCT), Special Procedures (IVP,RGU,MCUG, Barium Swallow, Barium Enema, HSG)</t>
  </si>
  <si>
    <t>Siddhartha Government Medical College</t>
  </si>
  <si>
    <t>priyankaradiology@gmail.com</t>
  </si>
  <si>
    <t>D1121007</t>
  </si>
  <si>
    <t>Dr.Pingali Yashwanth Kumar</t>
  </si>
  <si>
    <t>BN Reddy Nagar- 110</t>
  </si>
  <si>
    <t>X-Ray (Plain Radiography-Basic,advanced), Mammography, USG(Basic, Doppler Studies,Thyroid/Scrotum USG, TIFFA,USG Guided FNAC, USG Guided Truct biopsy, USG guided Aspiration, Breast Biopsy, TRUS Guided biopsy), CT (Basic, Chest/Abdomen,3DCT,CT Angiography, Ct Guided Biopsy), MRI( Basic), Special Procedures (IVP,RGU,MCUG, Barium Swallow, Barium Enema, HSG)</t>
  </si>
  <si>
    <t>Chalmeda Anand Rao Medical College</t>
  </si>
  <si>
    <t>pingali.yashu@gmail.com</t>
  </si>
  <si>
    <t>D1121019</t>
  </si>
  <si>
    <t>Dr.Danda Sai Ratna Deepika</t>
  </si>
  <si>
    <t>Manikonda - 59</t>
  </si>
  <si>
    <t>X-Ray( Plain Radiography-Basic, Plain Radiography-Advanced, Mammography), Usg(Basic, Doppler Studies, Thyroid/Scrotum USG, Breast USG, TIFFA,USG Guided FNAC, USG Guided  Truct Biopsy, USG Guided Aspiration, Btreast Biopsy), CT ( Basic, Chest/Abdomen), Special Procedures (IVP, RGU, MCUG, Barium Swallow, Barium Enema, HSG)</t>
  </si>
  <si>
    <t>deepikakrishna18@gmail.com</t>
  </si>
  <si>
    <t>D1121366</t>
  </si>
  <si>
    <t>Dr.Sanvelly Sushmitha Reddy</t>
  </si>
  <si>
    <t>X-Ray( Plain Radiography-Basic, Plain Radiography-Advanced, Mammography), Usg(Basic, Doppler Studies, Thyroid/Scrotum USG, Breast USG, TIFFA,USG Guided FNAC,USG Guided Aspiration), CT ( Basic, Chest/Abdomen/Neck, 3DCT, CT Angiography), MRI(Basic), Special Procedures (IVP, RGU, MCUG, Barium Swallow, Barium Enema, HSG)</t>
  </si>
  <si>
    <t>Kamineni Academy of Medical Sciences &amp; Research centre</t>
  </si>
  <si>
    <t>Malla Reddy Medical College for Women</t>
  </si>
  <si>
    <t>reddysushmitha598@gmail.com</t>
  </si>
  <si>
    <t>D1116922</t>
  </si>
  <si>
    <t>Dr.Keerthipati Swarupa Rani</t>
  </si>
  <si>
    <t>Santosh Nagar-15</t>
  </si>
  <si>
    <t>X-Ray( Plain Radiography-Basic, Plain Radiography-Advanced, Lower Limb Scanogram, Whole Spine X-Ray, Mammography), Usg(Basic, Doppler Studies, Thyroid/Scrotum USG, Breast USG, TIFFA, MSK USG,USG Guided FNAC,USG Guided Aspiration), CT ( Basic, Chest/Abdomen/Neck, 3DCT, CT Angiography), MRI(Basic), Special Procedures (IVP, RGU, MCUG, Barium Swallow, Barium Enema, HSG)</t>
  </si>
  <si>
    <t>Great Eastern Medical school and Hospital</t>
  </si>
  <si>
    <t>swaru.keerthipati@gmail.com</t>
  </si>
  <si>
    <t>V1101671</t>
  </si>
  <si>
    <t>Dr.Masuk Praveen Kumar</t>
  </si>
  <si>
    <t>Vaidehi Nagar- 111</t>
  </si>
  <si>
    <t>Basic USG, Tiffa, Fetal Echo, MSK, Penile Dopplers, TRUS, Guided Procedures, Basic CT, All Angios, Basic MRI,  X Ray, Plain Radiography, Mammography, IVP, RGU, MCGU, Barium Swallow, Barium Anema, HSG</t>
  </si>
  <si>
    <t>Mamata Medical College, Khammam</t>
  </si>
  <si>
    <t>Kakatiya Medical College, Warangal</t>
  </si>
  <si>
    <t>masukupraveenkumar@gmail.com</t>
  </si>
  <si>
    <t>D1121364</t>
  </si>
  <si>
    <t>Dr.Banala Niharika</t>
  </si>
  <si>
    <t>Attapur - 34</t>
  </si>
  <si>
    <t>X-Ray( Plain Radiography-Basic, Plain Radiography-Advanced), Usg(Basic, Doppler Studies, Thyroid/Scrotum USG, Breast USG, TIFFA,MSK USG, USG Guided FNAC), CT ( Basic)</t>
  </si>
  <si>
    <t>Santhiram Medical College</t>
  </si>
  <si>
    <t>Bhaskar Medical College and general hospital</t>
  </si>
  <si>
    <t>ufindniha@gmail.com</t>
  </si>
  <si>
    <t>D1121365</t>
  </si>
  <si>
    <t>Dr.Yatham Sai Tejaswini</t>
  </si>
  <si>
    <t>Shaikpet-127</t>
  </si>
  <si>
    <t>X-Ray( Plain Radiography-Basic, Plain Radiography-Advanced, Mammography), Usg(Basic, Doppler Studies, Thyroid/Scrotum USG, Breast USG, TIFFA, MSK USG), CT ( Basic, Chest/Abdomen/Neck, 3DCT) MRI(Basic), Special Procedures (IVP, RGU, MCUG, Barium Swallow, Barium Enema, HSG)</t>
  </si>
  <si>
    <t xml:space="preserve">Sri Siddhartha Medical College </t>
  </si>
  <si>
    <t>Katuri Medical College</t>
  </si>
  <si>
    <t>saii7891@gmail.com</t>
  </si>
  <si>
    <t>D1121408</t>
  </si>
  <si>
    <t>Dr.Manoj Muralidharan</t>
  </si>
  <si>
    <t>Indira Gandhi Medical College and resesrch Institute</t>
  </si>
  <si>
    <t>PGIMER, Chandigarh</t>
  </si>
  <si>
    <t>6283308240/7598707974</t>
  </si>
  <si>
    <t>mmmnj7@gmail.com</t>
  </si>
  <si>
    <t>D1121371</t>
  </si>
  <si>
    <t>Dr.P Saiprasannakumar</t>
  </si>
  <si>
    <t>Tirupathi-333</t>
  </si>
  <si>
    <t>X-Ray (Palim Radiography-Basic,Advanced,Lower Limb Scanogram, Whole Spine X-Ray), USG(Basic,Doppler Studies,Thyroid / Scrotum USG, Breast USG,Tiffa, MSK USG, Penile doppler, TRUS, USG Guided FNAC, USG Guided Truct Biopsy, USG Guided Aspiration, Breast Biopsy), CT (Basic, Chest/Abdomen/Neck, 3DCT, CT Angiography, Virtual Bronchoscopy, CT Guided Biopsy), MRI (Basic, MSK Studies-Knee, MRI MRCP/Abdomen/Liver), Special Procedures ( IVP, RGU, MCUG, Barium Swallow, Barium Enema, HSG)</t>
  </si>
  <si>
    <t>Government Medical College, Anantapur</t>
  </si>
  <si>
    <t xml:space="preserve">saiprasannakumar29@gmail.com </t>
  </si>
  <si>
    <t>D1121390</t>
  </si>
  <si>
    <t>Dr.Mayukh Bhattacharya</t>
  </si>
  <si>
    <t>University of Calcutta</t>
  </si>
  <si>
    <t>University of Sambalpur</t>
  </si>
  <si>
    <t>docmayukh@gmail.com</t>
  </si>
  <si>
    <t>D1121394</t>
  </si>
  <si>
    <t>Dr.Gobinda Pramanick</t>
  </si>
  <si>
    <t>X-Ray Single and Both Views, HSG, CT (All cases), MRI (Regular&amp;abdomen), MRI Screening</t>
  </si>
  <si>
    <t>AIIMS, New Delhi</t>
  </si>
  <si>
    <t>MBBS, MD Radio diagnosis,DM Neuroradiology</t>
  </si>
  <si>
    <t>gobindapramanick@gmail.com</t>
  </si>
  <si>
    <t>D1114203</t>
  </si>
  <si>
    <t>Dr.Lokesh Kukatla HUF</t>
  </si>
  <si>
    <t>X-Ray (Single,Both HSG), CT(All Cases), MRI (Regular, Abdomen,Screening)</t>
  </si>
  <si>
    <t>Medical College Baroda, SSG Hospital</t>
  </si>
  <si>
    <t>l.kukatla@gmail.com</t>
  </si>
  <si>
    <t>D1121406</t>
  </si>
  <si>
    <t>Dr.Bangalore Santhyanarayana Murthy Naveen</t>
  </si>
  <si>
    <t>Banglore Medical College</t>
  </si>
  <si>
    <t>navbsrad@gmail.com</t>
  </si>
  <si>
    <t>D1121395</t>
  </si>
  <si>
    <t>Dr.BVNK Jyothi Pavan</t>
  </si>
  <si>
    <t>Seethammadhra-132</t>
  </si>
  <si>
    <t>X-Ray, USG, Doppler/FNAC/TIFFA/Guided Procedures, MRI (Brain &amp; Spine), MRI(Others), MRI Screening, CT(Brain &amp; PNS), CT(Angios).</t>
  </si>
  <si>
    <t>Rangaraya Medical College</t>
  </si>
  <si>
    <t>Maharajas Institute of Medical Sciences</t>
  </si>
  <si>
    <t>dr.pavan1088@gmail.com</t>
  </si>
  <si>
    <t>D1122474</t>
  </si>
  <si>
    <t>Dr.Rahul Sarkar</t>
  </si>
  <si>
    <t>1 (Only Tue)</t>
  </si>
  <si>
    <t>12:00:00</t>
  </si>
  <si>
    <t>Krishnanagar-Kol-156</t>
  </si>
  <si>
    <t>X-Ray (Plain Radiography - Basic, Advanced), Whole Spine X-Ray, Mammography, USG (Basic, Doppler Studies, Thyroid/ Scrotum USG, Breast USG, TIFFA, MSK USG, TRUS, USG Guided FNAC, USG Guided Trucut Biopsy, USG Guided Aspiration, Breast Biopsy), CT (Basic, Chest/Abdomen /Neck, 3DCT, CT Angiography only basic), MRI( Basic, MSK Studies- Knee/Shoulder, MSK Studies-Wrist/Ankle,MRI MRCP /Abdomen/Liver,MR Prostate/Rectum, MRI Breast, MRI TM Joints), Special Procedures (HSG)</t>
  </si>
  <si>
    <t>West Bengal University of Health Sciences</t>
  </si>
  <si>
    <t>rahulandradiology@gmail.com</t>
  </si>
  <si>
    <t>D1119313</t>
  </si>
  <si>
    <t>Dr.Mummadi Swathi</t>
  </si>
  <si>
    <t>Nizampet - 46</t>
  </si>
  <si>
    <t>Basic USG, Guided Procedures, Basic CT, X Ray, Plain Radiology, IVP, RGU, MCGU, Barium Swallow, Barium Anema, HSG</t>
  </si>
  <si>
    <t>NTR University of Health and Science</t>
  </si>
  <si>
    <t>drswathi03@gmail.com</t>
  </si>
  <si>
    <t>D1121717</t>
  </si>
  <si>
    <t>Dr.Rahul Chauhan</t>
  </si>
  <si>
    <t>X-Ray,CT(Screening, Angios, Brain &amp; NPS), MRI Screening and all parts</t>
  </si>
  <si>
    <t>PT.BD Sharma PGIMS Rohtak Haryana</t>
  </si>
  <si>
    <t>Gandhi Medical College, Bhopal</t>
  </si>
  <si>
    <t>rahul.radiologist@gmail.com</t>
  </si>
  <si>
    <t>D1121715</t>
  </si>
  <si>
    <t>Dr.Chaudhari Rohini P</t>
  </si>
  <si>
    <t>Govt Medical College and Hospital, Aurangabad</t>
  </si>
  <si>
    <t>rohinichaudhari.1@gmail.com</t>
  </si>
  <si>
    <t>D1121556</t>
  </si>
  <si>
    <t>Dr.Srinivasa Rao Guddanti</t>
  </si>
  <si>
    <t>Kharkhana - 35</t>
  </si>
  <si>
    <t xml:space="preserve">X-Ray (Plain Radiography-Basic,Advanced), USG (Basic,Doppler Studies, Thyroid /Scrotum USG), Special Procedures (IVP, RGU, MCUG, Barium Swallow Barium Enema, HSG) </t>
  </si>
  <si>
    <t>guddanti60@hotmail.com</t>
  </si>
  <si>
    <t>D1121548</t>
  </si>
  <si>
    <t>Dr.Nunna Anusha</t>
  </si>
  <si>
    <t>GEMS Medical College and Hospital, Srikakulam</t>
  </si>
  <si>
    <t>meheranusha1644@gmail.com</t>
  </si>
  <si>
    <t>D1122617</t>
  </si>
  <si>
    <t>Dr.Puligunta Pooja Nikhitha</t>
  </si>
  <si>
    <t>X-Ray(Plain Radiography - Basic, Advanced), Mammography, CT(Basic, Chest/Abdomen/Neck, 3DCT, CT Angiography), MRI(Basic, MSK Studies - Knee/Shoulder, MRI MRCP/Abdomen/Liver)</t>
  </si>
  <si>
    <t>GSL Medical College and General hospital</t>
  </si>
  <si>
    <t>Poojanikhitha2595@gmail.com</t>
  </si>
  <si>
    <t>D1121553</t>
  </si>
  <si>
    <t>Dr.Pooja Venavi Papireddy</t>
  </si>
  <si>
    <t>Ramji Nagar - 106</t>
  </si>
  <si>
    <t>X-Ray(Plain Radiography-Basic,Advanced), Mammography, USG (Basic, Doppler Studies, Thyroid/scrotum USG, Breast USG, TIFFA, MSK USG,  USG Guided FNAC, USG Guided Trucut Biopsy, USG Guided Aspiration, Breast biopsy) CT(Basic, Chest/Abdomen/Neck, 3DCT, CT Angiography, Coronary CT, CT Guided Biopsy) MRI(Basic, MSK Studies-Knee/Shoulder &amp; Wrist/Ankle,MR Perfusion, MRI Prostate/Rectum, MR Cartigram, MRI Enterography, MRI MRCP/Abdomen/Liver) Special Procedures (IVP,RGU,MCUG, Barium Swallow, Barium Enema,HSG)</t>
  </si>
  <si>
    <t>Sri Venkateswara Institute of Medical Sciences</t>
  </si>
  <si>
    <t>9247283595 / 9110545740</t>
  </si>
  <si>
    <t>poojavenavi@gmail.com</t>
  </si>
  <si>
    <t>D1121552</t>
  </si>
  <si>
    <t>Dr.Musuku Madhuri</t>
  </si>
  <si>
    <t>Nallagandla - 84</t>
  </si>
  <si>
    <t>X-Ray(Plain Radiography-Basic,Advanced), Mammography, USG (Basic, Doppler Studies, Thyroid/scrotum USG, Breast USG, TIFFA, USG Guided FNAC,USG Guided Aspiration), Special Procedures (HSG)</t>
  </si>
  <si>
    <t>madhumadhuri0707@gmail.com</t>
  </si>
  <si>
    <t>V1101528</t>
  </si>
  <si>
    <t>Dr.Rohit Chauhan</t>
  </si>
  <si>
    <t>Bandlaguda-60</t>
  </si>
  <si>
    <t>X-Ray(Plain Radiography-Basic,Advanced), Mammography, USG (Basic, Doppler Studies, Thyroid/Scrotum USG, Breast USG, TIFFA, MSK USG, TRUs, USG Guided FNAC, USG Guided Aspiration, Ct (Basic, Chest/Abdomen/Neck, 3DCT, CT Angiography, Coronary CT), MRI (Basic, MSK Studies- Knee/ Shoulder), Special Procedures (IVP,RGU,MCUG,Barium Swallow, Barium Enema, HSG)</t>
  </si>
  <si>
    <t>Sri Manakula Vinayagar Medical College and Hospital</t>
  </si>
  <si>
    <t>rc3440@gmail.com</t>
  </si>
  <si>
    <t>D1121738</t>
  </si>
  <si>
    <t>Dr.Gajjala Sabatina</t>
  </si>
  <si>
    <t>Tolichowki - 23</t>
  </si>
  <si>
    <t>X-Ray (Plain Radiography, Mammography), USG (Basic, TIFFA, MSK, Doppler, Guided procedures), CT(Basic), MRI (Basic), Special Procedures (IVP, RGU, MCUG, Barium Swallow, Barium Enema, HSG)</t>
  </si>
  <si>
    <t>Rajiv Gandhi University of Health Sciences, Bangalore</t>
  </si>
  <si>
    <t>Mahatma Gandhi Missions Medical College, Aurangabad</t>
  </si>
  <si>
    <t>sabatinagajjala@gmail.com</t>
  </si>
  <si>
    <t>D1121739</t>
  </si>
  <si>
    <t>Dr.L Madhavilatha</t>
  </si>
  <si>
    <t>Sujathanagar-138</t>
  </si>
  <si>
    <t>X-Ray ( Plain Radiography - Basic, Advanced), Mammography, USG ( Basic, Doppler Studies, Thyroid/Scrotum USG, Breast USG, TIFFA, USG Guided FNAC,USG Guided Aspiration), CT ( Basic, Chest/Abdomen/Neck, 3DCT, CT Angiography), MRI ( Basic, MSK Studies-Knee/Shoulder, MRI MRCP / Abdomen / Liver), Special Procedures (IVP, RGU, MCUG, Barium Swallow, Barium Enema, HSG)</t>
  </si>
  <si>
    <t>madhu1481994@gmail.com</t>
  </si>
  <si>
    <t>Alluri Sitarama Raju Academy of Medical Sciences</t>
  </si>
  <si>
    <t>D1121852</t>
  </si>
  <si>
    <t>Dr.Varun Hansaria</t>
  </si>
  <si>
    <t>RD Gardi Medical College and Hospital</t>
  </si>
  <si>
    <t>varunhansaria@live.com</t>
  </si>
  <si>
    <t>D1121867</t>
  </si>
  <si>
    <t>Dr.Saini Sucharitha</t>
  </si>
  <si>
    <t>Karmanghat - 68</t>
  </si>
  <si>
    <t>X-Ray (Plain Radiography- Basic, Advanced, Lower Limb Scanogram, Whole Spine X- Ray, Mammography), USG (Basic, Doppler Studies, Thyroid/Scrotum USG, Breast USG, TIFFA, Foetal Echo, MSk USG, USG Guided FNAC, USG Guided Aspiration, CT( Basic, Chest/Abdomen/Neck, 3 DCT, CT Angiography), Special Procedures (IVP, RGU, MCUG, Barium swallow, Barium Enema, HSG)</t>
  </si>
  <si>
    <t>Mallareddy Institute of Medical Sciences</t>
  </si>
  <si>
    <t>Chalmeda Anandrao Institute of Medical Sciences</t>
  </si>
  <si>
    <t>sainisucharitha@gmail.com</t>
  </si>
  <si>
    <t>D1121870</t>
  </si>
  <si>
    <t>Dr.Ashish Vijay</t>
  </si>
  <si>
    <t>Gurgaon - 54</t>
  </si>
  <si>
    <t>X-Ray(Plain Radiography-Basic, advanced) USG (Basic, Doppler Studies, Thyroid/Scrotum USG, Breast USG, TIFFA, USG Guided FNAC) CT (Basic, Chest/Abdomen/ Neck) Special Procedures (IVP, RGU, MCUG, Barium Swallow, Barium Enema, HSG)</t>
  </si>
  <si>
    <t>Shri Rtam Murti Smarak Institute of Medical Sciences, Bareilly</t>
  </si>
  <si>
    <t>Index Medical College Hospital and Research Centre</t>
  </si>
  <si>
    <t>7838242849 / 7223075467</t>
  </si>
  <si>
    <t>vijayashish23@gmail.com</t>
  </si>
  <si>
    <t>V1101568</t>
  </si>
  <si>
    <t>Dr.Anusha Vemireddy</t>
  </si>
  <si>
    <t>Basic USG, Dopplers, Basic CT, Xray, Mammography, IVP, RGU, MCGU, Barium swallow, Barium Enema, HSG</t>
  </si>
  <si>
    <t>Kamineni Institute of Medical Science Narketpally</t>
  </si>
  <si>
    <t>Prathima Institute of Medical Sciences, Karimnagar</t>
  </si>
  <si>
    <t>anushavemireddy44@gmail.com</t>
  </si>
  <si>
    <t>V1101619</t>
  </si>
  <si>
    <t>Dr.Mounika K</t>
  </si>
  <si>
    <t>Musheerbad - 36</t>
  </si>
  <si>
    <t>USG (Basic), CT (Basic), X-Ray (Plain Radiography, Mammography), Special Procedures (IVP, RGU, MCGU, Barium Swallow, Barium Enema, HSG)</t>
  </si>
  <si>
    <t>mouni.kadipikonda@gmail.com</t>
  </si>
  <si>
    <t>D1122031</t>
  </si>
  <si>
    <t>Dr.Mallam Sumanjali</t>
  </si>
  <si>
    <t>X-Ray(Plain Radiography-Basic,Advanced,Mammography), USG (Basic, Doppler Studies, Thyroid/Scrotum USG, Breast USG, TIFFA, Foetal Echo, MSK USG, USG Guided FNAC, USG Trucut Biopsy, USG Guided Aspiration, Breast Biopsy) CT (Basic, Chest/Abdomen/Neck, 3DCT, CT Angiography, Virtual Bronchoscopy), MRI(Basic, MSK Studies-Knee/Shoulder, MSK Studies-Wrist/Ankle, MRI MRCP/Abdomen/Liver, MRI Breast), Special Procedures (IVP,RGU, MCUG, Barium Swallow, Barium Enema, HSG)</t>
  </si>
  <si>
    <t>Sri Venkateshwara Medical College</t>
  </si>
  <si>
    <t>sumamallam@gmail.com</t>
  </si>
  <si>
    <t>D1122028</t>
  </si>
  <si>
    <t>Dr.Maddi Rithvik Reddy</t>
  </si>
  <si>
    <t>Boduppal - 45</t>
  </si>
  <si>
    <t>X-Ray(Plain Radiography-Basic, Advanced, Mammography), USG( Basic, Doppler Studies, Thyroid/Scrotum USG, Breast USG, TIFFA, MSK USG, USG Guided FNAC, USG Guided aspiration), CT (Basic), Special Procedures (IVP, RGU, MCUG, Barium Swallow, Barium Enema, HSG)</t>
  </si>
  <si>
    <t>rithvik.pm@gmail.com</t>
  </si>
  <si>
    <t>V1101838</t>
  </si>
  <si>
    <t>Dr.Arun Kumar Sirangi</t>
  </si>
  <si>
    <t>X-Ray,CT,MRI</t>
  </si>
  <si>
    <t>Krishna Institute of Medical Sciences</t>
  </si>
  <si>
    <t>sarun_05@yahoo.com</t>
  </si>
  <si>
    <t>D1122271</t>
  </si>
  <si>
    <t>Dr.Gopidi Sainidhi Reddy</t>
  </si>
  <si>
    <t>Mehdipatnam - 8</t>
  </si>
  <si>
    <t>X-Ray (Plain Radiography- Basic, advanced, Mammography), USG (Basic, Doppler studies, Thyroid/Scrotum USG, Breast USG, TIFFA, MSK USG, USG Guided FNAC, USG Guided Aspiration), CT (Bsic, Chest/Abdomen, 3DCT), Special Procedures (RGU, MCUG)</t>
  </si>
  <si>
    <t>Datta Meghe College of Higher Education</t>
  </si>
  <si>
    <t>nidhireddy51@gmail.com</t>
  </si>
  <si>
    <t>D1122171</t>
  </si>
  <si>
    <t>Dr.Greeshma Gogi Reddy</t>
  </si>
  <si>
    <t>Balapur - 63</t>
  </si>
  <si>
    <t>X-Ray (Plain Radiography-Basic, Advanced), USG (Basic, Doppler Studies, Thyroid / Scrotum USG, Breast USG, TIFFA, MSK USG, USG Guided FNAC, USG Guided Aspiration), Special Procedures (RGU, MCUG, Barium Swallow, Barium Enema, HSG)</t>
  </si>
  <si>
    <t>Zaporozhye State Medical University</t>
  </si>
  <si>
    <t>Navodaya Medical College and Hospital</t>
  </si>
  <si>
    <t>greeshmagogireddy@gmail.com</t>
  </si>
  <si>
    <t>D1122278</t>
  </si>
  <si>
    <t>Dr.Subhasish Goswami</t>
  </si>
  <si>
    <t>X-Ray(Plain Radiography-Basic, Advanced, Mammography), USG(Basic, Doppler Studies, Thyroid/Scrotum USG, Breast USG, TIFFA, Penile Doppler, TRUS,USG Guided FNAC, USG Guided Aspiration), CT(Basic, Chest/Abdomen/Neck, 3DCT, CT Angiography, Virtual Bronchoscopy), MRI( MSK Studies-Knee/Shoulder), Special Procedures (IVP, RGU, MCUG, Barium Swallow, Barium Enema, HSG)</t>
  </si>
  <si>
    <t>Calcutta Medical College</t>
  </si>
  <si>
    <t>IPGMER &amp; SSKM Hospital, Calcutta</t>
  </si>
  <si>
    <t>Subhasisdr@gmail.com</t>
  </si>
  <si>
    <t>D1122181</t>
  </si>
  <si>
    <t>Dr.Bujala Namratha Reddy</t>
  </si>
  <si>
    <t>X-Ray( Plain Radiography -Basic, Advanced, Mammography), USG (Basic, Doppler Studies, Thyroid/Scrotum USG, Breast USG, TIFFA, MSK USG, USG Guided FNAC, USG Guided Aspiration, CT (Basic), Special Procedures (IVP,RGU,MCUG, Barium Swallow, Barium Enema, HSG)</t>
  </si>
  <si>
    <t>Kamineni Academy of Medical Sciences &amp; Research Centre, Hyderabad</t>
  </si>
  <si>
    <t>bujalanamratha.reddy08@gmail.com</t>
  </si>
  <si>
    <t>D1122276</t>
  </si>
  <si>
    <t>Dr.Puli Venkata Harshitha</t>
  </si>
  <si>
    <t>X-Ray(Plain Radiography- Basic,Advanced), CT(Basic, Chest/Abdomen/Neck, 3DCT, CT Angigraphy, Virtual Bronchoscopy), MRI(Basic, MSK Studies-Knee/Shoulder, MSK Studies-Wrist/Ankle, MR Perfusion, MRI MRCP/Abdomen/Liver, MR Prostate/Rectum, MRI Breast, MRI Enterography), Special Procedures (IVP, RGU, MCUG, Barium Swallow, Barium Enema, HSG)</t>
  </si>
  <si>
    <t>8008684457 / 8639230737</t>
  </si>
  <si>
    <t>honey.pvh@gmail.com</t>
  </si>
  <si>
    <t>D1122283</t>
  </si>
  <si>
    <t>Dr.Nagesh</t>
  </si>
  <si>
    <t>X-Ray (Plain Radiobgraphy - Basic, Advanced, Mammography), USG (Basic,Dopller Studies, Thyroid Scrotum/USG, Breast USG, MSK USG, Penile Doppler, USG Guided FNAC, USG Trucut Biopsy, USG Guided Aspiration, Breast Biopsy), CT (Basic, Chest/Abdomen/Neck, 3DCT,CT Angiography, CT Guided Biopsy), MRI( Basic, MSK Studies- Knee/Shoulder, MSK Studies-Wrist/Ankle, MRI MRCP / Abdomen/Liver, MR Prostate/ Rectum, MRI Breast, MRI TM Joints, MRI Enterography, MRI Cochlear implant protocal)</t>
  </si>
  <si>
    <t>Bangalore Medical College and Research Institute</t>
  </si>
  <si>
    <t>drnagesh2to2@gmail.com</t>
  </si>
  <si>
    <t>D1122175</t>
  </si>
  <si>
    <t>Dr.Tumma Sahrud Reddy</t>
  </si>
  <si>
    <t>MSK Radiology - Fellowship</t>
  </si>
  <si>
    <t>Fellowship</t>
  </si>
  <si>
    <t>sahrud_reddy@yahoo.com</t>
  </si>
  <si>
    <t>D1122178</t>
  </si>
  <si>
    <t>Dr.Sripathi Sameekha Reddy</t>
  </si>
  <si>
    <t>Old Bowenpally - 93</t>
  </si>
  <si>
    <t>X-Ray (Plain Radiography - Basic, Advanced, Mammography), USG (Basic,Doppler Studies, Thyroid/Scrotum USG, Breast USG, TIFFA, MSK USG, USG Guided FNAC, USG Guided Aspiration), CT (Basic), Special Procedures (IVP, RGU, MCUG, Barium Swallow, Barium Enema, HSG)</t>
  </si>
  <si>
    <t>Sri Venkata Sai Medical College and Hospital</t>
  </si>
  <si>
    <t>sameekshareddy14230@gmail.com</t>
  </si>
  <si>
    <t>D1112021</t>
  </si>
  <si>
    <t>Dr.Fasiqur Rehman Mohd</t>
  </si>
  <si>
    <t>X-Ray(Plain Radiography-Basic, Advanced, Mammography), USG(Basic, Doppler Studies, Thyroid/Scrotum USG, Breast USG, TIFFA, MSK USG, USG Guided FNAC, USG Guided aspiration), CT(Basic, Chest/Abdomen/Neck, 3DCT, CT Angiography),  MRI (Basic, MRI MRCP/Abdomen/Liver, MR Prostate/Rectum), Special Procedures (IVP, RGU, MCUG, Barium Swallow, Barium Enema, HSG)</t>
  </si>
  <si>
    <t>Deccan College of Medical Sciences</t>
  </si>
  <si>
    <t>MBBS,DMRD, MD Radio diagnosis</t>
  </si>
  <si>
    <t>drfasirehman2005@gmail.com</t>
  </si>
  <si>
    <t>D1122174</t>
  </si>
  <si>
    <t>Dr.Purushothaman Sundaramurthy</t>
  </si>
  <si>
    <t>Mahabubnagar-146</t>
  </si>
  <si>
    <t>X-Ray(Plain Radiography-Basic, Advanced, Mammography), USG(Basic, Doppler Studies, Thyroid/Scrotum USG, Breast USG, TIFFA, MSK USG, USG Guided FNAC, USG Guided Trucut biopsy, USG Guided aspiration, Breast Biopsy), CT(Basic, Chest/Abdomen/Neck, CT Angiography, CT Guiode Biopsy),  MRI (Basic), Special Procedures (IVP, RGU, MCUG, Barium Swallow, Barium Enema, HSG)</t>
  </si>
  <si>
    <t>Madras Medical College</t>
  </si>
  <si>
    <t>rspthaman05@gmail.com</t>
  </si>
  <si>
    <t>D1122277</t>
  </si>
  <si>
    <t>Dr.Sanyam Katyal</t>
  </si>
  <si>
    <t>CT(Basic, Chest/Abdomen/Neck, 3DCT, CT Angiography, Coronary CT, Virtual Bronchoscopy), MRI(Basic, MSK Studies-Knee/Shoulder, MSK Studies- Wrist/Ankle, MR Perfusion, MR Tractography, MR Defecography, MRI MRCP/Abdomen/Liver/ MR Prostate/ Rectum, MR Enterography)</t>
  </si>
  <si>
    <t>9560934222 / 7290985652</t>
  </si>
  <si>
    <t>drskatyal@gmail.com</t>
  </si>
  <si>
    <t>D1122272</t>
  </si>
  <si>
    <t>Dr.Bogam Ajayrathnam</t>
  </si>
  <si>
    <t>Warangal - 41</t>
  </si>
  <si>
    <t>X-Ray(Plain Radiography-Basic, Advanced, Mammography), USG (Basic, Doppler Studies, Thyroid/Scrotum  USG, Breast USG, TIFFA, MSK USG, USG Guided FNAC, USG Guided Aspiration), CT(Basic, Chest/Abdomen/neck, 3DCT, CT Angigraphy), Special Procedures (IVP, RGU, MCUG, Barium Swallow, Barium Enema, HSG)</t>
  </si>
  <si>
    <t>Prathima Institute of Medical Sciences</t>
  </si>
  <si>
    <t>ajayrathnam1996@gmail.com</t>
  </si>
  <si>
    <t>2 (Thu,Fri)</t>
  </si>
  <si>
    <t xml:space="preserve">09:00:00 to 11:00:00 </t>
  </si>
  <si>
    <t>13:00:00 to 16:00:00</t>
  </si>
  <si>
    <t>D1122321</t>
  </si>
  <si>
    <t>Dr.Vimlesh Ji Vimal</t>
  </si>
  <si>
    <t>3 (Fri, Sat, Sun)</t>
  </si>
  <si>
    <t>From 13:30:00(Fri, Sat)</t>
  </si>
  <si>
    <t>07:00:00 (Sun)</t>
  </si>
  <si>
    <t>X-Ray(Plain Radiography-Basic, Advanced, Mammography), USG(Basic, Doppler Studies, Thyroid/Scrotum USG, Breast USG, TIFFA, MSK USG, USG Guided FNAC, USG Guided Aspiration), Special Procedures (IVP, RGU, MCUG, Barium Swallow, Barium Enema, HSG)</t>
  </si>
  <si>
    <t>Calcutta University</t>
  </si>
  <si>
    <t>MBBS, DMRD, MD(Paed)</t>
  </si>
  <si>
    <t>vjvimal@gmail.com</t>
  </si>
  <si>
    <t>D1122430</t>
  </si>
  <si>
    <t>Dr.Peddi Sreelekha</t>
  </si>
  <si>
    <t>08:00:00 to '16:00:00</t>
  </si>
  <si>
    <t>18:00:00 to '20:00:00</t>
  </si>
  <si>
    <t>X-Ray(Plain Radiography-Basic, Advanced, Mammography), USG (Basic, Doppler Studies, Thyroid/Scrotum  USG, Breast USG, TIFFA, USG Guided FNAC, USG Guided Aspiration), CT(Basic, Chest/Abdomen), Special Procedures (IVP, RGU, MCUG, Barium Swallow, Barium Enema, HSG)</t>
  </si>
  <si>
    <t>Shanthiram Medical College</t>
  </si>
  <si>
    <t xml:space="preserve">GEMS Medical College </t>
  </si>
  <si>
    <t>srilekhasrilupeddi@gmail.com</t>
  </si>
  <si>
    <t>V1101570</t>
  </si>
  <si>
    <t>Dr.Munugala Akhil Reddy</t>
  </si>
  <si>
    <t>18:00:00</t>
  </si>
  <si>
    <t>X-Ray(Plain Radiography-Basic, Advanced), USG(Basic, Doppler Studies, Thyroid/Scrotum USG, Breast USG, TIFFA, MSK USG,USG Guided FNAC, USG Guided Trucut Biopsy, USG Guided Aspiration, Breast biopsy), CT(Basic, Chest/Abdomen/ Neck, 3DCT, CT Angiography,CT Perfusion), MRI(Basic, MRI MRCP/Abdomen/ Liver), Special Procedures (IVP, RGU, MCUG, Barium Swallow, Barium Enema, HSG)</t>
  </si>
  <si>
    <t>Santiram Medical College</t>
  </si>
  <si>
    <t>munugala.akhilreddy@gmail.com</t>
  </si>
  <si>
    <t>Barasat-Kol-153</t>
  </si>
  <si>
    <t>D1122427</t>
  </si>
  <si>
    <t>Dr.Saravana Kumar Krishnan</t>
  </si>
  <si>
    <t>X-Ray (Plain Radiography-Basic,Advanced), USG(Basic,Doppler Studies,Thyroid/Scrotum USG, Breast USG, TIFFA, MSK USG), CT (Basic,Chest/Abdomen), Special Procedures (IVP, RGU,MCUG, Barium Swallow, Barium Enema, HSG)</t>
  </si>
  <si>
    <t>Government Medical College, Dharmapuri</t>
  </si>
  <si>
    <t>Kamineni institute of medical sciences</t>
  </si>
  <si>
    <t>saravanakumar1162@gmail.com</t>
  </si>
  <si>
    <t>D1122440</t>
  </si>
  <si>
    <t>Dr.Abhijeet Gourishetty</t>
  </si>
  <si>
    <t>Film Nagar - 38</t>
  </si>
  <si>
    <t>USG (Basic, Doppler Studies, Thyroid/Scrotum USG, Breast USG, TIFFA, MSK USG, USG Guided FNAC, USG Guided Trucut Biopsy, USG Guided Aspiration, Breast Biopsy), CT (Basic, Chest/Abdomen/ Neck, 3DCT, CT Angiography), MRI (Basic), Special Procedures (IVP, RGU, MCUG, Barium Swallow, Barium Enema, HSG)</t>
  </si>
  <si>
    <t>Malla Reddy Institute of Medical sciences</t>
  </si>
  <si>
    <t>Kasturba Medical College, Mangalore</t>
  </si>
  <si>
    <t>abhi.1065@gmail.com</t>
  </si>
  <si>
    <t>D1122437</t>
  </si>
  <si>
    <t>Dr.Yellu Sreepad</t>
  </si>
  <si>
    <t>Akruthi Township-108</t>
  </si>
  <si>
    <t>X-Ray (Plain Radiography - Basic, Advanced, Mammography), USG ( Basic, Doppler Studies, Thyroid /Scrotum USG, Breast USG, TIFFA, MSK USG, USG Guided FNAC, USG Guided aspiration ), CT ( Basic, Chest/Abdomen/Kub), Special Procedures (IVP, RGU, MCUG, Barium Swallow, Barium Enema, HSG)</t>
  </si>
  <si>
    <t>Sree Balaji Medical College</t>
  </si>
  <si>
    <t>sreepadyellu90@gmail.com</t>
  </si>
  <si>
    <t>D1122433</t>
  </si>
  <si>
    <t>Dr.Konakanchi Vamshi Krishna</t>
  </si>
  <si>
    <t>X-Ray(Plain Radiography - Basic, Advanced), USG (Basic, Doppler Studies, Thyroid Scrotum USG, Breast USG, TIFFA, USG Guided FNAC, USG Guided Trucut biopsy, USG Guided Aspiration, Breast Biopsy, TRUS guided biopsy), CT (Basic, Chest/ Abdomen/ Neck, 3 DCT, CT Angiography, CT Guided Biopsy), MRI (Basic, MSK Studies - Knee/Shoulder)</t>
  </si>
  <si>
    <t>vamshikonakanchi@gmail.com</t>
  </si>
  <si>
    <t>D1122445</t>
  </si>
  <si>
    <t>Dr.Gade Sai Priya</t>
  </si>
  <si>
    <t>21:00:00</t>
  </si>
  <si>
    <t>X-Ray(Plain Radiography - Basic, Advanced), Mammography, USG (Basic, Doppler Studies, Thyroid/ Scrotum USG, Breast USG, TIFFA, MSK USG, USG Guided FNAC, USG Guided Aspiration), CT (Basic, Chest/Abdomen/KUB), Special Procedures (IVP, RGU, MCUG, Barium Swallow, Barium Enema, HSG)</t>
  </si>
  <si>
    <t>priya.a2.priya@gmail.com</t>
  </si>
  <si>
    <t>D1115257</t>
  </si>
  <si>
    <t>Dr.V Sathyanarayana Goud</t>
  </si>
  <si>
    <t>Alwal - 44</t>
  </si>
  <si>
    <t>USG, Tiffa,  Guided Procedures,  IVP, RGU, MCGU, Barium Swallow, Barium Enemma, HSG, X Ray,   Basic CT, CT Guided procedures and MRI Basic</t>
  </si>
  <si>
    <t>8317579738/9966459260</t>
  </si>
  <si>
    <t>drsatyanarayanagoud@gmail.com</t>
  </si>
  <si>
    <t>D1122429</t>
  </si>
  <si>
    <t>Dr.Subbamma Govindappa Srikanth</t>
  </si>
  <si>
    <t>17:00:00</t>
  </si>
  <si>
    <t>HSR LAYOUT-163</t>
  </si>
  <si>
    <t>X-Ray, USG (Regular Doppler), CT (Brain &amp; PNS, Angios , Others), MRI( Brain &amp; Spine, Protocols, Others, Screening)</t>
  </si>
  <si>
    <t>Bangalore Medical College</t>
  </si>
  <si>
    <t>Mysore Medical College</t>
  </si>
  <si>
    <t>sgsrikanth@yahoo.com</t>
  </si>
  <si>
    <t>D1122448</t>
  </si>
  <si>
    <t>Dr.Nikitha Bujji</t>
  </si>
  <si>
    <t>X-Ray ( Plain Radiography- Basic, Advanced,Mammography), USG (Basic, Doppler Studies, Thyroid/Scrotum USG, Breast USG, TIFFA, MSK USG, TRUS,USG Guided Aspiration), CT (Basic,Chest/Abdomen/Neck, 3DCT, CT Angiography), MRI (Basic), Special Procedures (IVP,RGU, MCUG,Barioum Swallow, Barium Enema,HSG)</t>
  </si>
  <si>
    <t>Kamineni Institute of Medical Sciences and Research Centre</t>
  </si>
  <si>
    <t>Chalmeda Anandrao institute of Medical Sciences</t>
  </si>
  <si>
    <t>nikitha.bujji227@gmail.com</t>
  </si>
  <si>
    <t>D1122465</t>
  </si>
  <si>
    <t>Dr.Mushini Deepthi</t>
  </si>
  <si>
    <t>18:30:00</t>
  </si>
  <si>
    <t>Nizambad -162</t>
  </si>
  <si>
    <t>X-Ray (Plain Radiography - Basic, Advanced), Mammography, USG (Basic, Doppler Studies, Thyroid/ Scrotum USG, Breast USG, TIFFA, MSK USG, USG Guided FNAC, USG Guided Trucut Biopsy, USG Guided Aspiration), CT (Basic, Chest/Abdomen/Neck,3DCT, CT Angiography, Virtual Bronchoscopy), MRI (Basic), Special Procedures (IVP, RGU, MCUG, Barium Swallow, Barium Enema, HSG)</t>
  </si>
  <si>
    <t>deepthimushini@yahoo.com</t>
  </si>
  <si>
    <t>D1122466</t>
  </si>
  <si>
    <t>Dr.Jogireddy Asrith Charan</t>
  </si>
  <si>
    <t>14:00:00</t>
  </si>
  <si>
    <t>BHEL - 30</t>
  </si>
  <si>
    <t>X-Ray (Plain Radiography - Basic, Advanced), USG (Basic, Doppler Studies, Thyroid/ Scrotum USG, Breast USG), CT (Basic, Chest/ Abdomen/ Neck), Special Procedures (RGU, MCUG, Barium Swallow, Barium Enema, HSG)</t>
  </si>
  <si>
    <t>Zhengzhou Medical College, China</t>
  </si>
  <si>
    <t>Smt. B K Shah Medical Institute &amp; Research Centre</t>
  </si>
  <si>
    <t>asrithcharan007@gmail.com</t>
  </si>
  <si>
    <t>D1122476</t>
  </si>
  <si>
    <t>Dr.Gundamaraju Madhavi Latha</t>
  </si>
  <si>
    <t>MRI (Basic, MSK Studies - Knee/Shoulder/Elbow/wrist/ankle)</t>
  </si>
  <si>
    <t>maddy.gundamaraju@gmail.com</t>
  </si>
  <si>
    <t>D1120527</t>
  </si>
  <si>
    <t>Dr.Gelli Balaji Venkata Sudheer</t>
  </si>
  <si>
    <t>X-Ray (Plain Radiography-Basic,Advanced), USG(Basic, Doppler Studies,Thyroid/Scrotum USG, Breast USG, TIFFA, USG Guided FNAC), CT (Basic, Chest/Abdomen/Neck,3DCT,CT Angiography), Special Procedures (IVP,RGU,MCUG, Barium Swallow, Barium Enema, HSG)</t>
  </si>
  <si>
    <t>Dr BR Ambedkar Medical College, Bangalore</t>
  </si>
  <si>
    <t>Medwin Hospital</t>
  </si>
  <si>
    <t>MBBS,DNB-Radiodiagnosis,FRCR</t>
  </si>
  <si>
    <t>gbvsudheer@yahoo.co.in</t>
  </si>
  <si>
    <t>D1122610</t>
  </si>
  <si>
    <t>Dr.Chandan Mahadeva</t>
  </si>
  <si>
    <t>USG(Basic, Doppler Studies, Thyroid/Scrotum USG, Beast USG, TIFFA, MSK USG, USG Guided FNAC, USG guided Aspiration, Breast Biopsy, TRUS Guided Biopsy), CT (Basic, Chest/Abdomen/Neck, 3DCT,  CT Angiography, Virtual Bronchoscopy, CT Guided Biopsy), MRI (Basic, MSK Studies -Knee/Shoulder, MR Perfusion, MRI MRCP/Abdomen/Liver, MR Prostate/Rectum, MRI Breast, MRI Enterography)</t>
  </si>
  <si>
    <t>MS Ramaiah Medical College</t>
  </si>
  <si>
    <t>AIIMS , New Delhi</t>
  </si>
  <si>
    <t>drchandanmahadeva@gmail.com</t>
  </si>
  <si>
    <t>D1122614</t>
  </si>
  <si>
    <t>Dr.Shaik Neeha Zaheena</t>
  </si>
  <si>
    <t>Mammography with USG, USG (Basic, Doppler Studies, Thyroid/ Scrotum USG, Breast USG, TIFFA,MSK USG,USG Guided Aspiration), Special Procedures (IVP, RGU, MCUG, Barium Swallow, Barium Enema, HSG)</t>
  </si>
  <si>
    <t>Government Medical College, Ongole</t>
  </si>
  <si>
    <t>ASRAM Medical College</t>
  </si>
  <si>
    <t>shaikneehazaheena8@gmail.com</t>
  </si>
  <si>
    <t>D1122616</t>
  </si>
  <si>
    <t>Dr.Vijjala Ravi Kumar</t>
  </si>
  <si>
    <t>96185 91348</t>
  </si>
  <si>
    <t>ravikumarvajjala1951@gmail.com</t>
  </si>
  <si>
    <t>D1122618</t>
  </si>
  <si>
    <t>Dr.T M Harishkar</t>
  </si>
  <si>
    <t>Navodaya medical college</t>
  </si>
  <si>
    <t>Kempegowda Institute of Medical Sciences</t>
  </si>
  <si>
    <t>harishkartm95@gmail.com</t>
  </si>
  <si>
    <t>D1122612</t>
  </si>
  <si>
    <t>Dr.V Sudeep</t>
  </si>
  <si>
    <t>X-Ray (Plain Radiography - Basic, Advanced), USG (Basic, Doppler Studies, Thyroid/ Scrotum USG,TIFFA), CT (Brain PNS), Special Procedures (RGU, MCUG, Barium Swallow, Barium Enema, HSG)</t>
  </si>
  <si>
    <t>memyselfandsudeep@gmail.com</t>
  </si>
  <si>
    <t>D1122613</t>
  </si>
  <si>
    <t>Dr.Devika Badimi</t>
  </si>
  <si>
    <t>X-Ray (Plain Radiography - Basic, Advanced), Mammography, USG (Basic, Doppler Studies, Thyroid/ Scrotum USG, Breast USG, TIFFA, MSG USG, USG Guided FNAC, USG Guided Aspiration), CT (Basic, Chest/abdomen/Neck ), Special Procedures (IVP, RGU, MCUG, Barium Swallow, Barium Enema, HSG)</t>
  </si>
  <si>
    <t>badimidevika7@gmail.com</t>
  </si>
  <si>
    <t>D1122475</t>
  </si>
  <si>
    <t>Dr.Mali Manisha</t>
  </si>
  <si>
    <t>X-Ray (Plain Radiography - Basic, Advanced),Whole Spine X-Ray, USG (Basic, Doppler Studies, Thyroid/ Scrotum USG, Breast USG, TIFFA, MSK USG, TRUS, USG Guided FNAC, USG Guided Trucut Biopsy, USG Guided Aspiration, Breast Biopsy), CT (Basic, Chest/abdomen/Neck, 3DCT, CT Angiography, Virtual Bronchoscopy), MRI( Basic, MSK Studies-Knee/Shoulder,Wrist/Ankle,MRI MRCP/ Abdomen/Liver, MR Rectum, MRI Cochlear Implant Protocol), Special Procedures (IVP, RGU, MCUG, Barium Swallow, Barium Enema)</t>
  </si>
  <si>
    <t>mrmali2797@gmail.com</t>
  </si>
  <si>
    <t>D1122473</t>
  </si>
  <si>
    <t>Dr.Kota Venkata Naresh Reddy</t>
  </si>
  <si>
    <t>X-Ray (Plain Radiography - Basic, Advanced),Whole Spine X-Ray, USG (Basic, Doppler Studies, Thyroid/ Scrotum USG, Breast USG, TIFFA, Foetal Echo, MSK USG, TRUS, USG Guided FNAC), CT (Basic, Chest/abdomen/Neck, 3DCT, CT Angiography, Coronary CT), MRI( Basic, Cardiac MR, MR Perfsion,MR Defecography, MRI MRCP/ Abdomen/Liver, MR Prostate/rectum, MR Neurography, MRI Breast, MRI TM Joints, MRI Enterography), Special Procedures (IVP, RGU, MCUG, Barium Swallow, Barium Enema)</t>
  </si>
  <si>
    <t>AIG Hospitals</t>
  </si>
  <si>
    <t>k.nareshreddy95@gmail.com</t>
  </si>
  <si>
    <t>D1121230</t>
  </si>
  <si>
    <t>Dr.Mulla Shabana</t>
  </si>
  <si>
    <t>X-Ray (Plain Radiography - Basic, Advanced), Mammography, USG (Basic, Doppler Studies, Thyroid/ Scrotum USG, Breast USG, TIFFA, USG Guided FNAC, USG Guided Aspiration), CT (Basic, Chest/abdomen/Neck, CT Angiography), Special Procedures (IVP, RGU, MCUG, Barium Swallow, Barium Enema,HSG)</t>
  </si>
  <si>
    <t>Sree Balaji Medical College and Hospital</t>
  </si>
  <si>
    <t>Narayana Medical Collge</t>
  </si>
  <si>
    <t>dr.mshabana@gmail.com</t>
  </si>
  <si>
    <t>D1122472</t>
  </si>
  <si>
    <t>Dr.Sana Asfiya</t>
  </si>
  <si>
    <t>X-Ray (Plain Radiography - Basic, Advanced), Whole Spine X-Ray, Mammography, USG (Basic, Doppler Studies, Thyroid/ Scrotum USG, Breast USG, TIFFA, Foetal Echo, MSK USG, TRUS, USG Guided FNAC, USG Guided Trucut Biopsy, USG Guided Aspiration, Breast Biopsy), CT (Basic, Chest/abdomen /Neck, 3DCT, CT Angiography, Coronary CT, Virtual Bronchoscopy, CT Perfusion, CT Guided Biopsy), MRI( Basic, MSK Studies- Knee/Shoulder, MSK Studies-Wrist/Ankle, MR Perfusion, MR Defecography, MR Prostate/Rectum, MRI Breast, MRI TM Joints, Special Procedures (IVP, RGU, MCUG, Barium Swallow, Barium Enema,HSG)</t>
  </si>
  <si>
    <t>Sri Venkateswara institute of Medical Sciences</t>
  </si>
  <si>
    <t>sanfiya19@gmail.com</t>
  </si>
  <si>
    <t>D1117117</t>
  </si>
  <si>
    <t>Dr.Angoth Venkat Ramana</t>
  </si>
  <si>
    <t>Basic USG, Tiffa, Fetal Echo, MSK, Penile Dopplers, TRUS, Guided Procedures, Basic CT, Basic MRI,  X Ray, Mammography, IVP, RGU, MCGU, Barium Swallow, Barium Anema, HSG</t>
  </si>
  <si>
    <t>Osmania Medical College, Hyderabad, Telangana</t>
  </si>
  <si>
    <t xml:space="preserve">Nizam’s  Institute of Medical Sciences, Hyderabad </t>
  </si>
  <si>
    <t>venkatramanaangoth@gmail.com</t>
  </si>
  <si>
    <t>Safilguda - 58</t>
  </si>
  <si>
    <t>D1122784</t>
  </si>
  <si>
    <t>Dr.Pogaku Mounika Bindu</t>
  </si>
  <si>
    <t>13:00:00</t>
  </si>
  <si>
    <t>X-Ray (Plain Radiography - Basic, Advanced, Whole Spine X-Ray), Mammography, USG (Basic, Doppler Studies, Thyroid, Breast USG, Penile Doppler, USG Guided FNAC, USG Guided Aspiration, Breast Biopsy), CT (Basic, Chest/Abdomen /Neck,CT Angiography), MRI( Basic, MSK Studies- Knee/Shoulder, MSK Studies-Wrist/Ankle, Foetal MR, MRI MRCP/Abdomen/Liver, MR Prostate/Rectum, MRI Breast), Special Procedures (IVP, RGU, MCUG, Barium Swallow, Barium Enema,HSG)</t>
  </si>
  <si>
    <t>doctormounika@yahoo.com</t>
  </si>
  <si>
    <t>D1122786</t>
  </si>
  <si>
    <t>Dr.Banala Bhavitha Reddy</t>
  </si>
  <si>
    <t>Kattedan - 126</t>
  </si>
  <si>
    <t>X-Ray (Plain Radiography - Basic, Advanced,Lower Limb Scanogram, Whole Spine X-Ray), Mammography, USG (Basic, Doppler Studies, Thyroid/Scrotum USG, Breast USG, TIFFA, MSK Usg, TRUS, USG Guided FNAC, USG Guided Aspiration), CT (Basic, Chest/Abdomen /Neck, 3DCT, CT Angiography, Virtual Bronchoscopy), MRI( Basic, MSK Studies- Knee/Shoulder, MSK Studies-Wrist/Ankle,MR Defecography, MRI MRCP/Abdomen/Liver, MR Prostate/Rectum, MR Neurography,MRI Breast, MRI TM Joints, MRI Enterography), Special Procedures (IVP, RGU, MCUG, Barium Swallow, Barium Enema,HSG)</t>
  </si>
  <si>
    <t>Dr DY Patil Medical College</t>
  </si>
  <si>
    <t>Bhavitha1996@gmail.com</t>
  </si>
  <si>
    <t>D1122796</t>
  </si>
  <si>
    <t>Dr.Nandipati Karthik Babu</t>
  </si>
  <si>
    <t>AIIMS, Raipur</t>
  </si>
  <si>
    <t>Care Hospital, Nampally. Hyderabad</t>
  </si>
  <si>
    <t>radiokarthik97@gmail.com</t>
  </si>
  <si>
    <t>D1122797</t>
  </si>
  <si>
    <t>Dr.D Sai Kiran</t>
  </si>
  <si>
    <t>SV Medical College, Tirupati</t>
  </si>
  <si>
    <t>PES Medical College</t>
  </si>
  <si>
    <t>saikirandarbar@gmail.com</t>
  </si>
  <si>
    <t>D1122803</t>
  </si>
  <si>
    <t>Dr.Payel Biswas</t>
  </si>
  <si>
    <t>19:30:00</t>
  </si>
  <si>
    <t>X-Ray (Plain Radiography - Basic, Advanced), USG (Basic, Doppler Studies, Thyroid/Scrotum USG, Breast USG, TIFFA, MSK USG, USG Guided FNAC, USG Guided Aspiration), CT (Basic, Chest/Abdomen /Neck, 3DCT, CT Angiography), MRI( Basic, MSK Studies- Knee/Shoulder), Special Procedures (IVP, RGU, MCUG, Barium Swallow, Barium Enema,HSG)</t>
  </si>
  <si>
    <t>RG Kar Medical College &amp; Hospital, Kolkata</t>
  </si>
  <si>
    <t>Apollo Multispeciality Hospitals, Kolkata</t>
  </si>
  <si>
    <t>drpayelbiswas25@gmail.com</t>
  </si>
  <si>
    <t>D1122785</t>
  </si>
  <si>
    <t>Dr.Kollu Sai Teja</t>
  </si>
  <si>
    <t>X-Ray (Plain Radiography - Basic, Advanced, Whole Spine X-Ray, Mammography), USG (Basic, Doppler Studies, Thyroid/Scrotum USG, Breast USG, TIFFA, Foetal Echo), CT (Basic, Chest/Abdomen /Neck, 3DCT), MRI( Basic, MSK Studies- Knee/Shoulder, MR Perfusion, MRI MRCP/ Abdomen/ Liver, MR Neurography, MR Enterography), Special Procedures (IVP, RGU, MCUG, Barium Swallow, Barium Enema,HSG)</t>
  </si>
  <si>
    <t>The Oxford Medical College,Hospital</t>
  </si>
  <si>
    <t>drteja11@gmail.com</t>
  </si>
  <si>
    <t>D1122805</t>
  </si>
  <si>
    <t>Dr.Therani Sindhuja</t>
  </si>
  <si>
    <t>X-Ray (Plain Radiography - Basic, Advanced, Whole Spine X-Ray), Mammography, USG (Basic, Doppler Studies, Thyroid/Scrotum USG, Breast USG, MSK USG, USG Guided FNAC, USG Guided Trucut Biopsy, USG Guided Aspiration, Breast Biopsy), CT (Basic, Chest/Abdomen /Neck, 3DCT, CT Angiography), MRI( Basic, MSK Studies- Knee/Shoulder, MRI MRCP/Abdomen, MR Prostate/Rectum), Special Procedures (IVP, RGU, MCUG, Barium Swallow, Barium Enema,HSG)</t>
  </si>
  <si>
    <t>sindhujatherani@gmail.com</t>
  </si>
  <si>
    <t>D1122787</t>
  </si>
  <si>
    <t>Dr.Kanumuri Sri Rama Vara Prasad Raju</t>
  </si>
  <si>
    <t>X-Ray (Plain Radiography - Basic, Advanced, Whole Spine X-Ray), Mammography, USG (Basic, Doppler Studies, Thyroid/Scrotum USG, Breast USG, TIFFA, MSK USG, Penile Doppler, Trus, USG Guided FNAC, USG Guided Trucut Biopsy, USG Guided Aspiration, Breast Biopsy), CT (Basic, Chest/Abdomen /Neck, 3DCT, CT Angiography, CT Perfusion), MRI( Basic, MSK Studies- Knee/Shoulder, MR Perfusion, MRI MRCP/Abdomen/Liver, MR Prostate/Rectum), Special Procedures (IVP, RGU, MCUG, Barium Swallow, Barium Enema,HSG)</t>
  </si>
  <si>
    <t>NRI Medical College and General Hospital</t>
  </si>
  <si>
    <t>sriramkanumuriprofession1275@gmail.com</t>
  </si>
  <si>
    <t>D1122788</t>
  </si>
  <si>
    <t>Dr.Kartikey Tyagi</t>
  </si>
  <si>
    <t>X-Ray (Plain Radiography - Basic, Advanced, Lower Limb Scanogram, Whole Spine X-Ray), Mammography, USG (Basic, Doppler Studies, Thyroid/Scrotum USG, Breast USG, TIFFA, Foetal Echo,MSK USG, Penile Doppler, TRUS, USG Guided FNAC, USG Guided Trucut Biopsy, USG Guided Aspiration, Breast Biopsy, TRUS Guided Biopsy), CT (Basic, Chest/Abdomen /Neck, 3DCT, CT Angiography, Coronary CT, CT Guided Biopsy), MRI( Basic, MSK Studies- Knee/Shoulder, MSK Studies Wrist/Ankle, MR Perfusion, MR Defecography, MRI MRCP/Abdomen/Liver, MR Prostate/Rectum, MRI Breast, MR Enterography), Special Procedures (IVP, RGU, MCUG, Barium Swallow, Barium Enema,HSG)</t>
  </si>
  <si>
    <t>JSS Medical College</t>
  </si>
  <si>
    <t>Vydehi Institute of Medical Sciences &amp; Research Centre</t>
  </si>
  <si>
    <t>7011066218 / 9643379531</t>
  </si>
  <si>
    <t>ktyagi6388@gmail.com</t>
  </si>
  <si>
    <t>D1122795</t>
  </si>
  <si>
    <t>Dr.Gampa Deepthi</t>
  </si>
  <si>
    <t>deepthivuppala@gmail.com</t>
  </si>
  <si>
    <t>D1116538</t>
  </si>
  <si>
    <t>Dr.Randhi Venkata Ramana</t>
  </si>
  <si>
    <t>All X-Ray, and Special Procedures</t>
  </si>
  <si>
    <t>Osmania University</t>
  </si>
  <si>
    <t>MBBS, MD, DNB Radio Diagnosis</t>
  </si>
  <si>
    <t>randhivenk@yahoo.com</t>
  </si>
  <si>
    <t>D1122852</t>
  </si>
  <si>
    <t>Dr.Rohan R More</t>
  </si>
  <si>
    <t>X-Ray (Plain Radiography - Basic, Advanced, Lower Limb Scanogram, Whole Spine X-Ray), Mammography, USG (Basic, Doppler Studies, Thyroid/Scrotum USG, Breast USG, TIFFA, Foetal Echo,MSK USG, USG Guided FNAC, USG Guided Aspiration, Breast Biopsy, TRUS Guided Biopsy), CT (Basic, Chest/Abdomen /Neck, 3DCT, CT Angiography, Coronary CT), MRI( Basic)</t>
  </si>
  <si>
    <t>Dr. Vasantrao Pawar Medical College &amp; Research centre</t>
  </si>
  <si>
    <t>rohan09.more@gmail.com</t>
  </si>
  <si>
    <t>D1122866</t>
  </si>
  <si>
    <t>Dr.Bonagiri Vinisha</t>
  </si>
  <si>
    <t>X-Ray (Plain Radiography - Basic, Advanced, Whole Spine X-Ray), Mammography, USG (Basic, Doppler Studies, Thyroid/Scrotum USG, Breast USG, TIFFA, MSK USG (Only Shoulder), TRUS, USG Guided FNAC, USG Guided Aspiration, Breast Biopsy), CT (Basic, Chest/Abdomen /Neck, 3DCT, CT Angiography, Coronary CT, Virtual Bronchoscopy), MRI(Basic, MSK Studies-Knee/Shoulder, MSK Studies-Wrist/Ankle, Foetal MR, MR Defecography, MRI MRCP/Abdomen/Liver, MR Prostate/Rectum, MR Neurography, MRI breast, MRI TM Joints), Special Procedures (IVP, RGU, MCUG, Barium Swallow, Barium Enema,HSG)</t>
  </si>
  <si>
    <t>bonagirisweety7@gmail.com</t>
  </si>
  <si>
    <t>D1122848</t>
  </si>
  <si>
    <t>Dr.Polisetty Gangadhara</t>
  </si>
  <si>
    <t>Nandyal - 48</t>
  </si>
  <si>
    <t>X-Ray (Plain Radiography - Basic, Advanced, Whole Spine X-Ray), Mammography, USG (Basic, Doppler Studies, Thyroid/Scrotum USG, Breast USG, TIFFA, MSK USG, Penile Doppler, USG Guided FNAC, USG Guided Aspiration), CT (Basic, Chest/Abdomen /Neck, 3DCT, CT Angiography, Coronary CT), MRI(Basic, MSK Studies-Knee/Shoulder, MRI TM Joints), Special Procedures (IVP, RGU, MCUG, HSG)</t>
  </si>
  <si>
    <t>drgangadhar080@gmail.com</t>
  </si>
  <si>
    <t>Apollo Institute of Medical Sciences and Research</t>
  </si>
  <si>
    <t>D1122865</t>
  </si>
  <si>
    <t>Dr.M Krishna Chaitanya</t>
  </si>
  <si>
    <t>X-Ray (Plain Radiography - Basic, Advanced, Whole Spine X-Ray), Mammography, USG (Basic, Doppler Studies, Thyroid/Scrotum USG, Breast USG, TIFFA, Foetal Echo, MSK USG, TRUS, USG Guided FNAC, USG Guided Trucut Biopsy, USG Guided Aspiration, Breast Biopsy), CT (Basic, Chest/Abdomen /Neck, 3DCT, CT Angiography), MRI(Basic, MSK Studies-Knee/Shoulder), Special Procedures (IVP, RGU, MCUG, Barium Swallow, Barium Enema)</t>
  </si>
  <si>
    <t>dr.chaitanyakrishna@gmail.com</t>
  </si>
  <si>
    <t>D1122844</t>
  </si>
  <si>
    <t>Dr.Preeti Vaid</t>
  </si>
  <si>
    <t>X-Ray (Plain Radiography - Basic, Advanced, Whole Spine X-Ray), USG (Basic, Doppler Studies, Thyroid, Breast USG, TIFFA,Foetal Echo), Special Procedures (HSG)</t>
  </si>
  <si>
    <t>Delhi University</t>
  </si>
  <si>
    <t>MBBS, DTCD, MD Radio Diagnosis</t>
  </si>
  <si>
    <t>preetivaid28@gmail.com</t>
  </si>
  <si>
    <t>D1122973</t>
  </si>
  <si>
    <t>Dr.Mudunuri Lakshmi Deepthi</t>
  </si>
  <si>
    <t>X-Ray (Plain Radiography - Basic, Advanced, Whole Spine X-Ray), Mammography, USG (Basic, Doppler Studies, Thyroid/Scrotum USG, Breast USG, TIFFA, MSK USG, USG Guided FNAC, USG Guided Trucut Biopsy, USG Guided Aspiration, Breast Biopsy), CT (Basic, Chest/Abdomen /Neck, 3DCT, CT Angiography, Virtual Bronchoscopy, CT Guided Biopsy), MRI(Basic, MSK Studies-Knee/Shoulder, MSK Studies Wrist/Ankle, MRI MRCP /Abdomen/Liver, MR Prostate/Rectum), Special Procedures (IVP, RGU, MCUG, Barium Swallow, Barium Enema, HSG)</t>
  </si>
  <si>
    <t>deepthimudunuri1@gmail.com</t>
  </si>
  <si>
    <t>D1122972</t>
  </si>
  <si>
    <t>Dr.Subhajit Das</t>
  </si>
  <si>
    <t>CT (Chest/Abdomen/Neck, CT Angiography, Coronary CT), MRI (Cardiac MR)</t>
  </si>
  <si>
    <t>Assam University</t>
  </si>
  <si>
    <t>Silchar Medical College</t>
  </si>
  <si>
    <t>98644 40871</t>
  </si>
  <si>
    <t>gko.smch@gmail.com</t>
  </si>
  <si>
    <t>D1123146</t>
  </si>
  <si>
    <t>Dr.Divvela Soumya</t>
  </si>
  <si>
    <t>X-Ray (Plain Radiography - Basic, Advanced, Lower Limb Scanogram, Whole Spine X-Ray), Mammography, USG (Basic, Doppler Studies, Thyroid/Scrotum USG, Breast USG, USG Guided FNAC, USG Guided Aspiration, Breast Biopsy), CT (Basic, Chest/Abdomen /Neck, 3DCT, CT Angiography, Coronary CT), MRI(Basic, MR Tractography,MRI MRCP /Abdomen, MR Rectum, MRI Enterography), Special Procedures (IVP, RGU, MCUG, Barium Swallow, Barium Enema, HSG)</t>
  </si>
  <si>
    <t>Sri Ramachandra Institute of Higer Enducation and Research</t>
  </si>
  <si>
    <t>soumyadivvela97@gmail.com</t>
  </si>
  <si>
    <t>D1123007</t>
  </si>
  <si>
    <t>Dr.Paradesi Janet Preethi Philomina</t>
  </si>
  <si>
    <t>X-Ray (Plain Radiography - Basic, Advanced, Lower limb scanogram, Whole Spine X-Ray), Mammography, USG (Basic, Doppler Studies, Thyroid/ Scrotum USG, Breast USG, TIFFA, MSK USG), CT (Basic, Chest/Abdomen/Neck,3DCT, CT Angiography), MRI (Basic, MSK Studies-Knee/Shoulder, MSK Studies - Wrist/Ankle, MRI MRCP/Abdomen/Liver, MR Prostate/Rectum, MR Cartigram, MRI Breast, MRI TM Joints, MRI Enterography), Special Procedures (IVP, RGU, MCUG, Barium Swallow, Barium Enema, HSG)</t>
  </si>
  <si>
    <t>preethiparadesi@gmail.com</t>
  </si>
  <si>
    <t>D1123009</t>
  </si>
  <si>
    <t>Dr.Pinninty Prathibha</t>
  </si>
  <si>
    <t>Kompally - 65</t>
  </si>
  <si>
    <t>X-Ray (Plain Radiography - Basic, Advanced, Whole Spine X-Ray), Mammography, USG (Basic, Doppler Studies, Thyroid/ Scrotum USG, Breast USG, TIFFA, MSK USG, USg Guided FNAC, USG Guided Aspiration, Breast Biopsy), Special Procedures (IVP, RGU, MCUG, HSG)</t>
  </si>
  <si>
    <t>smiling.praths@gmail.com</t>
  </si>
  <si>
    <t>D1118518</t>
  </si>
  <si>
    <t>Dr.Mannem Roopa</t>
  </si>
  <si>
    <t>X-Ray (Plain Radiography - Basic, Advanced, Lower limb scanogram, Whole Spine X-Ray), USG (Basic, Doppler Studies, Thyroid/ Scrotum USG, Breast USG, TIFFA)</t>
  </si>
  <si>
    <t>Ningxia Medical University, China</t>
  </si>
  <si>
    <t>Apollo Medical College, Hyderabad</t>
  </si>
  <si>
    <t>roopareddy505@gmail.com</t>
  </si>
  <si>
    <t>D1122825</t>
  </si>
  <si>
    <t>Dr.Sonia Ghosh</t>
  </si>
  <si>
    <t>1(Fri)</t>
  </si>
  <si>
    <t>X-Ray (Plain Radiography - Basic, Advanced, Whole Spine X-Ray), USG (Basic, Doppler Studies, Thyroid/ Scrotum USG, Breast USG, TIFFA, MSK USG, Penile Doppler, USG Guided FNAC, USG Guided Trucut Biopsy, USG Guided Aspiration, Breast Biopsy), CT (Basic, Chest/Abdomen/Neck,3DCT, CT Angiography), MRI (Basic, MSK Studies-Knee/Shoulder), Special Procedures (IVP, RGU, MCUG, Barium Swallow, Barium Enema, HSG)</t>
  </si>
  <si>
    <t>West Bengal Medical University of Health Sciences</t>
  </si>
  <si>
    <t>Institute of Postgraduate Medical Education &amp; Research</t>
  </si>
  <si>
    <t>soniaghosh49@gmail.com</t>
  </si>
  <si>
    <t>D1123147</t>
  </si>
  <si>
    <t>Dr.Gourab Saha</t>
  </si>
  <si>
    <t>1(Wed)</t>
  </si>
  <si>
    <t>X-Ray(Plain Radiography-Basic,Advanced, Whole Spine X-Ray), Mammography, USG (Basic, Doppler Studies, Thyroid /Scrotum USG, Breast USG, TIFFA, MSK USG, TRUS, USG Guided FNAC, USG Guided Trucut Biopsy, USG Guided Aspiration,Breast Biopsy), CT (Basic, Chest/Abdomen/Neck, 3DCT, CT Angiography), MRI (Basic, MSK Studies-Knee/Shoulder, MSK Studies- Wrist/Ankle), Special Procedures (IVP, RGU, MCUG, Barium Swallow, Barium Enema, HSG)</t>
  </si>
  <si>
    <t>gourab.saha24@gmail.com</t>
  </si>
  <si>
    <t>D1122977</t>
  </si>
  <si>
    <t>Dr.Bibartan Saha</t>
  </si>
  <si>
    <t>X-Ray, Ultra Sound, MRI, CT</t>
  </si>
  <si>
    <t>MBBS, Fellowship in Radiology</t>
  </si>
  <si>
    <t>8017833492 / 6290784234</t>
  </si>
  <si>
    <t>bibartansaha@gmail.com</t>
  </si>
  <si>
    <t>D1123150</t>
  </si>
  <si>
    <t>Dr.Pranabananda Goswami</t>
  </si>
  <si>
    <t>CT , MRI</t>
  </si>
  <si>
    <t>goswami.drpranabananda@gmail.com</t>
  </si>
  <si>
    <t>D1119010</t>
  </si>
  <si>
    <t>Dr.Sai Niharika Gavvala</t>
  </si>
  <si>
    <t>X-Ray (Plain Radiography - Basic, Advanced, Lower Limb Scanogram, Whole Spine X-Ray), Mammography, USG (Basic, Doppler Studies, Thyroid/ Scrotum USG, Breast USG, TIFFA, MSK USG, USG Guided FNAC, USG Guided Trucut Biopsy, USG Guided Aspiration, Breast Biopsy), CT (Basic, Chest/Abdomen/Neck,3DCT, CT Angiography, Coronary CT, Virtual Bronchoscopy, CT Perfusion), MRI (Basic, MSK Studies-Knee/Shoulder, MSK Studies-Wrist/Ankle, MR Perfusion, Foetal MR, MRI MRCP/Abdomen/Liver, MR Prostate/Rectum, MR Neurography, MR Cartigram, MRI Breast, MRI TM Joints, MRI Enterography), Special Procedures (IVP, RGU, MCUG, Barium Swallow, Barium Enema, HSG)</t>
  </si>
  <si>
    <t>sainiharikagavvala@gmail.com</t>
  </si>
  <si>
    <t>D1122435</t>
  </si>
  <si>
    <t>Dr.Budda Hari Krishna</t>
  </si>
  <si>
    <t>Chintal - 62</t>
  </si>
  <si>
    <t>X-Ray (Plain Radiography - Basic, Advanced), Mammography, USG (Basic, Doppler Studies, Thyroid/ Scrotum USG, Breast USG, TIFFA, MSK USG, TRUS, USG Guided FNAC, USG Guided Aspiration), CT (Basic, Chest/Abdomen/Neck, 3DCT, CT Angiography), MRI (Basic, MSK Studies- Knee/Shoulder, MRI MRCP/Abdomen/ Liver), Special Procedures (IVP, RGU, MCUG, Barium Swallow, Barium Enema, HSG)</t>
  </si>
  <si>
    <t>hk4049@gmail.com</t>
  </si>
  <si>
    <t>D1119325</t>
  </si>
  <si>
    <t>Dr.Kilari Sanjana</t>
  </si>
  <si>
    <t>X-Ray (Plain Radiography-Basic, Whole spine X-Ray, Plain Radiography-Advanced,Boneage), X-Ray Procedure (Barium study, Distal Loopagram/Fistulogram/Gastrograffin, HSG, IVP, MCUG), Mammography, USG(Basic, Doppler Studies, Thyroid, Scrotum USG, Breast USG, Tiffa, Foetal Echo, MSK USG, TRUS, USG Guided FNAC)</t>
  </si>
  <si>
    <t>Mamatha Medical college</t>
  </si>
  <si>
    <t>sanjana.kilari1993@gmail.com</t>
  </si>
  <si>
    <t>D1116340</t>
  </si>
  <si>
    <t>Dr.P Harini Bharathi</t>
  </si>
  <si>
    <t>X-Ray, Mammography, CT</t>
  </si>
  <si>
    <t>Vinayaka Missions Medical College</t>
  </si>
  <si>
    <t>MBBS, DMRD - Radio Diagnosis</t>
  </si>
  <si>
    <t>drharini.radiology@gmail.com</t>
  </si>
  <si>
    <t>Dr.M Mahendra Kumar</t>
  </si>
  <si>
    <t>dearmmk@hotmail.com</t>
  </si>
  <si>
    <t>Dr.Viral Kumar K Parekh</t>
  </si>
  <si>
    <t>CT,MRI-Reporting</t>
  </si>
  <si>
    <t>R G Kar Medical College</t>
  </si>
  <si>
    <t>Cancer Centre Welfare Home and Research Institute</t>
  </si>
  <si>
    <t>MBBS,DMRD, DNB Radio Diagnosis</t>
  </si>
  <si>
    <t>viralparekh@hotmail.com</t>
  </si>
  <si>
    <t>D1123164</t>
  </si>
  <si>
    <t>Dr.Krithika Sahasra Vuchuru</t>
  </si>
  <si>
    <t>X-Ray( Plain Radiography - Basic/Advanced, Whole Spine X-Ray(C-spine/D-spine/L-spine), Lower Limb Scanogram, Boneage), X-Ray Procedure (Barium Study, Distal Loopogram / Fistulogram / Gastrograffin, HSG, IVP, MCUG, RGU), Mammography, USG(Basic,Doppler Studies, Doppler Studies, Scrotum USG, Scrotum USG, Scrotum USG,USG Guided FNAC,USG Guided Trucut Biopsy,USG Guided Aspiration,Breast Biopsy), CT (Brain,PNS,Orbits,Temporal Bone,Neck,KUB,Spine, Chest,Abdomen,DECT,3D CT,CT Angiography,Coronary CT), MRI(Brain, Spine, Hip, Knee, Shoulder, SI Joint, Pelvis, PNS, Prostate, Sella/Pituitary, Soft Tissue MRI, Spectroscopy, Temporal Bone, Whole Body)</t>
  </si>
  <si>
    <t xml:space="preserve">Vydehi Institute of Medical Sciences </t>
  </si>
  <si>
    <t>krithika.sahasra15@gmail.com</t>
  </si>
  <si>
    <t>X-Ray (Plain Radiography - Basic,Whole Spine X-Ray(C-spine/D-spine/L-spine),Plain Radiography - Advanced,Lower Limb Scanogram,Boneage), X-Ray Procedure (Barium Study,Distal Loopogram / Fistulogram / Gastrograffin,HSG,IVP,MCUG,RGU,T-Tube Cholangiogram), Mammography, USG (Basic,Doppler Studies,Thyroid,Scrotum USG,Breast USG,Tiffa,MSK USG,USG Guided FNAC,USG Guided Aspiration,Breast Biopsy), CT (Brain,PNS,Orbits,Temporal Bone,Neck,KUB,Spine,Chest,Abdomen,3D CT,CT Angiography,Coronary CT,CT Perfusion,CT Screening,Bronchoscopy / Colonoscopy)</t>
  </si>
  <si>
    <t>Dr.Alka Chengapa</t>
  </si>
  <si>
    <t>CT (Brain,PNS,Orbits,Temporal Bone,Neck,KUB,Spine,Chest,Abdomen,3D CT,CT Angiography,Bronchoscopy / Colonoscopy)</t>
  </si>
  <si>
    <t>Government Medical College, Jabalpur</t>
  </si>
  <si>
    <t>MBBS, MD Radiology</t>
  </si>
  <si>
    <t>alkachengapa@gmail.com</t>
  </si>
  <si>
    <t>D1118519</t>
  </si>
  <si>
    <t>Dr.D Mithun Reddy</t>
  </si>
  <si>
    <t>Basic USG, Tiffa, Penile Doppler/TRUS,  Guided Procedures, Basic CT, All Angios, Basic MRI, MSK,  X Ray, Plain Radiology, Mammography, IVP, RGU, MCGU, Barium Swallow, Barium Anema, HSG</t>
  </si>
  <si>
    <t>B.M. Patil Medical College</t>
  </si>
  <si>
    <t>B.K Shah Medical Institute</t>
  </si>
  <si>
    <t>9313089301/9510646822</t>
  </si>
  <si>
    <t>drmithinreddy21@gmail.com</t>
  </si>
  <si>
    <t>D1121370</t>
  </si>
  <si>
    <t>Dr.Pranaya Reddy Ennam</t>
  </si>
  <si>
    <t>LBNagar - 87</t>
  </si>
  <si>
    <t>X-Ray (Plain Radiography - Basic,Whole Spine X-Ray(C-spine/D-spine/L-spine),Plain Radiography - Advanced,Lower Limb Scanogram,Boneage), X-Ray Procedure (Barium Study,HSG,IVP, MCUG,RGU), Mammography, USG (Basic, Doppler Studies, Thyroid, Scrotum USG,Breast USG,Tiffa,MSK USG,USG Guided FNAC,USG Guided Aspiration), CT (Brain,PNS, Orbits, Temporal Bone,Neck ,KUB,Spine, Chest, Abdomen,CT Angiography)</t>
  </si>
  <si>
    <t>Gandhi Medical College, Hyderabad</t>
  </si>
  <si>
    <t>ennampranaya27@gmail.com</t>
  </si>
  <si>
    <t>Dr.Nayaneni Ramya Sree</t>
  </si>
  <si>
    <t>Pragathi Nagar-89</t>
  </si>
  <si>
    <t>X-Ray (Plain Radiography - Basic,Whole Spine X-Ray(C-spine/D-spine/L-spine),Plain Radiography - Advanced,Lower Limb Scanogram,Boneage), X-Ray Procedure (Barium Study,Fistulogram / Gastrograffin,HSG,IVP,MCUG,RGU), Mammography, USG (Basic,Doppler Studies,Thyroid,Scrotum USG,Breast USG,Tiffa,MSK USG (Only Shoulder),USG Guided FNAC,USG Guided Aspiration)</t>
  </si>
  <si>
    <t>Mediciti Institute Of Medical Sciences, Ghanpur</t>
  </si>
  <si>
    <t>9866066254 / 9869181818</t>
  </si>
  <si>
    <t>ramyaraonaineni@gmail.com</t>
  </si>
  <si>
    <t>Dr.Koushiki Halder</t>
  </si>
  <si>
    <t>X-Ray(Plain Radiography - Basic, Whole Spine X-Ray(C-spine/D-spine/L-spine), Plain Radiography - Advanced,Boneage), X-Ray Procedure(Barium Study, Distal Loopogram / Fistulogram, HSG, IVP, MCUG, RGU), Mammography, USG(Basic, Doppler Studies, Thyroid, Scrotum USG, Breast USG, Tiffa, USG Guided FNAC, USG Guided Aspiration), CT(Brain, PNS, Orbits, Temporal Bone, Neck, KUB, Spine, Chest, Abdomen, 3D CT, CT Angiography, CT Screening), MRI(Brain, Spine, HIP, Knee, Shoulder, SI Joint, Epilepsy Protocol, Headache Protocol, IIH/BIH Protocol, Stroke Protocol, Vertigo Protocol, Visula Pathway Protocol, Abdomen, Fibroid Mapping, MRCP, MRI Angiography, MRI Breast, MRI Fistulogram, MRI Peripheral Angiography, MRI Urography, Neck, Pelvis, PNS, Prostate, Sella/Pituitary, Soft Tissue MRI, Spectroscopy).</t>
  </si>
  <si>
    <t>NRS Medical College and Hospital</t>
  </si>
  <si>
    <t>Government Medical College , Nagpur</t>
  </si>
  <si>
    <t>drkoushikihalder@gmail.com</t>
  </si>
  <si>
    <t>Dr. Nethi Balingari Bhavana Laxmi</t>
  </si>
  <si>
    <t>Kphb-Malaysian - 77</t>
  </si>
  <si>
    <t>X-ray (Plain Radiography-Basic,Advanced,C-Spine,D-Spine, L-Spine, Whole Spine, Boneage), X-Ray Procedure (Barium Study, Distal Loopogram/Fistulogram, HSG, IVP, MCUG, RGU), Mamography, USG (Basic, Doppler Studies, Thyroid, Scrotum USG, Breast USG, Tiffa), CT (Brain, PNS, KUB)</t>
  </si>
  <si>
    <t>Mallareddy Medical College for Women</t>
  </si>
  <si>
    <t>bhavana.lakshmi27@gmail.com</t>
  </si>
  <si>
    <t>Dr. Abhijeet</t>
  </si>
  <si>
    <t>Government Medical College, Patiala</t>
  </si>
  <si>
    <t>Muzaffarnagar Medical College and Hospital</t>
  </si>
  <si>
    <t>drabhijeetdixit@gmail.com</t>
  </si>
  <si>
    <t>Reporting  Manager</t>
  </si>
  <si>
    <t>D O J</t>
  </si>
  <si>
    <t>Contract From</t>
  </si>
  <si>
    <t>Contract To</t>
  </si>
  <si>
    <t>Next Renewal</t>
  </si>
  <si>
    <t>Additional Qualification</t>
  </si>
  <si>
    <t>MBBS/ MD Registration</t>
  </si>
  <si>
    <t>Council Name</t>
  </si>
  <si>
    <t>Valid From</t>
  </si>
  <si>
    <t>Valid To</t>
  </si>
  <si>
    <t>Contact Details</t>
  </si>
  <si>
    <t>Email</t>
  </si>
  <si>
    <t>Bank</t>
  </si>
  <si>
    <t>Account number</t>
  </si>
  <si>
    <t>IFSC Code</t>
  </si>
  <si>
    <t>PAN</t>
  </si>
  <si>
    <t>Aadhar Card</t>
  </si>
  <si>
    <t>Father Name</t>
  </si>
  <si>
    <t>Exit Date</t>
  </si>
  <si>
    <t>Date of Resignation</t>
  </si>
  <si>
    <t>Exit Reason</t>
  </si>
  <si>
    <t>Address</t>
  </si>
  <si>
    <t>Age</t>
  </si>
  <si>
    <t>Policy Company</t>
  </si>
  <si>
    <t>Indemnity Bond No</t>
  </si>
  <si>
    <t>From Date</t>
  </si>
  <si>
    <t>To Date</t>
  </si>
  <si>
    <t>DOB</t>
  </si>
  <si>
    <t>Gender</t>
  </si>
  <si>
    <t>Cluster</t>
  </si>
  <si>
    <t>Emergency Contact Number</t>
  </si>
  <si>
    <t>Dr.Vijayanand</t>
  </si>
  <si>
    <t>DGO</t>
  </si>
  <si>
    <t>West Bengal Medical Council</t>
  </si>
  <si>
    <t>UCO BANK</t>
  </si>
  <si>
    <t>20810110040126</t>
  </si>
  <si>
    <t>UCBA0002081</t>
  </si>
  <si>
    <t>CGIPS3211B</t>
  </si>
  <si>
    <t>553128910442</t>
  </si>
  <si>
    <t>PRABIR KUMAR SARKAR</t>
  </si>
  <si>
    <t>SANCHAREE APARTMENT, FLAT-2C 79 P,MAZUMDER ROAD E.K.T CIRCUS AVENUE, KOLKATA</t>
  </si>
  <si>
    <t>18-04-1979</t>
  </si>
  <si>
    <t>MALE</t>
  </si>
  <si>
    <t>Medinova</t>
  </si>
  <si>
    <t>DNB(RAD-DIAG)</t>
  </si>
  <si>
    <t>KOTAK MAHINDRA BANK</t>
  </si>
  <si>
    <t>8311913002</t>
  </si>
  <si>
    <t>KKBK0006582</t>
  </si>
  <si>
    <t>AOBPG0464R</t>
  </si>
  <si>
    <t>246844216745</t>
  </si>
  <si>
    <t>PINAKI CHANDRA GHOSH</t>
  </si>
  <si>
    <t>W/O SHIVESH SHANKER SAHAI, T4/1/5, RUCHIRA RESIDENCY, 369 PURBACHAL, KALITALA MAIN ROAD,HALTU, KOLKATA, WEST BENGAL-700078</t>
  </si>
  <si>
    <t>24-09-1981</t>
  </si>
  <si>
    <t>FEMALE</t>
  </si>
  <si>
    <t>Maharashtra Medical Council, Mumbai</t>
  </si>
  <si>
    <t>Bank of India</t>
  </si>
  <si>
    <t>005510310004546</t>
  </si>
  <si>
    <t>BKID0000055</t>
  </si>
  <si>
    <t>BFQPB9756N</t>
  </si>
  <si>
    <t>846295780489</t>
  </si>
  <si>
    <t>Janardan Lahu Borkar</t>
  </si>
  <si>
    <t>560/A/8, S V Road, Vishwanagar Nagar Parishad Vasahat, MIDC, Ratnagiri, Maharashtra-415639.</t>
  </si>
  <si>
    <t>Male</t>
  </si>
  <si>
    <t>D1123162</t>
  </si>
  <si>
    <t>Dr.Chemudupati  Bharani</t>
  </si>
  <si>
    <t>Pathology</t>
  </si>
  <si>
    <t>Consultant Pathologist and Lab Incharge</t>
  </si>
  <si>
    <t>Dr.Ramesh Kinha</t>
  </si>
  <si>
    <t>Armed Forces Medical College, Pune</t>
  </si>
  <si>
    <t>Seth G.S Medical College</t>
  </si>
  <si>
    <t>MBBS, MD Pathology</t>
  </si>
  <si>
    <t>11-38728</t>
  </si>
  <si>
    <t>Medical council Of India</t>
  </si>
  <si>
    <t>c.bharani@gmail.com</t>
  </si>
  <si>
    <t>ICICI Bank</t>
  </si>
  <si>
    <t>003201524974</t>
  </si>
  <si>
    <t>ICIC0002392</t>
  </si>
  <si>
    <t>ANGPC7881G</t>
  </si>
  <si>
    <t>699807276184</t>
  </si>
  <si>
    <t>Sunil Kumar Chemudupati</t>
  </si>
  <si>
    <t>Flat No R-603, Sr No 15P, Centria, Undri Hadapsar Road, Near Bishop Schoool, Undri, Pune City, Mohamadw, Pune, Maharashtra-411060.</t>
  </si>
  <si>
    <t>ICICI Lambord</t>
  </si>
  <si>
    <t>4021/A/395882050/00/000</t>
  </si>
  <si>
    <t>Lab</t>
  </si>
  <si>
    <t>D1120329</t>
  </si>
  <si>
    <t>Dr.Sucheta Barge</t>
  </si>
  <si>
    <t>Physician Services</t>
  </si>
  <si>
    <t>Health Care Coordinator</t>
  </si>
  <si>
    <t>Tilak Ayurved College Pune</t>
  </si>
  <si>
    <t>BAMS</t>
  </si>
  <si>
    <t>I-27119-A-1</t>
  </si>
  <si>
    <t>Maharashtra Council of Indian Medicine</t>
  </si>
  <si>
    <t>suchbarge11@gmail.com</t>
  </si>
  <si>
    <t>THE SARASWAT CO-OPERATIVE BANK LTD</t>
  </si>
  <si>
    <t>374203100003443</t>
  </si>
  <si>
    <t>SRCB0000374</t>
  </si>
  <si>
    <t>AINPB4109L</t>
  </si>
  <si>
    <t>Shivnath Bhaurao Zargad</t>
  </si>
  <si>
    <t>Flat no 203,arvind apartment,sinhgad road,near santosh hall anand nagar,pune,411051</t>
  </si>
  <si>
    <t>Female</t>
  </si>
  <si>
    <t>Physician</t>
  </si>
  <si>
    <t>D1120321</t>
  </si>
  <si>
    <t>Dr.Aditi Malpani</t>
  </si>
  <si>
    <t>Consultant Physician</t>
  </si>
  <si>
    <t>Pravara Medical College</t>
  </si>
  <si>
    <t>MMF Joshi College</t>
  </si>
  <si>
    <t>PG Dip. Geriatric Medicine</t>
  </si>
  <si>
    <t>MBBS, DNB, Diploma in General Medicine</t>
  </si>
  <si>
    <t>Not Available</t>
  </si>
  <si>
    <t>draditimalpani@gmail.com</t>
  </si>
  <si>
    <t>Axis Bank</t>
  </si>
  <si>
    <t>UTIB0000350</t>
  </si>
  <si>
    <t>AWJPS5890B</t>
  </si>
  <si>
    <t>Omprakash Ballabhdas Sickhi</t>
  </si>
  <si>
    <t>Timings constarints</t>
  </si>
  <si>
    <t>80/5, Mira Society,salisbury park,pune,411031</t>
  </si>
  <si>
    <t>20-05-1979</t>
  </si>
  <si>
    <t>Inactive</t>
  </si>
  <si>
    <t>DNB (Not Registered), PDCC</t>
  </si>
  <si>
    <t>2010/05/1694</t>
  </si>
  <si>
    <t>Axis Bank Ltd</t>
  </si>
  <si>
    <t>911010033868110</t>
  </si>
  <si>
    <t>UTIB0000104</t>
  </si>
  <si>
    <t>BQXPK9703N</t>
  </si>
  <si>
    <t>Shriram Ambadas Khisti</t>
  </si>
  <si>
    <t>flat no 705,mahti residency,kothrud,pune 411038</t>
  </si>
  <si>
    <t>UNITED INDIA INSURANCE COMPANY LIMITED</t>
  </si>
  <si>
    <t xml:space="preserve">0412002725P106950451  </t>
  </si>
  <si>
    <t>01-01-1970</t>
  </si>
  <si>
    <t>D1120330</t>
  </si>
  <si>
    <t>Dr.Prafulla Vaidya</t>
  </si>
  <si>
    <t>Yoga</t>
  </si>
  <si>
    <t>Yoga Trainer</t>
  </si>
  <si>
    <t>Diploma in Instrumentations</t>
  </si>
  <si>
    <t>N/A</t>
  </si>
  <si>
    <t>vaidyaprafulla@gmail.com</t>
  </si>
  <si>
    <t>051310100017101</t>
  </si>
  <si>
    <t>BKID0000513</t>
  </si>
  <si>
    <t>AAIPV9345F</t>
  </si>
  <si>
    <t>Madhukar Vaidya</t>
  </si>
  <si>
    <t>HDFC Bank</t>
  </si>
  <si>
    <t>50200016324788</t>
  </si>
  <si>
    <t>HDFC0000825</t>
  </si>
  <si>
    <t>AMCPP1866B</t>
  </si>
  <si>
    <t>Ganpatrao Parbatrao Patil</t>
  </si>
  <si>
    <t>flat no D3-704, sundar sanskruti,dharmavat nagar,sr no 17(p),dhayeri phata,wadgaon khurd,sinhgad road,pune-411041</t>
  </si>
  <si>
    <t>10-11-1980</t>
  </si>
  <si>
    <t>D1120344</t>
  </si>
  <si>
    <t>Dr.Prayag Varpe</t>
  </si>
  <si>
    <t>LMFHMC Chinchwad,Pune</t>
  </si>
  <si>
    <t>BHMS</t>
  </si>
  <si>
    <t>Maharashtra Council of Homeopathy</t>
  </si>
  <si>
    <t>prayagdoc@gmail.com</t>
  </si>
  <si>
    <t>HDFC0002524</t>
  </si>
  <si>
    <t>AIGPV5844B</t>
  </si>
  <si>
    <t>Arun Balshiram Varpe</t>
  </si>
  <si>
    <t>B/5,Flat no 17,sairaj residency.pimple gurav,pune 411061</t>
  </si>
  <si>
    <t>D1120324</t>
  </si>
  <si>
    <t>Dr.Madhura Gavane</t>
  </si>
  <si>
    <t>All Modalities-Sonography,Doppler,X-ray,MRI and CT scan,sonography 5 to 6 patient in one hrs</t>
  </si>
  <si>
    <t>Padamshri Dr Vittahalrao Vikhe Patil Foundation's Medical College</t>
  </si>
  <si>
    <t>DMRD</t>
  </si>
  <si>
    <t>MBBS, DNM,DMRD Radio Diagnosis</t>
  </si>
  <si>
    <t>madhuragavane@gmail.com</t>
  </si>
  <si>
    <t>037001006475</t>
  </si>
  <si>
    <t>ICIC0000370</t>
  </si>
  <si>
    <t>AVIPG8280B</t>
  </si>
  <si>
    <t>Maternity</t>
  </si>
  <si>
    <t>flat no 2 kedari niwas,418/19,somwar peth,pune 411011</t>
  </si>
  <si>
    <t>21-04-1987</t>
  </si>
  <si>
    <t>912010066563391</t>
  </si>
  <si>
    <t>UTIB0000060</t>
  </si>
  <si>
    <t>APBPR0272F</t>
  </si>
  <si>
    <t>Vinayak Redij</t>
  </si>
  <si>
    <t>404 devdutta krupa society,patwardhan baug,karve nagar,pune 411052</t>
  </si>
  <si>
    <t>2007/04/0520</t>
  </si>
  <si>
    <t>Bank of Baroda</t>
  </si>
  <si>
    <t>04470100015471</t>
  </si>
  <si>
    <t>BARB0KARVER</t>
  </si>
  <si>
    <t>BDDPD9492E</t>
  </si>
  <si>
    <t>Shivdas Hingolikar</t>
  </si>
  <si>
    <t>1004 flat no, b wing sunplanet society riverside, suncity anand nagar pune 411035</t>
  </si>
  <si>
    <t>23-04-1984</t>
  </si>
  <si>
    <t>D1120339</t>
  </si>
  <si>
    <t>Dr.Dhanashree Shenolikar</t>
  </si>
  <si>
    <t>Gyanacology</t>
  </si>
  <si>
    <t>Consultant Gyanaclogist</t>
  </si>
  <si>
    <t>Byramjee Jeejeebhoy medical College, Pune</t>
  </si>
  <si>
    <t>MBBS, DGO</t>
  </si>
  <si>
    <t>073054</t>
  </si>
  <si>
    <t>dhanashreeshenolikar@gmail.com</t>
  </si>
  <si>
    <t>Bank of Maharastra</t>
  </si>
  <si>
    <t>20084172701</t>
  </si>
  <si>
    <t>MAHB0000116</t>
  </si>
  <si>
    <t>ADFPS8061H</t>
  </si>
  <si>
    <t>Dhundiraj Gopal Parasnis</t>
  </si>
  <si>
    <t>33/33,B, prabhat road,lane 5,utsav building,pune 411004</t>
  </si>
  <si>
    <t>11-06-1971</t>
  </si>
  <si>
    <t>Gynaecology</t>
  </si>
  <si>
    <t>D1120345</t>
  </si>
  <si>
    <t>Dr.Anand Mugaonkar</t>
  </si>
  <si>
    <t>Sonography,Doppler and Fetal Echo,X-ray</t>
  </si>
  <si>
    <t>Dr Vijayanand</t>
  </si>
  <si>
    <t>Swami Ramanand Teerth Rural Medical College</t>
  </si>
  <si>
    <t>anandmugaonkar55@gmail.com</t>
  </si>
  <si>
    <t>State Bank of India</t>
  </si>
  <si>
    <t>SBIN0000255</t>
  </si>
  <si>
    <t>CNRPM9874J</t>
  </si>
  <si>
    <t>Ramrao Babarao Mugaonkar</t>
  </si>
  <si>
    <t>Separation Notice</t>
  </si>
  <si>
    <t>B1-602,rose parade,bhatnagar colony,NIBM Kondhwa,Pune-411048</t>
  </si>
  <si>
    <t>05-05-1989</t>
  </si>
  <si>
    <t>D1120343</t>
  </si>
  <si>
    <t>Dr.Farheen Rafik</t>
  </si>
  <si>
    <t>Dental</t>
  </si>
  <si>
    <t>Dentist</t>
  </si>
  <si>
    <t>Bachelors in Dental Surgery</t>
  </si>
  <si>
    <t>BDS</t>
  </si>
  <si>
    <t>A-35724</t>
  </si>
  <si>
    <t>Maharashtra State Dental Council</t>
  </si>
  <si>
    <t>farheenrafikshikalgar23@gmail.com</t>
  </si>
  <si>
    <t>The Federal Bank Limited</t>
  </si>
  <si>
    <t>21240100030151</t>
  </si>
  <si>
    <t>FDRL0002124</t>
  </si>
  <si>
    <t>KVLPS1436Q</t>
  </si>
  <si>
    <t>Rafik Abdul Shikalgar</t>
  </si>
  <si>
    <t>Personal Reasons</t>
  </si>
  <si>
    <t>sector-28,plot 76,aashiyana bunglow,nigdi pradhikaran,pune 44</t>
  </si>
  <si>
    <t>D1120326</t>
  </si>
  <si>
    <t>Dr.Naresh Kulkarni</t>
  </si>
  <si>
    <t>Consultant Pathologist</t>
  </si>
  <si>
    <t>Dr Keerthi Prakash</t>
  </si>
  <si>
    <t>MIMS</t>
  </si>
  <si>
    <t>KLE Academy of Higher Education</t>
  </si>
  <si>
    <t>MBBS, MD(pathology)</t>
  </si>
  <si>
    <t>2021/11/8251</t>
  </si>
  <si>
    <t>drnareshkulkarni@gmail.com</t>
  </si>
  <si>
    <t>50100435312687</t>
  </si>
  <si>
    <t>HDFC0003959</t>
  </si>
  <si>
    <t>DQAPK3566G</t>
  </si>
  <si>
    <t>Jaikumar Murlidharrao Kulkarni</t>
  </si>
  <si>
    <t>flat 3,ganesh niwas,near trimuti chowk behind bharti vidyapeeth,pune</t>
  </si>
  <si>
    <t>D1120342</t>
  </si>
  <si>
    <t>Dr.Prajakta Lokhande</t>
  </si>
  <si>
    <t>Symbiosis Institute of Health Sciences,Pune</t>
  </si>
  <si>
    <t>BHMS, PGDEMS</t>
  </si>
  <si>
    <t>prajulokhande21@gmail.com</t>
  </si>
  <si>
    <t>46180100012878</t>
  </si>
  <si>
    <t>BARB0KALEWA</t>
  </si>
  <si>
    <t>BIPPP8203E</t>
  </si>
  <si>
    <t>Shivaji Haribhau Pawar</t>
  </si>
  <si>
    <t>Saiyog residency,flat no 102 ,vidya nagar lane no.2 pimple gurav pune 411006</t>
  </si>
  <si>
    <t>D1120327</t>
  </si>
  <si>
    <t>Dr.Ashish Sadafale</t>
  </si>
  <si>
    <t>Microbiology</t>
  </si>
  <si>
    <t xml:space="preserve">Consultant Microbiologist </t>
  </si>
  <si>
    <t>Dr.Kotla Keerthi Prakash</t>
  </si>
  <si>
    <t>NDMVP Samaj's Medical College, Adgaon,Nashik</t>
  </si>
  <si>
    <t>Byramjee Jeejeebhoy &lt;edical College, Pune</t>
  </si>
  <si>
    <t>MBBS, MD Microbiology</t>
  </si>
  <si>
    <t>2006/03/1485</t>
  </si>
  <si>
    <t>drashish84@gmail.com</t>
  </si>
  <si>
    <t>912010003674324</t>
  </si>
  <si>
    <t>UTIB0000073</t>
  </si>
  <si>
    <t>BXEPS8720H</t>
  </si>
  <si>
    <t>Ashokrao Parashramji Sadafale</t>
  </si>
  <si>
    <t>flat no 204,emeraid building ,nyati empire kharadi,pune 411014</t>
  </si>
  <si>
    <t>D1120483</t>
  </si>
  <si>
    <t>Dr.Akshatha Sunil Rao</t>
  </si>
  <si>
    <t>SDM Medical College, Dharwad</t>
  </si>
  <si>
    <t>Karnataka Medical Council</t>
  </si>
  <si>
    <t>aksha2210@gmail.com</t>
  </si>
  <si>
    <t>AU Small Finance Bank</t>
  </si>
  <si>
    <t>2211252443505622</t>
  </si>
  <si>
    <t>AUBL0002524</t>
  </si>
  <si>
    <t>AWSPA5116B</t>
  </si>
  <si>
    <t>Haraprasad Thudiyadka</t>
  </si>
  <si>
    <t>E-206,gini sanskruti soc,handewadi road,near ganga village,hadapsar,pune 411028</t>
  </si>
  <si>
    <t>D1120484</t>
  </si>
  <si>
    <t>Sr Consultant - Pathologist &amp; Lab Incharge</t>
  </si>
  <si>
    <t>CAIMS,Karimnagar</t>
  </si>
  <si>
    <t>2024/07/5600</t>
  </si>
  <si>
    <t>keerthidoc@live.com</t>
  </si>
  <si>
    <t>BKID0005627</t>
  </si>
  <si>
    <t>CLJPK0385C</t>
  </si>
  <si>
    <t>Kotla Laxma Reddy</t>
  </si>
  <si>
    <t>Notice Issued</t>
  </si>
  <si>
    <t>32/1,maidan road,ordance estate,khadki,411003</t>
  </si>
  <si>
    <t>D1120328</t>
  </si>
  <si>
    <t>Dr.Mihir Mohan Vaidya</t>
  </si>
  <si>
    <t>09:30 and 20:15</t>
  </si>
  <si>
    <t>10:30 and 21:15</t>
  </si>
  <si>
    <t>Histopathology</t>
  </si>
  <si>
    <t>Consultant Histopathologist</t>
  </si>
  <si>
    <t>Mahatma Gandhi Mission's Medical College, Kamothe, Navi Mumbai</t>
  </si>
  <si>
    <t>Fellowship Course in Neuropathology - 2018(Seth GS Medical College-KEM Hospital,Parel,Mumbai), Diplomateship of The Royal College of Pathologists - Histopathology - 2023</t>
  </si>
  <si>
    <t>MBBS,MD(Pathology)</t>
  </si>
  <si>
    <t>drmihirvaidyanp@gmail.com</t>
  </si>
  <si>
    <t>03591530002549</t>
  </si>
  <si>
    <t>HDFC0000359</t>
  </si>
  <si>
    <t>AHAPV4425F</t>
  </si>
  <si>
    <t>Mohan Ramchandra Vaidya</t>
  </si>
  <si>
    <t>Personal reasons</t>
  </si>
  <si>
    <t>shree gurudatta bangla no 3,vivekanand society,near treasure park,santnagar,parvati,pune 411009</t>
  </si>
  <si>
    <t>2019/05/4132</t>
  </si>
  <si>
    <t>50100597197313</t>
  </si>
  <si>
    <t>HDFC0009317</t>
  </si>
  <si>
    <t>FAUPS9785R</t>
  </si>
  <si>
    <t>Manik Shete</t>
  </si>
  <si>
    <t>flat no-2,C-wing,phase-2,shivnagari society,beside medplus pharmacy,kanifnath colony,sasane nagar,Hadapsar,Pune</t>
  </si>
  <si>
    <t>20211916399</t>
  </si>
  <si>
    <t>SBIN0003472</t>
  </si>
  <si>
    <t>BLDPP5978B</t>
  </si>
  <si>
    <t>Jayawant Patil</t>
  </si>
  <si>
    <t>AIP Nerle,Tal-Walawa Dist-Sangli 415406</t>
  </si>
  <si>
    <t>ICICI Lombard</t>
  </si>
  <si>
    <t>4021/A/393083160/00/000</t>
  </si>
  <si>
    <t>D1120966</t>
  </si>
  <si>
    <t>Dr.Shruti Bhikulal Bajaj</t>
  </si>
  <si>
    <t>Datta Meghe Institute of Medical Sciences, Wardha, Maharashtra</t>
  </si>
  <si>
    <t>MD, Datta Meghe Institute of Medical Sciences, Wardha, Maharashtra</t>
  </si>
  <si>
    <t>MBBS, MD</t>
  </si>
  <si>
    <t>dr.shrutibajaj@gmail.com</t>
  </si>
  <si>
    <t>50100652888812</t>
  </si>
  <si>
    <t>HDFC0005909</t>
  </si>
  <si>
    <t>BTKPB4418D</t>
  </si>
  <si>
    <t>Bhikulal Bajaj</t>
  </si>
  <si>
    <t>Relocation</t>
  </si>
  <si>
    <t>no.54, the park residency khare town,dharampeth,nagpur 440010</t>
  </si>
  <si>
    <t>DNB(Radiodiagnosis) 2021, EDIR 2023</t>
  </si>
  <si>
    <t>039301561363</t>
  </si>
  <si>
    <t>ICIC0000393</t>
  </si>
  <si>
    <t>BIPPD6335R</t>
  </si>
  <si>
    <t>Rajendra Mahadev Desai</t>
  </si>
  <si>
    <t>Flat No DFF4,block D,Leandra Heritage,Opp KTC bus stand,Madel Margao,District Gao 403601</t>
  </si>
  <si>
    <t>4021/A/376285142/00/000</t>
  </si>
  <si>
    <t>D1120154</t>
  </si>
  <si>
    <t>Dr.Anupa Bhargav</t>
  </si>
  <si>
    <t>Opthalmologist</t>
  </si>
  <si>
    <t>Consultant Opthalmologist</t>
  </si>
  <si>
    <t>A.C.P.M Medical college,dhule jalgaon</t>
  </si>
  <si>
    <t>DOMS(CPS) conwest Jain Clinic and EYE Hospital,Mumbai</t>
  </si>
  <si>
    <t>M.B.B.S., Dip. Ophth. Med. &amp; Surg</t>
  </si>
  <si>
    <t> 28-02-2027</t>
  </si>
  <si>
    <t>dr.acbhargav@yahoo.com</t>
  </si>
  <si>
    <t>051310100018295</t>
  </si>
  <si>
    <t>AQPPB3639R</t>
  </si>
  <si>
    <t>Ashok Narayan Basrur</t>
  </si>
  <si>
    <t>no.15,shri vishwabhar,vrindavan society,sahakar nagar no.2,opp vinayak driving school,parvati pune 411009</t>
  </si>
  <si>
    <t>Opthalmology</t>
  </si>
  <si>
    <t>IndusInd Bank</t>
  </si>
  <si>
    <t>157410063644</t>
  </si>
  <si>
    <t>INDB0001664</t>
  </si>
  <si>
    <t>ARIPT0967C</t>
  </si>
  <si>
    <t>Narayana Naganna Totawar</t>
  </si>
  <si>
    <t>Sadhana Nagar,near Hanuman Mandir,degloor,Nanded 431717</t>
  </si>
  <si>
    <t>D1121539</t>
  </si>
  <si>
    <t>Dr.Sneha More Ankush Rao</t>
  </si>
  <si>
    <t>X-Ray(Plain Radiography-Basic, Advanced), Mammography, USG (Basic, Doppler Studies, Thyroid/Scrotum USG.Breast USG,MSk USG,USG Guided FNAC,USG Guided Trucut biopsy,USG Guided aspiration,Breast blopsy,TRUS guided Blospy),CT(Basic, Chest/Abdomen/Neck,3DCT,CT Angiography,Virtual Bronchoscopy,CT  Perfusion,CT guided Biospy),MRI (Basic, MSK Studies-Knee/Shoulder, MSK Studies-Wrist Ankle,MR Perfusion,MR Tractrography,Functional MRI,MR Defecography,MRI MRCP/Abdomen/Liver, MR Prostate/Rectum,MR cartigram,MRI TM Joints,MRI Enterography),Special Procedures (IVP, RGU, MCUG, Barium Swallow, Barium Enema, HSG)</t>
  </si>
  <si>
    <t>Grant Medical College Mumbai</t>
  </si>
  <si>
    <t>Vikhe Patil Medical college,Ahmadnagar</t>
  </si>
  <si>
    <t>MD-radio Diagnosis</t>
  </si>
  <si>
    <t>snehaankushmore@gmail.com</t>
  </si>
  <si>
    <t>003601563964</t>
  </si>
  <si>
    <t>ICIC0000581</t>
  </si>
  <si>
    <t>COLPM9473C</t>
  </si>
  <si>
    <t>Ankushrao Damodar More</t>
  </si>
  <si>
    <t>personal reasons</t>
  </si>
  <si>
    <t>904,B wing,Nancy Lake Homes,Opp Bharti Vidyapeeth,Katraj,Pune 411046</t>
  </si>
  <si>
    <t>D1121719</t>
  </si>
  <si>
    <t>Dr.Ruchita Prakash Yadav</t>
  </si>
  <si>
    <t>Tambav state university,Tambav,Russia</t>
  </si>
  <si>
    <t>2022/03/0565</t>
  </si>
  <si>
    <t>yruchu14@gmail.com</t>
  </si>
  <si>
    <t>HDFC0001796</t>
  </si>
  <si>
    <t>AYIPY8901C</t>
  </si>
  <si>
    <t>Prakash Balraj Yadav</t>
  </si>
  <si>
    <t>177/78,near ayyappa temple,rasta peth,pune,maharashtra 411011</t>
  </si>
  <si>
    <t>BARB0VJRAJS</t>
  </si>
  <si>
    <t>BBZPP8967Q</t>
  </si>
  <si>
    <t>Vijay Lakhmichand Phulphagar</t>
  </si>
  <si>
    <t>B-1,flat no.4,Kumar Aangan,Airport Road,Opposite Neeta Park,Yerwada 411006</t>
  </si>
  <si>
    <t>College of Physician and Surgeons of Bombay</t>
  </si>
  <si>
    <t xml:space="preserve"> 2002/02/0727</t>
  </si>
  <si>
    <t>SBIN0011698</t>
  </si>
  <si>
    <t>AIIPJ3521B</t>
  </si>
  <si>
    <t>flat no.2,B bulding,ganesh garden opp sugandha lawns,bibewadi,market yard,pune 411037</t>
  </si>
  <si>
    <t>THE NEW INDIA ASSURANCE CO. LTD. (Government of India Undertaking)</t>
  </si>
  <si>
    <t>15280136240400000036</t>
  </si>
  <si>
    <t>DNB Delhi</t>
  </si>
  <si>
    <t>2014/06/3064</t>
  </si>
  <si>
    <t> 27-06-2029</t>
  </si>
  <si>
    <t>ICIC0004908</t>
  </si>
  <si>
    <t>BHOPP6095G</t>
  </si>
  <si>
    <t>annasaheb sonusingh patil nagar,225,chalisgaon,jalgaon 424101</t>
  </si>
  <si>
    <t>D1122036</t>
  </si>
  <si>
    <t>Dr.Snehal Nilesh Jadhav</t>
  </si>
  <si>
    <t>Ruby hall Clinic,Pune</t>
  </si>
  <si>
    <t>BHMS, PGDMS</t>
  </si>
  <si>
    <t xml:space="preserve"> snehal.nalawade90@gmail.com</t>
  </si>
  <si>
    <t>Kotak Mahindra Bank</t>
  </si>
  <si>
    <t>KKBK0007466</t>
  </si>
  <si>
    <t>AXAPJ4678A</t>
  </si>
  <si>
    <t>Suresh Nalawade</t>
  </si>
  <si>
    <t>724,C/2/9,SHANTAI BUNGLOW RAJMUDRA SOCIETY,DHANKAWDI,PUNE CITY,PUNE 411043</t>
  </si>
  <si>
    <t>D1122032</t>
  </si>
  <si>
    <t>Dr.Supriya Ulhas Patil</t>
  </si>
  <si>
    <t>Seth G.S.Medical College and K.E.M. Hospital,Mumbai</t>
  </si>
  <si>
    <t>Byramjee Jijibhoy Medical College,Pune</t>
  </si>
  <si>
    <t>MBBS, MD (Pharmacology)</t>
  </si>
  <si>
    <t xml:space="preserve"> 2008/11/3767</t>
  </si>
  <si>
    <t>drsupriyap11@gmail.com</t>
  </si>
  <si>
    <t>HDFC0004359</t>
  </si>
  <si>
    <t>AVJPP3194N</t>
  </si>
  <si>
    <t>room no.03,rushiraj riverside,chaitanya nagar,gangapur road,nashik 422222</t>
  </si>
  <si>
    <t>D1122284</t>
  </si>
  <si>
    <t>Dr.Aishwarya Parekh</t>
  </si>
  <si>
    <t>PH-AMBEGAON-623</t>
  </si>
  <si>
    <t>X-Ray ( Plain Radiography- Basic, Advanced), USG (Basic, Doppler Studies, Thyroid/Scrotum USG, Breast USG, TIFFA)</t>
  </si>
  <si>
    <t>Smt.Kashibai Navale Medical College &amp; general hospital, Ambegaon</t>
  </si>
  <si>
    <t>The College of Physician and Surgeons of Mumbai</t>
  </si>
  <si>
    <t>2018/10/5371</t>
  </si>
  <si>
    <t>parekhaishwarya10@gmail.com</t>
  </si>
  <si>
    <t>919010029846458</t>
  </si>
  <si>
    <t>UTIB0000654</t>
  </si>
  <si>
    <t>BQXPP7113F</t>
  </si>
  <si>
    <t>839527264306</t>
  </si>
  <si>
    <t>Umesh Shankar Parekh</t>
  </si>
  <si>
    <t>ND-42, P-8/5, Hudco, New Nanded Kautha Nanded Maharashtra - 431603.</t>
  </si>
  <si>
    <t>N.B.E. New Delhi</t>
  </si>
  <si>
    <t>ICIC0001136</t>
  </si>
  <si>
    <t>ASWPG6657M</t>
  </si>
  <si>
    <t>flat no-02, Bldg no.27,hermas paras co-op housing society,kalyaninagar,pune-411006</t>
  </si>
  <si>
    <t xml:space="preserve"> 15250036250400000011</t>
  </si>
  <si>
    <t>Dr.Shivani Jha</t>
  </si>
  <si>
    <t>Lady Hardinge Medical College,New Delhi</t>
  </si>
  <si>
    <t>MD Pathology</t>
  </si>
  <si>
    <t>DMC/R/19508</t>
  </si>
  <si>
    <t>DELHI MEDICAL COUNCIL</t>
  </si>
  <si>
    <t>shivani4jha@gmail.com</t>
  </si>
  <si>
    <t>BBSP5856K</t>
  </si>
  <si>
    <t>Girish Chandra Jha</t>
  </si>
  <si>
    <t>F.No-603,Sec 28,Pocket-Gh 2,Baghban Appartment,Sector 28,Rohini New Delhi-110042</t>
  </si>
  <si>
    <t>D1122620</t>
  </si>
  <si>
    <t>Dr.Nita Motale</t>
  </si>
  <si>
    <t>D.K.M.M. College,Aurangabad</t>
  </si>
  <si>
    <t xml:space="preserve"> neetamotale@gmail.com</t>
  </si>
  <si>
    <t>MAHB0000851</t>
  </si>
  <si>
    <t>BOEPD0564H</t>
  </si>
  <si>
    <t>Narayan Gangadhar Motale</t>
  </si>
  <si>
    <t>Railway station road,sahakar bank coloni, ahankar devalgaon jalna 431203</t>
  </si>
  <si>
    <t>D1122621</t>
  </si>
  <si>
    <t>Dr.Yogesh Gavandi</t>
  </si>
  <si>
    <t>Consaltant - Pathologist</t>
  </si>
  <si>
    <t>LTMMC,Sion Hospital Mumbai</t>
  </si>
  <si>
    <t>Indira Gandhi Government Medical College,Mayo Hospital,Nagpur</t>
  </si>
  <si>
    <t>9730012265/9960512265</t>
  </si>
  <si>
    <t>yogeshgavandi@gmail.com</t>
  </si>
  <si>
    <t>05401140068757</t>
  </si>
  <si>
    <t>HDFC0000540</t>
  </si>
  <si>
    <t>AKAPG6669H</t>
  </si>
  <si>
    <t>A L W Gavandi</t>
  </si>
  <si>
    <t>B-104, bharati vihar,s n 78-gurudev datta hsg society opp PICT KATRAJ,Pune 411046</t>
  </si>
  <si>
    <t>15310036250400000141</t>
  </si>
  <si>
    <t>D1117398</t>
  </si>
  <si>
    <t>Dr.Sonal</t>
  </si>
  <si>
    <t>Kumau University ,Nainital</t>
  </si>
  <si>
    <t>Homi Bhabha National Institute ,Mumbai</t>
  </si>
  <si>
    <t>joshiishira@gmail.com</t>
  </si>
  <si>
    <t>Federal Bank</t>
  </si>
  <si>
    <t>99980124700845</t>
  </si>
  <si>
    <t>FDRL0001911</t>
  </si>
  <si>
    <t>DFNPS0160A</t>
  </si>
  <si>
    <t>271779227552</t>
  </si>
  <si>
    <t>Nagendra</t>
  </si>
  <si>
    <t>Asked to leave</t>
  </si>
  <si>
    <t>96-1, New Arya Nagar, Jail Chungi, Kila Road, Meerut, L L L R M. Med College, Meerut, Uttar Pradesh -250004.</t>
  </si>
  <si>
    <t>D1122804</t>
  </si>
  <si>
    <t>Dr.Shruti Vishwas Varpe</t>
  </si>
  <si>
    <t>DHONDUMAMA SATHE HOMOEOPATHIC MEDICAL College, Pune</t>
  </si>
  <si>
    <t>8459517891 / 8830556546</t>
  </si>
  <si>
    <t>shrutiv1008@gmail.com</t>
  </si>
  <si>
    <t>COSMOS Bank</t>
  </si>
  <si>
    <t>03205010139816</t>
  </si>
  <si>
    <t>COSB0000032</t>
  </si>
  <si>
    <t>BQIPV7964F</t>
  </si>
  <si>
    <t>Vishwas Vitthal Varpe</t>
  </si>
  <si>
    <t>S.No.161/12A, Plot No.15, Ekdanta, Savatanagri, Pune-28, Pune - Solapur Road, Near Nakshatra Garden, Hadapsar, Pune, Maharashtra-411028.</t>
  </si>
  <si>
    <t>D1122841</t>
  </si>
  <si>
    <t>Dr.Monali Anish Kadam</t>
  </si>
  <si>
    <t xml:space="preserve">	
B.S.D. Trust's Ayurved Mahavidyalaya, Wagholi(Pune)</t>
  </si>
  <si>
    <t xml:space="preserve">	
I-59667-A</t>
  </si>
  <si>
    <t xml:space="preserve">	
9307318606</t>
  </si>
  <si>
    <t>drmonaliresearch@gmail.com</t>
  </si>
  <si>
    <t>32150100012225</t>
  </si>
  <si>
    <t>BARB0KOTHRU</t>
  </si>
  <si>
    <t>EOIPK3017K</t>
  </si>
  <si>
    <t>Vilas Shamrao Takawale</t>
  </si>
  <si>
    <t>health issues</t>
  </si>
  <si>
    <t>Flat No H-401, Alaknanda Society, Shivtej Garden Road, Tejas Nagar, Kothrud PMT bus stand, Kothrud, Serviceman Colony 
Pune, Maharastra - 411038.</t>
  </si>
  <si>
    <t>2023/10/6846</t>
  </si>
  <si>
    <t>919010076726426</t>
  </si>
  <si>
    <t>UTIB0001877</t>
  </si>
  <si>
    <t>DXZPB7156M</t>
  </si>
  <si>
    <t>956423790800</t>
  </si>
  <si>
    <t>Raj Borwankar</t>
  </si>
  <si>
    <t>37/4B Ramrasad Apartment, Lane No 6, Prabhat Road, Near Lijjat Papad, Erandwane, Pune, Maharashtra- 411004.</t>
  </si>
  <si>
    <t>United India Insurance</t>
  </si>
  <si>
    <t>1622002725P107985200</t>
  </si>
  <si>
    <t>D1122830</t>
  </si>
  <si>
    <t>Dr.Saurabh Shyamsunder Patil</t>
  </si>
  <si>
    <t>Mahatma Gandhi Mission Medical College &amp; Hospital</t>
  </si>
  <si>
    <t>Dr. D Y Patil Medical College, Hospital &amp; Research Centre</t>
  </si>
  <si>
    <t>2020/05/3240</t>
  </si>
  <si>
    <t>patilsaurabh9221997@gmail.com</t>
  </si>
  <si>
    <t>Union Bank of India</t>
  </si>
  <si>
    <t>111712010000838</t>
  </si>
  <si>
    <t>UBIN0811173</t>
  </si>
  <si>
    <t>GGZPP5539L</t>
  </si>
  <si>
    <t>864644403542</t>
  </si>
  <si>
    <t>Shyamsunder Rukhmangad Patil</t>
  </si>
  <si>
    <t>H No.1 15 324, Sai Krishna Niwas Sharda Nagar, Nanded, Maharashtra - 431605.</t>
  </si>
  <si>
    <t>D1123145</t>
  </si>
  <si>
    <t>Dr.Anuradha A Pagare</t>
  </si>
  <si>
    <t>Kakasaheb Mhaske Homoeopathic Medical College &amp; Hospital</t>
  </si>
  <si>
    <t>anuradhapagare@gmail.com</t>
  </si>
  <si>
    <t>073010100375245</t>
  </si>
  <si>
    <t>BDCPP2013C</t>
  </si>
  <si>
    <t>868795436456</t>
  </si>
  <si>
    <t>Kushabhau Sakhram Jadhav</t>
  </si>
  <si>
    <t>Flat No 101, Building B-5,S No. 10/1,9/2,Daisy Nyati Meadows, Wadgaonsheri Pune, Maharashtra - 411014.</t>
  </si>
  <si>
    <t>D1123011</t>
  </si>
  <si>
    <t>Dr.Rishab Kumar Mittal</t>
  </si>
  <si>
    <t>B J Government Medical College</t>
  </si>
  <si>
    <t>2024/10/9239</t>
  </si>
  <si>
    <t>rishabkmittal007@gmail.com</t>
  </si>
  <si>
    <t>Punjab National bank</t>
  </si>
  <si>
    <t>0386000107098392</t>
  </si>
  <si>
    <t>PUNB0038600</t>
  </si>
  <si>
    <t>FHGPM2806E</t>
  </si>
  <si>
    <t>447849481920</t>
  </si>
  <si>
    <t>Rajesh Kumar Mittal</t>
  </si>
  <si>
    <t>A-9B Wing Ganga Park Pingle Vasti Mundhva Road, Pune City, Mundhva Av, Pune City, Pune, Maharashtra - 411036.</t>
  </si>
  <si>
    <t>STATE BANK OF INDIA</t>
  </si>
  <si>
    <t>20308216912</t>
  </si>
  <si>
    <t>SBIN0011667</t>
  </si>
  <si>
    <t>BSIPG9814R</t>
  </si>
  <si>
    <t>831166665626</t>
  </si>
  <si>
    <t>Suresh Gaddam</t>
  </si>
  <si>
    <t>17-1-391/V/66, Saraswathi Nagar, Near Saeaswathi Shishu Mandir, Saidabad, Hyderabad, Telangana- 500059.</t>
  </si>
  <si>
    <t>APMC/FMR/93708</t>
  </si>
  <si>
    <t>Telangana State Medical Council</t>
  </si>
  <si>
    <t>13210025051554</t>
  </si>
  <si>
    <t>UBIN0801321</t>
  </si>
  <si>
    <t>ADXPA0529J</t>
  </si>
  <si>
    <t>920840035922</t>
  </si>
  <si>
    <t>Ariyur Sivaraman Kanagasabapathy</t>
  </si>
  <si>
    <t>B-27, DD Colony, Bagh Amberpet, Amberpet, Hyderabad, Telangana-500013.</t>
  </si>
  <si>
    <t>61300036240400000127</t>
  </si>
  <si>
    <t>Himayathnagar Cluster</t>
  </si>
  <si>
    <t>V1101850</t>
  </si>
  <si>
    <t>Dr.D V P R Vittal</t>
  </si>
  <si>
    <t>Microbiology &amp; Serology</t>
  </si>
  <si>
    <t>Consultant  &amp; HOD</t>
  </si>
  <si>
    <t>HMC/12337</t>
  </si>
  <si>
    <t>vittaldittakavi@gmail.com</t>
  </si>
  <si>
    <t>52199546080</t>
  </si>
  <si>
    <t>SBIN0020269</t>
  </si>
  <si>
    <t>AFZPD7029L</t>
  </si>
  <si>
    <t>346858157372</t>
  </si>
  <si>
    <t>Venkata Narayana Dittakavi</t>
  </si>
  <si>
    <t>Plot No-107, SBI officers colony, Moosarambagh, Malakpet, Hyderabad, Telangana - 500036.</t>
  </si>
  <si>
    <t>V1101846</t>
  </si>
  <si>
    <t>Dr.Prashant Galada</t>
  </si>
  <si>
    <t>10:30:00</t>
  </si>
  <si>
    <t>Cardiology</t>
  </si>
  <si>
    <t>Consultant Cardiologist</t>
  </si>
  <si>
    <t>Rostov State Medical University</t>
  </si>
  <si>
    <t>Indira Gandhi Medical College and Hospital, Nagpur, Maharahtra</t>
  </si>
  <si>
    <t>MBBS, PG Dip.in Clinical Radiology</t>
  </si>
  <si>
    <t>MCI-15974</t>
  </si>
  <si>
    <t>Medical Council Of India</t>
  </si>
  <si>
    <t>MCI</t>
  </si>
  <si>
    <t>prashantgalada76@gmail.com</t>
  </si>
  <si>
    <t>744010112059</t>
  </si>
  <si>
    <t>KKBK0007530</t>
  </si>
  <si>
    <t>AIFPG8277L</t>
  </si>
  <si>
    <t>3115597836156</t>
  </si>
  <si>
    <t>Polt no : 50 Row house number :2 Royal Enclave Hasmath peat mono Vikas nagar ,Old Bowenpally, Secunderabad,BowenPally, Hyderabad Telangana-500011</t>
  </si>
  <si>
    <t>National Insurance</t>
  </si>
  <si>
    <t>550200492510000320</t>
  </si>
  <si>
    <t>A.S. Rao Nagar Cluster</t>
  </si>
  <si>
    <t>V1101839</t>
  </si>
  <si>
    <t>Dr.Baleswari Golla</t>
  </si>
  <si>
    <t>NR Pet 1-Krnl - 80</t>
  </si>
  <si>
    <t>Sri venkateshwara College</t>
  </si>
  <si>
    <t>Andhra Pradesh Medical Council</t>
  </si>
  <si>
    <t>eswarigolla@gmail.com</t>
  </si>
  <si>
    <t>137910025000768</t>
  </si>
  <si>
    <t>UBIN0813796</t>
  </si>
  <si>
    <t>AFTPG3145A</t>
  </si>
  <si>
    <t>431188143062</t>
  </si>
  <si>
    <t>Yellaiah Golla</t>
  </si>
  <si>
    <t>H no:87/1179 Nagireddy Revenue colony Bharathamatha Temple Kallur Mandlam KNL-camp-B Kurnool Andhra pradesh- 518002</t>
  </si>
  <si>
    <t>4021/A/411681244/00/000</t>
  </si>
  <si>
    <t>Kurnool Cluster</t>
  </si>
  <si>
    <t>APMC/FMR/89174</t>
  </si>
  <si>
    <t>20201554741</t>
  </si>
  <si>
    <t>ICIC0000186</t>
  </si>
  <si>
    <t>AKAPG1366K</t>
  </si>
  <si>
    <t>740353388507</t>
  </si>
  <si>
    <t>G Sastry</t>
  </si>
  <si>
    <t>Flat 401, Vaishnavi Exotica Apartment street  No 03, kakathiya Nagar, Habsiguda, Hyderabad, Telangana 500007</t>
  </si>
  <si>
    <t>4166/369224939/00/000</t>
  </si>
  <si>
    <t>Dilshuknagar Cluster</t>
  </si>
  <si>
    <t>V1101648</t>
  </si>
  <si>
    <t>Dr.Santosh Kumar Nandigam</t>
  </si>
  <si>
    <t>Gamma Camera</t>
  </si>
  <si>
    <t>Nuclear Medicine</t>
  </si>
  <si>
    <t>Consultant Nuclear Medicine</t>
  </si>
  <si>
    <t>Tata Memorial Hospital</t>
  </si>
  <si>
    <t>MBBS, Diploma in Radiation Medicine</t>
  </si>
  <si>
    <t>santosh2003vizag@gmail.com</t>
  </si>
  <si>
    <t>30620528602</t>
  </si>
  <si>
    <t>SBIN0006846</t>
  </si>
  <si>
    <t>ATDPN3310J</t>
  </si>
  <si>
    <t>333018182746</t>
  </si>
  <si>
    <t>N Bhakthavatsalam Patnaik</t>
  </si>
  <si>
    <t>49-54-4/3 Balayyasastry Layout  visakhapatnam (Urban) P$T Colony(VM),visakhapatnam Andhra Pradesh -530013</t>
  </si>
  <si>
    <t>4021/A/293587813/02/000</t>
  </si>
  <si>
    <t>Visakhapatnam Cluster</t>
  </si>
  <si>
    <t>912010026117077</t>
  </si>
  <si>
    <t>UTIB0001134</t>
  </si>
  <si>
    <t>BIBPP7966E</t>
  </si>
  <si>
    <t>392372442596</t>
  </si>
  <si>
    <t>Prabhala Satyanarayana Murthi</t>
  </si>
  <si>
    <t>Flat No. 302, Jubileemedows, Alkapuri Colony, Road No 2, RK Puram, Saroornagar, KV Rangareddy-500035.</t>
  </si>
  <si>
    <t>4161/373180524/00/000</t>
  </si>
  <si>
    <t>Indian Overseas Bank</t>
  </si>
  <si>
    <t>157001000002950</t>
  </si>
  <si>
    <t>IOBA0001570</t>
  </si>
  <si>
    <t>ATTPA2360D</t>
  </si>
  <si>
    <t>834341155760</t>
  </si>
  <si>
    <t>Alluri RavindranadhaRaju</t>
  </si>
  <si>
    <t>8-2-293/82/BE/26,Navaniraman Nagar Jubilee Hills Hyderabad,Telangana, 500033</t>
  </si>
  <si>
    <t>APMC/FMR/77790</t>
  </si>
  <si>
    <t>25301000007223</t>
  </si>
  <si>
    <t>HDFC0002530</t>
  </si>
  <si>
    <t>ABLPM9808J</t>
  </si>
  <si>
    <t>931651127826</t>
  </si>
  <si>
    <t>Mohammed Abdul Jabbar</t>
  </si>
  <si>
    <t>H.No-5-1-138, Jabbar Road, Korutla Mandal, Koratla, Karim Nagar, Telangana-505326.</t>
  </si>
  <si>
    <t>TSMC/FMR/07900</t>
  </si>
  <si>
    <t>651930006194</t>
  </si>
  <si>
    <t>HDFC0000065</t>
  </si>
  <si>
    <t>AHMPV2226L</t>
  </si>
  <si>
    <t>345410307568</t>
  </si>
  <si>
    <t>Hanumant Rao</t>
  </si>
  <si>
    <t xml:space="preserve">#223 Vidyanagar Gulbarga Hirapur Gulbarga Karnataka 585103 </t>
  </si>
  <si>
    <t>4021/A/294062705/00/000</t>
  </si>
  <si>
    <t>TSMC/FMR/08101</t>
  </si>
  <si>
    <t>50100249477442</t>
  </si>
  <si>
    <t>HDFC0000521</t>
  </si>
  <si>
    <t>ACVPJ9333J</t>
  </si>
  <si>
    <t>551284294733</t>
  </si>
  <si>
    <t>Govindkumar Shankarlal Rawat</t>
  </si>
  <si>
    <t>3/129 49/D-1Flat No202 Krishna Residency,Road No 12, Banjara hills, Khairatabad, Banjara Hills,Hyderabad,Telangana,500034</t>
  </si>
  <si>
    <t>THE NEW INDIA ASSURANCE CO. LTD. (Government of India Undertaking</t>
  </si>
  <si>
    <t>61010036240400000143</t>
  </si>
  <si>
    <t>Madhapur Cluster</t>
  </si>
  <si>
    <t>03751070042684</t>
  </si>
  <si>
    <t>HDFC0000375</t>
  </si>
  <si>
    <t>CLSPS8901H</t>
  </si>
  <si>
    <t>690570499043</t>
  </si>
  <si>
    <t>Sriramineni Tegra</t>
  </si>
  <si>
    <t>Villa-140, Ramky Pearl,Satavahana Nagar, Tirumalagiri, Hyderabad,Telangana-500072</t>
  </si>
  <si>
    <t>THE NEW INDIA ASSURANCE CO. LTD</t>
  </si>
  <si>
    <t>61190036250400000041</t>
  </si>
  <si>
    <t>Kukatpally Cluster</t>
  </si>
  <si>
    <t>APMC/FMR/90519</t>
  </si>
  <si>
    <t>16291000009691</t>
  </si>
  <si>
    <t>HDFC0001629</t>
  </si>
  <si>
    <t>BMDPS7343N</t>
  </si>
  <si>
    <t>Flat 205 Plot:56 Yashoda Brindavan Huda Enclave Jubilee Hills Shaikpet Film Nagar, Hyderabad Telangana-500096</t>
  </si>
  <si>
    <t xml:space="preserve">61010036240400000141 </t>
  </si>
  <si>
    <t>APMC/FMR/76496</t>
  </si>
  <si>
    <t>32419456122</t>
  </si>
  <si>
    <t>SBIN0000754</t>
  </si>
  <si>
    <t>BHLPK4734Q</t>
  </si>
  <si>
    <t>396250815570</t>
  </si>
  <si>
    <t>K Appala Naidu</t>
  </si>
  <si>
    <t>92-93,Teachera colony ,UMA Mahal,Back, Pathapatnam,Srikakulam, Dist Andhara Pradesh  532213</t>
  </si>
  <si>
    <t>4021/A/369027838/00/000</t>
  </si>
  <si>
    <t>20103582845</t>
  </si>
  <si>
    <t>SBIN0002728</t>
  </si>
  <si>
    <t>AGMPR6625A</t>
  </si>
  <si>
    <t>829592807282</t>
  </si>
  <si>
    <t>Shaik Babu</t>
  </si>
  <si>
    <t>141/B, Raghuraj Nilayam, Balkampet, Hyderabad - 500016</t>
  </si>
  <si>
    <t>4021/A/385001562/00/000</t>
  </si>
  <si>
    <t>V1101829</t>
  </si>
  <si>
    <t>Dr.Vijayalakshmi Juturu</t>
  </si>
  <si>
    <t>Consultant Microbiologist</t>
  </si>
  <si>
    <t>Nagpur University</t>
  </si>
  <si>
    <t>drvijayalakshmi76@gmail.com</t>
  </si>
  <si>
    <t>10624847669</t>
  </si>
  <si>
    <t>SBIN0003185</t>
  </si>
  <si>
    <t>AISPJ0419L</t>
  </si>
  <si>
    <t>392171121230</t>
  </si>
  <si>
    <t>J C Veerappa</t>
  </si>
  <si>
    <t>Flat NO:310 Parthasarathi Towers Ganesh nagar-2 Kurnool,Andhra Pradesh-518001</t>
  </si>
  <si>
    <t>112201504433</t>
  </si>
  <si>
    <t>ICIC0001122</t>
  </si>
  <si>
    <t>AXCPG1167B</t>
  </si>
  <si>
    <t>Gundrati Raman Goud</t>
  </si>
  <si>
    <t>H.No:7-70-25, Maheshwari Nagar, Street NO:8,Habsiguda,Hyderabad, Telangana  500007</t>
  </si>
  <si>
    <t>Secunderabad Cluster</t>
  </si>
  <si>
    <t>04171000046776</t>
  </si>
  <si>
    <t>HDFC0000417</t>
  </si>
  <si>
    <t>BMFPK0381Q</t>
  </si>
  <si>
    <t>978570521451</t>
  </si>
  <si>
    <t>Kapuganty Rajajee</t>
  </si>
  <si>
    <t>14-4/2, Surya Hospital Road Collector Office Junction, Visakhapatnam(Urban),Maharanipeta,Visakhapatnam Andhra Pradesh,530002</t>
  </si>
  <si>
    <t>V1101736</t>
  </si>
  <si>
    <t>Dr.Sridharreddy Bodhireddy</t>
  </si>
  <si>
    <t>Hematology, Cytopathology, Clinical Pathology</t>
  </si>
  <si>
    <t>Dr.Sudhir Babu Karri</t>
  </si>
  <si>
    <t>AMC17023</t>
  </si>
  <si>
    <t>bsr999999@gmail.com</t>
  </si>
  <si>
    <t>501050089928</t>
  </si>
  <si>
    <t>HDFC0000050</t>
  </si>
  <si>
    <t>ADYPB1745N</t>
  </si>
  <si>
    <t>616428552326</t>
  </si>
  <si>
    <t>B Padmanabha Reddy</t>
  </si>
  <si>
    <t>49-54-6/14/3,F No-2A Bslay out, sri sai raj sadan,Visakhapatnam,Visakhapatnam(Urban),P&amp;T Colony (vm),Visakhapatnam,Andhra pradesh,530013</t>
  </si>
  <si>
    <t>APMC/FMR/88888</t>
  </si>
  <si>
    <t>50100013045270</t>
  </si>
  <si>
    <t>HDFC0000317</t>
  </si>
  <si>
    <t>AYBPP4176H</t>
  </si>
  <si>
    <t>0</t>
  </si>
  <si>
    <t>Bapurao More</t>
  </si>
  <si>
    <t xml:space="preserve">Flat No. 101,Plot No.92,Adithya Hill Paradise, Nandgiri Hills Jublee Hills, Hyderabad Telangana-500033 </t>
  </si>
  <si>
    <t>4161/411808922/00/000</t>
  </si>
  <si>
    <t>MCI/12-46087</t>
  </si>
  <si>
    <t>4801619995</t>
  </si>
  <si>
    <t>ICIC0000048</t>
  </si>
  <si>
    <t>ASIPB1445L</t>
  </si>
  <si>
    <t>278279788387</t>
  </si>
  <si>
    <t>Anil Kumar Balani</t>
  </si>
  <si>
    <t>61, Shyam Nagar, Pal Link road, Jodhpur, Nandanwan, Rajasthan-342008.</t>
  </si>
  <si>
    <t>4021/A/379519464/00/000</t>
  </si>
  <si>
    <t>V1101702</t>
  </si>
  <si>
    <t>Dr.Chada Pradeep Kumar</t>
  </si>
  <si>
    <t>Dr Panjabrao Deshmukh Memorial Medical College</t>
  </si>
  <si>
    <t>Pt B D Sharma post graduate Institute of Medical Sciences</t>
  </si>
  <si>
    <t>chadapradeepkumar@gmail.com</t>
  </si>
  <si>
    <t>334010175648</t>
  </si>
  <si>
    <t>KKBK0008362</t>
  </si>
  <si>
    <t>AHDPC6877H</t>
  </si>
  <si>
    <t>691000764108</t>
  </si>
  <si>
    <t>Chada Dasarath Ram Reddy</t>
  </si>
  <si>
    <t>H No.-1-1-258/B/405, PGR Lake View Towers, Waddepally, Warangal, Telangana-506001</t>
  </si>
  <si>
    <t>0519012725P111258788</t>
  </si>
  <si>
    <t>TS - Upcountry</t>
  </si>
  <si>
    <t>20194134078</t>
  </si>
  <si>
    <t>SBIN0011984</t>
  </si>
  <si>
    <t>FXNPS1393P</t>
  </si>
  <si>
    <t>311295278386</t>
  </si>
  <si>
    <t>Gurram Buchi Reddy</t>
  </si>
  <si>
    <t>10A and 10B, Sri Laxmi Nivas, Sri MV Nagar, Kappagal Road, Bellary, Karnataka - 583101.</t>
  </si>
  <si>
    <t>TSMC/FMR/07373</t>
  </si>
  <si>
    <t>5701539156</t>
  </si>
  <si>
    <t>ICIC0000057</t>
  </si>
  <si>
    <t>BNQPP2146C</t>
  </si>
  <si>
    <t>299742958912</t>
  </si>
  <si>
    <t>Manohar Laxmanrao Patil</t>
  </si>
  <si>
    <t>Flat No-501, Jyothi Meadow Whitefields, Near Ram Mandir, Kondapur, Sarilingampally, K V RangaReddy, Telangana-500084.</t>
  </si>
  <si>
    <t>551600492410000153</t>
  </si>
  <si>
    <t>Punjagutta Cluster</t>
  </si>
  <si>
    <t>APMC/FMR/77669</t>
  </si>
  <si>
    <t>20143654644</t>
  </si>
  <si>
    <t>SBIN0007109</t>
  </si>
  <si>
    <t>AUJPB5115A</t>
  </si>
  <si>
    <t>730922802522</t>
  </si>
  <si>
    <t>B Jayarao</t>
  </si>
  <si>
    <t>Flat No-407, C Block concrete Palazzo Apartments, Raghavendra Nagar, Behind Vyjayanthi Cinema Nacharam, Uppal, KV Rangareddy, Telangana-500076.</t>
  </si>
  <si>
    <t>4021/A/372974736/00/000</t>
  </si>
  <si>
    <t>V1101539</t>
  </si>
  <si>
    <t>Dr.Venkatasubba Reddy Yerrabandi</t>
  </si>
  <si>
    <t>MBBS,MD- General Medicine, DM - Cardiology</t>
  </si>
  <si>
    <t>AMC15717</t>
  </si>
  <si>
    <t>dryvsreddy@yahoo.co.in</t>
  </si>
  <si>
    <t>10112390657</t>
  </si>
  <si>
    <t>SBIN0010356</t>
  </si>
  <si>
    <t>AADPY7729D</t>
  </si>
  <si>
    <t>463556822997</t>
  </si>
  <si>
    <t>7-1-644/24 Fno-201,Sundar Nagar, S R Nagar, Hyderabad, Telangana - 500038</t>
  </si>
  <si>
    <t>550300492510000014</t>
  </si>
  <si>
    <t>30010100101004</t>
  </si>
  <si>
    <t>UTIB0003281</t>
  </si>
  <si>
    <t>AHMPM3906E</t>
  </si>
  <si>
    <t>328336048335</t>
  </si>
  <si>
    <t>Madan Mohan Maini</t>
  </si>
  <si>
    <t>Flat NO:103A Gayatri Grandeur Road NO 5 Vikrampuri Tirumalagiri Manovikasnagar Tirumalagiri Hyedrabad Telangana 500009</t>
  </si>
  <si>
    <t>551600492410000121</t>
  </si>
  <si>
    <t>V1101713</t>
  </si>
  <si>
    <t>Dr.Thunguturthi Sudhakar</t>
  </si>
  <si>
    <t>Biochemistry</t>
  </si>
  <si>
    <t>Consultant Biochemist</t>
  </si>
  <si>
    <t>MBBS, MD Biochemistry</t>
  </si>
  <si>
    <t>HMC/12324</t>
  </si>
  <si>
    <t>manoharmanohar44@gmail.com</t>
  </si>
  <si>
    <t>104810011004048</t>
  </si>
  <si>
    <t>UBIN0810487</t>
  </si>
  <si>
    <t>ACFPT4648A</t>
  </si>
  <si>
    <t>226909014529</t>
  </si>
  <si>
    <t>T Veeraiah</t>
  </si>
  <si>
    <t>H No:8-1-399, Katta Rampur, Near Gidda Permal temple, Katta Rampur, Karimnagar, Karimnagar, Telangana-505001</t>
  </si>
  <si>
    <t>V1101823</t>
  </si>
  <si>
    <t>Dr.Syed Shabbar Masih</t>
  </si>
  <si>
    <t>Consultant Biochemist and Lab Incharge</t>
  </si>
  <si>
    <t>drsyedshabbar@gmail.com</t>
  </si>
  <si>
    <t>20063050346</t>
  </si>
  <si>
    <t>SBIN0060339</t>
  </si>
  <si>
    <t>CIBPM6430M</t>
  </si>
  <si>
    <t>672137629022</t>
  </si>
  <si>
    <t>Syed Yousufdeein</t>
  </si>
  <si>
    <t>16-11-16/L/23, Malakpet, Amberpet, Hyderabad, Telangana - 500036.</t>
  </si>
  <si>
    <t>4161/411480854/00/000</t>
  </si>
  <si>
    <t>V1101659</t>
  </si>
  <si>
    <t>Dr.Pavani Upendram</t>
  </si>
  <si>
    <t>2 day a week</t>
  </si>
  <si>
    <t>Cytogenetics</t>
  </si>
  <si>
    <t>Consultant Cytogentics</t>
  </si>
  <si>
    <t>Sri Krishna devaraya University</t>
  </si>
  <si>
    <t>M.Sc., Ph. D - Human Medical Genetic</t>
  </si>
  <si>
    <t>0640114</t>
  </si>
  <si>
    <t>pavaniupendram@gmail.com</t>
  </si>
  <si>
    <t>30305066292</t>
  </si>
  <si>
    <t>SBIN0015780</t>
  </si>
  <si>
    <t>AAWPU2810Q</t>
  </si>
  <si>
    <t>574189467403</t>
  </si>
  <si>
    <t>Govardana Raju U A</t>
  </si>
  <si>
    <t>Plot No. 12, Road no. 19, Central Bank Colony, LB Nagar, Hayathnagar, Mansoorabad, K V Rangareddy - 500068</t>
  </si>
  <si>
    <t>TSMC/FMR/07096</t>
  </si>
  <si>
    <t>924010066933487</t>
  </si>
  <si>
    <t>UTIB0000553</t>
  </si>
  <si>
    <t>KBAPS7455A</t>
  </si>
  <si>
    <t>228996010586</t>
  </si>
  <si>
    <t>3-8-130, Plot No. 31, Chandrapuri Colony, Rd No. 5, LB Nagar, Rangareddi, Telangana - 500074</t>
  </si>
  <si>
    <t>4021/A/329527462/00/000</t>
  </si>
  <si>
    <t>V1101630</t>
  </si>
  <si>
    <t>Dr.Mohan Raju Penumatcha</t>
  </si>
  <si>
    <t>Dentistry</t>
  </si>
  <si>
    <t>Consultant Dentist</t>
  </si>
  <si>
    <t xml:space="preserve">Mamata Dental College </t>
  </si>
  <si>
    <t>Narsinhbhai Patel Dental College &amp; Hospital</t>
  </si>
  <si>
    <t>BDS, Master of Dental Surgery</t>
  </si>
  <si>
    <t>A-10115</t>
  </si>
  <si>
    <t>cogs980@gmail.com</t>
  </si>
  <si>
    <t>913010038103603</t>
  </si>
  <si>
    <t>UTIB0000027</t>
  </si>
  <si>
    <t>DJVPP0333L</t>
  </si>
  <si>
    <t>609730339206</t>
  </si>
  <si>
    <t>Penumatcha V P Raju</t>
  </si>
  <si>
    <t xml:space="preserve">  25-61-7/1A, AN Rao Nagar,Near Diffence Comunitiy Hall,East Anandbagh, Hyderabad,Hanumanpet,Rangareddi, Telangana-500047</t>
  </si>
  <si>
    <t>Reliance General insurance</t>
  </si>
  <si>
    <t>13422427160000465</t>
  </si>
  <si>
    <t>HMC9507</t>
  </si>
  <si>
    <t>110510027000180</t>
  </si>
  <si>
    <t>UBIN0811050</t>
  </si>
  <si>
    <t>ABIPT9424A</t>
  </si>
  <si>
    <t>409144208637</t>
  </si>
  <si>
    <t>Lakshmi Chand</t>
  </si>
  <si>
    <t>Flat No 203Lh 17 Manikonda Lanco hills Puppalaguda puppalaguda K.V. Rangareddy Telangana- 500089</t>
  </si>
  <si>
    <t>6137013624040000000015</t>
  </si>
  <si>
    <t>APMC/FMR/80733</t>
  </si>
  <si>
    <t>20080269344</t>
  </si>
  <si>
    <t>SBIN0003086</t>
  </si>
  <si>
    <t>ARBPC0167A</t>
  </si>
  <si>
    <t>618507906538</t>
  </si>
  <si>
    <t>Sairam C</t>
  </si>
  <si>
    <t>H. No - 16-2-836/8/A/1, Swarana Sai Hospital, Road No - 10, Madhav Nagar, Saidhabad, LIC Colony, Hyderabad, Telangana - 500059</t>
  </si>
  <si>
    <t>551600492410000093</t>
  </si>
  <si>
    <t>TSMC/FMR/11377</t>
  </si>
  <si>
    <t>50100156349039</t>
  </si>
  <si>
    <t>AYMPP5052D</t>
  </si>
  <si>
    <t>355050550347</t>
  </si>
  <si>
    <t>Suryaprasad Venkata</t>
  </si>
  <si>
    <t>Potluri Castle, 1st Floor, Above Raymond Show Room, 48-14-9, Dwarakanagar, Vishakapatnam - 530016</t>
  </si>
  <si>
    <t>4021/A/406741950/00/000</t>
  </si>
  <si>
    <t>801581011</t>
  </si>
  <si>
    <t>ICIC0000242</t>
  </si>
  <si>
    <t>ANTPB2383D</t>
  </si>
  <si>
    <t>853014440419</t>
  </si>
  <si>
    <t>Mohammed Abdul Salam</t>
  </si>
  <si>
    <t>10-2-11,11/2 11/3, maphar annexe apartment Flat No.207, AC Guards, Near Aziz function hall, Khairatabad, Telangana-500004.</t>
  </si>
  <si>
    <t>General Central Insurance</t>
  </si>
  <si>
    <t>60113142</t>
  </si>
  <si>
    <t>Santosh Nagar Cluster</t>
  </si>
  <si>
    <t>19210027901643</t>
  </si>
  <si>
    <t>UBIN0801925</t>
  </si>
  <si>
    <t>AFTPC9190F</t>
  </si>
  <si>
    <t>432952559875</t>
  </si>
  <si>
    <t>Srinivas Nursing Home,Godugupeta,Machilipatnam,DIST:Krshna, Andhra Pradesh-521001</t>
  </si>
  <si>
    <t>801654903</t>
  </si>
  <si>
    <t>ICIC0000008</t>
  </si>
  <si>
    <t>BKOPS2879E</t>
  </si>
  <si>
    <t>905245179479</t>
  </si>
  <si>
    <t>Kola Subba Rao</t>
  </si>
  <si>
    <t>Flat No-A 202, Mhalaxmi Meadows Lakidaka pool Near Cental Court Hotel Khairatabad , Khairatabad Hyderabad Telagana - 500004</t>
  </si>
  <si>
    <t>D1114615</t>
  </si>
  <si>
    <t>Dr.Mohammad Sameer Ali</t>
  </si>
  <si>
    <t>Dr.Prashanthi Enjamuri</t>
  </si>
  <si>
    <t>Siddhartha Medical Collge</t>
  </si>
  <si>
    <t>APMC/FMR/81087</t>
  </si>
  <si>
    <t>mdsameerali82@gmail.com</t>
  </si>
  <si>
    <t>Indian Bank</t>
  </si>
  <si>
    <t>6551587202</t>
  </si>
  <si>
    <t>IDIB000K021</t>
  </si>
  <si>
    <t>BMUPM4805Q</t>
  </si>
  <si>
    <t>788113964712</t>
  </si>
  <si>
    <t>Mohammad Sadiq Ali</t>
  </si>
  <si>
    <t>H No:5-6-29, Aslam Street Karimnagar, Telangana -505001</t>
  </si>
  <si>
    <t>D1114611</t>
  </si>
  <si>
    <t>Dr.Anusha Kumari</t>
  </si>
  <si>
    <t>Dr. D. Y. Patil Medical College</t>
  </si>
  <si>
    <t>National Medical Commission</t>
  </si>
  <si>
    <t>Permanent</t>
  </si>
  <si>
    <t>patrick.anusha@gmail.com</t>
  </si>
  <si>
    <t>4801615461</t>
  </si>
  <si>
    <t>ANBPK7727J</t>
  </si>
  <si>
    <t>575300456093</t>
  </si>
  <si>
    <t>Alfred Patrick</t>
  </si>
  <si>
    <t>1-5-585/2, Plot No-127, Road No-4, Vajra Enclave, Old alwal, Secunderabad, Hyderabad, Telangana - 500010.</t>
  </si>
  <si>
    <t>The Oriental Insurance Company Limited</t>
  </si>
  <si>
    <t>431300/48/2026/1246</t>
  </si>
  <si>
    <t>APMC/FMR/99451</t>
  </si>
  <si>
    <t>20305094531</t>
  </si>
  <si>
    <t>SBIN0010278</t>
  </si>
  <si>
    <t>BVTPK9118G</t>
  </si>
  <si>
    <t>574953095558</t>
  </si>
  <si>
    <t>Kosara Venkatarao</t>
  </si>
  <si>
    <t>2  months maternity leave Sep &amp; Oct req mail on 23-07-24</t>
  </si>
  <si>
    <t>31-7-81 Assam Gardens Allipuram Visakhapatnam (Urban)Dabagardens Andhra Pradesh - 530020</t>
  </si>
  <si>
    <t>D1114727</t>
  </si>
  <si>
    <t>Dr.Ashish Bajaj</t>
  </si>
  <si>
    <t>4 days in a month</t>
  </si>
  <si>
    <t>1 Hour in a day</t>
  </si>
  <si>
    <t>Dr.Panchal Vaibhavi</t>
  </si>
  <si>
    <t>Nepalgunj Medical College</t>
  </si>
  <si>
    <t>K.V.G Medical College</t>
  </si>
  <si>
    <t>Delhi Medical Council</t>
  </si>
  <si>
    <t>drbajaj03@gmail.com</t>
  </si>
  <si>
    <t>30826152351</t>
  </si>
  <si>
    <t>SBIN0011569</t>
  </si>
  <si>
    <t>AMOPB2250P</t>
  </si>
  <si>
    <t>874042632826</t>
  </si>
  <si>
    <t>Ramesh Kumar</t>
  </si>
  <si>
    <t>361/31, Near Atlantis Appartment, Tauru, Gurgaon, Haryana-122001.</t>
  </si>
  <si>
    <t>4021/A/389167897/00/000</t>
  </si>
  <si>
    <t>Haryana Cluster</t>
  </si>
  <si>
    <t>D1115079</t>
  </si>
  <si>
    <t>Dr.K Vaheda Begam</t>
  </si>
  <si>
    <t>Dr.Pakam Dinusha</t>
  </si>
  <si>
    <t>vahee.khush@gmail.com</t>
  </si>
  <si>
    <t>39950196322</t>
  </si>
  <si>
    <t>SBIN0022100</t>
  </si>
  <si>
    <t>CDGPK7116Q</t>
  </si>
  <si>
    <t>828171575287</t>
  </si>
  <si>
    <t>Kabir Dudekula</t>
  </si>
  <si>
    <t>Flat No-101, S Kuteeram, Partha Sarathy Nagar, Muthukuru road, Near Narayana Medical College, Dargamitta, Nellore, Andhra Pradesh - 524003.</t>
  </si>
  <si>
    <t>Tirupati Cluster</t>
  </si>
  <si>
    <t>34027779764</t>
  </si>
  <si>
    <t>SBIN0064032</t>
  </si>
  <si>
    <t>BUDPC7008Q</t>
  </si>
  <si>
    <t>228645856211</t>
  </si>
  <si>
    <t>Thimmayya Chaluvadi</t>
  </si>
  <si>
    <t>276, behind school, Challa Kudluru, Tasalla Kudlur, PO: Tasalakudlur, Ballari, Karnataka- 583114.</t>
  </si>
  <si>
    <t>130422527160008710</t>
  </si>
  <si>
    <t>Gulbarga Cluster</t>
  </si>
  <si>
    <t>APMC/FMR/78598</t>
  </si>
  <si>
    <t>112301508576</t>
  </si>
  <si>
    <t>ICIC0001123</t>
  </si>
  <si>
    <t>BAZPK4490E</t>
  </si>
  <si>
    <t>303308880394</t>
  </si>
  <si>
    <t>Nagilla Shiva Kumar</t>
  </si>
  <si>
    <t>1-2-25/A/505 ST-16 Domalguda Badami Gall Himayath nagar Hyderabad Telangana - 500029</t>
  </si>
  <si>
    <t>D1115589</t>
  </si>
  <si>
    <t>Dr.Aduvala Surya Teja</t>
  </si>
  <si>
    <t>Srinivas institute of Medical Sciences and research centre</t>
  </si>
  <si>
    <t>FR Muller Medical College</t>
  </si>
  <si>
    <t>TSMC/FMR/19913</t>
  </si>
  <si>
    <t>suryasoul15@gmail.com</t>
  </si>
  <si>
    <t>Canara Bank</t>
  </si>
  <si>
    <t>2392010029486</t>
  </si>
  <si>
    <t>CNRB0010239</t>
  </si>
  <si>
    <t>AXOPA3751F</t>
  </si>
  <si>
    <t>542439615825</t>
  </si>
  <si>
    <t>Srinivasa Rao Aduvala</t>
  </si>
  <si>
    <t>F-1, A C C Ind Estate, A C C , Mancherial Cement Works, adilabad, Telangana-504209.</t>
  </si>
  <si>
    <t>APMC/FMR/90194</t>
  </si>
  <si>
    <t>62123611476</t>
  </si>
  <si>
    <t>SBIN0021227</t>
  </si>
  <si>
    <t>BFOPC4201D</t>
  </si>
  <si>
    <t>344187704223</t>
  </si>
  <si>
    <t>Cheppa Narayana</t>
  </si>
  <si>
    <t>D1115967</t>
  </si>
  <si>
    <t>Dr.Savala Rajiv</t>
  </si>
  <si>
    <t>rajivsavala1985@gmail.com</t>
  </si>
  <si>
    <t>50100424672220</t>
  </si>
  <si>
    <t>HDFC0002350</t>
  </si>
  <si>
    <t>BYRPS3048G</t>
  </si>
  <si>
    <t>472175815628</t>
  </si>
  <si>
    <t>Vijaya Kumar Savala</t>
  </si>
  <si>
    <t>D.NO:- 6-1177, Ambedkar Nagar, Near Old LIC Office, Jaggayyapeta, Krishna Dist, Andhra Pradesh-521175.</t>
  </si>
  <si>
    <t>61240536240400000006</t>
  </si>
  <si>
    <t>D1115962</t>
  </si>
  <si>
    <t>Dr.Gunde Aruna Kumari</t>
  </si>
  <si>
    <t>AMC17856</t>
  </si>
  <si>
    <t>drarunagunde@gmail.com</t>
  </si>
  <si>
    <t>52043344730</t>
  </si>
  <si>
    <t>SBIN0020893</t>
  </si>
  <si>
    <t>AHGPG6699C</t>
  </si>
  <si>
    <t>395325235232</t>
  </si>
  <si>
    <t>Krishna Rao Pagalla</t>
  </si>
  <si>
    <t>6-6-455, Saheth Nagar, Karimnagar, Telangana - 505001.</t>
  </si>
  <si>
    <t>D1116222</t>
  </si>
  <si>
    <t>Dr.Mummaneni Dharan Krishna Choudary</t>
  </si>
  <si>
    <t>Shri B.M.Patil Medical College - Vijayapura, Karnataka</t>
  </si>
  <si>
    <t>TSMC/FMR/19564</t>
  </si>
  <si>
    <t>dharankrishnamummaneni@gmail.com</t>
  </si>
  <si>
    <t>50100502853612</t>
  </si>
  <si>
    <t>HDFC0000512</t>
  </si>
  <si>
    <t>EYYPM3676Q</t>
  </si>
  <si>
    <t>846330429058</t>
  </si>
  <si>
    <t>M Venu Prasad</t>
  </si>
  <si>
    <t>4-26/1 Jaganadapuram Thatukur West Godavari Andhra Pradesh - 507121</t>
  </si>
  <si>
    <t>HMC5908</t>
  </si>
  <si>
    <t>UCO Bank</t>
  </si>
  <si>
    <t>20007506339</t>
  </si>
  <si>
    <t>MAHB0000019</t>
  </si>
  <si>
    <t>ACDPA8523B</t>
  </si>
  <si>
    <t>438536947813</t>
  </si>
  <si>
    <t>Vishwanath Rao</t>
  </si>
  <si>
    <t>H No:5-1-907, Putli Bowli Gowliguda Nampally, Hyderabad Telangana-500095</t>
  </si>
  <si>
    <t>D1116522</t>
  </si>
  <si>
    <t>Dr.Naseeruddin Sheik</t>
  </si>
  <si>
    <t>Dr.Tirumala Kanakadurga Sripati</t>
  </si>
  <si>
    <t>Maharaja Institute of Medical Sciences, Vizianagaram</t>
  </si>
  <si>
    <t>NRI Medical College, Guntur</t>
  </si>
  <si>
    <t>APMC/FMR/90184</t>
  </si>
  <si>
    <t>naseermims@gmail.com</t>
  </si>
  <si>
    <t>31143651507</t>
  </si>
  <si>
    <t>SBIN0001004</t>
  </si>
  <si>
    <t>ELUPS9200K</t>
  </si>
  <si>
    <t>904005133988</t>
  </si>
  <si>
    <t>Flot No:502 Likitesh Classic,Ayyakoneru Northen Road, Dasannapeta,Vizinagaram,Vizianagaram,Andhra Pradesh-535002</t>
  </si>
  <si>
    <t>4021/A/348683868/01/000</t>
  </si>
  <si>
    <t>24401506100</t>
  </si>
  <si>
    <t>ICIC0000244</t>
  </si>
  <si>
    <t>BEXPS1580R</t>
  </si>
  <si>
    <t>768203644743</t>
  </si>
  <si>
    <t>Borelli Deva Prakash Raju</t>
  </si>
  <si>
    <t>Villa No:46,Kranti Crescent Golden Gate Yellareddy Guda Kapra Opp Hotel Sampradayam Secunderabad Hyderabad Ecil Telangana - 500062</t>
  </si>
  <si>
    <t>4021/A/342476469/00/000</t>
  </si>
  <si>
    <t>D1116661</t>
  </si>
  <si>
    <t>Dr.Kavoori Praveen</t>
  </si>
  <si>
    <t>GSL Medical College, Rajahmundry</t>
  </si>
  <si>
    <t>Rangaraya Medical College, Kakinada</t>
  </si>
  <si>
    <t>APMC/FMR/74148</t>
  </si>
  <si>
    <t>dr.praveenkavoori@gmail.com</t>
  </si>
  <si>
    <t>75870100000429</t>
  </si>
  <si>
    <t>BARB0VJKGHR</t>
  </si>
  <si>
    <t>CFWPK0315P</t>
  </si>
  <si>
    <t>380504676073</t>
  </si>
  <si>
    <t>Kavoori Satya Vasudev</t>
  </si>
  <si>
    <t>45-29-24,Sarada  Nagar, Gorakshana Peta,Water tank,Rajahmundry (urban),East Godavari,Andhra Pradesh - 533101</t>
  </si>
  <si>
    <t>D1116662</t>
  </si>
  <si>
    <t>Dr.Mathala Venkata Ramana Madhavi</t>
  </si>
  <si>
    <t>Andhra Medical College, Vizag</t>
  </si>
  <si>
    <t>drmadhavivanukuri@gmail.com</t>
  </si>
  <si>
    <t>631501516570</t>
  </si>
  <si>
    <t>ICIC0006315</t>
  </si>
  <si>
    <t>CJKPM4274P</t>
  </si>
  <si>
    <t>357282174220</t>
  </si>
  <si>
    <t>Pardhasaradhi Mathala</t>
  </si>
  <si>
    <t>36-28-8/2, Salumuru Street, Innies Peta, Rajahmundry, East Godavari, Andhra Pradesh-533101.</t>
  </si>
  <si>
    <t>APMC/FMR/77419</t>
  </si>
  <si>
    <t>50100180620310</t>
  </si>
  <si>
    <t>HDFC0000518</t>
  </si>
  <si>
    <t>BDEPK3124R</t>
  </si>
  <si>
    <t>337005700252</t>
  </si>
  <si>
    <t>Srinivasulu</t>
  </si>
  <si>
    <t>Govt.Job asking for timings change</t>
  </si>
  <si>
    <t>10/686, Bella Mundy Street, Kadapa, Andhra Pradesh-516001.</t>
  </si>
  <si>
    <t>D1116910</t>
  </si>
  <si>
    <t>Dr.Sujatha G</t>
  </si>
  <si>
    <t>KURNOOL MEDICAL COLLEGE</t>
  </si>
  <si>
    <t>AMC20679</t>
  </si>
  <si>
    <t>drgsujathareddy@gmail.com</t>
  </si>
  <si>
    <t>101000020707</t>
  </si>
  <si>
    <t>HDFC0000010</t>
  </si>
  <si>
    <t>AGSPG5700H</t>
  </si>
  <si>
    <t>579188558837</t>
  </si>
  <si>
    <t>Krishna Mohan Reddy</t>
  </si>
  <si>
    <t>3A CASA Challa Apartments,16West Mada Street,Sri nagar Colony,Saidapet,Chennai,Saidapet,Tamil Nadu,600015</t>
  </si>
  <si>
    <t>D1116917</t>
  </si>
  <si>
    <t>Dr.Ravikumar T</t>
  </si>
  <si>
    <t>Vijayanagar Institute of Medical Sciences, Bellary</t>
  </si>
  <si>
    <t>Mysore Medical College and Research Institute, Karnataka</t>
  </si>
  <si>
    <t>rkumart7@gmail.com</t>
  </si>
  <si>
    <t>54055717422</t>
  </si>
  <si>
    <t>SBIN0040984</t>
  </si>
  <si>
    <t>BAEPK7662P</t>
  </si>
  <si>
    <t>622470441592</t>
  </si>
  <si>
    <t>Tippanna Vaddar</t>
  </si>
  <si>
    <t>#101,Block C,Mars Classic Apartment,1st Main,*th Cross, Kenchenhalli,Rajarajewari Nagar,Bangalore-560098</t>
  </si>
  <si>
    <t>D1110157</t>
  </si>
  <si>
    <t>Dr.V. Jayapal Reddy</t>
  </si>
  <si>
    <t>Kakatiya Medical College, Osmaniya University</t>
  </si>
  <si>
    <t>HMC8957</t>
  </si>
  <si>
    <t>99593 28464</t>
  </si>
  <si>
    <t>drreddyvj@gmail.com</t>
  </si>
  <si>
    <t>111010011000525</t>
  </si>
  <si>
    <t>UBIN0811106</t>
  </si>
  <si>
    <t>ABLPV2465Q</t>
  </si>
  <si>
    <t>458084702770</t>
  </si>
  <si>
    <t>Vangalla Madhusudhan Reddy</t>
  </si>
  <si>
    <t>3-4-102/A,laxmi nagar,Ramanthapur,Hyderabad,Telangana-500013</t>
  </si>
  <si>
    <t>TSMC/FMR/4744</t>
  </si>
  <si>
    <t>68401506134</t>
  </si>
  <si>
    <t>ICIC0000684</t>
  </si>
  <si>
    <t>EDNPK8588R</t>
  </si>
  <si>
    <t>600760588566</t>
  </si>
  <si>
    <t>Kotha Upender Reddy</t>
  </si>
  <si>
    <t>11-10-694/7/1/402, Flat No-402, Sukruti Aavaas, Opp R R High School, Burhanpuram, Khammam, Telangana-507001.</t>
  </si>
  <si>
    <t>DNB-2022 from Krishna Institute of Medical Sciences, Vizag</t>
  </si>
  <si>
    <t>50100077695450</t>
  </si>
  <si>
    <t>HDFC0009153</t>
  </si>
  <si>
    <t>EGAPS4926R</t>
  </si>
  <si>
    <t>949605941560</t>
  </si>
  <si>
    <t>Rahmathulla</t>
  </si>
  <si>
    <t>15-3-11, Bapuji Nagar, Kovvur, West Godavari, Andhra Pradesh-534350.</t>
  </si>
  <si>
    <t>4161/411797637/00/000</t>
  </si>
  <si>
    <t>50100524570542</t>
  </si>
  <si>
    <t>HDFC0008248</t>
  </si>
  <si>
    <t>BFKPB3833E</t>
  </si>
  <si>
    <t>529579900177</t>
  </si>
  <si>
    <t>1-51, Parampeta Village and post Regidi Amadalavalasa Mandal, Srikakulam, Andhra Pradesh - 532122</t>
  </si>
  <si>
    <t>130422427160003044</t>
  </si>
  <si>
    <t>00141000210119</t>
  </si>
  <si>
    <t>HDFC0000014</t>
  </si>
  <si>
    <t>ADCPA9693G</t>
  </si>
  <si>
    <t>790081907334</t>
  </si>
  <si>
    <t>Nandalal Agarwal</t>
  </si>
  <si>
    <t>Flat 8C, Merlin Cambridge 24, Prince Anwar Shah Road, Opp. Navina Cinema Hall Tollugunge, Tollygunge, Kolkata, West Bengal - 700033.</t>
  </si>
  <si>
    <t>240422427160037000</t>
  </si>
  <si>
    <t>D1117113</t>
  </si>
  <si>
    <t>Dr.Abdullah Saad Mohammed</t>
  </si>
  <si>
    <t>Shadan Institute of Medical Sciences, Hyderabad</t>
  </si>
  <si>
    <t>Osmania Medical College, Hyderabad</t>
  </si>
  <si>
    <t>APMC/FMR/80433</t>
  </si>
  <si>
    <t>9700363840, 9666830077</t>
  </si>
  <si>
    <t>mohammadabdullahsaad@gmail.com</t>
  </si>
  <si>
    <t>630501067888</t>
  </si>
  <si>
    <t>ICIC0006305</t>
  </si>
  <si>
    <t>DGZPM9481F</t>
  </si>
  <si>
    <t>543447685565</t>
  </si>
  <si>
    <t>Mohammed Rafuiddin</t>
  </si>
  <si>
    <t>9-4-77/A/13, AI Hasnath Colony, Tolichowki, Golconda, Hyderabad, Telangana-500008.</t>
  </si>
  <si>
    <t>TSMC/FMR/03841</t>
  </si>
  <si>
    <t>923010049202224</t>
  </si>
  <si>
    <t>UTIB0004837</t>
  </si>
  <si>
    <t>DMRPR3709D</t>
  </si>
  <si>
    <t>642222891053</t>
  </si>
  <si>
    <t>Manikonda Veera Reddy</t>
  </si>
  <si>
    <t>4-49, Bhulkapur, K V Rangareddy, Telangana-501203.</t>
  </si>
  <si>
    <t xml:space="preserve"> 4021/A/378350924/00/000</t>
  </si>
  <si>
    <t>Tolichowki Cluster</t>
  </si>
  <si>
    <t>APMC/FMR/86442</t>
  </si>
  <si>
    <t>727001000196</t>
  </si>
  <si>
    <t>ICIC0007270</t>
  </si>
  <si>
    <t>CJKPB8850L</t>
  </si>
  <si>
    <t>885086924242</t>
  </si>
  <si>
    <t>Babireddy Gari Janardhan Reddy</t>
  </si>
  <si>
    <t>3-85, Kondakal, K V Rangareddy, Telangana - 501203.</t>
  </si>
  <si>
    <t>4021/A/405420389/00/000</t>
  </si>
  <si>
    <t>D1117394</t>
  </si>
  <si>
    <t>Dr.Sujata Sudhir Pathak</t>
  </si>
  <si>
    <t xml:space="preserve">PET CT, Gamma Scan </t>
  </si>
  <si>
    <t>Senior Consultant Nuclear Medicine</t>
  </si>
  <si>
    <t>Dr.Anuj Jain</t>
  </si>
  <si>
    <t>Gandhi Medical College, Osmania University</t>
  </si>
  <si>
    <t>DRM-Tata Memorial Hospital, Parel, Mumbai, India</t>
  </si>
  <si>
    <t xml:space="preserve">DNB-2005, P.D. Hinduja National Hospital and Research Centre, Mumbai and RSO </t>
  </si>
  <si>
    <t>MBBS, DRM, DNB</t>
  </si>
  <si>
    <t>HMC13654</t>
  </si>
  <si>
    <t>drsujatapathak@gmail.com</t>
  </si>
  <si>
    <t>811000169565</t>
  </si>
  <si>
    <t>HDFC0000081</t>
  </si>
  <si>
    <t>AFNPP6848K</t>
  </si>
  <si>
    <t>308276794644</t>
  </si>
  <si>
    <t>Vinayak Kashinath Padke</t>
  </si>
  <si>
    <t>3-6-467 and 468 F-4A, Kanakalaxmi Apartment, Street No-6, Lane Adj More  Super Market, Himayath Nagar ,Hyderabad Telangana-500029</t>
  </si>
  <si>
    <t>61190036250400000066</t>
  </si>
  <si>
    <t>DNB-2022</t>
  </si>
  <si>
    <t>APMC/FMR/82767</t>
  </si>
  <si>
    <t>50100251738831</t>
  </si>
  <si>
    <t>HDFC0001245</t>
  </si>
  <si>
    <t>CWCPK0399E</t>
  </si>
  <si>
    <t>457617526362</t>
  </si>
  <si>
    <t xml:space="preserve">M A Saleem </t>
  </si>
  <si>
    <t>6-25,Near New Masijd,Alampur, Mahabubnagar, Telangana - 509152</t>
  </si>
  <si>
    <t>61310036240400000044</t>
  </si>
  <si>
    <t>D1109970</t>
  </si>
  <si>
    <t>Dr.MD Mansoor Mohiuddin</t>
  </si>
  <si>
    <t>ET CT Gallium Scan, PET CT, Gamma Scan</t>
  </si>
  <si>
    <t>Deccan College of Medical Sciences Hyderabad, Telangana</t>
  </si>
  <si>
    <t>Apollo Hospital, Jubilee Hills, Hyderabad, Telangana</t>
  </si>
  <si>
    <t>MBBS, DNB Nuclear Medicine</t>
  </si>
  <si>
    <t>mansoormd@aol.com</t>
  </si>
  <si>
    <t>3171140053872</t>
  </si>
  <si>
    <t>AUBPM7191B</t>
  </si>
  <si>
    <t>291608741209</t>
  </si>
  <si>
    <t>Mohammed Ahmed Mohuiuddin</t>
  </si>
  <si>
    <t>10-5-38, Flat No.505, Ahmed Nagar, Anand residency, Masab Tank, Asifnagar, Hyderabad, Telangana - 500028.</t>
  </si>
  <si>
    <t>552600492410000320</t>
  </si>
  <si>
    <t>APMC/ FMR/91986</t>
  </si>
  <si>
    <t>73610100234075</t>
  </si>
  <si>
    <t>UBIN0807362</t>
  </si>
  <si>
    <t>FJPPK8666B</t>
  </si>
  <si>
    <t>361536985657</t>
  </si>
  <si>
    <t>Kurakala Chandra Mouli</t>
  </si>
  <si>
    <t>4-70/4/2, North avenue, Theegalaguttapally, Beside apollo Reach, Areoalle, Karimnagar, Telangana - 505001.</t>
  </si>
  <si>
    <t xml:space="preserve"> 4021/A/372706421/00/000</t>
  </si>
  <si>
    <t>V1101825</t>
  </si>
  <si>
    <t>Dr.Varaprasad Samson</t>
  </si>
  <si>
    <t>Nagarjuna University</t>
  </si>
  <si>
    <t>35719 </t>
  </si>
  <si>
    <t>samsonvpras@yahoo.com</t>
  </si>
  <si>
    <t>20086062015</t>
  </si>
  <si>
    <t>SBIN0000847</t>
  </si>
  <si>
    <t>AGQPO7843M</t>
  </si>
  <si>
    <t>618134202631</t>
  </si>
  <si>
    <t>Obulreddy Dinakar Reddy</t>
  </si>
  <si>
    <t>16-2-836/D/5/3, Plot No-80, Madhava Nagar, Near Saidabad Post office, Saidabad, Hyderabad, Telangana - 500059.</t>
  </si>
  <si>
    <t>D1117543</t>
  </si>
  <si>
    <t>Dr.Mallika</t>
  </si>
  <si>
    <t>11:00 to 13:00</t>
  </si>
  <si>
    <t>Shadnagar-119</t>
  </si>
  <si>
    <t>Kurnool medical college</t>
  </si>
  <si>
    <t>Nizams institute of medical sciences, Hyderabad</t>
  </si>
  <si>
    <t>TSMC/FMR/22216</t>
  </si>
  <si>
    <t>mrkalmood@gmail.com</t>
  </si>
  <si>
    <t>IDBI Bank</t>
  </si>
  <si>
    <t>1345104000171441</t>
  </si>
  <si>
    <t>IBKL0001345</t>
  </si>
  <si>
    <t>BPKPM5224A</t>
  </si>
  <si>
    <t>385294863184</t>
  </si>
  <si>
    <t>Gollepu Karthikeya</t>
  </si>
  <si>
    <t>4-95, Main Road, Shadnagar, Farooqnagar, KV Rangareddy, Telangana - 509216.</t>
  </si>
  <si>
    <t>APMC/FMR/81914</t>
  </si>
  <si>
    <t>59601511559</t>
  </si>
  <si>
    <t>ICIC0000596</t>
  </si>
  <si>
    <t>EAEPS4825R</t>
  </si>
  <si>
    <t>841010568802</t>
  </si>
  <si>
    <t>Siva Shankar Surisetty</t>
  </si>
  <si>
    <t>20-156 Market Yard Gunj Badepally Jadcherla Mahabub Nagar Telagana-509301</t>
  </si>
  <si>
    <t>4021/A/292866215/02/000</t>
  </si>
  <si>
    <t>D1117863</t>
  </si>
  <si>
    <t>Dr.Dasari Chandrashekhar</t>
  </si>
  <si>
    <t>Seethafalmandi - 76</t>
  </si>
  <si>
    <t>Basic USG, Tiffa,Basic CT, Basic MRI, MRI - brain and spin, X Ray, Plan - Radiography, CT - Chest , Abdomin MRI -Mammography, IVP, RGU, MCUG, Barium Swallow, Barium Anema, HSG</t>
  </si>
  <si>
    <t>Kaloji Narayana Rao University of Health Sciences - 2022</t>
  </si>
  <si>
    <t>dshekhar353@gmail.com</t>
  </si>
  <si>
    <t>52099084355</t>
  </si>
  <si>
    <t>SBIN0020256</t>
  </si>
  <si>
    <t>ALWPD6171G</t>
  </si>
  <si>
    <t>280288306312</t>
  </si>
  <si>
    <t>Soma Lingaiah Dasari</t>
  </si>
  <si>
    <t>Salary Hike</t>
  </si>
  <si>
    <t>H no:6-1-192/a/flot 401,S.V.Sai Vipula Apartments Padmarao Nagar Near by UMA's Montessori HighSchool Secundarabad Himmatnagar hyderabad telangana-500025</t>
  </si>
  <si>
    <t xml:space="preserve"> Andhra Pradesh Medical Council</t>
  </si>
  <si>
    <t>2457101010190</t>
  </si>
  <si>
    <t>CNRB0002457</t>
  </si>
  <si>
    <t>AWHPB7205R</t>
  </si>
  <si>
    <t>573535430637</t>
  </si>
  <si>
    <t>Apparao Bheesetti</t>
  </si>
  <si>
    <t>46-13-38, 3rd Floor, Flat No - C3, Srinidhi Heights, Beside Godavari CT Scanning Center, Rajamahendravaram (Urban), East Godavari, Andhra Pradesh-533103.</t>
  </si>
  <si>
    <t xml:space="preserve">1505002725P109785108  </t>
  </si>
  <si>
    <t>APMC/FMR/75434</t>
  </si>
  <si>
    <t>50100459540553</t>
  </si>
  <si>
    <t>HDFC0002398</t>
  </si>
  <si>
    <t>DOBPS3736B</t>
  </si>
  <si>
    <t>679171173276</t>
  </si>
  <si>
    <t>Prabhakar Naidu S</t>
  </si>
  <si>
    <t>H.No:6-27,Kasi Pentla (V&amp;P), Chandragiri(MD),Chittor(Dt),Andhra Pradesh -517112</t>
  </si>
  <si>
    <t>4161/404445434/00/000</t>
  </si>
  <si>
    <t>D1117860</t>
  </si>
  <si>
    <t>Dr.Vubbara Sai Krishna Mohan</t>
  </si>
  <si>
    <t>Gamma &amp; PET-CT, therapy</t>
  </si>
  <si>
    <t>Dr. NTR University of Health Sciences</t>
  </si>
  <si>
    <t>Sri Venkateshwara Insitute of Medical Sciences - 2017</t>
  </si>
  <si>
    <t>MBBS, MD Nuclear Medicine</t>
  </si>
  <si>
    <t>APMC/FMR/75357</t>
  </si>
  <si>
    <t>krishna111vs@gmail.com</t>
  </si>
  <si>
    <t>631001538172</t>
  </si>
  <si>
    <t>ICIC0006310</t>
  </si>
  <si>
    <t>ANXPV1768N</t>
  </si>
  <si>
    <t>215105203301</t>
  </si>
  <si>
    <t>20-3-1/12/101, Bhupal Nagar, Sivajyothi Nagar, tirupati, Chittoor, Andhra Pradesh-517501.</t>
  </si>
  <si>
    <t>D1118027</t>
  </si>
  <si>
    <t>Dr.Reddi Harshini</t>
  </si>
  <si>
    <t>Rangaraya Medical college</t>
  </si>
  <si>
    <t>Alluru Seetharama Raju Academy of Medical Sciences, Eluru</t>
  </si>
  <si>
    <t>APMC/FMR/98755</t>
  </si>
  <si>
    <t>harshinireddirmc@gmail.com</t>
  </si>
  <si>
    <t>31837588217</t>
  </si>
  <si>
    <t>SBIN0020879</t>
  </si>
  <si>
    <t>BXDPR0037B</t>
  </si>
  <si>
    <t>451407745728</t>
  </si>
  <si>
    <t>9-238 Peddintivaari Street Pathapatnam Srikakulam Andhra Pradesh -532213</t>
  </si>
  <si>
    <t>33786924321</t>
  </si>
  <si>
    <t>SBIN0010686</t>
  </si>
  <si>
    <t>ARCPV8344B</t>
  </si>
  <si>
    <t>409185033504</t>
  </si>
  <si>
    <t>Flat no:303,RR aadhipalace,7th line ramji nagar ,Laxmi nagar interior, Childrens park Area, VTC:nellore, PO: Stone Housepel SUB District:Nellore,  Andhra Pradesh -524002</t>
  </si>
  <si>
    <t>61190036250400000074</t>
  </si>
  <si>
    <t>V1101826</t>
  </si>
  <si>
    <t>Dr.Vasanth Kumar Madela</t>
  </si>
  <si>
    <t>HMC9227</t>
  </si>
  <si>
    <t>madelavasanthkumar@gmail.com</t>
  </si>
  <si>
    <t>173001000000749</t>
  </si>
  <si>
    <t>IOBA0001730</t>
  </si>
  <si>
    <t>AGVPM8558J</t>
  </si>
  <si>
    <t>282383241335</t>
  </si>
  <si>
    <t>Madela Ramakrishna</t>
  </si>
  <si>
    <t>Plot No- 462 &amp; 463, Flat No. D2, Prasanka Homes, 6th Phase, KPHB Colony, Hyderabad, Telangana - 500085.</t>
  </si>
  <si>
    <t>APMC/FMR/75448</t>
  </si>
  <si>
    <t>50100267882788</t>
  </si>
  <si>
    <t>HDFC0000696</t>
  </si>
  <si>
    <t>ALDPJ8639G</t>
  </si>
  <si>
    <t>998706603868</t>
  </si>
  <si>
    <t>Rangarao</t>
  </si>
  <si>
    <t>5-3 Tadikonda Mandalam Mothadaka Guntur Andhra Pradesh -522016</t>
  </si>
  <si>
    <t>TSMC/FMR/25923</t>
  </si>
  <si>
    <t>50100418174315</t>
  </si>
  <si>
    <t>HDFC0001627</t>
  </si>
  <si>
    <t>BEFPV1055N</t>
  </si>
  <si>
    <t>805760142806</t>
  </si>
  <si>
    <t>H.no. 5/14, Gunjahalli, Raichur, Karnataka, India-584140.</t>
  </si>
  <si>
    <t>4021/A/259172066/02/000</t>
  </si>
  <si>
    <t>TSMC/FMR/36567</t>
  </si>
  <si>
    <t>919010061449260</t>
  </si>
  <si>
    <t>UTIB0002694</t>
  </si>
  <si>
    <t>CXOPR4363Q</t>
  </si>
  <si>
    <t>307232323808</t>
  </si>
  <si>
    <t>Kattungal Karaparambu Payyanad, Elankur,Malappuram, Kerala-676122</t>
  </si>
  <si>
    <t>4021/A/393468737/00/000</t>
  </si>
  <si>
    <t>TSMC/FMR/19360</t>
  </si>
  <si>
    <t>4801621369</t>
  </si>
  <si>
    <t>AJBPC5842L</t>
  </si>
  <si>
    <t>350794668315</t>
  </si>
  <si>
    <t>Ravindra Chatur</t>
  </si>
  <si>
    <t>D1108896</t>
  </si>
  <si>
    <t>Dr.Sarada Uppey</t>
  </si>
  <si>
    <t>MBBS Kurnool Medical College</t>
  </si>
  <si>
    <t>saradauppey@gmail.com</t>
  </si>
  <si>
    <t>11452757805</t>
  </si>
  <si>
    <t>SBIN0012719</t>
  </si>
  <si>
    <t>ABNPU1055D</t>
  </si>
  <si>
    <t>516551458545</t>
  </si>
  <si>
    <t>Seshagiri Uppeu Rao</t>
  </si>
  <si>
    <t>87/1170, Nagi Reddy Revenue Colony, Nandyal Road, Kurnool, Andhra Pradesh - 518002.</t>
  </si>
  <si>
    <t>APMC/FMR/84657</t>
  </si>
  <si>
    <t>369010100208475</t>
  </si>
  <si>
    <t>UTIB0000369</t>
  </si>
  <si>
    <t>DFHPK5530N</t>
  </si>
  <si>
    <t>835518837907</t>
  </si>
  <si>
    <t>24-160/9/9, Sai Lakshmi Heights Flat No.502, Shipyard Layout Line-1, Simhachal Nagar Colony, Porlupalem, Vepagunta, Visakhapatnam, Andhra Pradesh-530047.</t>
  </si>
  <si>
    <t xml:space="preserve"> 4161/408522349/00/000</t>
  </si>
  <si>
    <t>D1118337</t>
  </si>
  <si>
    <t>Dr.P Vasanthi</t>
  </si>
  <si>
    <t>Sri Venkateswara Medical College, Tirupati</t>
  </si>
  <si>
    <t>APMC/FMR/98439</t>
  </si>
  <si>
    <t>vasanthivs88@gmail.com</t>
  </si>
  <si>
    <t>920010072339947</t>
  </si>
  <si>
    <t>UTIB0001018</t>
  </si>
  <si>
    <t>AQPPV7004G</t>
  </si>
  <si>
    <t>333299445377</t>
  </si>
  <si>
    <t>Pagadala Subramanyam Jayachandra</t>
  </si>
  <si>
    <t>4-446, Kalavagadda Street, Near SBI Greamspet Branch, Greamspet, Chittoor, Andhra Pradesh - 517002</t>
  </si>
  <si>
    <t>20015161893</t>
  </si>
  <si>
    <t>SBIN0016493</t>
  </si>
  <si>
    <t>ATSPA0089N</t>
  </si>
  <si>
    <t>853523628344</t>
  </si>
  <si>
    <t>Appecherla Venkatanarayana</t>
  </si>
  <si>
    <t>12-136, Sai Nagar, Anantapur, Andhra Pradesh -515001.</t>
  </si>
  <si>
    <t>4021/A/348623507/00/000</t>
  </si>
  <si>
    <t>D1118528</t>
  </si>
  <si>
    <t>Dr.Simanti Sinha</t>
  </si>
  <si>
    <t>Dr.Jaydip Nath</t>
  </si>
  <si>
    <t>RG Kar Medical College, Kolkata.</t>
  </si>
  <si>
    <t>West Bengal University</t>
  </si>
  <si>
    <t>West bengal medical Council</t>
  </si>
  <si>
    <t>simanti85@gmail.com</t>
  </si>
  <si>
    <t>910010011816455</t>
  </si>
  <si>
    <t>UTIB0000005</t>
  </si>
  <si>
    <t>BXXPS9853A</t>
  </si>
  <si>
    <t>857947062481</t>
  </si>
  <si>
    <t>Sanat Kumar Sinha</t>
  </si>
  <si>
    <t xml:space="preserve">70/1, Girls School Road, PO-Newbarrackpur, P.S-Ghola, North Twenty Four Parganas, West Bengal-700131. </t>
  </si>
  <si>
    <t>Kolkata Cluster</t>
  </si>
  <si>
    <t>20576367000</t>
  </si>
  <si>
    <t>IDIB000B832</t>
  </si>
  <si>
    <t>AQPPM5057N</t>
  </si>
  <si>
    <t>768330044182</t>
  </si>
  <si>
    <t>Ashutosh Mukherjee</t>
  </si>
  <si>
    <t>BL-7, FR-4th, FL-E, BH/26, M B Road, Birati Smart Bazar, Birati, North dumdum, Noth 24 Parganas, west Bengal - 700051.</t>
  </si>
  <si>
    <t>D1118520</t>
  </si>
  <si>
    <t>Dr.Saurabh Laskar</t>
  </si>
  <si>
    <t>Consultant Microbiology</t>
  </si>
  <si>
    <t>dr.sl.2009@gmail.com</t>
  </si>
  <si>
    <t>10836539628</t>
  </si>
  <si>
    <t>SBIN0001612</t>
  </si>
  <si>
    <t>ACEPL9848B</t>
  </si>
  <si>
    <t>893246408040</t>
  </si>
  <si>
    <t>Satyananda Laskar</t>
  </si>
  <si>
    <t>GD 132 Salt lake Sector 3 bidhan nagar IB market Salt lake Nort 24 Parganas west bengal 700106</t>
  </si>
  <si>
    <t>D1118526</t>
  </si>
  <si>
    <t>West bengal Medical Council</t>
  </si>
  <si>
    <t>dr.jaydipnath@gmail.com</t>
  </si>
  <si>
    <t>110001507215</t>
  </si>
  <si>
    <t>ICIC0001100</t>
  </si>
  <si>
    <t>ACZPN1788M</t>
  </si>
  <si>
    <t>442973730062</t>
  </si>
  <si>
    <t>Santosh Kumar Nath</t>
  </si>
  <si>
    <t>187, Shyamnagar Road, Biswanath Appt, Bangur Avenue, North 24 parganas, West Bengal- 700055.</t>
  </si>
  <si>
    <t>240422527160159745</t>
  </si>
  <si>
    <t>43805007526</t>
  </si>
  <si>
    <t>ICIC0000438</t>
  </si>
  <si>
    <t>AFCFS7530Q</t>
  </si>
  <si>
    <t>890736976293</t>
  </si>
  <si>
    <t>T Kylasam</t>
  </si>
  <si>
    <t>H. No - 2-10-1959, Bhagyanagar Colony, Karimnagar - 505001</t>
  </si>
  <si>
    <t>Professional Protection and welfare scheme (IMA)</t>
  </si>
  <si>
    <t>K8/0050/02729/2003-30367</t>
  </si>
  <si>
    <t>D1118527</t>
  </si>
  <si>
    <t>Dr.Avijit Saha</t>
  </si>
  <si>
    <t>NORTH BENGAL MEDICAL COLLEGE</t>
  </si>
  <si>
    <t>9433146696, 7980814636</t>
  </si>
  <si>
    <t>dravijitsaha81@gmail.com</t>
  </si>
  <si>
    <t>20046867222</t>
  </si>
  <si>
    <t>SBIN0008438</t>
  </si>
  <si>
    <t>ATOPS6946A</t>
  </si>
  <si>
    <t>552983686868</t>
  </si>
  <si>
    <t>Murari Mohan Saha</t>
  </si>
  <si>
    <t>96, Rajdanga. Nabapally EK TSO Kolkata West Bengal-700107</t>
  </si>
  <si>
    <t>APMC/FMR/88662</t>
  </si>
  <si>
    <t>50100538183513</t>
  </si>
  <si>
    <t>HDFC0003991</t>
  </si>
  <si>
    <t>BWKPG7260B</t>
  </si>
  <si>
    <t>979523813692</t>
  </si>
  <si>
    <t>Samudrala Sambaiah</t>
  </si>
  <si>
    <t xml:space="preserve">H. No 1-11/1, Hasan Parthy Mandal, Vangapahad, Warangal, Telangana – 506006
</t>
  </si>
  <si>
    <t>D1118693</t>
  </si>
  <si>
    <t>Dr.Hemanath Bomman</t>
  </si>
  <si>
    <t>Sri Venkateswara Medical College, Tirupathi</t>
  </si>
  <si>
    <t>Osmania Medical College , Warangal</t>
  </si>
  <si>
    <t>APMC/FMR/85614</t>
  </si>
  <si>
    <t>bhemanath@live.com</t>
  </si>
  <si>
    <t>915010014664629</t>
  </si>
  <si>
    <t>UTIB0002808</t>
  </si>
  <si>
    <t>BYVPB2650M</t>
  </si>
  <si>
    <t>986146793205</t>
  </si>
  <si>
    <t>Jayaramaiah Bomman</t>
  </si>
  <si>
    <t>D.NO.2-2-153, SHAR Road, Near SHAR Bypass Y Junction, Opp RSR Residency, Revenue Ward-2, Sullurpet, Tirupati, Andhra Pradesh - 524121.</t>
  </si>
  <si>
    <t>4161/409142032/00/000</t>
  </si>
  <si>
    <t>APMC/FMR/107341</t>
  </si>
  <si>
    <t>33813881173</t>
  </si>
  <si>
    <t>SBIN0008054</t>
  </si>
  <si>
    <t>BCLPC1829D</t>
  </si>
  <si>
    <t>475132636164</t>
  </si>
  <si>
    <t>Rangarao Chintada</t>
  </si>
  <si>
    <t>QR. NO: 125/C, SECTOR-6, UKKUNAGARAM VISAKHAPATNAM, ANDHRA PRADESH – 530032</t>
  </si>
  <si>
    <t>D1119143</t>
  </si>
  <si>
    <t>Dr.Elizabeth Manasvi Dawson</t>
  </si>
  <si>
    <t>Nizam's Institute of Medical Sciences</t>
  </si>
  <si>
    <t>TSMC/FMR/02446</t>
  </si>
  <si>
    <t>manasvi.24.dawson@gmail.com</t>
  </si>
  <si>
    <t>158978745545</t>
  </si>
  <si>
    <t>INDB0001805</t>
  </si>
  <si>
    <t>CZEPD7149E</t>
  </si>
  <si>
    <t>344502255669</t>
  </si>
  <si>
    <t>Vinay Kumar Dawson</t>
  </si>
  <si>
    <t>contract end/Asked to leave</t>
  </si>
  <si>
    <t>Flat A-1,Sri Aitha Rajaiah Complex, College Road, Mancherial, Telangana.</t>
  </si>
  <si>
    <t>50100221688813</t>
  </si>
  <si>
    <t>BCLPB9695N</t>
  </si>
  <si>
    <t>656395778764</t>
  </si>
  <si>
    <t>Suresh Bandela</t>
  </si>
  <si>
    <t>8-42-42/1, Tamil Street, China Waltair, Near Ramalayam, LB Colony, Vishakhapatnam, Andhra Pradesh - 530017</t>
  </si>
  <si>
    <t>4021/A/353462268/01/000</t>
  </si>
  <si>
    <t>dd</t>
  </si>
  <si>
    <t>TSMC/FMR/04805</t>
  </si>
  <si>
    <t>914010045967309</t>
  </si>
  <si>
    <t>UTIB0000289</t>
  </si>
  <si>
    <t>ANZPV0453G</t>
  </si>
  <si>
    <t>910844662791</t>
  </si>
  <si>
    <t>Omprakash</t>
  </si>
  <si>
    <t>Plot.No-72, Sidhartha Nagar, Yousufguda,Ameerpet,SR Nagar,Hyderabad-500038.</t>
  </si>
  <si>
    <t>4161/397607275/00/000</t>
  </si>
  <si>
    <t>D1119317</t>
  </si>
  <si>
    <t>Dr.Asharani</t>
  </si>
  <si>
    <t>Dr.Ayesha Fatima</t>
  </si>
  <si>
    <t>asharani119s@gmail.com</t>
  </si>
  <si>
    <t>32250655964</t>
  </si>
  <si>
    <t>SBIN0016871</t>
  </si>
  <si>
    <t>AZNPA6210E</t>
  </si>
  <si>
    <t>880377349274</t>
  </si>
  <si>
    <t>Devidas Shinde</t>
  </si>
  <si>
    <t>H.No-42, Sedam Road, Veerendra Patil Nagar, Gulbarga, Karnataka-585105</t>
  </si>
  <si>
    <t>D1119318</t>
  </si>
  <si>
    <t>Dr.Girish M Desai</t>
  </si>
  <si>
    <t>M. R. Medical College</t>
  </si>
  <si>
    <t>Dr. B. R. A. Medical College</t>
  </si>
  <si>
    <t>biologicalchemistry@yahoo.com</t>
  </si>
  <si>
    <t>13052200035670</t>
  </si>
  <si>
    <t>CNRB0011305</t>
  </si>
  <si>
    <t>AFLPD8047E</t>
  </si>
  <si>
    <t>260849311260</t>
  </si>
  <si>
    <t>Mallikarjun Gurappa Sai</t>
  </si>
  <si>
    <t>H.No-1-13/B, Srigiri, Opp: Shiva Temple.Khuba Plots, Gulbarga, Karnataka-585102</t>
  </si>
  <si>
    <t>61190036250400000072</t>
  </si>
  <si>
    <t>D1119326</t>
  </si>
  <si>
    <t>Dr.MD Ibrahim Siddiqui</t>
  </si>
  <si>
    <t>Hassan Institute of Medical Science</t>
  </si>
  <si>
    <t>misiddiqui.42@gmail.com</t>
  </si>
  <si>
    <t>13052010018132</t>
  </si>
  <si>
    <t>FNVPS8370A</t>
  </si>
  <si>
    <t>371295596549</t>
  </si>
  <si>
    <t>H No. 5-406/10/D3/A, KCT Road, Khaja Colony, Gulbarga, Karnataka - 585104</t>
  </si>
  <si>
    <t>10121530007932</t>
  </si>
  <si>
    <t>HDFC0004236</t>
  </si>
  <si>
    <t>ADFPY7532D</t>
  </si>
  <si>
    <t>676384128807</t>
  </si>
  <si>
    <t>Flat 203, 3-6-696/11/203, Raghavendra Royal Fort, Street No. 11, Himayathnagar, Hyderabad Telangana - 500029</t>
  </si>
  <si>
    <t>4021/A/319141623/01/000</t>
  </si>
  <si>
    <t>TSMC/FMR/03838</t>
  </si>
  <si>
    <t>IDFC Bank</t>
  </si>
  <si>
    <t>10114513227</t>
  </si>
  <si>
    <t>IDFB0080203</t>
  </si>
  <si>
    <t>BYWPV4131J</t>
  </si>
  <si>
    <t>443323753758</t>
  </si>
  <si>
    <t>2-5-196, Nakkalagutta, Hanamkonda, Warangal, Telangana - 506001</t>
  </si>
  <si>
    <t>520101060034854</t>
  </si>
  <si>
    <t>UBIN0807061</t>
  </si>
  <si>
    <t>ALIPC7887L</t>
  </si>
  <si>
    <t>446979836425</t>
  </si>
  <si>
    <t>H No. 1-345/1, Chiranjeevi Nagar, Aman Colony, Miyapur, Hyderabad, Telangana - 500049</t>
  </si>
  <si>
    <t>4021/A/350858715/01/000</t>
  </si>
  <si>
    <t>D1119553</t>
  </si>
  <si>
    <t>Jiangxi University</t>
  </si>
  <si>
    <t>APMC/FMR/129553</t>
  </si>
  <si>
    <t>tirumala.sripathi@gmail.com</t>
  </si>
  <si>
    <t>579316310000040</t>
  </si>
  <si>
    <t>BKID0005793</t>
  </si>
  <si>
    <t>FIOPS5210P</t>
  </si>
  <si>
    <t>295751313674</t>
  </si>
  <si>
    <t>Kishunpur Blaur, Kurhani, Muzaffarpur, Bihar - 844120</t>
  </si>
  <si>
    <t>D1107125</t>
  </si>
  <si>
    <t>Dr.Chintapalli Asha Sudha</t>
  </si>
  <si>
    <t>asha1507@gmail.com</t>
  </si>
  <si>
    <t>50100007076446</t>
  </si>
  <si>
    <t>HDFC0000472</t>
  </si>
  <si>
    <t>EIEPS2420E</t>
  </si>
  <si>
    <t>331016281150</t>
  </si>
  <si>
    <t>Flat No. A-302, Girisikhara Plaza, VST Road, Backside SBH Ramnagar, Musheerabad, Hyderabad, Telangana - 500020</t>
  </si>
  <si>
    <t>D1119552</t>
  </si>
  <si>
    <t>Dr.Animireddy Kishore</t>
  </si>
  <si>
    <t>SVMC</t>
  </si>
  <si>
    <t>8328068167, 9866214532</t>
  </si>
  <si>
    <t>animireddy.kishore@gmail.com</t>
  </si>
  <si>
    <t>920010072342512</t>
  </si>
  <si>
    <t>AILPA4896M</t>
  </si>
  <si>
    <t>716315699186</t>
  </si>
  <si>
    <t>18-3-60/g2, Sree Likhith Nivaas, Prasadam Apartment, Khadi Colony, Tirupati, Chittoor, Andhra Pradesh - 517507</t>
  </si>
  <si>
    <t>913010020243113</t>
  </si>
  <si>
    <t>UTIB0000015</t>
  </si>
  <si>
    <t>ATPPA6527J</t>
  </si>
  <si>
    <t>519998429762</t>
  </si>
  <si>
    <t>12N Block-A, New Alipore, Kolkata, West Bengal - 700053</t>
  </si>
  <si>
    <t>TSMC/FMR/09382</t>
  </si>
  <si>
    <t>55550100984390</t>
  </si>
  <si>
    <t>FDRL0005555</t>
  </si>
  <si>
    <t>HJCPK6588M</t>
  </si>
  <si>
    <t>958467021160</t>
  </si>
  <si>
    <t>10-87/1/2, Prem Vijay Nagar Colony, Mirjalguda, Malkajgiri, Rangareddi, Andhra Pradesh - 500047</t>
  </si>
  <si>
    <t xml:space="preserve"> 4021/A/343583745/00/000</t>
  </si>
  <si>
    <t>52197281954</t>
  </si>
  <si>
    <t>SBIN0021110</t>
  </si>
  <si>
    <t>ALYPG8354N</t>
  </si>
  <si>
    <t>947530840924</t>
  </si>
  <si>
    <t>Gollamala Rama Prasad</t>
  </si>
  <si>
    <t>1-4-879/74,Flat No:401,Shanmukha priya aptsStreet no:9 Bakaram Gandhi nagar Secunderabad Hyderabad Telangana - 500080</t>
  </si>
  <si>
    <t>4021/A/397607806/00/000</t>
  </si>
  <si>
    <t>APMC/FMR/93917</t>
  </si>
  <si>
    <t>62344114675</t>
  </si>
  <si>
    <t>SBIN0021463</t>
  </si>
  <si>
    <t>BUOPA0778A</t>
  </si>
  <si>
    <t>201796861541</t>
  </si>
  <si>
    <t>A. Seetharamulu</t>
  </si>
  <si>
    <t>H No. 6-5-470/2, Self Finance Colony, Vanasthalipuram, LB Nagar, Rangareddi, Telangana - 500070</t>
  </si>
  <si>
    <t>61240436250400000005</t>
  </si>
  <si>
    <t>D1116659</t>
  </si>
  <si>
    <t>Dr.Lovekesh Monga</t>
  </si>
  <si>
    <t>MDU ROHTAK</t>
  </si>
  <si>
    <t>PT. B D Sharma University</t>
  </si>
  <si>
    <t>HN17349</t>
  </si>
  <si>
    <t>Haryana Medical Council</t>
  </si>
  <si>
    <t>drlovekesh_monga@yahoo.com</t>
  </si>
  <si>
    <t>61072256807</t>
  </si>
  <si>
    <t>SBIN0016445</t>
  </si>
  <si>
    <t>ANGPM0756L</t>
  </si>
  <si>
    <t>204515481975</t>
  </si>
  <si>
    <t>246-C, Mianwali Colony, Gurgaon, Haryana - 122001</t>
  </si>
  <si>
    <t>0423822724P111094739</t>
  </si>
  <si>
    <t xml:space="preserve"> 10/11/2024</t>
  </si>
  <si>
    <t>09/11/2025</t>
  </si>
  <si>
    <t>APMC/FMR/75464</t>
  </si>
  <si>
    <t>001401535327</t>
  </si>
  <si>
    <t>BPOPK3010A</t>
  </si>
  <si>
    <t>839800974296</t>
  </si>
  <si>
    <t>Deevi Venkata Ramana</t>
  </si>
  <si>
    <t>15-140/T302 Mirjal Guda Near Bus Stop MALKAJGIR Hyderabad Ranga reddi Telangana -500047</t>
  </si>
  <si>
    <t>61240436250400000037</t>
  </si>
  <si>
    <t>D1120012</t>
  </si>
  <si>
    <t>Dr.Neha Jagdishrajji Gajbi</t>
  </si>
  <si>
    <t>Senior Consultant Pathologist and Lab Incharge</t>
  </si>
  <si>
    <t>Panjabrao Deshmukh Memorial Medical College</t>
  </si>
  <si>
    <t>TSMC/FMR/30414</t>
  </si>
  <si>
    <t xml:space="preserve">	
dr.komalgajbi@gmail.com</t>
  </si>
  <si>
    <t>Small Finance Bank</t>
  </si>
  <si>
    <t>2401264759710222</t>
  </si>
  <si>
    <t>AUBL0002647</t>
  </si>
  <si>
    <t>AXXPG6265F</t>
  </si>
  <si>
    <t>701926560476</t>
  </si>
  <si>
    <t>Chaubara Chowk Mahaveer Ward, Pusad Near Narsimha Mandir Yavatmal, Maharasthra, India</t>
  </si>
  <si>
    <t>TSMC/FMR/00508</t>
  </si>
  <si>
    <t>180501503202</t>
  </si>
  <si>
    <t>ICIC0001805</t>
  </si>
  <si>
    <t>BUVPB9869E</t>
  </si>
  <si>
    <t>519238027993</t>
  </si>
  <si>
    <t>Srinivasa Reddy</t>
  </si>
  <si>
    <t>Plot No. 19, Esswar Villas, Nizampet Road, Hyderabad, Telangana - 500090</t>
  </si>
  <si>
    <t>4161/393065411/00/000</t>
  </si>
  <si>
    <t>D1119861</t>
  </si>
  <si>
    <t>Dr.Burada Soumia</t>
  </si>
  <si>
    <t>S.V Medical College</t>
  </si>
  <si>
    <t>Sri Venkateshwara Institute of Medical Sciences</t>
  </si>
  <si>
    <t>APMC/FMR/95943</t>
  </si>
  <si>
    <t>soumia.burada@gmail.com</t>
  </si>
  <si>
    <t>922010052647262</t>
  </si>
  <si>
    <t>IJWPS8741H</t>
  </si>
  <si>
    <t>442888017035</t>
  </si>
  <si>
    <t>4-123, Main Street, Buradapeta, Srikakulam, Andhra Pradesh - 532168</t>
  </si>
  <si>
    <t xml:space="preserve"> 4161/413439655/00/000</t>
  </si>
  <si>
    <t>D1119872</t>
  </si>
  <si>
    <t>Dr.Veluri Ramachandra</t>
  </si>
  <si>
    <t>Basic USG, Doppler, Thyroid/ Scrotum USG, Guided Procedures, Basic CT, X Ray, Plain Radiology, IVP, RGU, MCGU, Barium Swallow, Barium Anema, HSG</t>
  </si>
  <si>
    <t>St Johns Medical College</t>
  </si>
  <si>
    <t>AMC13957</t>
  </si>
  <si>
    <t>veluriram29@gmail.com</t>
  </si>
  <si>
    <t>2151000015780</t>
  </si>
  <si>
    <t>HDFC0000215</t>
  </si>
  <si>
    <t>ABJPV7531R</t>
  </si>
  <si>
    <t>553541162771</t>
  </si>
  <si>
    <t>Notice issued/Asked to leave</t>
  </si>
  <si>
    <t>76-5-39, Gandhipuram 2, Rajahmundry, Rajamahendravaram, East Godavari, Andhra Pradesh - 533101</t>
  </si>
  <si>
    <t>D1120002</t>
  </si>
  <si>
    <t>Dr.Ruksana Kausar</t>
  </si>
  <si>
    <t>Norman bethune College</t>
  </si>
  <si>
    <t>APMC/FMR/88411</t>
  </si>
  <si>
    <t>ruksanakausar12@gmail.com</t>
  </si>
  <si>
    <t>30572010060137</t>
  </si>
  <si>
    <t>CNRB0013057</t>
  </si>
  <si>
    <t>BNOPR5168Q</t>
  </si>
  <si>
    <t>314763874122</t>
  </si>
  <si>
    <t>Mohammed Ahmed</t>
  </si>
  <si>
    <t>Plot No-51, Block A , P and T colony, Bandlaguda, Suncity, Richmond Villas, Bandlaguda Jagir, Rajendranagar, K V Rangareddy, Telangana - 500086</t>
  </si>
  <si>
    <t>TSMC/FMR/06066</t>
  </si>
  <si>
    <t>918010049138196</t>
  </si>
  <si>
    <t>UTIB0000290</t>
  </si>
  <si>
    <t>HKUPK0948C</t>
  </si>
  <si>
    <t>710894965939</t>
  </si>
  <si>
    <t>2-10-1849/a, Bhagya Nagar, Karimnagar, Andhra Pradesh - 505001</t>
  </si>
  <si>
    <t>4021/A/343046417/00/000</t>
  </si>
  <si>
    <t>APMC/FMR/81940</t>
  </si>
  <si>
    <t>20218666599</t>
  </si>
  <si>
    <t>SBIN0003743</t>
  </si>
  <si>
    <t>CPZPS6538D</t>
  </si>
  <si>
    <t>872258050942</t>
  </si>
  <si>
    <t>87/1108-S-30, 1st Floor, Somisetty Nagar, Kurnool, Andhra Pradesh - 518002</t>
  </si>
  <si>
    <t>4021/A/393615812/00/000</t>
  </si>
  <si>
    <t>D1120008</t>
  </si>
  <si>
    <t>Dr.Arekanti Manugna</t>
  </si>
  <si>
    <t xml:space="preserve">Kurnool Medical College </t>
  </si>
  <si>
    <t>TSMC/FMR/31118</t>
  </si>
  <si>
    <t>manugna.arekanti@gmail.com</t>
  </si>
  <si>
    <t>31525377255</t>
  </si>
  <si>
    <t>SBIN0020871</t>
  </si>
  <si>
    <t>CPWPM3243Q</t>
  </si>
  <si>
    <t>600934660904</t>
  </si>
  <si>
    <t>Arekanti Prabhakar</t>
  </si>
  <si>
    <t>13-2-43 RC Colony Anantapur Andhra Pradesh, 515001</t>
  </si>
  <si>
    <t>APMC/FMR/91769</t>
  </si>
  <si>
    <t>30960865367</t>
  </si>
  <si>
    <t>SBIN0000834</t>
  </si>
  <si>
    <t>BKIPP4171N</t>
  </si>
  <si>
    <t>863303608065</t>
  </si>
  <si>
    <t>P Rampullaiah</t>
  </si>
  <si>
    <t>9-72-6-8, KV S colony, dhone, Kurnool, Andhra Pradesh - 518222</t>
  </si>
  <si>
    <t xml:space="preserve"> 4021/A/375473218/00/000</t>
  </si>
  <si>
    <t>TSMC/FMR/31643</t>
  </si>
  <si>
    <t>32736190463</t>
  </si>
  <si>
    <t>SBIN0001524</t>
  </si>
  <si>
    <t>GYRPS0662H</t>
  </si>
  <si>
    <t>301032335024</t>
  </si>
  <si>
    <t>D RAMA NAIK</t>
  </si>
  <si>
    <t>40/447 - 11a 87/1163_A, Nagureddy revenue colony, Kurnool Andhra pradesh - 518002.</t>
  </si>
  <si>
    <t>4021/A/389739360/00/000</t>
  </si>
  <si>
    <t>189573891566</t>
  </si>
  <si>
    <t>INDB0000080</t>
  </si>
  <si>
    <t>BDQPB4462H</t>
  </si>
  <si>
    <t>832612106465</t>
  </si>
  <si>
    <t>Nagaiah Blathu</t>
  </si>
  <si>
    <t>Flat No-405, VVR Towers, Haripuri Colony Road No.2, Kothapet,  Saroornagar, KV Rangareddy, Telangana-500035.</t>
  </si>
  <si>
    <t>APMC/FMR/87537</t>
  </si>
  <si>
    <t>Telangana Grameena Bank</t>
  </si>
  <si>
    <t>79073917572</t>
  </si>
  <si>
    <t>TGRB0000045</t>
  </si>
  <si>
    <t>DAKPS1247E</t>
  </si>
  <si>
    <t>586293820125</t>
  </si>
  <si>
    <t>Ibrahim Shaik</t>
  </si>
  <si>
    <t>6-18, Market Road, Opp Labour Office Iqbal ahmed nagar, Macherial, Adilabad, Telangana - 504208.</t>
  </si>
  <si>
    <t xml:space="preserve">4021/A/405388450/00/000 </t>
  </si>
  <si>
    <t>APMC/FMR/96325</t>
  </si>
  <si>
    <t>20346763754</t>
  </si>
  <si>
    <t>SBIN0004158</t>
  </si>
  <si>
    <t>ACBPF9739N</t>
  </si>
  <si>
    <t>897375342768</t>
  </si>
  <si>
    <t>Rahimulla Khan</t>
  </si>
  <si>
    <t>2-21-4LIG 178 MVP Colony Near BadramPark Sector-6 Visakhapatnam(Urban) LB Colony Andhra Pradesh -530017</t>
  </si>
  <si>
    <t>4161/406741596/00/000</t>
  </si>
  <si>
    <t>D1120518</t>
  </si>
  <si>
    <t>Dr.Sanuvada Vijay Rama Raja Sekhar</t>
  </si>
  <si>
    <t>Consultant pathologist</t>
  </si>
  <si>
    <t>Sri Venkateswara Institute of Medical Sciences (SVIMS) Tirupati.</t>
  </si>
  <si>
    <t>rajsanuvada@gmail.com</t>
  </si>
  <si>
    <t>YES Bank</t>
  </si>
  <si>
    <t>4699500002243</t>
  </si>
  <si>
    <t>YESB0000046</t>
  </si>
  <si>
    <t>GDIPS7913F</t>
  </si>
  <si>
    <t>856473000296</t>
  </si>
  <si>
    <t>S CH Guru Prasada Rao</t>
  </si>
  <si>
    <t>10-6-37,Amrutha Nursing Home Street Gajuwaka VisakhapatNAM Gajuwaka Andhra pradesh 530026</t>
  </si>
  <si>
    <t>Reliance General Insurance</t>
  </si>
  <si>
    <t>130422527160005458</t>
  </si>
  <si>
    <t>D1120522</t>
  </si>
  <si>
    <t>Dr.Tallapragada Kinnera Devi</t>
  </si>
  <si>
    <t>dr.t.kinnera@gmail.com</t>
  </si>
  <si>
    <t>721201500924</t>
  </si>
  <si>
    <t>ICIC0007212</t>
  </si>
  <si>
    <t>BLRPT4838G</t>
  </si>
  <si>
    <t>632081122288</t>
  </si>
  <si>
    <t>Sri Krishna Tallapragada</t>
  </si>
  <si>
    <t>2-2-26/4 and 3,DD colony Near Sbi Bank Baghamberpet, Amberpet,Hyderabad Telangana-500013</t>
  </si>
  <si>
    <t>62343798417</t>
  </si>
  <si>
    <t>SBIN0020886</t>
  </si>
  <si>
    <t>AIZPN1723G</t>
  </si>
  <si>
    <t>451029548289</t>
  </si>
  <si>
    <t>Mallaiah</t>
  </si>
  <si>
    <t>18-3-19B, Subash Nagar, Ursu chairman, Karimabad, Warangal, Andhra Pradesh-506002</t>
  </si>
  <si>
    <t>20152012060</t>
  </si>
  <si>
    <t>SBIN0001643</t>
  </si>
  <si>
    <t>BTBPS7147F</t>
  </si>
  <si>
    <t>281279769656</t>
  </si>
  <si>
    <t>Baidyanath Saha</t>
  </si>
  <si>
    <t>Habra (m), North 24 parganas, Habra, West Bengal, 743263.</t>
  </si>
  <si>
    <t>D1120520</t>
  </si>
  <si>
    <t>Dr.Sreesailam Swathi</t>
  </si>
  <si>
    <t>Ananthapur Medical College</t>
  </si>
  <si>
    <t>Dr NTR University of Health Sciences</t>
  </si>
  <si>
    <t>swathi191083@gmail.com</t>
  </si>
  <si>
    <t>280104000282963</t>
  </si>
  <si>
    <t>IBKL0000280</t>
  </si>
  <si>
    <t>DSYPS6716N</t>
  </si>
  <si>
    <t>319405589454</t>
  </si>
  <si>
    <t>Edega Ramanjaneyulu Sreesailam</t>
  </si>
  <si>
    <t>No.201, Mahaboob Towers, 5th Street, More super market nadimi vanka, Anantapur, Andhra Pradesh-515001.</t>
  </si>
  <si>
    <t>THE ORIENTAL INSURANCE CO. LTD</t>
  </si>
  <si>
    <t>431100/48/2025/1645</t>
  </si>
  <si>
    <t>910010002522659</t>
  </si>
  <si>
    <t>UTIB0000284</t>
  </si>
  <si>
    <t>AHXPD0287E</t>
  </si>
  <si>
    <t>834947029937</t>
  </si>
  <si>
    <t>Kamalesh Das</t>
  </si>
  <si>
    <t>Flat-5A, Block-4, PS Magnum VIP Road, Rajarhat Gopalpur (M), Kolkata Airport, North 24 Paraganas, West Bengal-700052.</t>
  </si>
  <si>
    <t>240422427160008360</t>
  </si>
  <si>
    <t>DNB-2008 KIMS Secunderabad</t>
  </si>
  <si>
    <t>APMC/FMR/83539</t>
  </si>
  <si>
    <t>20020843630</t>
  </si>
  <si>
    <t>SBIN0000916</t>
  </si>
  <si>
    <t>APGPG1431G</t>
  </si>
  <si>
    <t>493722667057</t>
  </si>
  <si>
    <t>Bolenwar Ganganna</t>
  </si>
  <si>
    <t>Lake View MirraResidency A block 602,BrahmanWadi, Begumpet, Hderabad Telangnana-500016</t>
  </si>
  <si>
    <t>4161/406225649/00/000</t>
  </si>
  <si>
    <t>D1120759</t>
  </si>
  <si>
    <t>Dr.Ramoju Pavan Kumar</t>
  </si>
  <si>
    <t>pavanramoju@gmail.com</t>
  </si>
  <si>
    <t>914010003872153</t>
  </si>
  <si>
    <t>UTIB0000008</t>
  </si>
  <si>
    <t>BHMPR1336Q</t>
  </si>
  <si>
    <t>936313825010</t>
  </si>
  <si>
    <t>R Sadguna Chary</t>
  </si>
  <si>
    <t>11-6-102, Pochamma Bagh, LB Nagar, Saroornagar, Rangareddi, Telangana-500035</t>
  </si>
  <si>
    <t>D1103994</t>
  </si>
  <si>
    <t>Dr.Madasu Swetha</t>
  </si>
  <si>
    <t>Soochow University, China</t>
  </si>
  <si>
    <t>APMC/FMR/87992</t>
  </si>
  <si>
    <t>swethamadasu@gmail.com</t>
  </si>
  <si>
    <t>20472237239</t>
  </si>
  <si>
    <t>SBIN0020304</t>
  </si>
  <si>
    <t>DXTPS2474H</t>
  </si>
  <si>
    <t>307735876535</t>
  </si>
  <si>
    <t>M Murali Prasad</t>
  </si>
  <si>
    <t>10-303/1, Seethapalmandi, Secunderabad, Hyderabad, Andhra Pradesh-500061.</t>
  </si>
  <si>
    <t>920010058389656</t>
  </si>
  <si>
    <t>UTIB0000232</t>
  </si>
  <si>
    <t>BTNPK4394J</t>
  </si>
  <si>
    <t>773934785437</t>
  </si>
  <si>
    <t>Bal Mukund</t>
  </si>
  <si>
    <t>1E 501 Avidipta Apartments, Barakhola, Near Medica Hospital, Mukundapur, South 24 Paraganas, West Bengal-700099.</t>
  </si>
  <si>
    <t xml:space="preserve"> 240422527160170778</t>
  </si>
  <si>
    <t>TSMC/FMR/33835</t>
  </si>
  <si>
    <t>50100426935142</t>
  </si>
  <si>
    <t>HDFC0002710</t>
  </si>
  <si>
    <t>CKYPR9480B</t>
  </si>
  <si>
    <t>416026487055</t>
  </si>
  <si>
    <t>Rajendra Bellichukki</t>
  </si>
  <si>
    <t xml:space="preserve">  H.No-9-480/6/49, Shahbazar GDA Gokul Nagar, Gulbarga, Karnataka-585101.</t>
  </si>
  <si>
    <t>D1120767</t>
  </si>
  <si>
    <t>Dr.Basimalla Ratna Stephenson</t>
  </si>
  <si>
    <t>APMC/FMR101949</t>
  </si>
  <si>
    <t>finnyb6@gmail.com</t>
  </si>
  <si>
    <t>32434298369</t>
  </si>
  <si>
    <t>SBIN0001014</t>
  </si>
  <si>
    <t>BWFPB6027E</t>
  </si>
  <si>
    <t>859814739847</t>
  </si>
  <si>
    <t>Solomon Raju</t>
  </si>
  <si>
    <t>D-no:-4-15-117/38, 4th lane postal colony, Amaravathi Road, Guntur, Andhra Pradesh-522002.</t>
  </si>
  <si>
    <t>D1120768</t>
  </si>
  <si>
    <t>Dr.Shobharani Boggarapu</t>
  </si>
  <si>
    <t>bsr1981bcm@gmail.com</t>
  </si>
  <si>
    <t>52010100031566</t>
  </si>
  <si>
    <t>UBIN0805203</t>
  </si>
  <si>
    <t>ASNPB8476E</t>
  </si>
  <si>
    <t>334891274889</t>
  </si>
  <si>
    <t>B Satya Narayana Chetty</t>
  </si>
  <si>
    <t>10-2-138/16, Theertha Katta Street, Tirupati, chittoor, Andhra Pradesh-517501.</t>
  </si>
  <si>
    <t>APMC/FMR/103611</t>
  </si>
  <si>
    <t>32496806541</t>
  </si>
  <si>
    <t>SBIN0012918</t>
  </si>
  <si>
    <t>BVLPV7658E</t>
  </si>
  <si>
    <t>685357064286</t>
  </si>
  <si>
    <t>Vummaneni Rama Krishna Prasad</t>
  </si>
  <si>
    <t>10-204-36-F3-14, Y Palem Road, Behind Seven Hills Hotel, Jawahar Nagar Colony, Markapur, Andhra Pradesh-523316.</t>
  </si>
  <si>
    <t>4021/A/352718251/01/000</t>
  </si>
  <si>
    <t>D1120765</t>
  </si>
  <si>
    <t>Dr.Sulakshana Sony Cheemala</t>
  </si>
  <si>
    <t>chssony@gmail.com</t>
  </si>
  <si>
    <t>103010100044214</t>
  </si>
  <si>
    <t>UBIN0810304</t>
  </si>
  <si>
    <t>AQGPC0610A</t>
  </si>
  <si>
    <t>912677146182</t>
  </si>
  <si>
    <t>CH S V Prasad Babu</t>
  </si>
  <si>
    <t>42-4-144, 3 ayyappa towers, Durga Road, Rama Krishna Puram, Vijayawada, Krishna District, Andhra Pradesh -520003.</t>
  </si>
  <si>
    <t>D1120774</t>
  </si>
  <si>
    <t>Dr.Duggudurthi Tharun</t>
  </si>
  <si>
    <t>APMC/FMR/98640</t>
  </si>
  <si>
    <t>duggudurthitharun@gmail.com</t>
  </si>
  <si>
    <t>32227049861</t>
  </si>
  <si>
    <t>SBIN0010785</t>
  </si>
  <si>
    <t>AQUPT1418R</t>
  </si>
  <si>
    <t>963422109105</t>
  </si>
  <si>
    <t>Nageswara Rao</t>
  </si>
  <si>
    <t>73-4-6/1A, Narayanapuram, Near RTO Office,  Rajamahendravaram (Urban), East Godavari, Andhra Pradesh-533105.</t>
  </si>
  <si>
    <t>APMC/FMR/79691</t>
  </si>
  <si>
    <t>50100291736834</t>
  </si>
  <si>
    <t>HDFC0009817</t>
  </si>
  <si>
    <t>AOPPC5191K</t>
  </si>
  <si>
    <t>338987897441</t>
  </si>
  <si>
    <t>Chada Satyanarayana Reddy</t>
  </si>
  <si>
    <t>1-3-92/3, Nandanavanam colony street no.4, Habsiguda, Secunderabad, Osmania, Hyderabad, Telangana-500007.</t>
  </si>
  <si>
    <t>D1121022</t>
  </si>
  <si>
    <t>Dr.Budarayavalasa Deepthi</t>
  </si>
  <si>
    <t>Malla Reddy Institute of Medical Sciences</t>
  </si>
  <si>
    <t>TSMC/FMR/22155</t>
  </si>
  <si>
    <t>18121996deepthiprasad@gmail.com</t>
  </si>
  <si>
    <t>110085649020</t>
  </si>
  <si>
    <t>CNRB0013085</t>
  </si>
  <si>
    <t>EQTPB7257R</t>
  </si>
  <si>
    <t>891302761288</t>
  </si>
  <si>
    <t>B V Ramana Prasad</t>
  </si>
  <si>
    <t>The Lawnz SSC, Flat No-304, Block C, Kokapet, Gram panchayat road, Near phoenix green international school, kokapet, Gandipet, K V Rangareddy, Telangana-500075.</t>
  </si>
  <si>
    <t>DNB - Radiodiagnosis</t>
  </si>
  <si>
    <t>922010030557677</t>
  </si>
  <si>
    <t>BFXPB4488J</t>
  </si>
  <si>
    <t>777642682949</t>
  </si>
  <si>
    <t>Victor Barla</t>
  </si>
  <si>
    <t>1E 501 Avidipta Apartments, Barakhola, Near RN Tagore Hospital, Mukundapur, South 24 Paraganas, West Bengal-700099.</t>
  </si>
  <si>
    <t>Reliance General insurance Company Limited</t>
  </si>
  <si>
    <t xml:space="preserve"> 240422527160175584</t>
  </si>
  <si>
    <t>89450100019440</t>
  </si>
  <si>
    <t>BARB0VJVIJB</t>
  </si>
  <si>
    <t>AAHPU6183H</t>
  </si>
  <si>
    <t>863182386448</t>
  </si>
  <si>
    <t>Dasanna</t>
  </si>
  <si>
    <t>No 2403/1, E Block 13th Main Road, Sahakaranagar, Bangalore North, Bengaluru, Karnataka - 560092.</t>
  </si>
  <si>
    <t>ASSOCIATION OF MEDICAL CONSULTANTS(MUMBAI)</t>
  </si>
  <si>
    <t>580000/48/2025/3062</t>
  </si>
  <si>
    <t>31st March 2025</t>
  </si>
  <si>
    <t>30th March 2026</t>
  </si>
  <si>
    <t>Bangalore Cluster</t>
  </si>
  <si>
    <t>TSMC/FMR/08139</t>
  </si>
  <si>
    <t>670101029012</t>
  </si>
  <si>
    <t>CNRB0000670</t>
  </si>
  <si>
    <t>CQFPP3282A</t>
  </si>
  <si>
    <t>892475686134</t>
  </si>
  <si>
    <t>Venkateswarlu Padmanabula</t>
  </si>
  <si>
    <t>2-4-118/268, Venbkateswara Temple Road, South Swaroop nagar, Uppal, KV Rangareddy, Telangana-500039</t>
  </si>
  <si>
    <t>4161/360621378/00/000</t>
  </si>
  <si>
    <t>TSMC/FMR/10088</t>
  </si>
  <si>
    <t>62322087102</t>
  </si>
  <si>
    <t>SBIN0020708</t>
  </si>
  <si>
    <t>CMRPP2449F</t>
  </si>
  <si>
    <t>291542080123</t>
  </si>
  <si>
    <t>Ravi Kumar Pingali</t>
  </si>
  <si>
    <t>3-14-116/63, Road No.2, Chitraseema Colonyu, Vanasthalipuram, Hayathnagar, Rangareddy, Telangana-500070.</t>
  </si>
  <si>
    <t>D1118022</t>
  </si>
  <si>
    <t>Dr.Md Rizwan Ansari</t>
  </si>
  <si>
    <t>APMC/FMR/84583</t>
  </si>
  <si>
    <t>docmransari@gmail.com</t>
  </si>
  <si>
    <t>50100224677892</t>
  </si>
  <si>
    <t>HDFC0000218</t>
  </si>
  <si>
    <t>AVEPA3296K</t>
  </si>
  <si>
    <t>478530124963</t>
  </si>
  <si>
    <t>Mohammad Azhar Hussain</t>
  </si>
  <si>
    <t>16-2-722/A/1, Malakpet, Amberpet, Hyderabad, Telangana-500036.</t>
  </si>
  <si>
    <t>D1121013</t>
  </si>
  <si>
    <t>Dr.Seema Akhtar Kazmi</t>
  </si>
  <si>
    <t>Jawaharlal Nehru Medical College (A.M.U)</t>
  </si>
  <si>
    <t>HN 28585</t>
  </si>
  <si>
    <t>seemakazmi@gmail.com</t>
  </si>
  <si>
    <t>10245661060</t>
  </si>
  <si>
    <t>SBIN0016531</t>
  </si>
  <si>
    <t>AKPPK1527R</t>
  </si>
  <si>
    <t>219648487576</t>
  </si>
  <si>
    <t>Asghar Husain</t>
  </si>
  <si>
    <t>Flat No.242, Suryodaya Appartment, Dwaraka South West Delhi- 110078.</t>
  </si>
  <si>
    <t>4021/A/372756086/00/000</t>
  </si>
  <si>
    <t>D1121004</t>
  </si>
  <si>
    <t>Dr.Gokanakonda Sravani</t>
  </si>
  <si>
    <t>NRI Institute of Medical Sciences</t>
  </si>
  <si>
    <t>9010716100/8247443951</t>
  </si>
  <si>
    <t>sasidrsravani@gmail.com</t>
  </si>
  <si>
    <t>37152300004933</t>
  </si>
  <si>
    <t>CNRB0013715</t>
  </si>
  <si>
    <t>BRAPG3115N</t>
  </si>
  <si>
    <t>969485680502</t>
  </si>
  <si>
    <t>Venkata Narasimha Chowdary Gokanakonda</t>
  </si>
  <si>
    <t>7-262-3A, Sujatha nagar 3rd line, Lawyer pet(o), Prakasan, Ongole, Andhra Pradesh-523002</t>
  </si>
  <si>
    <t>D1121016</t>
  </si>
  <si>
    <t>Dr.Jayabhaskar Reddy Sangireddy</t>
  </si>
  <si>
    <t>Senior Consultant Histopathologist</t>
  </si>
  <si>
    <t>Usmania Medical College</t>
  </si>
  <si>
    <t>HMC8052</t>
  </si>
  <si>
    <t>jayabhaskarr@yahoo.co.in</t>
  </si>
  <si>
    <t>31365889538</t>
  </si>
  <si>
    <t>SBIN0014676</t>
  </si>
  <si>
    <t>AGQPS1789L</t>
  </si>
  <si>
    <t>999148267913</t>
  </si>
  <si>
    <t>Lakshmikanth Reddy Sangireddy</t>
  </si>
  <si>
    <t>Flat No-410, Vaishanvis Pride, Gafoor Nagar, Madhapur, Serilingampally, Rangareddy, Telangana - 500081.</t>
  </si>
  <si>
    <t>61190036250400000071</t>
  </si>
  <si>
    <t>V1101806</t>
  </si>
  <si>
    <t>Dr.Neelamani Murthi</t>
  </si>
  <si>
    <t>Chief of Laboratories</t>
  </si>
  <si>
    <t>Ms. Suprita Reddy</t>
  </si>
  <si>
    <t>neelamani.murthy@vijayadiagnostic.in</t>
  </si>
  <si>
    <t>7601015048</t>
  </si>
  <si>
    <t>ICIC0000076</t>
  </si>
  <si>
    <t>AAIPN2480P</t>
  </si>
  <si>
    <t>616671265694</t>
  </si>
  <si>
    <t>Subbarao</t>
  </si>
  <si>
    <t>24, Royal Gardens, Near Water Tank, Yapral, Jawahar Nagar, KV Rangareddy, Telangana-500087.</t>
  </si>
  <si>
    <t>TSMC/FMR/06431</t>
  </si>
  <si>
    <t>155010100101643</t>
  </si>
  <si>
    <t>UBIN0815501</t>
  </si>
  <si>
    <t>CDHPD8220P</t>
  </si>
  <si>
    <t>723495789513</t>
  </si>
  <si>
    <t>Radha Krishna</t>
  </si>
  <si>
    <t>8-2-367/A, Indira Nagar, Bandari Gudem, Manuguru, Khammam, Telangana-507117.</t>
  </si>
  <si>
    <t>TSMC/FMR/09459</t>
  </si>
  <si>
    <t>50100390660795</t>
  </si>
  <si>
    <t>HDFC0005265</t>
  </si>
  <si>
    <t>EHVPS3294C</t>
  </si>
  <si>
    <t>387133806396</t>
  </si>
  <si>
    <t>Sanvelly Satyanarayana Reddy</t>
  </si>
  <si>
    <t>Long distance</t>
  </si>
  <si>
    <t>Villa no.13, Gautami Vivana Villas, Narsing Municipality, gandipet, KV Rangaraddy, telangana-500075.</t>
  </si>
  <si>
    <t>4021/A/375592863/00/000</t>
  </si>
  <si>
    <t>918010002356636</t>
  </si>
  <si>
    <t>UTIB0000614</t>
  </si>
  <si>
    <t>DSOPS2898H</t>
  </si>
  <si>
    <t>541468187052</t>
  </si>
  <si>
    <t>K Rama Chandra Raju</t>
  </si>
  <si>
    <t>7/598-G, Surya Nagar, Railway kodur, Kodur, Cuddapah, Andhra Pradesh-516101.</t>
  </si>
  <si>
    <t>APMC/FMR/81680</t>
  </si>
  <si>
    <t>50100412003845</t>
  </si>
  <si>
    <t>HDFC0001990</t>
  </si>
  <si>
    <t>DGHPM0289P</t>
  </si>
  <si>
    <t>363250717209</t>
  </si>
  <si>
    <t>Saumual Masuk</t>
  </si>
  <si>
    <t>H NO:- 3-17, shanti nagar, vanasthalipuram, Hyderabad, Telangana-50070.</t>
  </si>
  <si>
    <t xml:space="preserve"> 4161/355072483/00/000</t>
  </si>
  <si>
    <t>Dip in Opthalmology</t>
  </si>
  <si>
    <t>137910100047673</t>
  </si>
  <si>
    <t>UBIN0803979</t>
  </si>
  <si>
    <t>BBGPB1294R</t>
  </si>
  <si>
    <t>973571645858</t>
  </si>
  <si>
    <t>Banala Viswajna Acharya</t>
  </si>
  <si>
    <t>3/138-1, Prakash Nagar CO OP colony, Proddattur, Cuddapah, Andhra Pradesh-516360.</t>
  </si>
  <si>
    <t xml:space="preserve"> 4021/A/359425408/01/000</t>
  </si>
  <si>
    <t>TSMC/FMR/25087</t>
  </si>
  <si>
    <t>34778168456</t>
  </si>
  <si>
    <t>SBIN0004189</t>
  </si>
  <si>
    <t>AOJPT3712K</t>
  </si>
  <si>
    <t>863043870164</t>
  </si>
  <si>
    <t>Yatham Venkata Krishna Reddy</t>
  </si>
  <si>
    <t>13/889-2, Maruthi Nagar, Tadipatri, Anantapur, Andhra Pradesh- 515411.</t>
  </si>
  <si>
    <t>4161/375217690/00/000</t>
  </si>
  <si>
    <t>Tamil Nadu Medical Council</t>
  </si>
  <si>
    <t>37776044770</t>
  </si>
  <si>
    <t>SBIN0019073</t>
  </si>
  <si>
    <t>CGJPM4276P</t>
  </si>
  <si>
    <t>VID--9121410131009522</t>
  </si>
  <si>
    <t>Muralidharan</t>
  </si>
  <si>
    <t>No.14, Pavendar Street, Sanjay Gandhi Nagar, Saram, Puducherry-605013.</t>
  </si>
  <si>
    <t>4021/A/378470399/00/000</t>
  </si>
  <si>
    <t>D1121369</t>
  </si>
  <si>
    <t>Dr.Hafsa Saleem</t>
  </si>
  <si>
    <t>APMC/FMR/87485</t>
  </si>
  <si>
    <t>Sameerasaleem65@gmail.com</t>
  </si>
  <si>
    <t>62475882682</t>
  </si>
  <si>
    <t>SBIN0020061</t>
  </si>
  <si>
    <t>ADEPH5474L</t>
  </si>
  <si>
    <t>302042193668</t>
  </si>
  <si>
    <t>Mohd Abdus Saleem</t>
  </si>
  <si>
    <t>16-6-526/1, Osman Pura, Hyderabad, Telangana - 500024</t>
  </si>
  <si>
    <t>APMC/FMR/101211</t>
  </si>
  <si>
    <t>20336184204</t>
  </si>
  <si>
    <t>SBIN0010106</t>
  </si>
  <si>
    <t>DPVPP1628N</t>
  </si>
  <si>
    <t>980746041732</t>
  </si>
  <si>
    <t>P Sreenivasulu</t>
  </si>
  <si>
    <t>01-04-M-93, Ameed Nagar, Police Quarters, Tirupathi, Chittoor, Andhra Pradesh - 517501.</t>
  </si>
  <si>
    <t>4021/A/373039953/00/000</t>
  </si>
  <si>
    <t>8013291477</t>
  </si>
  <si>
    <t>KKBK0006577</t>
  </si>
  <si>
    <t>AQIPB5527F</t>
  </si>
  <si>
    <t>494465439837</t>
  </si>
  <si>
    <t>Manaj Kumar Bhattacharya</t>
  </si>
  <si>
    <t>38, Commint Park, Panchasayar, Kolkata, West bengal-700094.</t>
  </si>
  <si>
    <t>United india</t>
  </si>
  <si>
    <t>0304002724P116307849</t>
  </si>
  <si>
    <t>D1121393</t>
  </si>
  <si>
    <t>APMC/FMR/76489</t>
  </si>
  <si>
    <t>dreprashanti@gmail.com</t>
  </si>
  <si>
    <t>30210100120055</t>
  </si>
  <si>
    <t>UBIN0803022</t>
  </si>
  <si>
    <t>ABLPE5898A</t>
  </si>
  <si>
    <t>376076075907</t>
  </si>
  <si>
    <t>Vishnu Murthy Enjamuri</t>
  </si>
  <si>
    <t>Flat No-101, GSR Enclave Apartment, RBVRR Road and Fuction hall, Sitharampur, Karimnagar, Telangana - 505001.</t>
  </si>
  <si>
    <t>D1121400</t>
  </si>
  <si>
    <t>Dr.Ravula Shiva Kumar</t>
  </si>
  <si>
    <t>08:00 AM to 09:00 AM</t>
  </si>
  <si>
    <t>16:00 PM to 18:00 PM</t>
  </si>
  <si>
    <t>Kaloji Narayana Rao University</t>
  </si>
  <si>
    <t>TSMC/FMR/08215</t>
  </si>
  <si>
    <t>ravulashivakumar44@gmail.com</t>
  </si>
  <si>
    <t>20361048895</t>
  </si>
  <si>
    <t>SBIN0007165</t>
  </si>
  <si>
    <t>FIFPK2278N</t>
  </si>
  <si>
    <t>437957820536</t>
  </si>
  <si>
    <t>Ravula Shekar</t>
  </si>
  <si>
    <t>2-4-788/1, Gokul Nagar, OLD Bus Depot Road, Hanamkonda, Telangana - 506001.</t>
  </si>
  <si>
    <t>DM Neuroradiology</t>
  </si>
  <si>
    <t>922010018783623</t>
  </si>
  <si>
    <t>ASIPP2289E</t>
  </si>
  <si>
    <t>365766698694</t>
  </si>
  <si>
    <t>Sambhu Nath Pramanick</t>
  </si>
  <si>
    <t>10C2, Brook Tower, hilandpark, 1925, Chakgaria Main Road, Panchasayar, Kolkata, West Bengal-700094.</t>
  </si>
  <si>
    <t>240422527160075001</t>
  </si>
  <si>
    <t>05301000030757</t>
  </si>
  <si>
    <t>HDFC0000530</t>
  </si>
  <si>
    <t>AAHHD8877M</t>
  </si>
  <si>
    <t>440853690749</t>
  </si>
  <si>
    <t>Kukatla Koteswara Rao</t>
  </si>
  <si>
    <t>Utalika, BL-TWR B, 3-FR, FL-3, 405 Barakohla, Mukundapur, Kolkata, West Bengal-700099.</t>
  </si>
  <si>
    <t>4021/A/366128070/00/000</t>
  </si>
  <si>
    <t>D1121392</t>
  </si>
  <si>
    <t>Dr.Syed Arfath Ahmed</t>
  </si>
  <si>
    <t>Shadan Institute of Medical Sciences</t>
  </si>
  <si>
    <t>Mamatha Medical College</t>
  </si>
  <si>
    <t>TSMC/FMR/01788</t>
  </si>
  <si>
    <t>ahmedarfath@gmail.com</t>
  </si>
  <si>
    <t>5750131042</t>
  </si>
  <si>
    <t>KKBK0008372</t>
  </si>
  <si>
    <t>DDQPA0514M</t>
  </si>
  <si>
    <t>329049638878</t>
  </si>
  <si>
    <t>Syed Nabiuddin Ahmed</t>
  </si>
  <si>
    <t>11-3-860, 1st floor, New Mallepally, Anjuman Ground, Mallepally, Hyderabad, Telangana - 500001.</t>
  </si>
  <si>
    <t>D1121391</t>
  </si>
  <si>
    <t>Dr.Kasturi Dinesh</t>
  </si>
  <si>
    <t>Jinan University, China</t>
  </si>
  <si>
    <t>APMC/FMR/83165</t>
  </si>
  <si>
    <t>kasturidinesh555@gmail.com</t>
  </si>
  <si>
    <t>382010022649</t>
  </si>
  <si>
    <t>KKBK0008355</t>
  </si>
  <si>
    <t>DYSPK9266B</t>
  </si>
  <si>
    <t>581833196485</t>
  </si>
  <si>
    <t>Anjaiah</t>
  </si>
  <si>
    <t>10-43/2, Gandhari, Nizamabad, Telangana-503114.</t>
  </si>
  <si>
    <t>D1121401</t>
  </si>
  <si>
    <t>Dr.Swathi Manchala</t>
  </si>
  <si>
    <t>9505903653/9885637602</t>
  </si>
  <si>
    <t>swathijaganp@outlook.com , vennela.md@gmail.com</t>
  </si>
  <si>
    <t>38077550862</t>
  </si>
  <si>
    <t>SBIN0005324</t>
  </si>
  <si>
    <t>BREPM6538F</t>
  </si>
  <si>
    <t>288139458023</t>
  </si>
  <si>
    <t>Vaikuntam Manchala</t>
  </si>
  <si>
    <t>9-4-205/2, Sapthagiri Colony,, Karimnagar, Telangana - 505001.</t>
  </si>
  <si>
    <t>D1121403</t>
  </si>
  <si>
    <t>Dr.Somarouthu Vijaya Jyothi</t>
  </si>
  <si>
    <t>jyothivulapu@gmail.com</t>
  </si>
  <si>
    <t>112177737</t>
  </si>
  <si>
    <t>KKBK0007860</t>
  </si>
  <si>
    <t>CSSPS1573C</t>
  </si>
  <si>
    <t>437324190498</t>
  </si>
  <si>
    <t>Siva Sankar Rao Somarouthu</t>
  </si>
  <si>
    <t>FF 1-18-1-32, KGH Road, Maharanipet, Visakhapatnam, Andhra Pradesh- 530002.</t>
  </si>
  <si>
    <t>D1121387</t>
  </si>
  <si>
    <t>Dr.Gullapalli Rajini Kumari</t>
  </si>
  <si>
    <t>AMC14073</t>
  </si>
  <si>
    <t>9849643631 / 9848597894</t>
  </si>
  <si>
    <t>drrajanigullapalli@gmail.com</t>
  </si>
  <si>
    <t>111910100107115</t>
  </si>
  <si>
    <t>UBIN0811190</t>
  </si>
  <si>
    <t>ACWPG4501G</t>
  </si>
  <si>
    <t>639942416414</t>
  </si>
  <si>
    <t>Gullapalli Veerabhadra Rao</t>
  </si>
  <si>
    <t>15-29-749/1, E W S, Phase-1, Behind Hanuman Temple, KPHB Colony, Kukatpally, KV Rangareddy, Telangana-500085.</t>
  </si>
  <si>
    <t>Karnataka Bank</t>
  </si>
  <si>
    <t>106010084145</t>
  </si>
  <si>
    <t>KKBK0008279</t>
  </si>
  <si>
    <t>ABNPN7399H</t>
  </si>
  <si>
    <t>605497441309</t>
  </si>
  <si>
    <t>Ramaiah Sathyanarayana Murthy</t>
  </si>
  <si>
    <t>45, Sai Sadan, Century Park Layout, Vsanth Mahal road, Near Circus ground, Nazarbad, Mysore, Karnataka-570010.</t>
  </si>
  <si>
    <t>4021/A/320154186/00/000</t>
  </si>
  <si>
    <t>expired</t>
  </si>
  <si>
    <t>7441000007314</t>
  </si>
  <si>
    <t>HDFC0009376</t>
  </si>
  <si>
    <t>AMGPB8750Q</t>
  </si>
  <si>
    <t>718845520342</t>
  </si>
  <si>
    <t>Borra Naga Raju</t>
  </si>
  <si>
    <t>D.No-51-1-1/253/14F/1413, Oxygen Towers, Seethammadhara, P&amp;T colony, Visakhapatnam- 530013.</t>
  </si>
  <si>
    <t>4161/359801205/00/000</t>
  </si>
  <si>
    <t>30817049876</t>
  </si>
  <si>
    <t>SBIN0000122</t>
  </si>
  <si>
    <t>CHTPS0209M</t>
  </si>
  <si>
    <t>305998301045</t>
  </si>
  <si>
    <t>Swapan Sarkar</t>
  </si>
  <si>
    <t>Krishnagar-Bhaluka Road, Nrishinghapur, Nadia Bishnupur, Raotara, Nadia, West Bengal - 741103.</t>
  </si>
  <si>
    <t>240422477160153700</t>
  </si>
  <si>
    <t>923010051094075</t>
  </si>
  <si>
    <t>UTIB0002960</t>
  </si>
  <si>
    <t>BFNPM6919M</t>
  </si>
  <si>
    <t>846127521552</t>
  </si>
  <si>
    <t>Nagaiah</t>
  </si>
  <si>
    <t>11-29-245, Ramnathpuri, CKM Road, Warangal, Telangana - 506002</t>
  </si>
  <si>
    <t xml:space="preserve"> 4161/411800672/00/000</t>
  </si>
  <si>
    <t>082601003671</t>
  </si>
  <si>
    <t>ICIC0000826</t>
  </si>
  <si>
    <t>AJUPC5891Q</t>
  </si>
  <si>
    <t>365508701008</t>
  </si>
  <si>
    <t>Mukesh Chauhan</t>
  </si>
  <si>
    <t>Flat No-63, Sidharth Apartments, Paschim Vihar, West Delhi, Delhi - 110087.</t>
  </si>
  <si>
    <t>The New India Assurance Co.Ltd</t>
  </si>
  <si>
    <t>PO39185584</t>
  </si>
  <si>
    <t>D1121411</t>
  </si>
  <si>
    <t>Dr.Namasani Yogitha</t>
  </si>
  <si>
    <t>Lab Services</t>
  </si>
  <si>
    <t>Consultant Cluster Incharge Lab Technical Operations</t>
  </si>
  <si>
    <t>APMC/FMR/86743</t>
  </si>
  <si>
    <t>doctoryogitha154@gmail.com</t>
  </si>
  <si>
    <t>50100314163671</t>
  </si>
  <si>
    <t>HDFC0004343</t>
  </si>
  <si>
    <t>BBCPN2938L</t>
  </si>
  <si>
    <t>395478662491</t>
  </si>
  <si>
    <t>Narasaiah Namasani</t>
  </si>
  <si>
    <t>Flat No.101, Dhanyasri Homes, SNR Line 8, Meenakshi Estate, Pet Basheerabad, Medchal-Malkajgiri, Telangana-500067.</t>
  </si>
  <si>
    <t>2010/05/1649</t>
  </si>
  <si>
    <t>50100059409114</t>
  </si>
  <si>
    <t>HDFC0000486</t>
  </si>
  <si>
    <t>AUYPC6010A</t>
  </si>
  <si>
    <t>386604813324</t>
  </si>
  <si>
    <t>Pramod Krishnathroo Chaudhari</t>
  </si>
  <si>
    <t>F 110/ Western Avenue apartment, BhumkarChowki, Phoenix Mall, Wakad, Pune City, Maharastra-</t>
  </si>
  <si>
    <t>4161/361912906/00/000</t>
  </si>
  <si>
    <t>AMC4066</t>
  </si>
  <si>
    <t>700110014648</t>
  </si>
  <si>
    <t>KKBK0007531</t>
  </si>
  <si>
    <t>AHZPG2483M</t>
  </si>
  <si>
    <t>843657648037</t>
  </si>
  <si>
    <t>Guddanti Seshaiah</t>
  </si>
  <si>
    <t>P.No-15, Tirumala Enclave, Tirumalagiri Village, Tirumalagiri, Secunderabad, Hyderabad, Telangana- 500015.</t>
  </si>
  <si>
    <t>4021/A/372644736/00/000</t>
  </si>
  <si>
    <t>APMC/FMR/99244</t>
  </si>
  <si>
    <t>50100567141660</t>
  </si>
  <si>
    <t>BDAPN2551D</t>
  </si>
  <si>
    <t>411083998159</t>
  </si>
  <si>
    <t>Nunna Srinivasa Chowdary</t>
  </si>
  <si>
    <t>5-133, Main road, Union Bank opposite, Devarapalli Mandalam, Devarapalle, West Godavari, Andhra Pradesh-534313.</t>
  </si>
  <si>
    <t xml:space="preserve"> 61190036250400000058</t>
  </si>
  <si>
    <t>TSMC/FMR/35584</t>
  </si>
  <si>
    <t>920010063687754</t>
  </si>
  <si>
    <t>UTIB0000107</t>
  </si>
  <si>
    <t>ENXPP8297L</t>
  </si>
  <si>
    <t>550900139080</t>
  </si>
  <si>
    <t>Rami Reddy Puligunta</t>
  </si>
  <si>
    <t>4-15-7/C, Panchangulavari Street, Kavali, Nellore, Andhra Pradesh - 524201.</t>
  </si>
  <si>
    <t>4021/A/411393804/00/000</t>
  </si>
  <si>
    <t>APMC/FMR/107468</t>
  </si>
  <si>
    <t>39533482092</t>
  </si>
  <si>
    <t>SBIN0020926</t>
  </si>
  <si>
    <t>DLEPP7360A</t>
  </si>
  <si>
    <t>575102324210</t>
  </si>
  <si>
    <t>Kondareddy Papireddy</t>
  </si>
  <si>
    <t>27-2-533, 5th Cross Road, Balaji Nagar, Stonehousepet, Nellore, Andhra Pradesh-524002.</t>
  </si>
  <si>
    <t>TSMC/FMR/03317</t>
  </si>
  <si>
    <t>50100229791792</t>
  </si>
  <si>
    <t>HDFC0002949</t>
  </si>
  <si>
    <t>BXYPM7860C</t>
  </si>
  <si>
    <t>400676984890</t>
  </si>
  <si>
    <t>Ananda Reddy Musuku</t>
  </si>
  <si>
    <t>H.No-8-2-88, Amrutha Nursing Home, Vemulawada Mandalam, Vemulawada, Karimnagar, Telangana-505302.</t>
  </si>
  <si>
    <t>D1121551</t>
  </si>
  <si>
    <t>AMC MET Medical College,Ahmedabad</t>
  </si>
  <si>
    <t>B.J. Medical College, Ahmedabad</t>
  </si>
  <si>
    <t>HN 28710</t>
  </si>
  <si>
    <t>vaibhavipanchal93@gmail.com</t>
  </si>
  <si>
    <t>918010020808838</t>
  </si>
  <si>
    <t>UTIB0000449</t>
  </si>
  <si>
    <t>EPZPP0946C</t>
  </si>
  <si>
    <t>959709526805</t>
  </si>
  <si>
    <t>Bharatbhai Umiyashankar</t>
  </si>
  <si>
    <t>B-1, East Guj Patelnagar, Co.Op.H. Soc.Ltd, B/h Kumar Shala, Naroda, Ahmadabad City, Ahmedabad, gujarat - 382330</t>
  </si>
  <si>
    <t>TSMC/FMR/13769</t>
  </si>
  <si>
    <t>916010006737217</t>
  </si>
  <si>
    <t>UTIB0000209</t>
  </si>
  <si>
    <t>ASKPC3205D</t>
  </si>
  <si>
    <t>504432568028</t>
  </si>
  <si>
    <t>Butch Uday Singh</t>
  </si>
  <si>
    <t>3-8-341/2, 1 A Chandrapuri Colony, Behind Lakshmi Nhyundai, LB Nagar, Bahadurguda, KV Rangareddy, Telangana - 500074.</t>
  </si>
  <si>
    <t>4021/A/388198648/00/000</t>
  </si>
  <si>
    <t>D1121550</t>
  </si>
  <si>
    <t>Dr.Hemalatha Surupanga</t>
  </si>
  <si>
    <t>APMC/FMR/76405</t>
  </si>
  <si>
    <t>drhemalatha468@gmail.com</t>
  </si>
  <si>
    <t>50100338095681</t>
  </si>
  <si>
    <t>HDFC0001042</t>
  </si>
  <si>
    <t>EMMPS3556P</t>
  </si>
  <si>
    <t>381792627037</t>
  </si>
  <si>
    <t>Ramulu Surupanga</t>
  </si>
  <si>
    <t>1-69, Banda Somaram, Veeravally, Nalgonda, Telangana - 508116.</t>
  </si>
  <si>
    <t>United Insurance India Company Limited</t>
  </si>
  <si>
    <t>0502022724P119591091</t>
  </si>
  <si>
    <t>TSMC/FMR/27733</t>
  </si>
  <si>
    <t>50100639040065</t>
  </si>
  <si>
    <t>HDFC0000704</t>
  </si>
  <si>
    <t>RTRPS7165F</t>
  </si>
  <si>
    <t>925861418417</t>
  </si>
  <si>
    <t>Gajjala Rama Chandra Reddy</t>
  </si>
  <si>
    <t>42/347-225,Simhapuri Colony, Cuddapah, Andhra Pradesh -516001.</t>
  </si>
  <si>
    <t>APMC/FMR/102677</t>
  </si>
  <si>
    <t>20486694686</t>
  </si>
  <si>
    <t>SBIN0011107</t>
  </si>
  <si>
    <t>ALGPL0867R</t>
  </si>
  <si>
    <t>214295375390</t>
  </si>
  <si>
    <t>Nagamalleswara Rao Lakkimsetti</t>
  </si>
  <si>
    <t>5-13/1, Sujata Nilayam, Vydyanagar 3, Behind Suryamax Theatre, Vakalapudi, Kakinada, Andhra Pradesh - 533001.</t>
  </si>
  <si>
    <t>D1121742</t>
  </si>
  <si>
    <t>Dr.Nagipagu Suvarna Naidu</t>
  </si>
  <si>
    <t>Botanical Garden-74</t>
  </si>
  <si>
    <t>X-Ray (Plain Radiography- Basic,Advanced), USG ( Basic, Doppler Studies, Thyroid/Scrotum USG, Breast USG, MSK USG, Penile Doppler, USG Guided FNAC, USG Guided Trucut Biopsy, USG Guided Aspiration), CT (Basic, Chest/Abdomen/Neck, 3DCT, CT Angiography), MRI (MRI MRCP/Abdomen/ Liver, MR Prostate/ Rectum, MRI Enterography)</t>
  </si>
  <si>
    <t>TSMC/FMR/29127</t>
  </si>
  <si>
    <t>suvarna.naidu789@gmail.com</t>
  </si>
  <si>
    <t>7435474681</t>
  </si>
  <si>
    <t>IDIB000K808</t>
  </si>
  <si>
    <t>ATQPN6342K</t>
  </si>
  <si>
    <t>568362246453</t>
  </si>
  <si>
    <t>Lazar Nagipagu</t>
  </si>
  <si>
    <t>Resigned, check</t>
  </si>
  <si>
    <t>13-2-27, Venkata Reddy nagar, Narasaraopet, Guntur, Andhra Pradesh-522601.</t>
  </si>
  <si>
    <t>4021/A/375619369/00/000</t>
  </si>
  <si>
    <t>50100350716261</t>
  </si>
  <si>
    <t>HDFC0000208</t>
  </si>
  <si>
    <t>ADTPH6224R</t>
  </si>
  <si>
    <t>257244600754</t>
  </si>
  <si>
    <t>Binod Kumar Hansaria</t>
  </si>
  <si>
    <t>Vivek vihar Phase 3 Flat A1 504, 493/C/A GT Road South,  Howrah, West Bengal-711102.</t>
  </si>
  <si>
    <t>4021/A/400107505/00/000</t>
  </si>
  <si>
    <t>D1121743</t>
  </si>
  <si>
    <t xml:space="preserve">09:00 to 14:00 </t>
  </si>
  <si>
    <t>16:00 to 18:00</t>
  </si>
  <si>
    <t>Khaja Banda Nawaz Institute of Medical Science</t>
  </si>
  <si>
    <t>S Nijalingappa Medical College &amp; HSK Hospital</t>
  </si>
  <si>
    <t>drayesha.fatima1989@gmail.com</t>
  </si>
  <si>
    <t>62228448851</t>
  </si>
  <si>
    <t>SBIN0020632</t>
  </si>
  <si>
    <t>BJHPA0982Q</t>
  </si>
  <si>
    <t>305222600901</t>
  </si>
  <si>
    <t>Mohammed Abdul Sattar</t>
  </si>
  <si>
    <t>Plot No 30 Near S M Patil Hospital, G D A Layout, Sangtrashwadi, Gulbarga, Kalaburagi, Karnataka-585104.</t>
  </si>
  <si>
    <t>4161/373276152/00/000</t>
  </si>
  <si>
    <t>D1121868</t>
  </si>
  <si>
    <t>Dr.D Sreedevi</t>
  </si>
  <si>
    <t>Haematology</t>
  </si>
  <si>
    <t>Consultant &amp; HOD Haematology</t>
  </si>
  <si>
    <t>Mahadevappa rampure medical college</t>
  </si>
  <si>
    <t>DNB - Pathology</t>
  </si>
  <si>
    <t>MBBS, Diploma in Clinical Pathology</t>
  </si>
  <si>
    <t>sritoutem1392@yahoo.co.in</t>
  </si>
  <si>
    <t>004801644164</t>
  </si>
  <si>
    <t>AIMPD9213C</t>
  </si>
  <si>
    <t>444789339606</t>
  </si>
  <si>
    <t>Chakradhar Naidu Dantala</t>
  </si>
  <si>
    <t>Toutem Shashikant, 18, Vayupuri, Malkajgiri, Hyderabad, Telangana-500094.</t>
  </si>
  <si>
    <t>New India Insurance</t>
  </si>
  <si>
    <t>61190036240400000052</t>
  </si>
  <si>
    <t>TSMC/FMR/12594</t>
  </si>
  <si>
    <t>50100791522544</t>
  </si>
  <si>
    <t>HDFC0004111</t>
  </si>
  <si>
    <t>HBZPS9451J</t>
  </si>
  <si>
    <t>601639233502</t>
  </si>
  <si>
    <t>Saini Babu Rao</t>
  </si>
  <si>
    <t>8-6-1085, Plot No-55, Venkata Ramana Colony, Hasthinapuram, Vanasthalipuram, Hayathnagar, K V Rangareddy, Telangana - 500070.</t>
  </si>
  <si>
    <t>D1121869</t>
  </si>
  <si>
    <t>Dr.Paladi Bhargavi</t>
  </si>
  <si>
    <t>X-Ray(Plain Radiography-Basic,Advanced,Mammography), USG (Basic, Doppler Studies,Thyroid/Scrotum USG, Breast USG, MSK USG, USG Guided FNAC, USG Guided Trucut Biopsy,USG Guided Aspiration, Breast Biopsy), CT (Basic, Chest/Abdomen/Neck, 3DCT, CT Angiography, Virtual Bronchoscopy, CT Perfusion), MRI (Basic, MSK Studies - Knee/Shoulder, MRI MRCP/Abdomen / Liver), Special Procedures (IVP, RGU, MCUG, Barium Swallow, Barium Enema, HSG)</t>
  </si>
  <si>
    <t>TSMC/FMR/09295</t>
  </si>
  <si>
    <t>saibhargavi095@gmail.com</t>
  </si>
  <si>
    <t>107910100080650</t>
  </si>
  <si>
    <t>UBIN0810797</t>
  </si>
  <si>
    <t>BXDPB7718K</t>
  </si>
  <si>
    <t>200737682218</t>
  </si>
  <si>
    <t>Paladi Anjaneyulu</t>
  </si>
  <si>
    <t>Govt exams</t>
  </si>
  <si>
    <t>2-37/A, Donur, Mahabub nagar, Telangana - 509357.</t>
  </si>
  <si>
    <t>4161/378819901/00/000</t>
  </si>
  <si>
    <t>HN20566</t>
  </si>
  <si>
    <t>50100669991881</t>
  </si>
  <si>
    <t>HDFC0000280</t>
  </si>
  <si>
    <t>AKEPV0578J</t>
  </si>
  <si>
    <t>609998749459</t>
  </si>
  <si>
    <t>Pramod Vijay</t>
  </si>
  <si>
    <t>M1/32, dlf phase 2, sector 25, Sikenderpur Ghosi (68), Dlf Qe, Gurgaon, Haryana-122002.</t>
  </si>
  <si>
    <t>4021/199149201/00/000</t>
  </si>
  <si>
    <t>D1121871</t>
  </si>
  <si>
    <t>Dr.Ridha Sheriff</t>
  </si>
  <si>
    <t>Shadan Institute of Medical Sciences, Research Centre and Teaching Hospital</t>
  </si>
  <si>
    <t>TSMC/FMR/34863</t>
  </si>
  <si>
    <t>itz.ridha@gmail.com</t>
  </si>
  <si>
    <t>922010025395095</t>
  </si>
  <si>
    <t>UTIB0004363</t>
  </si>
  <si>
    <t>RCPPS1079P</t>
  </si>
  <si>
    <t>795605754687</t>
  </si>
  <si>
    <t>Mohammed Ibrahim Sheriff</t>
  </si>
  <si>
    <t>Flat No. 301, RM-HRA Aparments, Nallagutta, Ramgopalpet, Secunderabad, Hyderabad, Telangana-500003.</t>
  </si>
  <si>
    <t>D1121858</t>
  </si>
  <si>
    <t>Dr.Rupak Ranjan</t>
  </si>
  <si>
    <t>International Higher School of Medicine, Kyrgyzstan</t>
  </si>
  <si>
    <t>TSMC/FMR/29921</t>
  </si>
  <si>
    <t>rupakranjan213@gmail.com</t>
  </si>
  <si>
    <t>36076415536</t>
  </si>
  <si>
    <t>SBIN0017761</t>
  </si>
  <si>
    <t>FRIPR9819E</t>
  </si>
  <si>
    <t>693133758658</t>
  </si>
  <si>
    <t>Nantun Prasad</t>
  </si>
  <si>
    <t>4-42-776, Asbestos Colony, Near Sri Vinayaka Hospital, Kukatpally, Hyderabad, Telangana - 500072.</t>
  </si>
  <si>
    <t>D1121873</t>
  </si>
  <si>
    <t>Dr.Rashmi Panthi</t>
  </si>
  <si>
    <t>Laxmi Narain Institute of Medical College, Bhopal</t>
  </si>
  <si>
    <t>Mahatma Gandhi Memorial Medical College, Indore</t>
  </si>
  <si>
    <t>TSMC/FMR/35859</t>
  </si>
  <si>
    <t>rashmipanthi67@gmail.com</t>
  </si>
  <si>
    <t>923010056267566</t>
  </si>
  <si>
    <t>UTIB0003119</t>
  </si>
  <si>
    <t>CDGPP4756H</t>
  </si>
  <si>
    <t>464407280345</t>
  </si>
  <si>
    <t>Ramesh Panthi</t>
  </si>
  <si>
    <t>586, Vinoba Nagar, Indore, Madhya Pradesh - 452018.</t>
  </si>
  <si>
    <t>D1121874</t>
  </si>
  <si>
    <t>Dr.U Soujanya</t>
  </si>
  <si>
    <t>Rajiv Gandhi Institute of Medical Sciences, Kadapa</t>
  </si>
  <si>
    <t>APMC/FMR/86930</t>
  </si>
  <si>
    <t>soujanyamedico@gmail.com</t>
  </si>
  <si>
    <t>052010100087097</t>
  </si>
  <si>
    <t>UBIN0814300</t>
  </si>
  <si>
    <t>AEKPU8340K</t>
  </si>
  <si>
    <t>471563709206</t>
  </si>
  <si>
    <t>Kairuppalappa Ulligaddala</t>
  </si>
  <si>
    <t>79/101-301, Siva Sadan Apartment, Krishna Nagar, Kurnool Urban, Andhra Pradesh - 518002.</t>
  </si>
  <si>
    <t xml:space="preserve"> 4021/A/411681244/00/000</t>
  </si>
  <si>
    <t>D1122030</t>
  </si>
  <si>
    <t>Dr.Chanda Varshini Sindhiya</t>
  </si>
  <si>
    <t>Dr VRK Womens Medical College, Hyderabad</t>
  </si>
  <si>
    <t>TSMC/FMR/08778</t>
  </si>
  <si>
    <t>sandy.varshu@gmail.com</t>
  </si>
  <si>
    <t>333401502983</t>
  </si>
  <si>
    <t>BAFPC3027B</t>
  </si>
  <si>
    <t>872226174015</t>
  </si>
  <si>
    <t>Chanda Ramesh</t>
  </si>
  <si>
    <t>Moving to UK for FRCP</t>
  </si>
  <si>
    <t>2-40/1/10/A/1, Theegalaguttapally, Karimnagar, Telangana - 505001</t>
  </si>
  <si>
    <t>V1101800</t>
  </si>
  <si>
    <t>Dr.Madan Siddamsetty</t>
  </si>
  <si>
    <t>Stanley Medical College</t>
  </si>
  <si>
    <t>APMC/FMR/74181</t>
  </si>
  <si>
    <t>sdrmadan@yahoo.com</t>
  </si>
  <si>
    <t>008010100136662</t>
  </si>
  <si>
    <t>UTIB0001380</t>
  </si>
  <si>
    <t>AIYPS9713N</t>
  </si>
  <si>
    <t>652830225755</t>
  </si>
  <si>
    <t>S Chandrasekhar</t>
  </si>
  <si>
    <t>3-5-850, Flat No-302, Jagannath residency, Hyderguda, Himayathnagar, Hyderabad, Andhra Pradesh-500029.</t>
  </si>
  <si>
    <t>APMC/FMR/92062</t>
  </si>
  <si>
    <t>99980113768142</t>
  </si>
  <si>
    <t>FDRL0001395</t>
  </si>
  <si>
    <t>APPPV1053E</t>
  </si>
  <si>
    <t>259829122244</t>
  </si>
  <si>
    <t>Kotireddy Vemireddy</t>
  </si>
  <si>
    <t xml:space="preserve">6-2-773/3, Teacher's colony , 81Behind SLN Swamy colony, Hyderabad Road ,Nalgonda , telanagan 508001 </t>
  </si>
  <si>
    <t>0412002724P111535754</t>
  </si>
  <si>
    <t>APMC/FMR/88280</t>
  </si>
  <si>
    <t>62113589814</t>
  </si>
  <si>
    <t>CUZPM6852K</t>
  </si>
  <si>
    <t>363128446225</t>
  </si>
  <si>
    <t>Kadipikonda Jaipalreddy</t>
  </si>
  <si>
    <t>H No. 1-29, Ankusapoor, Jammikunta Mandal, Madipalle, Madupalli, Karimnagar, Telangana-505122.</t>
  </si>
  <si>
    <t>61300036240400000072</t>
  </si>
  <si>
    <t>APMC/FMR/75280</t>
  </si>
  <si>
    <t>137910100094158</t>
  </si>
  <si>
    <t>UBIN0823066</t>
  </si>
  <si>
    <t>CSSPM6903Q</t>
  </si>
  <si>
    <t>473051285696</t>
  </si>
  <si>
    <t>Kodanda Ramaiah Mallam</t>
  </si>
  <si>
    <t>19-12-309, Second Floor, Bairagipatteda, Backside of Padmavathi Park Gate, Tirupati (Urban) Chittoor, Andhra Pradesh-517501.</t>
  </si>
  <si>
    <t>D1122025</t>
  </si>
  <si>
    <t>Dr.Sivaramannagari Rajasekhar Reddy</t>
  </si>
  <si>
    <t>Vinayaka Mission's Medical College, Karaikal</t>
  </si>
  <si>
    <t>reddyrajasekhar@rediffmail.com</t>
  </si>
  <si>
    <t>20029326501</t>
  </si>
  <si>
    <t>SBIN0061495</t>
  </si>
  <si>
    <t>BGQPS6096F</t>
  </si>
  <si>
    <t>688411475498</t>
  </si>
  <si>
    <t>Raghunatha Reddy Sivaramannagari</t>
  </si>
  <si>
    <t>302, Sree Padmavati Grand Apartment, Upadhyaya Nagar, Near Grand World Enclave, Tirupati, Andhra Pradesh - 517501.</t>
  </si>
  <si>
    <t>D1122029</t>
  </si>
  <si>
    <t>Dr.Balagouni Shruthi</t>
  </si>
  <si>
    <t>TSMC/FMR/06449</t>
  </si>
  <si>
    <t>shruthigoud57@gmail.com</t>
  </si>
  <si>
    <t>00000073157483112</t>
  </si>
  <si>
    <t>TGRB0008194</t>
  </si>
  <si>
    <t>BGZPB2377P</t>
  </si>
  <si>
    <t>725781808828</t>
  </si>
  <si>
    <t>Srinivas Goud Balagouni</t>
  </si>
  <si>
    <t>Health issues</t>
  </si>
  <si>
    <t>H No. 5-91, Ramachandrapuram, Edulanagulapalle, Nagulapalli, Medak, Telangana-502300.</t>
  </si>
  <si>
    <t>TSMC/FMR/14904</t>
  </si>
  <si>
    <t>925010013054332</t>
  </si>
  <si>
    <t>UTIB0004230</t>
  </si>
  <si>
    <t>CEEPR5872M</t>
  </si>
  <si>
    <t>243960332328</t>
  </si>
  <si>
    <t>Maddi Ashok Reddy</t>
  </si>
  <si>
    <t>House No.11-13-1059/2, Plot No 135/A, Third Floor, Street No.8, Vasavi Colonhy, Ashtalakshmi Temple, Kothapet, Saroornagar, K V Rangareddy, Telangana - 500035.</t>
  </si>
  <si>
    <t>4021/A/385601084/00/000</t>
  </si>
  <si>
    <t>FRCR,EDIR</t>
  </si>
  <si>
    <t>50100313052520</t>
  </si>
  <si>
    <t>HDFC0000042</t>
  </si>
  <si>
    <t>FXDPS7512G</t>
  </si>
  <si>
    <t>247634006604</t>
  </si>
  <si>
    <t>Satyanarayana Rao Sirangi</t>
  </si>
  <si>
    <t>3-6-602/302, No 8, Himayatnagar, Near Post Office, Himayatnagar, Hyderabad, Telangana - 500029.</t>
  </si>
  <si>
    <t>4021/A/36074683/00/000</t>
  </si>
  <si>
    <t>1502062724P107814343</t>
  </si>
  <si>
    <t>D1122024</t>
  </si>
  <si>
    <t>Dr.Amal</t>
  </si>
  <si>
    <t>Deccan College of Medical sciences</t>
  </si>
  <si>
    <t>TSMC/FMR/18774</t>
  </si>
  <si>
    <t>amal_moyeed@yahoo.com</t>
  </si>
  <si>
    <t>50100286084149</t>
  </si>
  <si>
    <t>BNPPA1176E</t>
  </si>
  <si>
    <t>592708439419</t>
  </si>
  <si>
    <t>Mohammed Abdul Moyeed</t>
  </si>
  <si>
    <t>9-4-131/1/N/22, Neeraja Colony, Tolochowki, Golconda, Hyderabad, Telangana - 500008.</t>
  </si>
  <si>
    <t>D1120772</t>
  </si>
  <si>
    <t>Dr.Sheronica Laishram</t>
  </si>
  <si>
    <t>dr.sheronIai@gmail.com</t>
  </si>
  <si>
    <t>921010047432294</t>
  </si>
  <si>
    <t>UTIB0001222</t>
  </si>
  <si>
    <t>AJAPL4425H</t>
  </si>
  <si>
    <t>795318628185</t>
  </si>
  <si>
    <t>L Ranbir Singh</t>
  </si>
  <si>
    <t>Kwakeithel, Morang purel, Leikai, Imphal, Imphal west, Manipur, 795001.</t>
  </si>
  <si>
    <t>TSMC/FMR/12174</t>
  </si>
  <si>
    <t>50100348726221</t>
  </si>
  <si>
    <t>HDFC0001621</t>
  </si>
  <si>
    <t>EQPPR9785C</t>
  </si>
  <si>
    <t>272581404022</t>
  </si>
  <si>
    <t>Gopidi Raghuram Reddy</t>
  </si>
  <si>
    <t>1-2-15/12, Shanthi Nagar, Adilabad, Telangana-504001.</t>
  </si>
  <si>
    <t>61190036250400000070</t>
  </si>
  <si>
    <t>TSMC/FMR/16048</t>
  </si>
  <si>
    <t>019210100095616</t>
  </si>
  <si>
    <t>CICPG5216N</t>
  </si>
  <si>
    <t>798268710012</t>
  </si>
  <si>
    <t>Nanji Reddy Gogireddy</t>
  </si>
  <si>
    <t>8-5-283/29, Near Ayyappa Temple, Madhava Nagar Colony, Kharmanghat, Rangareddy, Telangana-500079</t>
  </si>
  <si>
    <t>61190036250400000022</t>
  </si>
  <si>
    <t>D1122173</t>
  </si>
  <si>
    <t>Dr.Jayalakshmi Valligari</t>
  </si>
  <si>
    <t>Sri Devaraj URS Medical College</t>
  </si>
  <si>
    <t>Dr B R Ambedkar Medical College</t>
  </si>
  <si>
    <t>drjayagiridhar@rediffmail.com</t>
  </si>
  <si>
    <t>50100368873639</t>
  </si>
  <si>
    <t>HDFC0001206</t>
  </si>
  <si>
    <t>ASDPV7358R</t>
  </si>
  <si>
    <t>354984775500</t>
  </si>
  <si>
    <t>Janardhan Valligari</t>
  </si>
  <si>
    <t>24/8, 8th Cross 1st n Block, Rajajinagar, Bangalore North, Bangalore, Karnataka-560010.</t>
  </si>
  <si>
    <t>00181000199759</t>
  </si>
  <si>
    <t>HDFC0000018</t>
  </si>
  <si>
    <t>AGMPG3311L</t>
  </si>
  <si>
    <t>256460239160</t>
  </si>
  <si>
    <t>Nitai Chandra Goswami</t>
  </si>
  <si>
    <t>Aditya Para Lane, Ghurni, Nadia, West bengal-741103</t>
  </si>
  <si>
    <t>0304002724P117185578</t>
  </si>
  <si>
    <t>TSMC/FMR/12021</t>
  </si>
  <si>
    <t>34455860794</t>
  </si>
  <si>
    <t>SBIN0006223</t>
  </si>
  <si>
    <t>DNKPB9027E</t>
  </si>
  <si>
    <t>490589075154</t>
  </si>
  <si>
    <t>Nageswar Reddy Bujala</t>
  </si>
  <si>
    <t>33-171/4, Near E Seva, Wanaparthy, Bandar Nagar, Mahabubnagar, Telangana - 509103</t>
  </si>
  <si>
    <t>APMC/FMR/105558</t>
  </si>
  <si>
    <t>40320100004214</t>
  </si>
  <si>
    <t>BARB0REPALL</t>
  </si>
  <si>
    <t>COEPP1552E</t>
  </si>
  <si>
    <t>302792795459</t>
  </si>
  <si>
    <t>Venkateswara Rao Puli</t>
  </si>
  <si>
    <t>11-16-66, Ward9, Boli Setti Vari Street, Reaplle, Guntur, Andhra Pradesh-522265</t>
  </si>
  <si>
    <t>61190036250400000063</t>
  </si>
  <si>
    <t>D1120757</t>
  </si>
  <si>
    <t>Dr.Edamadaka Yeshwanth</t>
  </si>
  <si>
    <t>Bhabha Atomic Research Centre</t>
  </si>
  <si>
    <t>TSMC/FMR/10076</t>
  </si>
  <si>
    <t>yeshwanthedamadaka@gmail.com</t>
  </si>
  <si>
    <t>62298033262</t>
  </si>
  <si>
    <t>SBIN0005094</t>
  </si>
  <si>
    <t>ADIPE5888K</t>
  </si>
  <si>
    <t>544436229005</t>
  </si>
  <si>
    <t>Edamadala Bala Subramanyam</t>
  </si>
  <si>
    <t>1-66/4, P.NO:6/64, Flat No- 201, Padmaja Avenue, Motinagar Ext, Near Hanuman temple, Bobbuguda Vil, VTC: Balanagar, Sanathnagar, K.V. Rangareddy, Telangana-500018.</t>
  </si>
  <si>
    <t>30777307333</t>
  </si>
  <si>
    <t>SBIN0001536</t>
  </si>
  <si>
    <t>AZGPN6408A</t>
  </si>
  <si>
    <t>983958023881</t>
  </si>
  <si>
    <t>Yallappa</t>
  </si>
  <si>
    <t>81, Old Jewargi Road, Near KHB Colony, Bagare Layout, Gulbarga, Kalaburagi, Karnataka-585102.</t>
  </si>
  <si>
    <t>TSMC/FMR/10722</t>
  </si>
  <si>
    <t>62439982952</t>
  </si>
  <si>
    <t>SBIN0012906</t>
  </si>
  <si>
    <t>AVOPT8238J</t>
  </si>
  <si>
    <t>406325060322</t>
  </si>
  <si>
    <t>Srinivas Reddy Tumma</t>
  </si>
  <si>
    <t>11-197/A, Thallada Road, wyra Mandalam, Wyra, Khammam, Telangana - 507165.</t>
  </si>
  <si>
    <t>D1122179</t>
  </si>
  <si>
    <t>Dr.CH Mallikarjun Reddy</t>
  </si>
  <si>
    <t>TSMC/FMR/02274</t>
  </si>
  <si>
    <t>rmallikarjun18@gmail.com</t>
  </si>
  <si>
    <t>50100516023197</t>
  </si>
  <si>
    <t>HDFC0000126</t>
  </si>
  <si>
    <t>CTVPM3511Q</t>
  </si>
  <si>
    <t>473102864123</t>
  </si>
  <si>
    <t>Challa Vijayapal Reddy</t>
  </si>
  <si>
    <t>1-269-61, Srinivas Nagar, ECIL Post, Kapra R R Dist, Hyderabad, Telangana - 500062.</t>
  </si>
  <si>
    <t>TSMC/FMR/14914</t>
  </si>
  <si>
    <t>9812508315</t>
  </si>
  <si>
    <t>KKBK0007468</t>
  </si>
  <si>
    <t>GHJPS9805K</t>
  </si>
  <si>
    <t>767559298626</t>
  </si>
  <si>
    <t>Prabhakar Reddy Sripathi</t>
  </si>
  <si>
    <t>7-2-7/32P, Durga Nagar Colony Road No.5, Bairamlguda, Kharmanghat, Saroornagar, K V Ranga Reddy, Telangana -500079.</t>
  </si>
  <si>
    <t>50100251105669</t>
  </si>
  <si>
    <t>BKOPR0040N</t>
  </si>
  <si>
    <t>674156525626</t>
  </si>
  <si>
    <t>Mohammed Abdul Nabi</t>
  </si>
  <si>
    <t>16-9-690/B/2/A, Old Malakpet, Near Water Tank, Malakpet, Amberpet, Hyderabad, Telangana-500036.</t>
  </si>
  <si>
    <t xml:space="preserve"> 4021/A/388090018/00/000</t>
  </si>
  <si>
    <t>TSMC/FMR/20408</t>
  </si>
  <si>
    <t>34208457551</t>
  </si>
  <si>
    <t>SBIN0001856</t>
  </si>
  <si>
    <t>CSPPP3459M</t>
  </si>
  <si>
    <t>225062502786</t>
  </si>
  <si>
    <t>Sundaramurthy Ramaswamy</t>
  </si>
  <si>
    <t>50, East Street, Kurinjipadi Taluk, Puliyur Kattu Sagai, Puliyur (West), Cuddalore, Tamil Nadu - 607301.</t>
  </si>
  <si>
    <t>4021/A/389466879/00/000</t>
  </si>
  <si>
    <t>EDR, DICRI, FRCR</t>
  </si>
  <si>
    <t>628601539349</t>
  </si>
  <si>
    <t>ICIC0006286</t>
  </si>
  <si>
    <t>BRDPK5489E</t>
  </si>
  <si>
    <t>343362560173</t>
  </si>
  <si>
    <t>Sunil Katyal</t>
  </si>
  <si>
    <t>Villa No-69, VVIP Assests, Raj Nagar Extension, Ghaziabad, Uttar Pradesh - 201017.</t>
  </si>
  <si>
    <t>D1122176</t>
  </si>
  <si>
    <t>Dr.Tadepalli Shalom Divya Teja</t>
  </si>
  <si>
    <t>TSMC/FMR/20568</t>
  </si>
  <si>
    <t>divyashalom94@gmail.com</t>
  </si>
  <si>
    <t>070510100016488</t>
  </si>
  <si>
    <t>UBIN0807052</t>
  </si>
  <si>
    <t>BJEPT0860P</t>
  </si>
  <si>
    <t>788199251614</t>
  </si>
  <si>
    <t>Krishna Kumar Tadepalli</t>
  </si>
  <si>
    <t>18-3-495/18, Lakshmi Nagar, Falaknuma, Charminar, Hyderabad, Telangana - 500053.</t>
  </si>
  <si>
    <t>TSMC/FMR/12368</t>
  </si>
  <si>
    <t>62257819924</t>
  </si>
  <si>
    <t>SBIN0020884</t>
  </si>
  <si>
    <t>CAQPB3387M</t>
  </si>
  <si>
    <t>637242163956</t>
  </si>
  <si>
    <t>Rajaiah Bogam</t>
  </si>
  <si>
    <t>5-3-201, Ahmed Pura, Karimnagar, Telangana - 505001.</t>
  </si>
  <si>
    <t>4161/390479681/00/000</t>
  </si>
  <si>
    <t>D .Ortho</t>
  </si>
  <si>
    <t>MD(Paediatrics)</t>
  </si>
  <si>
    <t>089601000712</t>
  </si>
  <si>
    <t>AJCPV1625K</t>
  </si>
  <si>
    <t>694666637275</t>
  </si>
  <si>
    <t>Jagannath Jha</t>
  </si>
  <si>
    <t>Flat - Kurchi - 1, B-402, FL-4th, Subarnabhoomi, 36 GB Road, South Dumdum (M), North 24 Parganas, West Bengal - 700028.</t>
  </si>
  <si>
    <t>240422527160147291</t>
  </si>
  <si>
    <t>APMC/FMR/112210</t>
  </si>
  <si>
    <t>7309747293</t>
  </si>
  <si>
    <t>IDIB000P112</t>
  </si>
  <si>
    <t>POQPS4316G</t>
  </si>
  <si>
    <t>474781786671</t>
  </si>
  <si>
    <t>Peddi Srinivasulu</t>
  </si>
  <si>
    <t>1-108, Pratha Kota, Pathakota (East), Kurool, Andhra Pradesh - 518412.</t>
  </si>
  <si>
    <t>APMC/FMR/81956</t>
  </si>
  <si>
    <t>920010014995578</t>
  </si>
  <si>
    <t>UTIB0000235</t>
  </si>
  <si>
    <t>CNRPM1566R</t>
  </si>
  <si>
    <t>532426693384</t>
  </si>
  <si>
    <t>Munugala Nageshwar Reddy</t>
  </si>
  <si>
    <t>Flat No 902 Block A, Sri Aditya Athena, Shaikpet OU Colony, Shaikpet, Golconda, Hyderabad, Telangana - 500008.</t>
  </si>
  <si>
    <t>4021/A/381318706/00/000</t>
  </si>
  <si>
    <t>TSMC/FMR/35834</t>
  </si>
  <si>
    <t>50100516074043</t>
  </si>
  <si>
    <t>GEMPS2195G</t>
  </si>
  <si>
    <t>542301950952</t>
  </si>
  <si>
    <t>krishnan</t>
  </si>
  <si>
    <t>3,Kathirlayout, 3Th Veethi Sellamuthu Compound, Kangeyam road, Tiruppur, Tamil Nadu-641604</t>
  </si>
  <si>
    <t>The New India Assurance Co Ltd</t>
  </si>
  <si>
    <t>61190036250400000000</t>
  </si>
  <si>
    <t>TSMC/FMR/12861</t>
  </si>
  <si>
    <t>001401034264</t>
  </si>
  <si>
    <t>ICIC0007536</t>
  </si>
  <si>
    <t>BXYPG6420L</t>
  </si>
  <si>
    <t>378326117803</t>
  </si>
  <si>
    <t>Abhijeet Gourishetty</t>
  </si>
  <si>
    <t>9-1-101/1, Kanchar Bazar Street, Siddipet, Medak, Telangana - 502103</t>
  </si>
  <si>
    <t>4161/391553608/00/000</t>
  </si>
  <si>
    <t>TSMC/FMR/00355</t>
  </si>
  <si>
    <t>012110100005932</t>
  </si>
  <si>
    <t>UBIN0801216</t>
  </si>
  <si>
    <t>AIJPY3873E</t>
  </si>
  <si>
    <t>460401709513</t>
  </si>
  <si>
    <t>Janaki Ram Reddy Yellu</t>
  </si>
  <si>
    <t>H No. 1-70, Danthalapally, Mahabubabad, Telangana - 506324.</t>
  </si>
  <si>
    <t>TSMC/FMR/08750</t>
  </si>
  <si>
    <t>50100685434819</t>
  </si>
  <si>
    <t>JBAPK6326K</t>
  </si>
  <si>
    <t>983764112364</t>
  </si>
  <si>
    <t>Konakanchi Bhaskar Rao</t>
  </si>
  <si>
    <t>2-36, Ballepalli, Khammam, Telangana - 507002.</t>
  </si>
  <si>
    <t>4021/A/375265855/00/000</t>
  </si>
  <si>
    <t>TSMC/FMR/16473</t>
  </si>
  <si>
    <t>99997684845555</t>
  </si>
  <si>
    <t>HDFC0002391</t>
  </si>
  <si>
    <t>BRHPG7066F</t>
  </si>
  <si>
    <t>530549141199</t>
  </si>
  <si>
    <t>Sampath Reddy Gade</t>
  </si>
  <si>
    <t>C2, 5th Floor, Samukhi Orbit, Vittal Rao Nagar, Madhapur, Serilingampally, K V Rangareddy, Telangana - 500081.</t>
  </si>
  <si>
    <t>4021/A/392784265/00/000</t>
  </si>
  <si>
    <t>D1122434</t>
  </si>
  <si>
    <t>Dr.Noora Mohd</t>
  </si>
  <si>
    <t>Apollo Hospitals, Hyderabad</t>
  </si>
  <si>
    <t>MBBS, DNB Pathology</t>
  </si>
  <si>
    <t>APMC/FMR/78254</t>
  </si>
  <si>
    <t>noora.ali315@gmail.com</t>
  </si>
  <si>
    <t>50100007089941</t>
  </si>
  <si>
    <t>HDFC0001995</t>
  </si>
  <si>
    <t>AUBPM5090M</t>
  </si>
  <si>
    <t>649297889389</t>
  </si>
  <si>
    <t>Mohammed Ahmed Mohiuddin</t>
  </si>
  <si>
    <t>10-5-38, Flat No.505, Anand Residency, Opp Rock Church, Ahmed Nagar Masab Tank, Asifnagar, Hyderabad, Telangana - 500028.</t>
  </si>
  <si>
    <t>APMC/FMR/88378</t>
  </si>
  <si>
    <t>62080564030</t>
  </si>
  <si>
    <t>AWUPV8678B</t>
  </si>
  <si>
    <t>603481227883</t>
  </si>
  <si>
    <t>Mahendar Goud</t>
  </si>
  <si>
    <t>H no:6-56,Jinkalapalli,Itikyal Mandal, Kondair, Mahbubnagar, Telagana-509125</t>
  </si>
  <si>
    <t>4021/A/366079147/00/000</t>
  </si>
  <si>
    <t>333010100087832</t>
  </si>
  <si>
    <t>UTIB0000227</t>
  </si>
  <si>
    <t>AIMPS3833P</t>
  </si>
  <si>
    <t>265066346994</t>
  </si>
  <si>
    <t>Boralingappa Govindappa</t>
  </si>
  <si>
    <t>#158, 7th Main Road, Near Presidency School, Bilekahalli, Bannergatta Road, Bangalore South, Bangalore, Karnataka- 560076.</t>
  </si>
  <si>
    <t xml:space="preserve"> </t>
  </si>
  <si>
    <t>TSMC/FMR/09568</t>
  </si>
  <si>
    <t>20223474515</t>
  </si>
  <si>
    <t>SBIN0003026</t>
  </si>
  <si>
    <t>BTXPB2690A</t>
  </si>
  <si>
    <t>801949725503</t>
  </si>
  <si>
    <t>Narsingh Rao Bujji</t>
  </si>
  <si>
    <t>Long distance and another opportunity</t>
  </si>
  <si>
    <t>18-7-466/2/A, Uppuguda, Ambika Nagar, Hyderabad, Telangana - 500053.</t>
  </si>
  <si>
    <t>62120371320</t>
  </si>
  <si>
    <t>SBIN0011081</t>
  </si>
  <si>
    <t>BUJPM6677F</t>
  </si>
  <si>
    <t>499397125654</t>
  </si>
  <si>
    <t>Mushini Satyanarayana</t>
  </si>
  <si>
    <t>Shantamanam Apartment, Block C, Flat No-104, Kanteshwar Bypass Road, Near bharath Petrol bunk, Nizamabad, PO Subhashnagar, Nizamabad, Telangana - 503002.</t>
  </si>
  <si>
    <t>4161/395740155/00/000</t>
  </si>
  <si>
    <t>D1109344</t>
  </si>
  <si>
    <t>Dr.Sujana</t>
  </si>
  <si>
    <t>22:00:00</t>
  </si>
  <si>
    <t>sujananidumuru@gmail.com</t>
  </si>
  <si>
    <t>004801064665</t>
  </si>
  <si>
    <t>CBJPS9054C</t>
  </si>
  <si>
    <t>819392440691</t>
  </si>
  <si>
    <t>Govardhan Nidumuru</t>
  </si>
  <si>
    <t>Flat 101, Sri Chakra, 8-2-293/174/1, Road Number 14, Banjara Hills, Khairatabad, Hyderabad, Telangana - 500034.</t>
  </si>
  <si>
    <t>TSMC/FMR/37911</t>
  </si>
  <si>
    <t>10086275347</t>
  </si>
  <si>
    <t>IDFB0042381</t>
  </si>
  <si>
    <t>BMUPJ6156M</t>
  </si>
  <si>
    <t>203883097589</t>
  </si>
  <si>
    <t>Rajendra Prasad Reddy Jogireddy</t>
  </si>
  <si>
    <t>1-22, Chiguruwada, South Khandriga, Chittoor, Andhra Pradesh - 517507.</t>
  </si>
  <si>
    <t>4161/395536628/00/000</t>
  </si>
  <si>
    <t>D1122467</t>
  </si>
  <si>
    <t>Dr.Jayita Das</t>
  </si>
  <si>
    <t>Dr Sampoornanand Medical College, Jodhpur</t>
  </si>
  <si>
    <t>Kalinga Institute of Medical Sciences</t>
  </si>
  <si>
    <t>TSMC/FMR/37008</t>
  </si>
  <si>
    <t>jayitabubs@gmail.com</t>
  </si>
  <si>
    <t>50100207912835</t>
  </si>
  <si>
    <t>HDFC0000122</t>
  </si>
  <si>
    <t>ASOPD1313P</t>
  </si>
  <si>
    <t>935334211761</t>
  </si>
  <si>
    <t>Jivan Chandra Das</t>
  </si>
  <si>
    <t>Lokenath Housing Colony, Old Pahargaon - II, Opp Govt Polytechnic, VILL Dollugunj PO PS Pahargaon, Dollygunj (rv), School Line, South Andaman &amp; Nicobar Islands - 744103.</t>
  </si>
  <si>
    <t>61190036250400000025</t>
  </si>
  <si>
    <t>D1115970</t>
  </si>
  <si>
    <t>Dr.Arpula Prathibha Rani</t>
  </si>
  <si>
    <t>Basaveshwara Medical College</t>
  </si>
  <si>
    <t>M N R College, Sangareddy</t>
  </si>
  <si>
    <t>APMC/FMR/90954</t>
  </si>
  <si>
    <t>prathibha.arpula@gmail.com</t>
  </si>
  <si>
    <t>50100095633750</t>
  </si>
  <si>
    <t>HDFC0000813</t>
  </si>
  <si>
    <t>BGKPA1405Q</t>
  </si>
  <si>
    <t>293038193954</t>
  </si>
  <si>
    <t xml:space="preserve">Arpula Yadaiah </t>
  </si>
  <si>
    <t>Flat No - 103, Concrete Harmony Apparment, Street No-5, Hasbsiguda, Secunderabad, Hyderabad, Telangana - 500007.</t>
  </si>
  <si>
    <t>FRCR</t>
  </si>
  <si>
    <t>30795584644</t>
  </si>
  <si>
    <t>AVAPG4516G</t>
  </si>
  <si>
    <t>438000395732</t>
  </si>
  <si>
    <t>Gundamaraju Vara Prasad Rao</t>
  </si>
  <si>
    <t>4-9-47/1, Brahmanvadi, Mahabubnagar, Telangana - 509001.</t>
  </si>
  <si>
    <t>14220036250400000888</t>
  </si>
  <si>
    <t>FRCR(UK)</t>
  </si>
  <si>
    <t>APMC/FMR/84190</t>
  </si>
  <si>
    <t>00811050171502</t>
  </si>
  <si>
    <t>BBBPG7443J</t>
  </si>
  <si>
    <t>673780596576</t>
  </si>
  <si>
    <t>Venkata Ratnam Gelli</t>
  </si>
  <si>
    <t>6-3-307, Sali Street, Stonehousepet, Nellore, Andhra Pradesh-524002.</t>
  </si>
  <si>
    <t>61300036240400000081</t>
  </si>
  <si>
    <t>10448606064</t>
  </si>
  <si>
    <t>SBIN0007080</t>
  </si>
  <si>
    <t>BZSPM3281P</t>
  </si>
  <si>
    <t>904730606437</t>
  </si>
  <si>
    <t>Channappa Mahadeva</t>
  </si>
  <si>
    <t>No.43, 1st Floor, 12th A Cross, Next to BBMP office, Vyalikaval, Malleswaram, Bangalore North, Bengaluru, Karnataka - 560003.</t>
  </si>
  <si>
    <t>4021/A/286315314/02/000</t>
  </si>
  <si>
    <t>TSMC/FMR/36978</t>
  </si>
  <si>
    <t>42610661239</t>
  </si>
  <si>
    <t>SBIN0000836</t>
  </si>
  <si>
    <t>COTPN3061B</t>
  </si>
  <si>
    <t>732046060633</t>
  </si>
  <si>
    <t>Shaik Sirajuddin</t>
  </si>
  <si>
    <t>13-8-242/1, 1st line, Besthapalem, Near Anganvadi Centre, Chirala, Prakasam, Andhra Pradesh - 523155.</t>
  </si>
  <si>
    <t>D1122471</t>
  </si>
  <si>
    <t>Dr.Potu Manaswi</t>
  </si>
  <si>
    <t>Maharajah Institute of Medical Sciences</t>
  </si>
  <si>
    <t>TSMC/FMR/31488</t>
  </si>
  <si>
    <t>potumanaswireddy.mbbs@gmail.com</t>
  </si>
  <si>
    <t>62197847223</t>
  </si>
  <si>
    <t>SBIN0020128</t>
  </si>
  <si>
    <t>CJTPP4500L</t>
  </si>
  <si>
    <t>396950367706</t>
  </si>
  <si>
    <t>Thirupathi Reddy Potu</t>
  </si>
  <si>
    <t xml:space="preserve">3-47, Asnad road, Chennur, Adilabad, Telangana - 504201. </t>
  </si>
  <si>
    <t>4161/395827424/00/000</t>
  </si>
  <si>
    <t>AMC8459</t>
  </si>
  <si>
    <t>02401560473923</t>
  </si>
  <si>
    <t>HDFC0000377</t>
  </si>
  <si>
    <t>AJKPV4711G</t>
  </si>
  <si>
    <t>711626959120</t>
  </si>
  <si>
    <t>Subramanya Sarma Vajjala</t>
  </si>
  <si>
    <t>10-5-6, Flat No-302 North Block, My Home Glory, Masab Tank, Humayun Nagar, Asifnagar, Hyderabad, Telangana - 500028.</t>
  </si>
  <si>
    <t>4161/396161633/00/000</t>
  </si>
  <si>
    <t>33584271324</t>
  </si>
  <si>
    <t>SBIN0009048</t>
  </si>
  <si>
    <t>BFDPH2547L</t>
  </si>
  <si>
    <t>804534822214</t>
  </si>
  <si>
    <t>Timiri Orabhakaran</t>
  </si>
  <si>
    <t>No. 10-1, Cambridge Road, Jeevan Kendra Layout Halasuru, Bangalore North, H.A.L II Stage, Bengaluru, Bangalore North, Karnataka - 560008.</t>
  </si>
  <si>
    <t>4161/392988993/00/000</t>
  </si>
  <si>
    <t>APMC/FMR/89911</t>
  </si>
  <si>
    <t>30862468645</t>
  </si>
  <si>
    <t>SBIN0021182</t>
  </si>
  <si>
    <t>AKMPV5506A</t>
  </si>
  <si>
    <t>334239802632</t>
  </si>
  <si>
    <t>Vijaykumar Valaparla</t>
  </si>
  <si>
    <t>Flat No.402, NVS Heights, Cyber Hills Colony, HP Gas Godown Lane, Gachibowli, Selilingmpalli, K V Ranga reddy, Telangana - 500032.</t>
  </si>
  <si>
    <t>TSMC/FMR/22666</t>
  </si>
  <si>
    <t>341122010000340</t>
  </si>
  <si>
    <t>UBIN0934119</t>
  </si>
  <si>
    <t>FETPB4465Q</t>
  </si>
  <si>
    <t>478045862141</t>
  </si>
  <si>
    <t>Nagabhushanam Badimi</t>
  </si>
  <si>
    <t>30-165, C S Projects, Signal Gadda Road, Bagepaly, Jadcherla, Mahabubnagar, Telangana - 509301.</t>
  </si>
  <si>
    <t>TSMC/FMR/13097</t>
  </si>
  <si>
    <t>50100460206361</t>
  </si>
  <si>
    <t>FJBPM9605L</t>
  </si>
  <si>
    <t>414272825930</t>
  </si>
  <si>
    <t>M Sathyanarayana Reddy</t>
  </si>
  <si>
    <t>Working at Gandhi, Timings problem</t>
  </si>
  <si>
    <t>5-5-1271/26/202, Aishwarya Nilayam, Indira Nagar Colony, Phase-2, Vanasthalipuram, Hayathnagar, K V Rangareddy, Telangana - 500070.</t>
  </si>
  <si>
    <t>Future Genrali Insurance Solutions</t>
  </si>
  <si>
    <t>132/00/00/0526/FLF/0000189536</t>
  </si>
  <si>
    <t>TSMC/FMR/15197</t>
  </si>
  <si>
    <t>3346666145</t>
  </si>
  <si>
    <t>AXNPN2415Q</t>
  </si>
  <si>
    <t>517473264016</t>
  </si>
  <si>
    <t>Kota Venkateshwar Reddy</t>
  </si>
  <si>
    <t>H.No- 4-45, Bhulaxmi Camp, Bodhan, Penta Kalan, Bodhan, Nizamabad, Telangana- 503235.</t>
  </si>
  <si>
    <t>TSMC/FMR/39529</t>
  </si>
  <si>
    <t>50100158763423</t>
  </si>
  <si>
    <t>HDFC0004300</t>
  </si>
  <si>
    <t>BMUPM4351H</t>
  </si>
  <si>
    <t>823739919626</t>
  </si>
  <si>
    <t>Shafi Bhasha Mulla</t>
  </si>
  <si>
    <t>Shafi Hospital Bazar, Old Town Vinjamur, Utukur, Nellore, Andhra Pradesh- 524228.</t>
  </si>
  <si>
    <t>62110136240400000074</t>
  </si>
  <si>
    <t>APMC/FMR/106587</t>
  </si>
  <si>
    <t>39534220487</t>
  </si>
  <si>
    <t>SBIN0006305</t>
  </si>
  <si>
    <t>DQQPA6706N</t>
  </si>
  <si>
    <t>263070961069</t>
  </si>
  <si>
    <t>Kadu Mohammed Saleem</t>
  </si>
  <si>
    <t>5-149 d, dr gaffar street, Near Osmania College, Kurnool, Andhra Pradesh - 518001.</t>
  </si>
  <si>
    <t>61190036250400000082</t>
  </si>
  <si>
    <t>52024209352</t>
  </si>
  <si>
    <t>SBIN0020064</t>
  </si>
  <si>
    <t>AFGPA0218P</t>
  </si>
  <si>
    <t>255882071587</t>
  </si>
  <si>
    <t>Angoth Venkateswarulu</t>
  </si>
  <si>
    <t>Flat No-301, Saraswathi Nilayam, 6-4-520, M I G Krishnanagar, Bholakpur, Musheerabad, Hyderabad, Telangana-500080.</t>
  </si>
  <si>
    <t>4021/A/362474189/00/000</t>
  </si>
  <si>
    <t>D1122459</t>
  </si>
  <si>
    <t>Dr.Gutta Goutham Krishna</t>
  </si>
  <si>
    <t>14:30:00</t>
  </si>
  <si>
    <t>X-Ray (Plain Radiography - Basic, Advanced), USG (Basic, Doppler Studies, Thyroid/ Scrotum USG, Breast USG, TIFFA, MSK USG, Penile Doppler, USG Guided FNAC, USG Guided Aspiration), CT (Basic, Chest/Abdomen /Neck,CT Angiography), MRI( Basic), Special Procedures (IVP, RGU, MCUG, Barium Swallow, Barium Enema,HSG)</t>
  </si>
  <si>
    <t>Sri Devaraj Urs Medical College</t>
  </si>
  <si>
    <t>Shri BM Patil Medical College and Research Centre</t>
  </si>
  <si>
    <t>TSMC/FMR/37576</t>
  </si>
  <si>
    <t>9482292975/9390341274</t>
  </si>
  <si>
    <t>guttagoutham.gutta9@gmail.com</t>
  </si>
  <si>
    <t>38289949139</t>
  </si>
  <si>
    <t>BNPPG6721H</t>
  </si>
  <si>
    <t>694962941459</t>
  </si>
  <si>
    <t>Venkatakrishna Prasad Gutta</t>
  </si>
  <si>
    <t>Payment / cases concern</t>
  </si>
  <si>
    <t>27-04-203, Ranjinagar 4th Line, Near Childrens park, Stonehousepet, Nellore, Andhra Pradesh - 524002.</t>
  </si>
  <si>
    <t>D1122619</t>
  </si>
  <si>
    <t>Dr.Danda Geethanjali Reddy</t>
  </si>
  <si>
    <t>16:00:00</t>
  </si>
  <si>
    <t>Sri B M Patil Medicla College, Hospital &amp; Research Centre</t>
  </si>
  <si>
    <t>Jawaharlal Institute of Postgraduate Medical Education and Research</t>
  </si>
  <si>
    <t>TSMC/FMR/15174</t>
  </si>
  <si>
    <t>dandageetanjali@gmail.com</t>
  </si>
  <si>
    <t>151410100109104</t>
  </si>
  <si>
    <t>CBJPD7107B</t>
  </si>
  <si>
    <t>546644072118</t>
  </si>
  <si>
    <t xml:space="preserve">Danda Tulasi Dhar </t>
  </si>
  <si>
    <t>10-2-278/404, Suresh Harivillu, Konda Reddy Street, Opp Nehru Park, West Maredpally, Secunderabad, Hyderabad, Telangana - 500026.</t>
  </si>
  <si>
    <t>Icici Bank</t>
  </si>
  <si>
    <t>351401500872</t>
  </si>
  <si>
    <t>ICIC0003514</t>
  </si>
  <si>
    <t>BEGPB0324F</t>
  </si>
  <si>
    <t>348010598893</t>
  </si>
  <si>
    <t>Pogaku Praveen Kumar</t>
  </si>
  <si>
    <t>10-105, Tank Bund Road, Near Science Centre, Sharan Centre, Gulbarga, Kalaburagi, Karnataka - 585103.</t>
  </si>
  <si>
    <t>4021/A/389542111/00/000</t>
  </si>
  <si>
    <t>TSMC/FMR/20522</t>
  </si>
  <si>
    <t>50100538010259</t>
  </si>
  <si>
    <t>HDFC0000418</t>
  </si>
  <si>
    <t>FJVPR0437K</t>
  </si>
  <si>
    <t>588099460409</t>
  </si>
  <si>
    <t>Banala Narender Reddy</t>
  </si>
  <si>
    <t>2-4-172/SA/301, Saketham elite Apts, Road No.12, Snehapuri Colony, Nagoletattiannaram, Tatti Annaram, Gsi(sr), Bandlaguda, K V Rangareddy, Telangana - 500068.</t>
  </si>
  <si>
    <t xml:space="preserve"> 4161/399754896/00/000</t>
  </si>
  <si>
    <t>TSMC/FMR/19848</t>
  </si>
  <si>
    <t>50100268966074</t>
  </si>
  <si>
    <t>HDFC0001997</t>
  </si>
  <si>
    <t>DYSPK8203C</t>
  </si>
  <si>
    <t>Nandipati Ram Gopal</t>
  </si>
  <si>
    <t>27-123, Ground Floor, Navayuga Enclave, Badangpet, K V Rangareddy, Telangana - 500058.</t>
  </si>
  <si>
    <t>4161/400820704/00/000</t>
  </si>
  <si>
    <t>8-42-42/1, Tamil Street, China Waltair, Near Ramalayam, LB Nagar, Vishakhapatnam, Andhra Pradesh - 530017</t>
  </si>
  <si>
    <t>APMC/FMR/105464</t>
  </si>
  <si>
    <t>33064703040</t>
  </si>
  <si>
    <t>CRHPD4335H</t>
  </si>
  <si>
    <t>Kondaiah Darbar</t>
  </si>
  <si>
    <t>4-16/7, Sathya Sai Nagar, Sai Nagar Panchayathi, Tirupati Rural, Tirupati, chittoor, Andhra Pradesh - 517507.</t>
  </si>
  <si>
    <t>4021/A/388460801/00/000</t>
  </si>
  <si>
    <t>D1122802</t>
  </si>
  <si>
    <t>Dr.Niladri Shekhar Pal</t>
  </si>
  <si>
    <t>12:00 PM to 13:00 PM</t>
  </si>
  <si>
    <t>Dr.Sai Adithya</t>
  </si>
  <si>
    <t>Calcutta National Medical College</t>
  </si>
  <si>
    <t>Mahatma Gandhi Mission Medical College</t>
  </si>
  <si>
    <t>9477034316 / 9836745393</t>
  </si>
  <si>
    <t>nspalmopathologyndh@gmail.com</t>
  </si>
  <si>
    <t>10485437828</t>
  </si>
  <si>
    <t>SBIN0006789</t>
  </si>
  <si>
    <t>ALAPP8015F</t>
  </si>
  <si>
    <t>306948559647</t>
  </si>
  <si>
    <t>Shyamal Kanti Pal</t>
  </si>
  <si>
    <t>140/F, G Block, Baghajatin, Kolkata, West Bengal-700086.</t>
  </si>
  <si>
    <t>35705645418</t>
  </si>
  <si>
    <t>SBIN0011537</t>
  </si>
  <si>
    <t>BPRPB4240N</t>
  </si>
  <si>
    <t>229421659771</t>
  </si>
  <si>
    <t>Goutam Biswas</t>
  </si>
  <si>
    <t>Vivekananda Pally, Gazol bandhail, Gajol, Gazole Malda, West Bengal-732124</t>
  </si>
  <si>
    <t>ANP 2017 0002155 KTK</t>
  </si>
  <si>
    <t>10125630460</t>
  </si>
  <si>
    <t>IDFB0080152</t>
  </si>
  <si>
    <t>CKMPK6019B</t>
  </si>
  <si>
    <t>793115145447</t>
  </si>
  <si>
    <t>Srinivasa Rao Kollu</t>
  </si>
  <si>
    <t>Notice Issued (31-10-25)</t>
  </si>
  <si>
    <t>11/1157/City Cable Office, Chennamgari Pet, Machilipatnam, Krishna Dist, Andhra Pradesh - 521001.</t>
  </si>
  <si>
    <t>APMC/FMR/102532</t>
  </si>
  <si>
    <t>922010043050930</t>
  </si>
  <si>
    <t>ARJPT0322N</t>
  </si>
  <si>
    <t>712818721400</t>
  </si>
  <si>
    <t>Dhanamjayulu Theerani</t>
  </si>
  <si>
    <t>1-113, arai, KVB Puram, Chittoor, Andhra Pradesh-517587.</t>
  </si>
  <si>
    <t>APMC/FMR/105981</t>
  </si>
  <si>
    <t>20240589262</t>
  </si>
  <si>
    <t>SBIN0004700</t>
  </si>
  <si>
    <t>DSIPK5318G</t>
  </si>
  <si>
    <t>907651547317</t>
  </si>
  <si>
    <t>Subba Raju Kanumuri</t>
  </si>
  <si>
    <t>No business reqirement</t>
  </si>
  <si>
    <t>7/158, Main Road, Bapulapadu, Krishna, Andhra Pradesh - 521105</t>
  </si>
  <si>
    <t xml:space="preserve"> 4161/407633493/00/000</t>
  </si>
  <si>
    <t>TSMC/FMR/38836</t>
  </si>
  <si>
    <t>920010003767881</t>
  </si>
  <si>
    <t>UTIB0000022</t>
  </si>
  <si>
    <t>APVPT3158E</t>
  </si>
  <si>
    <t>219759589450</t>
  </si>
  <si>
    <t>Ajit Kumar Tyagi</t>
  </si>
  <si>
    <t>wife delivery/ relocating</t>
  </si>
  <si>
    <t>1002/Mahagun Mosaic/Phase 1, Sector-4, Vaishali, I.E. Sahibabad, Gahziabad,Uttar Pradesh- 201010.</t>
  </si>
  <si>
    <t>4021/A/392528159/00/000</t>
  </si>
  <si>
    <t>007601559448</t>
  </si>
  <si>
    <t>BSCPG6398C</t>
  </si>
  <si>
    <t>539398747140</t>
  </si>
  <si>
    <t>Ramesh Gampa</t>
  </si>
  <si>
    <t>H.No.8-3-988/16, Flat No. G 1, Sai Datta Residency, SBH Colony, Near Satya Sai Nigam, Srinagar Colony, Hyderabad - 500073</t>
  </si>
  <si>
    <t>4021/A/314990673/01/00</t>
  </si>
  <si>
    <t>D1122853</t>
  </si>
  <si>
    <t>Dr.Kavali Samanth Kumar</t>
  </si>
  <si>
    <t>Ranjiv Gandhi Institute of Medical Sciences,Kadapa</t>
  </si>
  <si>
    <t>APMC/FMR/89305</t>
  </si>
  <si>
    <t>samanthk38@gmail.com</t>
  </si>
  <si>
    <t>30448924373</t>
  </si>
  <si>
    <t>SBIN0010107</t>
  </si>
  <si>
    <t>CBHPK3621F</t>
  </si>
  <si>
    <t>JAYAPAUL KAVALI</t>
  </si>
  <si>
    <t>24/1/209 rottela veedhi ramaiah badi dagara mulapeta Nellore Dargamitta,Nellore, Andhra Pradesh - 524003</t>
  </si>
  <si>
    <t>HMC11460</t>
  </si>
  <si>
    <t>10243598418</t>
  </si>
  <si>
    <t>SBIN0007112</t>
  </si>
  <si>
    <t>AAKPR9947B</t>
  </si>
  <si>
    <t>510942378678</t>
  </si>
  <si>
    <t>Venkanna Randhi</t>
  </si>
  <si>
    <t>12-13-67/1, Lane No.4, Tarnaka X Roads, Secunderabad, Hyderabad, Telangana-500017</t>
  </si>
  <si>
    <t>551200492410000111</t>
  </si>
  <si>
    <t>TSMC/FMR/38823</t>
  </si>
  <si>
    <t>646401502811</t>
  </si>
  <si>
    <t>ICIC0006464</t>
  </si>
  <si>
    <t>BXXPM8981K</t>
  </si>
  <si>
    <t>924035603218</t>
  </si>
  <si>
    <t>Rajkumar Madhavarao More</t>
  </si>
  <si>
    <t>Notice Issued /Asked to leave</t>
  </si>
  <si>
    <t>101, Shiv Residency, Patel Colony, Vinyak Nagar, Nanded, New Mondha Area, Nanded, Maharashtra- 431601.</t>
  </si>
  <si>
    <t>D1122851</t>
  </si>
  <si>
    <t>Dr.Ravikanti Satya Prasad</t>
  </si>
  <si>
    <t>X-Ray , CT, MRI (Reporting)</t>
  </si>
  <si>
    <t>Siddhartha Medical College, Vijayawada</t>
  </si>
  <si>
    <t>AMC20013</t>
  </si>
  <si>
    <t>drprasad4893@gmail.com</t>
  </si>
  <si>
    <t>50100288550611</t>
  </si>
  <si>
    <t>HDFC0005104</t>
  </si>
  <si>
    <t>AEYPR1343H</t>
  </si>
  <si>
    <t>543466482438</t>
  </si>
  <si>
    <t>Venkata Ramachandra Chadra Sekbhara Rao Ravikanti</t>
  </si>
  <si>
    <t>Health Issues</t>
  </si>
  <si>
    <t>Villa No 19, Pearl County Attapur, pillar No 143 Of PVR Flyover, Rambagh, Attapur, K.v. Rangareddy, Telangana -500048</t>
  </si>
  <si>
    <t>D1122850</t>
  </si>
  <si>
    <t>Dr.Priya S</t>
  </si>
  <si>
    <t>Cuddalore Government Medical College and Hospital</t>
  </si>
  <si>
    <t>priyapsychiatrist01@gmail.com</t>
  </si>
  <si>
    <t>Central Bank of India</t>
  </si>
  <si>
    <t>5113395110</t>
  </si>
  <si>
    <t>CBIN0284146</t>
  </si>
  <si>
    <t>EBGPP0118F</t>
  </si>
  <si>
    <t>319536874801</t>
  </si>
  <si>
    <t>Saravanan</t>
  </si>
  <si>
    <t>No.4/12, Veeramalai Thottam, Muthikalipatti, Rasipuram (TK), Namakkal, Tamilnadu - 637401</t>
  </si>
  <si>
    <t>D1122868</t>
  </si>
  <si>
    <t>Dr.Govind Shantha</t>
  </si>
  <si>
    <t>08:00 AM to 09:00 AM , 13:00 PM to 14:00 PM</t>
  </si>
  <si>
    <t>16:30 PM to 18:30</t>
  </si>
  <si>
    <t>GGH Kurnool - 526</t>
  </si>
  <si>
    <t>Yerevan State Medical University, Armenia</t>
  </si>
  <si>
    <t>shanthastephen25@gmail.com</t>
  </si>
  <si>
    <t>62269456228</t>
  </si>
  <si>
    <t>SBIN0011119</t>
  </si>
  <si>
    <t>CIHPS5367K</t>
  </si>
  <si>
    <t>788582177221</t>
  </si>
  <si>
    <t>Govind Apparao</t>
  </si>
  <si>
    <t>3-7-62/340, Southend Park, Mansoorabad, LB Nagar, Rangareddi, Telangana - 500068.</t>
  </si>
  <si>
    <t>D1122849</t>
  </si>
  <si>
    <t>Dr.Gorantla Revathi</t>
  </si>
  <si>
    <t xml:space="preserve">13:00 PM to 14:00 PM </t>
  </si>
  <si>
    <t>17:00 PM to 21:00 PM</t>
  </si>
  <si>
    <t xml:space="preserve">Rangaraya Medical College </t>
  </si>
  <si>
    <t>revathig1971@gmail.com</t>
  </si>
  <si>
    <t>137910100010013</t>
  </si>
  <si>
    <t>AHFPG1707N</t>
  </si>
  <si>
    <t>550024624536</t>
  </si>
  <si>
    <t>Gorantla Narayana</t>
  </si>
  <si>
    <t>Flat No 308, B Block, Agraseni Towers, Near Montessori School, A Camp, Kurnool, Andhra Pradesh - 518002.</t>
  </si>
  <si>
    <t>TSMC/FMR/16484</t>
  </si>
  <si>
    <t>50200112808013</t>
  </si>
  <si>
    <t>HDFC0007935</t>
  </si>
  <si>
    <t>EHEPB9374P</t>
  </si>
  <si>
    <t>337075585172</t>
  </si>
  <si>
    <t>Ramakrishna Bonagiri</t>
  </si>
  <si>
    <t>9-1-142/2, Bhagath Nagar, Near Sub Station, Krimnagar, Telangana - 505001.</t>
  </si>
  <si>
    <t>APMC/FMR/74725</t>
  </si>
  <si>
    <t>33772210024745</t>
  </si>
  <si>
    <t>CNRB0013377</t>
  </si>
  <si>
    <t>BEFPG9006J</t>
  </si>
  <si>
    <t>807782393217</t>
  </si>
  <si>
    <t>Rangaiah Polisetty</t>
  </si>
  <si>
    <t>4-168, Rudravaram Road, Sirvel, Kurnool, Andhra Pradesh-518563.</t>
  </si>
  <si>
    <t>4161/411482070/00/000</t>
  </si>
  <si>
    <t>D1122847</t>
  </si>
  <si>
    <t>Dr.Kadi Naga Ravi Teja</t>
  </si>
  <si>
    <t>TSMC/FMR/10332</t>
  </si>
  <si>
    <t>raviteja.kadi15@gmail.com</t>
  </si>
  <si>
    <t>107912010000664</t>
  </si>
  <si>
    <t>CGYPN8487L</t>
  </si>
  <si>
    <t>996697098222</t>
  </si>
  <si>
    <t>Kadi Srinivasa Rao</t>
  </si>
  <si>
    <t>1-2-606/59/a, Bandamaisamma Nagar, Indira Park, Hyderabad, Telangana - 500080.</t>
  </si>
  <si>
    <t>V1101548</t>
  </si>
  <si>
    <t>Dr.Sampath Kumar Kandala Jeevan</t>
  </si>
  <si>
    <t>Senior Consultant Pathologist</t>
  </si>
  <si>
    <t>kmcsampath@gmail.com</t>
  </si>
  <si>
    <t>50100069018682</t>
  </si>
  <si>
    <t>HDFC0002019</t>
  </si>
  <si>
    <t>BZPPS6431N</t>
  </si>
  <si>
    <t>570172202427</t>
  </si>
  <si>
    <t>Satya Raju Kandala</t>
  </si>
  <si>
    <t>Flat No.D-501, Jalvayu Towers, Lower Tank Bund, Indra Park, Secunderabad, Gandhi Nagar, Secunderabad, Hyderabad, Telangana - 500080.</t>
  </si>
  <si>
    <t>551200492510000014</t>
  </si>
  <si>
    <t>D1122846</t>
  </si>
  <si>
    <t>Dr.Yellamsetty Gurusekhar</t>
  </si>
  <si>
    <t>National Pirogov Memorial Medical University, Ukraine</t>
  </si>
  <si>
    <t>APMC/FMR/112239</t>
  </si>
  <si>
    <t>gurunadh000@gmail.com</t>
  </si>
  <si>
    <t>572810110008262</t>
  </si>
  <si>
    <t>BKID0005728</t>
  </si>
  <si>
    <t>BKKPG4191D</t>
  </si>
  <si>
    <t>Gurrappa Yallamsetty</t>
  </si>
  <si>
    <t>2/539, Shasri Nagar, Proddatur, Cuddapah, Andhra Pradesh, Pincode - 516360.</t>
  </si>
  <si>
    <t>D1122845</t>
  </si>
  <si>
    <t>Dr.Panuganti Naveenbabu</t>
  </si>
  <si>
    <t>Kapra - 107</t>
  </si>
  <si>
    <t>X-Ray (Plain Radiography - Basic, Advanced, Whole Spine X-Ray), Mammography, BMD, USG (Basic, Doppler Studies, Thyroid/Scrotum USG, Breast USG, TIFFA, MSK USG, Penile Doppler, USG Guided FNAC, USG Guided Trucut Biopsy, USG Guided Aspiration, Breast Biopsy), CT (Basic, Chest/Abdomen /Neck, 3DCT, CT Angiography, Coronary CT, Virtual Bronchoscopy), MRI(Basic, MSK Studies-Knee/Shoulder, MSK Studies Wrist/Ankle, Cardiac MR, MR Perfusion, MR Tractography, MR Defecography, MRI MRCP /Abdomen, MRI TM Joints, MRI Enterography), Special Procedures (IVP, RGU, MCUG, Barium Swallow, Barium Enema, HSG)</t>
  </si>
  <si>
    <t>Siddhartha Medical College</t>
  </si>
  <si>
    <t>panuganti.naveen30@gmail.com</t>
  </si>
  <si>
    <t>50100826577892</t>
  </si>
  <si>
    <t>HDFC0007109</t>
  </si>
  <si>
    <t>CGYPP5289A</t>
  </si>
  <si>
    <t>Krishnaji Panuganti</t>
  </si>
  <si>
    <t>Less Productivity/Not doing reporting</t>
  </si>
  <si>
    <t>29-1231/219/ J K Colony, Near Saint Sai Grammar School, Neredmet, Tirumalagiri, Hyderabad, Telangana - 500056.</t>
  </si>
  <si>
    <t>040910100226517</t>
  </si>
  <si>
    <t>UBIN0810053</t>
  </si>
  <si>
    <t>AZYPM3578L</t>
  </si>
  <si>
    <t>Sri Krishna Sastry Manepalli</t>
  </si>
  <si>
    <t>69-27-8/3B, Flat No.1C, J S N  Raju Enclave, Rajamahendravaram, Lalacheruvu, Spinning Mills Centre, East Godavari, Andhra Pradesh-533106.</t>
  </si>
  <si>
    <t>4021/A/404449787/00/000</t>
  </si>
  <si>
    <t>Diploma in Tuberculosis and Chest Diseases</t>
  </si>
  <si>
    <t>HN 18876</t>
  </si>
  <si>
    <t>036401503742</t>
  </si>
  <si>
    <t>ICIC0001642</t>
  </si>
  <si>
    <t>AAEPV4029L</t>
  </si>
  <si>
    <t>M G K Menon</t>
  </si>
  <si>
    <t>House No. TG-2/2/16, Building No-A(TG2A/16), Garden Estate, Nathupur and Sikandarpur Ghosi, Nathupur, Gurgaon, Haryana - 122002.</t>
  </si>
  <si>
    <t>D1122843</t>
  </si>
  <si>
    <t>APMC/FMR/91420</t>
  </si>
  <si>
    <t>dinup14@gmail.com</t>
  </si>
  <si>
    <t>62016267864</t>
  </si>
  <si>
    <t>SBIN0007457</t>
  </si>
  <si>
    <t>DEBPP9370G</t>
  </si>
  <si>
    <t>Venkata Seshaiah Pakam</t>
  </si>
  <si>
    <t>26-2-1665, Simhapuri Center, Vedayapalem, Andhrakesari Nagar, Nellore, Andhra Pradesh-524004.</t>
  </si>
  <si>
    <t>4161/403940515/00/000</t>
  </si>
  <si>
    <t>D1122974</t>
  </si>
  <si>
    <t>Dr.Thallapally Ankith Emmanuel</t>
  </si>
  <si>
    <t>09:00 AM to 15:00 PM</t>
  </si>
  <si>
    <t>19:00 PM to 21:00 PM</t>
  </si>
  <si>
    <t>Chelmeda Anand Rao Institute of Medical Sciences</t>
  </si>
  <si>
    <t>TSMC/FMR/04144</t>
  </si>
  <si>
    <t>ankithankith16@gmail.com</t>
  </si>
  <si>
    <t>52209135538</t>
  </si>
  <si>
    <t>SBIN0020150</t>
  </si>
  <si>
    <t>BPAPT2223N</t>
  </si>
  <si>
    <t>Thallapally Vijaya swaroop</t>
  </si>
  <si>
    <t>2-6-105, Nakkalagutta, Hanamkonda, Near Housing Board Colony, Hanamkonda, Warangal, Telangana - 506001.</t>
  </si>
  <si>
    <t>D1122867</t>
  </si>
  <si>
    <t>Dr.Mohammed Shazeb Hussain</t>
  </si>
  <si>
    <t>Deccan college of medical sciences</t>
  </si>
  <si>
    <t>Kamineni academy of medical sciences and research centre</t>
  </si>
  <si>
    <t>TSMC/FMR/11792</t>
  </si>
  <si>
    <t>mshazebhussain@gmail.com</t>
  </si>
  <si>
    <t>2810203524</t>
  </si>
  <si>
    <t>KKBK0000553</t>
  </si>
  <si>
    <t>BJRPH3125E</t>
  </si>
  <si>
    <t>399595137372</t>
  </si>
  <si>
    <t>Mohammed Manzoor Hussain</t>
  </si>
  <si>
    <t>12-2-822/B/5, Venkenna Nagar Colony, Mehdipatnam, Asifnagar, Humayunnagar, Hyderabad, Telangana - 500028.</t>
  </si>
  <si>
    <t>APMC/FMR/114128</t>
  </si>
  <si>
    <t>918010091714478</t>
  </si>
  <si>
    <t>UTIB0002019</t>
  </si>
  <si>
    <t>CUYPM9260L</t>
  </si>
  <si>
    <t>Rama Linga Raju Mudunuri</t>
  </si>
  <si>
    <t>4-17, Bhujabalapatnam, Kaikaluru, Krishna, Andhra Pradesh - 521340.</t>
  </si>
  <si>
    <t>4161/404540110/00/000</t>
  </si>
  <si>
    <t>50100104185598</t>
  </si>
  <si>
    <t>HDFC0000549</t>
  </si>
  <si>
    <t>APEPD9206N</t>
  </si>
  <si>
    <t>398101065280</t>
  </si>
  <si>
    <t>Rajat Kanti Das</t>
  </si>
  <si>
    <t>Flat No.12E Block 9 Lobby 1, Southwinds, Ghosal Para Road, reliance Fresh, Manikpur, Harinavi, Parganas, West Bengal-700148.</t>
  </si>
  <si>
    <t>240422527160044916</t>
  </si>
  <si>
    <t>TSMC/FMR/12806</t>
  </si>
  <si>
    <t>38406249897</t>
  </si>
  <si>
    <t>BKBPD1075Q</t>
  </si>
  <si>
    <t>618988415470</t>
  </si>
  <si>
    <t>Mohandas Divvela</t>
  </si>
  <si>
    <t>H.No- 2-5-709, Opp DIG Bunglaw Road, Subedari, Hanamkonda, Warangal, Telangana - 506001.</t>
  </si>
  <si>
    <t>61190036250400000053</t>
  </si>
  <si>
    <t>D1117386</t>
  </si>
  <si>
    <t>Dr.Priyanka Saxena</t>
  </si>
  <si>
    <t>MNR Medical College</t>
  </si>
  <si>
    <t>MBBS,DNB Pathology</t>
  </si>
  <si>
    <t>APMC/FMR/87452</t>
  </si>
  <si>
    <t>priyanka.sonam17@gmail.com</t>
  </si>
  <si>
    <t>219310100048432</t>
  </si>
  <si>
    <t>UBIN0802077</t>
  </si>
  <si>
    <t>EJLPS8380F</t>
  </si>
  <si>
    <t>827873697699</t>
  </si>
  <si>
    <t>Ramesh Saxena</t>
  </si>
  <si>
    <t>HNO.19-394, Ramnagar, Mancherial, Telangana-504208.</t>
  </si>
  <si>
    <t>APMC/FMR/104499</t>
  </si>
  <si>
    <t>919010033289225</t>
  </si>
  <si>
    <t>FEWPP5089B</t>
  </si>
  <si>
    <t>371232065601</t>
  </si>
  <si>
    <t>Paradesi Joel Ravindranath</t>
  </si>
  <si>
    <t>26-590A, Shyam Nagar, Nandyal, Kurnool, Andhra Pradesh-518501.</t>
  </si>
  <si>
    <t>4161/395757624/00/000</t>
  </si>
  <si>
    <t>D1123008</t>
  </si>
  <si>
    <t>Dr.Ayesha Abdul Bari</t>
  </si>
  <si>
    <t>Apollo Institute of Medical Sciences &amp; Research, Hyderabad</t>
  </si>
  <si>
    <t>TSMC/FMR/34741</t>
  </si>
  <si>
    <t>ayeshaabdulbari@gmail.com</t>
  </si>
  <si>
    <t>38042470680</t>
  </si>
  <si>
    <t>SBIN0008995</t>
  </si>
  <si>
    <t>EALPB7515Q</t>
  </si>
  <si>
    <t>469087133017</t>
  </si>
  <si>
    <t>Ajaz Mohammed Abdul Bari</t>
  </si>
  <si>
    <t>11-4-614, Flat No.301, A-Block, Moghal Maisaan Bazar Ghat, Hyderabad, Telangana-500004.</t>
  </si>
  <si>
    <t>APMC/FMR/87629</t>
  </si>
  <si>
    <t>923010072692711</t>
  </si>
  <si>
    <t>UTIB0000702</t>
  </si>
  <si>
    <t>CPSPP6534D</t>
  </si>
  <si>
    <t>376933905327</t>
  </si>
  <si>
    <t>Pinninty Vasantha Rao</t>
  </si>
  <si>
    <t>12-149, Opp I D P L Colony, Near NTR Statue, Adarsh Nagar, Balanagar, K V Rangareddy, Telangana- 500037.</t>
  </si>
  <si>
    <t>TSMC/FMR/08393</t>
  </si>
  <si>
    <t>265810100013056</t>
  </si>
  <si>
    <t>UBIN0826588</t>
  </si>
  <si>
    <t>CGTPM1650D</t>
  </si>
  <si>
    <t>454804282255</t>
  </si>
  <si>
    <t>Veerareddy Mannem</t>
  </si>
  <si>
    <t>3-6-319, Flat No.201, Namitha Everest Apts, S B H Colony, Bahadurguda, Chintalakunta, K V Rangareddy, Telangana-500074.</t>
  </si>
  <si>
    <t>193301505374</t>
  </si>
  <si>
    <t>ICIC0001933</t>
  </si>
  <si>
    <t>BIZPG0579A</t>
  </si>
  <si>
    <t>Sanatan Ghosh</t>
  </si>
  <si>
    <t>64, Nediarpara Road, Krishna Nagar, Nadia - 741101.</t>
  </si>
  <si>
    <t>1045104000085339</t>
  </si>
  <si>
    <t>IBKL0001045</t>
  </si>
  <si>
    <t>JCMPS4824K</t>
  </si>
  <si>
    <t>487112657363</t>
  </si>
  <si>
    <t>Gopal Chandra Saha</t>
  </si>
  <si>
    <t>Simanta Palli, Digendra Chandra Road, Krishnagar- I, Nadla, West Bengal - 741101</t>
  </si>
  <si>
    <t>WB-NADI-IR18822</t>
  </si>
  <si>
    <t>05151000035656</t>
  </si>
  <si>
    <t>HDFC0000515</t>
  </si>
  <si>
    <t>AXMPS5484P</t>
  </si>
  <si>
    <t>698052560193</t>
  </si>
  <si>
    <t>Biman Bihari Saha</t>
  </si>
  <si>
    <t>Bhattacharjee Para Road, Bamunmura, P.O-Badu, P.S-Barasat, Kolkata, West Bengal-700128.</t>
  </si>
  <si>
    <t>240422527160097523</t>
  </si>
  <si>
    <t>D1123012</t>
  </si>
  <si>
    <t>Dr.Nausheen Sultana</t>
  </si>
  <si>
    <t>Apollo Institute of Medical Sciences and Research, Hyderabad</t>
  </si>
  <si>
    <t>TSMC/FMR/29265</t>
  </si>
  <si>
    <t>sheenakhter1314@gmail.com</t>
  </si>
  <si>
    <t>156302205006</t>
  </si>
  <si>
    <t>INDB0000504</t>
  </si>
  <si>
    <t>HMTPS4895B</t>
  </si>
  <si>
    <t>940202748212</t>
  </si>
  <si>
    <t>Nayeem Akhtar</t>
  </si>
  <si>
    <t>9-4-77/A/165, AI Hasnath Colony, Tolichowki, Hyderabad, Telangana - 500028.</t>
  </si>
  <si>
    <t>D1121252</t>
  </si>
  <si>
    <t>Dr.Puthalapattu Srinalini</t>
  </si>
  <si>
    <t>Jiangxi University,China</t>
  </si>
  <si>
    <t>Fortis Hospitals, Bangalore</t>
  </si>
  <si>
    <t>MBBS, DNB Family Medicine</t>
  </si>
  <si>
    <t>APMC/FMR/74446</t>
  </si>
  <si>
    <t>srinalini4u27@gmail.com</t>
  </si>
  <si>
    <t xml:space="preserve">DBS Bank </t>
  </si>
  <si>
    <t>8811010001686977</t>
  </si>
  <si>
    <t>DBSS0IN0811</t>
  </si>
  <si>
    <t>BUJPP1537R</t>
  </si>
  <si>
    <t>521619304104</t>
  </si>
  <si>
    <t>Narayana Puthalapattu</t>
  </si>
  <si>
    <t>402, B Block, Avj elite Aprtment, Nalanda Nagar, Near Best Super Market, attapur, K V Rangareddy, Telangana-500048.</t>
  </si>
  <si>
    <t>026010100054117</t>
  </si>
  <si>
    <t>UTIB00000026</t>
  </si>
  <si>
    <t>ADOPG9930A</t>
  </si>
  <si>
    <t>978262142732</t>
  </si>
  <si>
    <t>Brahmananda Goswami</t>
  </si>
  <si>
    <t>3i Block9 Space Town, VIP Road, Airport, Rajarhat Gopalpur(m), Rahunathpur, North 24 Paraganas, West bengal-700059.</t>
  </si>
  <si>
    <t>0304002725P106959132</t>
  </si>
  <si>
    <t>D1123010</t>
  </si>
  <si>
    <t>Dr.Chandrapolla Pratheek</t>
  </si>
  <si>
    <t>ESI Medical College, Hyderabad</t>
  </si>
  <si>
    <t>TSMC/FMR/13999</t>
  </si>
  <si>
    <t>pratheek2815@gmail.com</t>
  </si>
  <si>
    <t>62442503613</t>
  </si>
  <si>
    <t>SBIN0003608</t>
  </si>
  <si>
    <t>CSZPP5404Q</t>
  </si>
  <si>
    <t>761742238822</t>
  </si>
  <si>
    <t>Chandrapolla Ramakrishna</t>
  </si>
  <si>
    <t>3-6-136/3, Street No-17, Page Junior College, Hyderguda, Himayatnagar, Hyderabad, Telangana - 500029.</t>
  </si>
  <si>
    <t>33140756824</t>
  </si>
  <si>
    <t>CSEPG6581L</t>
  </si>
  <si>
    <t>848227087891</t>
  </si>
  <si>
    <t>Venkata Ramana Gavvala</t>
  </si>
  <si>
    <t>Flat No-216, B K Singh Towers, Kurnool, Near New Ayyappa Swamy Temple, Kurnool, Andhra Pradesh-518002.</t>
  </si>
  <si>
    <t>D1118654</t>
  </si>
  <si>
    <t>Dr.Manoj Sundarasetty</t>
  </si>
  <si>
    <t>X-Ray (Plain Radiography-Basic, Advanced), USG (Basic, Doppler Studies, Thyroid / Scrotum USG, Breast USG, TIFFA, Foetal Echo, MSK USG, USG Guided FNAC, USG Guided Aspiration, CT (Basic, Chest/Abdomen/Neck,3DCT), MRI(Basic, MSK Studies-Knee/Shouldrer Special Procedures (RGU, MCUG, Barium Swallow, Barium Enema, HSG)</t>
  </si>
  <si>
    <t>8978223762  /  9063797457</t>
  </si>
  <si>
    <t>manojsetty11@gmail.com</t>
  </si>
  <si>
    <t>161210100026388</t>
  </si>
  <si>
    <t>UBIN0816124</t>
  </si>
  <si>
    <t>EIQPS4698L</t>
  </si>
  <si>
    <t>260052483323</t>
  </si>
  <si>
    <t>Sivanageswararao Sundarasetty</t>
  </si>
  <si>
    <t>Tele Dr deactivated/wrong reportings</t>
  </si>
  <si>
    <t>8-2-293/82/L/3C, MLA Colony, banjarahills, Road No.12, Hyderabad, Telangana-500034.</t>
  </si>
  <si>
    <t>TSMC/FMR/11547</t>
  </si>
  <si>
    <t>3945621170</t>
  </si>
  <si>
    <t>KKBK0007488</t>
  </si>
  <si>
    <t>CANPB1772P</t>
  </si>
  <si>
    <t>884703150590</t>
  </si>
  <si>
    <t>Venkatesh Budda</t>
  </si>
  <si>
    <t>8-3-228/448, Rahamath Nagar, Yousufguda, Hyderabad, Telangana -500045.</t>
  </si>
  <si>
    <t>4161/392460756/00/000</t>
  </si>
  <si>
    <t>D1123149</t>
  </si>
  <si>
    <t>Dr.Akshita Rana</t>
  </si>
  <si>
    <t>Government Medical College, Chandigarh</t>
  </si>
  <si>
    <t>HN14611</t>
  </si>
  <si>
    <t>8968826778/9459934413</t>
  </si>
  <si>
    <t>akshitarana789@gmail.com</t>
  </si>
  <si>
    <t>00000020450226005</t>
  </si>
  <si>
    <t>SBIN0000634</t>
  </si>
  <si>
    <t>DBLPR3487R</t>
  </si>
  <si>
    <t>659137879839</t>
  </si>
  <si>
    <t>Ravinder Singh Rana</t>
  </si>
  <si>
    <t>Tehsil: Baijnath, Mandhol 1021, PO-Baijnath, District: Kangra, Himachal Pradesh - 176125</t>
  </si>
  <si>
    <t>TSMC/FMR/02487</t>
  </si>
  <si>
    <t>913010048549109</t>
  </si>
  <si>
    <t>UTIB0000273</t>
  </si>
  <si>
    <t>HIPPK2485B</t>
  </si>
  <si>
    <t>564053001671</t>
  </si>
  <si>
    <t>Kilari subramanyam</t>
  </si>
  <si>
    <t>H No 6-1-38/13, V D Os Colony, Opp TNGOs Function Hall,  Khammam, Andhra Pradesh - 507001</t>
  </si>
  <si>
    <t>D1123148</t>
  </si>
  <si>
    <t>Dr.Bontha Swathi</t>
  </si>
  <si>
    <t>APMC/FMR/96586</t>
  </si>
  <si>
    <t>swathibontha92@gmail.com</t>
  </si>
  <si>
    <t>003001000039911</t>
  </si>
  <si>
    <t>IOBA0000030</t>
  </si>
  <si>
    <t>CUOPB9712J</t>
  </si>
  <si>
    <t>673652277120</t>
  </si>
  <si>
    <t>Devakumar Christopher</t>
  </si>
  <si>
    <t>87-1367-55-10, Maruthi Nagar, Kurnool, Andhra Pradesh-518002.</t>
  </si>
  <si>
    <t>THE NEW INDIA ASSURANCE CO. LTD.</t>
  </si>
  <si>
    <t>61190036250400000062</t>
  </si>
  <si>
    <t>TSMC/FMR/15464</t>
  </si>
  <si>
    <t>630901516261</t>
  </si>
  <si>
    <t>ICIC0006309</t>
  </si>
  <si>
    <t>ACMPH2364N</t>
  </si>
  <si>
    <t>9109897410730736</t>
  </si>
  <si>
    <t>Subhash Pitcha</t>
  </si>
  <si>
    <t>6-2-137, Maruthi Street, T Nagar, Tirupati, Chittoor, Andhra Pradesh-517501.</t>
  </si>
  <si>
    <t>Tele Reporting</t>
  </si>
  <si>
    <t>D1123163</t>
  </si>
  <si>
    <t>Dr. G L S Sumanth Kumar</t>
  </si>
  <si>
    <t>9866698568/8125491591</t>
  </si>
  <si>
    <t>sumanth2studios2@gmail.com</t>
  </si>
  <si>
    <t>39735094554</t>
  </si>
  <si>
    <t>SBIN0011090</t>
  </si>
  <si>
    <t>CKEPS7872Q</t>
  </si>
  <si>
    <t>767110514188</t>
  </si>
  <si>
    <t>Azaraiah Vinayakumar Galipoth</t>
  </si>
  <si>
    <t>25/276 A, Sanjeeva Nagar, Nandyal, Kurnool, Andhra Pradesh-518501.</t>
  </si>
  <si>
    <t>00421930009746</t>
  </si>
  <si>
    <t>AMBPM4857E</t>
  </si>
  <si>
    <t>950269371386</t>
  </si>
  <si>
    <t>Adinarayana Naidu Morum</t>
  </si>
  <si>
    <t>13-1-69/1, Motinagar Extension, sanathnagar, Hyderabad, telangana - 500018.</t>
  </si>
  <si>
    <t>D1101674</t>
  </si>
  <si>
    <t>Dr.Akkera Prem Sagar</t>
  </si>
  <si>
    <t>9063607512/8179829841</t>
  </si>
  <si>
    <t>Premsagarakkera1952@gmail.com</t>
  </si>
  <si>
    <t>52002008820</t>
  </si>
  <si>
    <t>SBIN0020311</t>
  </si>
  <si>
    <t>ABLPA4135G</t>
  </si>
  <si>
    <t>470361647786</t>
  </si>
  <si>
    <t xml:space="preserve">Akkera Sathaiah </t>
  </si>
  <si>
    <t>1-8-54/A/1(136/37), Venkat Rao Nagar Colony, P G Road, Secunderabad, Hyderabad, Telangana-500003.</t>
  </si>
  <si>
    <t>AHPPP1349D</t>
  </si>
  <si>
    <t>765472191187</t>
  </si>
  <si>
    <t>Kantilal Jethalal Parekh</t>
  </si>
  <si>
    <t>Block II, Flat 6A, 6th Floor, 160A, Bakul Bagan road, Bhawanipore, Kolkata, West Bengal-700025.</t>
  </si>
  <si>
    <t>TSMC/FMR/19560</t>
  </si>
  <si>
    <t>158884443798</t>
  </si>
  <si>
    <t>BTCPV5023N</t>
  </si>
  <si>
    <t>605269889401</t>
  </si>
  <si>
    <t>Mallikarjuna Reddy Vuchuru</t>
  </si>
  <si>
    <t>No.401, Disha Panchavati Apts, 7th Cross Green Domain Layout, Near Graphite India, Kundalahalli, Bangalore North, Bangalore, Mahadevapura, Karnataka-560048.</t>
  </si>
  <si>
    <t>D1123237</t>
  </si>
  <si>
    <t>Dr.Madugula Mark Edward</t>
  </si>
  <si>
    <t>21:30:00</t>
  </si>
  <si>
    <t>APMC/FMR/87777</t>
  </si>
  <si>
    <t>drmarkedward.m@gmail.com</t>
  </si>
  <si>
    <t>50100750544681</t>
  </si>
  <si>
    <t>HDFC0006515</t>
  </si>
  <si>
    <t>CGMPM6643R</t>
  </si>
  <si>
    <t>653666980167</t>
  </si>
  <si>
    <t>Madugula Kamalakar Diwakar Rao</t>
  </si>
  <si>
    <t>11-10-770/9/A/B, Opp BC Colony, Raparthi Nagar, Khammam, Telangana-507001.</t>
  </si>
  <si>
    <t>D1123238</t>
  </si>
  <si>
    <t>Dr.Samatha Rani Putta</t>
  </si>
  <si>
    <t>Kamineni Medical College, Narketpally</t>
  </si>
  <si>
    <t>puttasamatha@gmail.com</t>
  </si>
  <si>
    <t>155012010001211</t>
  </si>
  <si>
    <t>CJZPP6279G</t>
  </si>
  <si>
    <t>628283870454</t>
  </si>
  <si>
    <t>Rajamallu Geedula</t>
  </si>
  <si>
    <t>W/o: P Vimaladitya, Quaters No - SD- 103, Beisde DSP Quaters, Old Colony, Yellandu, Rompaid, Khammam, Telangana - 507124.</t>
  </si>
  <si>
    <t>Onroll</t>
  </si>
  <si>
    <t>Dr.Asima Mubeen Quadri</t>
  </si>
  <si>
    <t>Doctor</t>
  </si>
  <si>
    <t>Dr Ramesh Kinha</t>
  </si>
  <si>
    <t>7506093773</t>
  </si>
  <si>
    <t>quadriasima1@gmail.com</t>
  </si>
  <si>
    <t>AADPQ9046P</t>
  </si>
  <si>
    <t>439893847417</t>
  </si>
  <si>
    <t>Dr.Jnankumar Chaudhuri</t>
  </si>
  <si>
    <t>Head-Biochemistry</t>
  </si>
  <si>
    <t>dr.jnankumar@vijayadiagnostic.in</t>
  </si>
  <si>
    <t>AFNPC6780R</t>
  </si>
  <si>
    <t>755901671935</t>
  </si>
  <si>
    <t>Dr.Geeta R Jahagirdar</t>
  </si>
  <si>
    <t>Assistant General Manager</t>
  </si>
  <si>
    <t>7032920467</t>
  </si>
  <si>
    <t>drgeeta@vijayadiagnostic.in</t>
  </si>
  <si>
    <t>AHLPJ3173D</t>
  </si>
  <si>
    <t>881723404715</t>
  </si>
  <si>
    <t>Director - Lab Services</t>
  </si>
  <si>
    <t>Group Director</t>
  </si>
  <si>
    <t>Dr Neelamany Murthy</t>
  </si>
  <si>
    <t>8826053922</t>
  </si>
  <si>
    <t>dr.ramesh@vijayadiagnostic.in</t>
  </si>
  <si>
    <t>AXDPK6666Q</t>
  </si>
  <si>
    <t>513242120817</t>
  </si>
  <si>
    <t>Dayanand Kinha</t>
  </si>
  <si>
    <t>Dr.Kumpati Madhavi Latha</t>
  </si>
  <si>
    <t>Senior Doctor</t>
  </si>
  <si>
    <t>7702177965</t>
  </si>
  <si>
    <t>mmadhavi_micro@yahoo.com</t>
  </si>
  <si>
    <t>BARPM4280Q</t>
  </si>
  <si>
    <t>345860126690</t>
  </si>
  <si>
    <t>Dr.Syed Ghouse Ali Hatim .</t>
  </si>
  <si>
    <t>9866135805</t>
  </si>
  <si>
    <t>dr.alihatim@gmail.com</t>
  </si>
  <si>
    <t>NOPAN4001A</t>
  </si>
  <si>
    <t>664968032836</t>
  </si>
  <si>
    <t>Dr.Taposhi Das</t>
  </si>
  <si>
    <t>7032826462</t>
  </si>
  <si>
    <t>tashi.das@gmail.com</t>
  </si>
  <si>
    <t>AUHPD7779E</t>
  </si>
  <si>
    <t>804571631700</t>
  </si>
  <si>
    <t>Dr.S Yamini</t>
  </si>
  <si>
    <t>9866755348</t>
  </si>
  <si>
    <t>Yaminikura@yahoo.in</t>
  </si>
  <si>
    <t>EJFPK2736F</t>
  </si>
  <si>
    <t>530617922479</t>
  </si>
  <si>
    <t>Mrs.Shankari M</t>
  </si>
  <si>
    <t>Molecular Pathology</t>
  </si>
  <si>
    <t>80085 0869</t>
  </si>
  <si>
    <t>dr.molecular@vijayadiagnostic.in</t>
  </si>
  <si>
    <t>BIIPM5311F</t>
  </si>
  <si>
    <t>441512513111</t>
  </si>
  <si>
    <t>MALAYAPPAN</t>
  </si>
  <si>
    <t>Dr.Sripathi Panditharadhyula Naga Praphulla</t>
  </si>
  <si>
    <t>7660860008</t>
  </si>
  <si>
    <t>sp.praphulla@gmail.com</t>
  </si>
  <si>
    <t>894861823012</t>
  </si>
  <si>
    <t>Jada Dhanvanthari</t>
  </si>
  <si>
    <t>Dr.Mahankali Krishna Jyothi</t>
  </si>
  <si>
    <t>8125408876</t>
  </si>
  <si>
    <t>krishnajyothi111@gmail.com</t>
  </si>
  <si>
    <t>BZXPM8500Q</t>
  </si>
  <si>
    <t>755401715631</t>
  </si>
  <si>
    <t>G.Sreedhar</t>
  </si>
  <si>
    <t>Dr.Sai Aditya Garikipati</t>
  </si>
  <si>
    <t>9493029999</t>
  </si>
  <si>
    <t>dr.saiaditya@gmail.com</t>
  </si>
  <si>
    <t>DFYPS1959N</t>
  </si>
  <si>
    <t>577308985800</t>
  </si>
  <si>
    <t>Samba Siva Rao</t>
  </si>
  <si>
    <t>D1118332</t>
  </si>
  <si>
    <t>Dr.Dunna Sabitha</t>
  </si>
  <si>
    <t>APMC/FMR/99684</t>
  </si>
  <si>
    <t>8330928681, 9491946283</t>
  </si>
  <si>
    <t>d.sabitha67@gmail.com</t>
  </si>
  <si>
    <t>58470100012423</t>
  </si>
  <si>
    <t>BARB0SURYAP</t>
  </si>
  <si>
    <t>CFLPD1856B</t>
  </si>
  <si>
    <t>247634130379</t>
  </si>
  <si>
    <t>Ananda Rao Dunna</t>
  </si>
  <si>
    <t xml:space="preserve">Maternity </t>
  </si>
  <si>
    <t>D No: 40-27-21, Pettengel Pet, Opp Bhashyam School, Benz Circle, Vijayawada, Krishna District, Andhra Pradesh - 520008.</t>
  </si>
  <si>
    <t>V1101787</t>
  </si>
  <si>
    <t>Director Nuclear Medicine</t>
  </si>
  <si>
    <t>SMS Medical College</t>
  </si>
  <si>
    <t>Institute of Nuclear Medicine</t>
  </si>
  <si>
    <t>MBBS, DRM</t>
  </si>
  <si>
    <t>TSMC/FMR/06774</t>
  </si>
  <si>
    <t>docanujjain@gmail.com</t>
  </si>
  <si>
    <t>5121930001500</t>
  </si>
  <si>
    <t>AHPPJ1567P</t>
  </si>
  <si>
    <t>617719829898</t>
  </si>
  <si>
    <t>Trilok Chand Jain</t>
  </si>
  <si>
    <t>Communicated</t>
  </si>
  <si>
    <t xml:space="preserve">Moving to UK </t>
  </si>
  <si>
    <t>D1120762</t>
  </si>
  <si>
    <t>Dr.Bonamukkala Bharath Reddy</t>
  </si>
  <si>
    <t>X-Ray (Plain Radiography-Basic,Advanced), Mammography, USG(Basic, Doppler Studies,Thyroid/Scrotum USG, Breast USG,TIFFA, USG Guided FNAC, USG guided Aspiration), CT (Basic, Chest/Abdomen,3DCT,CT Angiography, Coronary CT), MRI(Basic, MSk Studies- Knee/Shoulder, MRI MRCP/Abdomen/Liver, MR Prostate/Rectum), Special Procedures (RGU,MCUG, Barium Swallow, Barium Enema, HSG)</t>
  </si>
  <si>
    <t>APMC/FMR/104145</t>
  </si>
  <si>
    <t>b.bharathreddy6033@gmail.com</t>
  </si>
  <si>
    <t>50100652445516</t>
  </si>
  <si>
    <t>HDFC0004802</t>
  </si>
  <si>
    <t>DJWPB1234D</t>
  </si>
  <si>
    <t>775403915617</t>
  </si>
  <si>
    <t>Bonamukkala Srinivas Reddy</t>
  </si>
  <si>
    <t>Relocating</t>
  </si>
  <si>
    <t>28/3/396, Lakshmi nagar, Mypadu road, Kissan nagar centre, Nawabpeta, Nellore, Andhra Pradesh-524002.</t>
  </si>
  <si>
    <t>IRDAN190P0082100001</t>
  </si>
  <si>
    <t>D1121367</t>
  </si>
  <si>
    <t>Dr.G Anil Kumar</t>
  </si>
  <si>
    <t>Osmania Medical College and Hospital</t>
  </si>
  <si>
    <t>MBBS, MD - Biochemistry</t>
  </si>
  <si>
    <t>anilgunde17@gmail.com</t>
  </si>
  <si>
    <t>50100228030178</t>
  </si>
  <si>
    <t>HDFC0001634</t>
  </si>
  <si>
    <t>BHSPG2517A</t>
  </si>
  <si>
    <t>439134490326</t>
  </si>
  <si>
    <t>Rama Swamy Gunde</t>
  </si>
  <si>
    <t>H.No-4-61, Gattepally Village, Sultanabad Mandal, Near Govt School, Gattepalle, Karimnagar, Telangana- 505185.</t>
  </si>
  <si>
    <t>D1121398</t>
  </si>
  <si>
    <t>Dr.Rohini Bhaskar Kunder</t>
  </si>
  <si>
    <t>MGM Medical College Indore</t>
  </si>
  <si>
    <t>TSMC/FMR/35252</t>
  </si>
  <si>
    <t>kunder.rohini@gmail.com</t>
  </si>
  <si>
    <t>30930781720</t>
  </si>
  <si>
    <t>SBIN0017720</t>
  </si>
  <si>
    <t>DYLPK2190D</t>
  </si>
  <si>
    <t>656519490967</t>
  </si>
  <si>
    <t>Bhaskar Govind Kunder</t>
  </si>
  <si>
    <t>2-57-258, Vaibhav Nagar Post, Sector C , Indore, Madhya Pradesh - 452016.</t>
  </si>
  <si>
    <t>D1121549</t>
  </si>
  <si>
    <t>Dr.Podishetti Rahul</t>
  </si>
  <si>
    <t>RVM Institute of Medical Sciences and Research Centre</t>
  </si>
  <si>
    <t>TSMC/FMR/35343</t>
  </si>
  <si>
    <t>rahulpodishetti126@gmail.com</t>
  </si>
  <si>
    <t>159169164388</t>
  </si>
  <si>
    <t>INDB0000329</t>
  </si>
  <si>
    <t>FRVPP8925C</t>
  </si>
  <si>
    <t>909425340242</t>
  </si>
  <si>
    <t>Chandra Shiekhar Padishetti</t>
  </si>
  <si>
    <t>Accident</t>
  </si>
  <si>
    <t>1-5-1084/255, Mangapuram Colony, Road No 6, Phase 2, Old Alwal, Hyderabad, Telangana - 500010.</t>
  </si>
  <si>
    <t>D1116911</t>
  </si>
  <si>
    <t>Dr.Sampathirao V L Narasimham</t>
  </si>
  <si>
    <t>APMC19484</t>
  </si>
  <si>
    <t>sampathiraov@gmail.com</t>
  </si>
  <si>
    <t>50100538557034</t>
  </si>
  <si>
    <t>HDFC0005633</t>
  </si>
  <si>
    <t>AWAPN6691E</t>
  </si>
  <si>
    <t>674864384886</t>
  </si>
  <si>
    <t>Sampath Rao Dhilleswara Rao</t>
  </si>
  <si>
    <t>3-125-87/31, Sri Laxmi Nagar Colony, Ghatkesar Mandal, Near Ganesh mandapam, Boduppal, K V Rangareddy, Telangana - 500092.</t>
  </si>
  <si>
    <t>D1122275</t>
  </si>
  <si>
    <t>Dr.Sathi Mounika</t>
  </si>
  <si>
    <t>Nizampet HT line-143</t>
  </si>
  <si>
    <t>X-Ray (Plain Radiography- Basic, Advanced), USG (Basic, Doppler Studies, Thyroid/Scrotum USG), Special Procedures (IVP, RGU,MCUG,Barium Swallow, Barium Enema, HSG)</t>
  </si>
  <si>
    <t>MGM Medical College, Aurangabad</t>
  </si>
  <si>
    <t>TSMC/FMR/13371</t>
  </si>
  <si>
    <t>manumounika003@gmail.com</t>
  </si>
  <si>
    <t>0076104000803441</t>
  </si>
  <si>
    <t>IBKL0000076</t>
  </si>
  <si>
    <t>FCVPS2370M</t>
  </si>
  <si>
    <t>472298552969</t>
  </si>
  <si>
    <t>Tatareddy Sathi</t>
  </si>
  <si>
    <t>1-137, Gandhi Bomma Street, Anaparhty Mandalam, Anaparthy, East Godavari, Telangana-533342.</t>
  </si>
  <si>
    <t>D1122172</t>
  </si>
  <si>
    <t>Dr.K Ananya</t>
  </si>
  <si>
    <t>Shamshabad-2 -113</t>
  </si>
  <si>
    <t>X-Ray (Plain Radiography- Basic, Advanced), USG (Basic, Doppler Studies, Thyroid/Scrotum USG, Breast USG, TIFFA, USG Guided FNAC), CT(Basic)</t>
  </si>
  <si>
    <t>Alluri Sita Ramaraju Academy of Medical Sciences</t>
  </si>
  <si>
    <t>TSMC/FMR/25311</t>
  </si>
  <si>
    <t>ananya.katikineni73@gmail.com</t>
  </si>
  <si>
    <t>8113167085</t>
  </si>
  <si>
    <t>KKBK0007461</t>
  </si>
  <si>
    <t>EGOPK0286G</t>
  </si>
  <si>
    <t>592207735640</t>
  </si>
  <si>
    <t>Ramesh Katikineni</t>
  </si>
  <si>
    <t>Villa No-40, Lisa Grove, Kokapet Raod, Opp to Jayanheri Park, Financial District, Kokapet, KV Rangareddy, Telangana-500075</t>
  </si>
  <si>
    <t>D1122273</t>
  </si>
  <si>
    <t>Dr.Nindali Raga Lahari</t>
  </si>
  <si>
    <t>09:00 to 14:00</t>
  </si>
  <si>
    <t>Viswabharathi Medical College</t>
  </si>
  <si>
    <t>APMC/FMR/100018</t>
  </si>
  <si>
    <t>raga.lahari.ammu@gmail.com</t>
  </si>
  <si>
    <t>20103841267</t>
  </si>
  <si>
    <t>SBIN0000887</t>
  </si>
  <si>
    <t>BBRPN0055M</t>
  </si>
  <si>
    <t>699540597446</t>
  </si>
  <si>
    <t>Bhaskaraiah Nindali</t>
  </si>
  <si>
    <t>Asked to leave (Irregular)</t>
  </si>
  <si>
    <t>28/5/56/282, Kisan Nagar, Mypadu Road, Municipal Corporation Elementary school, Stine housepet, Nellore, Andhra Pradesh - 524002.</t>
  </si>
  <si>
    <t>V1101485</t>
  </si>
  <si>
    <t>Dr.Diddi Vamshi Kiran</t>
  </si>
  <si>
    <t>X-Ray (Basic, Advanced), USG ( Basic, Doppler Studies, Thyroid /Scrotum USG, Breast USG, TIFFA, MSK USG, USG Guided FNAC), CT ( Basic, Chest/Abdomen/Neck, 3DCT, CT Angiography), MRI (Basic, MSK Studies -Knee), Special Procedures (IVP, RGU, MCUG, Barium Swallow, Barium Enema, HSG)</t>
  </si>
  <si>
    <t>PES Institute of Medical Sciences &amp; Research</t>
  </si>
  <si>
    <t>Narayana Medical College, Nellore</t>
  </si>
  <si>
    <t>APMC/FMR/86708</t>
  </si>
  <si>
    <t>vamshikiranmedico@gmail.com</t>
  </si>
  <si>
    <t>8971010000000620</t>
  </si>
  <si>
    <t>DBSS0IN0971</t>
  </si>
  <si>
    <t>AZBPD6972G</t>
  </si>
  <si>
    <t>282698079382</t>
  </si>
  <si>
    <t>Gopal Diddi</t>
  </si>
  <si>
    <t>Better offer</t>
  </si>
  <si>
    <t>Flat No. 302, 3rd Floor, Sri Satya sai Homes, Road No-4, Near Aruna Hospital, Chandrapuri Colony, LB Nagar, KV Rangareddy, Telangana - 500024</t>
  </si>
  <si>
    <t>4021/A/379865803/00/000</t>
  </si>
  <si>
    <t>PGMIER, Chandigarh</t>
  </si>
  <si>
    <t>Model changed to Case Base</t>
  </si>
  <si>
    <t>D1122432</t>
  </si>
  <si>
    <t>Dr.Kotla Harshitha</t>
  </si>
  <si>
    <t>Chandrayangutta - 71</t>
  </si>
  <si>
    <t>X-Ray (Plain Radiography,Mammography-with USG screening), USG (Basic, Doppler Studies, Thyroid/Scrotum USG, Brest USG, USG Guided FNAC) CT( Basic, Chest/Abdomen/Neck, 3DCT, CT Angiography), MRI (Basic), Special Procedures (IVP, RGU,MCUG, Barium Swallow, Barium Enema, HSG)</t>
  </si>
  <si>
    <t>TSMC/FMR/13395</t>
  </si>
  <si>
    <t>kotlaharshitha03@gmail.com</t>
  </si>
  <si>
    <t>50100502854499</t>
  </si>
  <si>
    <t>AXDPH3083J</t>
  </si>
  <si>
    <t>815367208788</t>
  </si>
  <si>
    <t>Kotla Dharma Reddy</t>
  </si>
  <si>
    <t>Relocating to bangalore</t>
  </si>
  <si>
    <t>2-2-1150/1, Tilak Nagar, New Nallakunta, Hyderabad, Telangana - 500044.</t>
  </si>
  <si>
    <t>D1122464</t>
  </si>
  <si>
    <t>Dr.Kareddy Meghana Reddy</t>
  </si>
  <si>
    <t>X-Ray (Plain Radiography - Basic, Advanced), Mammography, USG (Basic, Doppler Studies, Thyroid/ Scrotum USG, Breast USG, TIFFA, MSK USG, USG Guided FNAC, USG Guided Aspiration), CT (Basic, Chest/Abdomen,CT KUB), Special Procedures (IVP, RGU, MCUG, Barium Swallow, Barium Enema, HSG)</t>
  </si>
  <si>
    <t>TSMC/FMR/20125</t>
  </si>
  <si>
    <t>meghanakareddy17@gmail.com</t>
  </si>
  <si>
    <t>62466870042</t>
  </si>
  <si>
    <t>EYIPR1334C</t>
  </si>
  <si>
    <t>997081726949</t>
  </si>
  <si>
    <t>Kareddy Ravinder Reddy</t>
  </si>
  <si>
    <t>Fetal Medicine and relocating to Banglore</t>
  </si>
  <si>
    <t>Plot No-15, Krishna nagar, opp Reddy girls hostel, bhageeratha colony, Mahbubnagar, Telangana - 509001.</t>
  </si>
  <si>
    <t>D1122469</t>
  </si>
  <si>
    <t>Dr.Dundigalla Gayathri</t>
  </si>
  <si>
    <t>Hayathnagar-150</t>
  </si>
  <si>
    <t>X-Ray (Plain Radiography - Basic, Advanced), Mammography, USG (Basic, Doppler Studies, Thyroid/ Scrotum USG, Breast USG, TIFFA,MSK USG, USG Guided FNAC,USG Guided Aspiration), CT (Basic,Chest/Abdomen,3DCT,CT Angiography), Special Procedures (RGU, MCUG, Barium Swallow, Barium Enema, HSG)</t>
  </si>
  <si>
    <t>TSMC/FMR/10130</t>
  </si>
  <si>
    <t>gayathririmsdr@gmail.com</t>
  </si>
  <si>
    <t>62444270153</t>
  </si>
  <si>
    <t>SBIN0007167</t>
  </si>
  <si>
    <t>FBMPD0619C</t>
  </si>
  <si>
    <t>402600137908</t>
  </si>
  <si>
    <t>Dundigalla Suresh</t>
  </si>
  <si>
    <t>House No.2-5-72/203, Nakkalagutta, Near Water Tank, Hanamakonda, Warangal, Telangana - 506001</t>
  </si>
  <si>
    <t>D1122470</t>
  </si>
  <si>
    <t>Dr.Adepu Rasagnya</t>
  </si>
  <si>
    <t>Uppal - 69</t>
  </si>
  <si>
    <t>X-Ray (Plain Radiography - Basic, Advanced), Mammography, USG (Basic, Doppler Studies, Thyroid/ Scrotum USG, Breast USG, TIFFA,MSK USG, USG Guided FNAC,USG Guided Aspiration), CT (Basic,Chest/Abdomen), Special Procedures (IVP,RGU, MCUG, Barium Swallow, Barium Enema, HSG)</t>
  </si>
  <si>
    <t>Rajiv Gandhi institute of Medical Sciences, Adilabad</t>
  </si>
  <si>
    <t>TSMC/FMR/09922</t>
  </si>
  <si>
    <t>8886581213 / 7780388600</t>
  </si>
  <si>
    <t>rasagnya.adepu@gmail.com</t>
  </si>
  <si>
    <t>35544978673</t>
  </si>
  <si>
    <t>SBIN0020149</t>
  </si>
  <si>
    <t>BUCPA5041G</t>
  </si>
  <si>
    <t>501653675134</t>
  </si>
  <si>
    <t>Ravi Kumar adepu</t>
  </si>
  <si>
    <t>House No.13-4-44, Mattewada, MGM Road, Warangal, Telangana-506002.</t>
  </si>
  <si>
    <t>D1122156</t>
  </si>
  <si>
    <t>Dr.Kallala Dhatri</t>
  </si>
  <si>
    <t>X-Ray (Plain Radiography - Basic, Advanced), Lower Limb scanogram, Whole Spine X-Ray, Mammography with USG Screening, USG (Basic, Doppler Studies, Thyroid/ Scrotum USG, Breast USG, TIFFA, USG Guided FNAC, USG Guided Aspiration, Breast Biopsy), CT (Basic, Chest/abdomen/Neck, CT Angiography, CT Guided Biopsy ), MRI( Basic, MRI MRCP/ Abdomen/Liver, Special Procedures (IVP, RGU, MCUG, Barium Swallow, Barium Enema, HSG)</t>
  </si>
  <si>
    <t>Mallareddy Medical Collge for Women</t>
  </si>
  <si>
    <t xml:space="preserve">Kamineni Academy of Medical Sciences and Research center </t>
  </si>
  <si>
    <t>TSMC/FMR/09107</t>
  </si>
  <si>
    <t>dhatri.kallala@gmail.com</t>
  </si>
  <si>
    <t>32850361642</t>
  </si>
  <si>
    <t>SBIN0021461</t>
  </si>
  <si>
    <t>GCLPK7202M</t>
  </si>
  <si>
    <t>882375155982</t>
  </si>
  <si>
    <t xml:space="preserve">Mahender Reddy Kallala </t>
  </si>
  <si>
    <t>17-1-391/V/86, Saraswathi Nagar, Saidabad, Hyderabad, Telangana - 500059.</t>
  </si>
  <si>
    <t>4021/A/359875691/00/000</t>
  </si>
  <si>
    <t>D1122611</t>
  </si>
  <si>
    <t>Dr.Vogu Mounika</t>
  </si>
  <si>
    <t>X-Ray (Plain Radiography - Basic, Advanced), Mammography, USG (Basic, Doppler Studies, Thyroid/ Scrotum USG, Breast USG, TIFFA), CT (Basic, Chest/abdomen /Neck, CT Angiography)</t>
  </si>
  <si>
    <t>Tagore Medical College and Hospital</t>
  </si>
  <si>
    <t>TSMC/FMR/36883</t>
  </si>
  <si>
    <t>mounikavogu95@gmail.com</t>
  </si>
  <si>
    <t>50100530726491</t>
  </si>
  <si>
    <t>HDFC0001871</t>
  </si>
  <si>
    <t>BLJPV9430J</t>
  </si>
  <si>
    <t>579291435142</t>
  </si>
  <si>
    <t>Nageswararao Vogu</t>
  </si>
  <si>
    <t>Attendance policies</t>
  </si>
  <si>
    <t>Madhura Nagar, Childrens Park, Dargamitta, Nellore, Andhra Pradesh - 524003.</t>
  </si>
  <si>
    <t>D1122721</t>
  </si>
  <si>
    <t>Dr.Kanugula Kowshik</t>
  </si>
  <si>
    <t>X-Ray (Plain Radiography - Basic, Advanced, Whole Spine X-Ray), MAmmography, USG (Basic, Doppler Studies, Thyroid/ Scrotum USG, Breast USG, TIFFA, MSK USG, Penile Doppler, USG Guided FNAC, USG Guided Aspiration), CT (Basic, Chest/Abdomen /Neck,3DCT), MRI( Basic, MSK Studies- Knee/Shoulder), Special Procedures (IVP, RGU, MCUG, Barium Swallow, Barium Enema,HSG)</t>
  </si>
  <si>
    <t>TSMC/FMR/03968</t>
  </si>
  <si>
    <t>kowshikkanugula@gmail.com</t>
  </si>
  <si>
    <t>62188848444</t>
  </si>
  <si>
    <t>SBIN0020175</t>
  </si>
  <si>
    <t>CAYPK6698G</t>
  </si>
  <si>
    <t>467903263675</t>
  </si>
  <si>
    <t>Kanugula Ashok Kumar</t>
  </si>
  <si>
    <t>Father health problem</t>
  </si>
  <si>
    <t>6-3-1189/1, Savarkar Nagar, 3rd Lane, Nalgonda, Telangana - 508001.</t>
  </si>
  <si>
    <t>4161/376816113/00/000</t>
  </si>
  <si>
    <t>Dr.Madela Vasanth Kumar</t>
  </si>
  <si>
    <t>-</t>
  </si>
  <si>
    <t>Dr L T Kishore</t>
  </si>
  <si>
    <t>024401506100</t>
  </si>
  <si>
    <t>D1114617</t>
  </si>
  <si>
    <t>Dr.K Madhulika</t>
  </si>
  <si>
    <t>madhulikak88@yahoo.com</t>
  </si>
  <si>
    <t>Andhra Bank</t>
  </si>
  <si>
    <t>141910100095467</t>
  </si>
  <si>
    <t>ANDB0001419</t>
  </si>
  <si>
    <t>DQRPK7504R</t>
  </si>
  <si>
    <t>Kothuru Jagadish</t>
  </si>
  <si>
    <t>D1119836</t>
  </si>
  <si>
    <t>Dr.Rohit Mylapally</t>
  </si>
  <si>
    <t>Basic USG, Doppler Studies, Thyroid/Scrotum USG, Breast USG, Tiffa, Foetal Echo, MSK USG, USG Guided FNAC, USG Guided Aspiration, Guided Procedures, Basic CT, Chest/Abdomen/Neck,  3DCT, X Ray, Plain Radiography, IVP, RGU, MCUG, Barium Swallow, Barium Anema, HSG.</t>
  </si>
  <si>
    <t>Dr.Krishna Mohan</t>
  </si>
  <si>
    <t>Bhaskar Medical COllege</t>
  </si>
  <si>
    <t>Mediciti institute of Medical Sciences, Hyderabad</t>
  </si>
  <si>
    <t>MBBS,MD</t>
  </si>
  <si>
    <t>APMC/FMR/92586</t>
  </si>
  <si>
    <t>rohit_mylapally@yahoo.com</t>
  </si>
  <si>
    <t>084010100071564</t>
  </si>
  <si>
    <t>UBIN0808351</t>
  </si>
  <si>
    <t>CIRPR3919L</t>
  </si>
  <si>
    <t>Abscond</t>
  </si>
  <si>
    <t>10-3-218, Humayun Nagar, Asifnagar, Hyderabad, Telangana - 500028</t>
  </si>
  <si>
    <t>V1101848</t>
  </si>
  <si>
    <t>Dr.Venkatapathy Rajasekhar Kattari</t>
  </si>
  <si>
    <t>Dr. Krishna Mohan Pottala</t>
  </si>
  <si>
    <t>Sri Ramachandra Medical College</t>
  </si>
  <si>
    <t>MBBS, MD - Radio Diagnosis</t>
  </si>
  <si>
    <t>nilohitasekhar@yahoo.com, nilohitasekhar@gmail.com</t>
  </si>
  <si>
    <t>17460100002139</t>
  </si>
  <si>
    <t>UCBA0001746</t>
  </si>
  <si>
    <t>ABPPK4263P</t>
  </si>
  <si>
    <t>Lakshmipathi Kattari</t>
  </si>
  <si>
    <t>Gandhinagar - 79</t>
  </si>
  <si>
    <t>USG, Tiffa, Doppler, X ray reporting</t>
  </si>
  <si>
    <t>SBI Bank</t>
  </si>
  <si>
    <t>D1119430</t>
  </si>
  <si>
    <t>Dr.Yenumula Praveen Raja</t>
  </si>
  <si>
    <t>08:30:00</t>
  </si>
  <si>
    <t>12:30:00</t>
  </si>
  <si>
    <t>Basic USG, Tiffa, MSK, Guided Procedures, Basic CT, Basic MRI, X Ray, Plain Radiology, IVP, RGU, MCGU, Barium Swallow, Barium Anema, HSG</t>
  </si>
  <si>
    <t>All India Institute of Medical Sciences</t>
  </si>
  <si>
    <t>TSMC/FMR/00406</t>
  </si>
  <si>
    <t>praveenraj.aiims@gmail.com</t>
  </si>
  <si>
    <t>30850979683</t>
  </si>
  <si>
    <t>SBIN0020184</t>
  </si>
  <si>
    <t>CLVPP8961R</t>
  </si>
  <si>
    <t>Personal Reason</t>
  </si>
  <si>
    <t>4-83, Bhageeratha Colony, Mahabubnagar, Telangana - 509001</t>
  </si>
  <si>
    <t>V1101615</t>
  </si>
  <si>
    <t>Dr.Naresh Varre</t>
  </si>
  <si>
    <t>CT &amp; MRI, USG, X-RAY,FNAC</t>
  </si>
  <si>
    <t>Alluri Sitaram Raju Academy of Medical Science</t>
  </si>
  <si>
    <t>naresh_v20@yahoo.co.in</t>
  </si>
  <si>
    <t>914010025629551</t>
  </si>
  <si>
    <t>UTIB0000554</t>
  </si>
  <si>
    <t>ARHPV5921B</t>
  </si>
  <si>
    <t>Varre Yellaiah</t>
  </si>
  <si>
    <t>D1119136</t>
  </si>
  <si>
    <t>Dr.Guduru Vijay Kumar</t>
  </si>
  <si>
    <t>Dr. Bikash Chowdhary</t>
  </si>
  <si>
    <t>Donetsk state medical University</t>
  </si>
  <si>
    <t>TSMC/FMR/08182</t>
  </si>
  <si>
    <t>vkdsmu@gmail.com</t>
  </si>
  <si>
    <t>107910100074844</t>
  </si>
  <si>
    <t>ALFPG6045D</t>
  </si>
  <si>
    <t>15-31-S3/MMH/601,Manjeera Majectic Homes KPHB Colony, Near JNTU,Kukatpally,Hyderabad-500072</t>
  </si>
  <si>
    <t>10:00:00</t>
  </si>
  <si>
    <t>Basic USG, Tiffa, Guided Procedures, Basic CT, X Ray, Plain Radiology, IVP, RGU, MCGU, Barium Swallow, Barium Anema, HSG</t>
  </si>
  <si>
    <t>Kurnool Medical College, Kurnool</t>
  </si>
  <si>
    <t>APMC/FMR/106593</t>
  </si>
  <si>
    <t>drdeviniha97@gmail.com</t>
  </si>
  <si>
    <t>Flat No-216,B.K.Singh Towers,Near New Ayyappa Swamy Temple, Kurnool,Andhra Pradesh-518002</t>
  </si>
  <si>
    <t>Head Nuclear Medicine</t>
  </si>
  <si>
    <t>Institute of Nuclear Medicine &amp; Allied Science</t>
  </si>
  <si>
    <t>05121930001500</t>
  </si>
  <si>
    <t>V1101811</t>
  </si>
  <si>
    <t>Case base</t>
  </si>
  <si>
    <t>Dr.Rama Mohan Vsv</t>
  </si>
  <si>
    <t>630501521975</t>
  </si>
  <si>
    <t>ACBPV0030G</t>
  </si>
  <si>
    <t>V1101843</t>
  </si>
  <si>
    <t>Dr.Rayasam Karthik</t>
  </si>
  <si>
    <t>071823</t>
  </si>
  <si>
    <t>karthikr_omc@yahoo.com</t>
  </si>
  <si>
    <t>862410110002471</t>
  </si>
  <si>
    <t>BKID0008624</t>
  </si>
  <si>
    <t>BCOPR9336K</t>
  </si>
  <si>
    <t>R.V.L. Muralidhar</t>
  </si>
  <si>
    <t>Dr.Amita Kumar</t>
  </si>
  <si>
    <t>MBBS, DMRD</t>
  </si>
  <si>
    <t>TSMC/FMR/08097</t>
  </si>
  <si>
    <t>amitakr2010@gmail.com</t>
  </si>
  <si>
    <t>10421919465</t>
  </si>
  <si>
    <t>Lachhman Dass</t>
  </si>
  <si>
    <t>V1101561</t>
  </si>
  <si>
    <t>Dr.Vadde Keerthi</t>
  </si>
  <si>
    <t>KIMS</t>
  </si>
  <si>
    <t>DNB-2018</t>
  </si>
  <si>
    <t>Kamineni Hospital, LB Nagar, Hyderabad</t>
  </si>
  <si>
    <t>MBBS, DNB - Radiodiagnosis</t>
  </si>
  <si>
    <t>APMC/FMR/80708</t>
  </si>
  <si>
    <t>keerthivadde@gmail.com</t>
  </si>
  <si>
    <t>50100239089333</t>
  </si>
  <si>
    <t>HDFC0004146</t>
  </si>
  <si>
    <t>ALJPV1692D</t>
  </si>
  <si>
    <t>Vade Narasimha Rao</t>
  </si>
  <si>
    <t>Personal Growth</t>
  </si>
  <si>
    <t>V1101684</t>
  </si>
  <si>
    <t>Dr.Kusuma Anusha</t>
  </si>
  <si>
    <t>dranusha2004@gmail.com</t>
  </si>
  <si>
    <t>50100072614813</t>
  </si>
  <si>
    <t>HDFC0001031</t>
  </si>
  <si>
    <t>AKCPA2047H</t>
  </si>
  <si>
    <t>K Sivakumar</t>
  </si>
  <si>
    <t>V1101701</t>
  </si>
  <si>
    <t>Dr.Kolanu Bhagavan Reddy</t>
  </si>
  <si>
    <t>Dr. Shashikanth</t>
  </si>
  <si>
    <t>MBBS, Dip Clinical Pathology, MD - Biochemistry</t>
  </si>
  <si>
    <t>HMC12122</t>
  </si>
  <si>
    <t>bhagavanreddy.kolan@gmail.com</t>
  </si>
  <si>
    <t>088110011007451</t>
  </si>
  <si>
    <t>UBIN0808814</t>
  </si>
  <si>
    <t>AEOPK0505Q</t>
  </si>
  <si>
    <t>K Raji Reddy</t>
  </si>
  <si>
    <t>D1119869</t>
  </si>
  <si>
    <t>Dr.Devyani Ghai</t>
  </si>
  <si>
    <t>X-Ray, Ultrasound, CT Scan, MRI, PET CT, USG Guided Procedures, CT Guided Procedures, Tunor Board Meetings</t>
  </si>
  <si>
    <t>Fellowship in MSK Radiology</t>
  </si>
  <si>
    <t>Mahatma Gandhi institute of Medical Science</t>
  </si>
  <si>
    <t>TSMC/FMR/30687</t>
  </si>
  <si>
    <t>ghaidevyani@gmail.com</t>
  </si>
  <si>
    <t>AXIS BANK</t>
  </si>
  <si>
    <t>922010055500746</t>
  </si>
  <si>
    <t>UTIB0000348</t>
  </si>
  <si>
    <t>AVBPG8919J</t>
  </si>
  <si>
    <t>continue</t>
  </si>
  <si>
    <t>B 53, Ground Floor, Sector 11, Near Milan  Vatika, Faridabad Sector 7, Faridabad, Haryana - 121006</t>
  </si>
  <si>
    <t>Dr.Anil Nandhmuri</t>
  </si>
  <si>
    <t>Yousufguda - 42</t>
  </si>
  <si>
    <t>anandamuri@gmail.com</t>
  </si>
  <si>
    <t>16391000004169</t>
  </si>
  <si>
    <t>HDFC0001639</t>
  </si>
  <si>
    <t>AMMPN9466H</t>
  </si>
  <si>
    <t>V1101815</t>
  </si>
  <si>
    <t>Dr.Rachakulla Sandhya Rani</t>
  </si>
  <si>
    <t>USG,</t>
  </si>
  <si>
    <t>PSIMS</t>
  </si>
  <si>
    <t>sandhyar.sunny@gmail.com</t>
  </si>
  <si>
    <t>20176646737</t>
  </si>
  <si>
    <t>BHCPR2297C</t>
  </si>
  <si>
    <t>R Udaya Bhaskar Rao</t>
  </si>
  <si>
    <t>V1101766</t>
  </si>
  <si>
    <t>Dr.Santhi Bhushan Murari</t>
  </si>
  <si>
    <t>PET CT, Gamma Cammera</t>
  </si>
  <si>
    <t>MBBS, DBB - Nuclear Medicine</t>
  </si>
  <si>
    <t>sbmurari@yahoo.com</t>
  </si>
  <si>
    <t>31948753457</t>
  </si>
  <si>
    <t>SBIN0012870</t>
  </si>
  <si>
    <t>BBQPM8171E</t>
  </si>
  <si>
    <t>Lakshmi Narayana Murari</t>
  </si>
  <si>
    <t>V1101607</t>
  </si>
  <si>
    <t>Dr.Vallam Pavani (Boddana Pavani)</t>
  </si>
  <si>
    <t>MBBS, MD - Pathology</t>
  </si>
  <si>
    <t>pavanikiran71@yahoo.com</t>
  </si>
  <si>
    <t>52209152587</t>
  </si>
  <si>
    <t>SBIN0011746</t>
  </si>
  <si>
    <t>AEYPV0741D</t>
  </si>
  <si>
    <t>Boddna Venkata Rao</t>
  </si>
  <si>
    <t>D1120004</t>
  </si>
  <si>
    <t>Dr.Ramsha Ashfaque Khan</t>
  </si>
  <si>
    <t>9:00:00 AM</t>
  </si>
  <si>
    <t>10:00:00 AM</t>
  </si>
  <si>
    <t xml:space="preserve">VRK Women's Medical College </t>
  </si>
  <si>
    <t>TSMC/PMR/23185</t>
  </si>
  <si>
    <t>ramshakhan6028@gmail.com</t>
  </si>
  <si>
    <t>125101504495</t>
  </si>
  <si>
    <t>ICIC0001251</t>
  </si>
  <si>
    <t>LEJPK9618A</t>
  </si>
  <si>
    <t>A/105, ABC zohra aghadi Nagar, Andheri west, Mumbai, Maharashtra. 400061</t>
  </si>
  <si>
    <t>V1101863</t>
  </si>
  <si>
    <t>Dr.Minil Ponnala</t>
  </si>
  <si>
    <t>5 days week</t>
  </si>
  <si>
    <t>USG, X-ray</t>
  </si>
  <si>
    <t>MBBS, MD - Radiodiagnosis</t>
  </si>
  <si>
    <t>AMPC/FMR/83475</t>
  </si>
  <si>
    <t>minilss15@gmail.com</t>
  </si>
  <si>
    <t>131501501989</t>
  </si>
  <si>
    <t>ICIC0001315</t>
  </si>
  <si>
    <t>BMNPP1754J</t>
  </si>
  <si>
    <t>P Narender</t>
  </si>
  <si>
    <t>V1101608</t>
  </si>
  <si>
    <t>Dr.Peddinti Akshatha</t>
  </si>
  <si>
    <t>Dr Manisha</t>
  </si>
  <si>
    <t>KLE Institute Jawaharlal Nehru Medical college</t>
  </si>
  <si>
    <t>MBBS, MD - Microbiology</t>
  </si>
  <si>
    <t>APMC/FMR/78902</t>
  </si>
  <si>
    <t>akshathapraveen01@gmail.com</t>
  </si>
  <si>
    <t>4282500101534601</t>
  </si>
  <si>
    <t>KARB0000428</t>
  </si>
  <si>
    <t>CDIPP8309N</t>
  </si>
  <si>
    <t>P Hanumantharayappa</t>
  </si>
  <si>
    <t>V1101737</t>
  </si>
  <si>
    <t>Dr.Konala Deepti</t>
  </si>
  <si>
    <t>drdeeptikonala@gmail.com</t>
  </si>
  <si>
    <t>20181355649</t>
  </si>
  <si>
    <t>SBIN0008996</t>
  </si>
  <si>
    <t>DPFPK9016F</t>
  </si>
  <si>
    <t>Konala Abraham</t>
  </si>
  <si>
    <t>D1110792</t>
  </si>
  <si>
    <t>Dr.Abhiram Koganti</t>
  </si>
  <si>
    <t>Gastroenterology</t>
  </si>
  <si>
    <t>Consultant Gastroenterology</t>
  </si>
  <si>
    <t>kogantiabhiram@gmail.com</t>
  </si>
  <si>
    <t>00000020310970772</t>
  </si>
  <si>
    <t>SBIN0004155</t>
  </si>
  <si>
    <t>AORPK9638K</t>
  </si>
  <si>
    <t>V1101710</t>
  </si>
  <si>
    <t>Dr.Syed Mohammed Atif</t>
  </si>
  <si>
    <t>Dr Shashikanth</t>
  </si>
  <si>
    <t>APMC/FMR/79037</t>
  </si>
  <si>
    <t>syedmohdatif138@gmail.com</t>
  </si>
  <si>
    <t>00000052209869423</t>
  </si>
  <si>
    <t>SBIN0005095</t>
  </si>
  <si>
    <t>AKQPA5421M</t>
  </si>
  <si>
    <t>Syed Ghouse Moinuddin</t>
  </si>
  <si>
    <t>V1101700</t>
  </si>
  <si>
    <t>Dr.Sheikh Aamer Saleem</t>
  </si>
  <si>
    <t>APMC/FMR/80429</t>
  </si>
  <si>
    <t>SALEEM17121990@GMAIL.COM</t>
  </si>
  <si>
    <t>50100251105290</t>
  </si>
  <si>
    <t>EMCPS8442G</t>
  </si>
  <si>
    <t>Sheikh Khaja</t>
  </si>
  <si>
    <t>V1101739</t>
  </si>
  <si>
    <t>Dr.Sesha Giri Kadimi</t>
  </si>
  <si>
    <t>Diabetology</t>
  </si>
  <si>
    <t>Consultant Diabetology</t>
  </si>
  <si>
    <t>Shri B.M.Patil Medical College</t>
  </si>
  <si>
    <t>docgiri_76@yahoo.com</t>
  </si>
  <si>
    <t>030010100165471</t>
  </si>
  <si>
    <t>UTIB0000030</t>
  </si>
  <si>
    <t>ADOPK8052B</t>
  </si>
  <si>
    <t>D1113747</t>
  </si>
  <si>
    <t>Dr.G Venkateshwar Reddy</t>
  </si>
  <si>
    <t>CT, MRI.</t>
  </si>
  <si>
    <t>venkatesh.gunreddy@gmail.com</t>
  </si>
  <si>
    <t>024301522202</t>
  </si>
  <si>
    <t>ICIC0000243</t>
  </si>
  <si>
    <t>BNNPG2677L</t>
  </si>
  <si>
    <t>G Anjireddy</t>
  </si>
  <si>
    <t>V1101746</t>
  </si>
  <si>
    <t>Dr.Pasupala Renuka Devi</t>
  </si>
  <si>
    <t>USG, CT, X-RAY, MAMMOGRAPHY, FNAC (DOCTOR IN NOTICE PERIOD)</t>
  </si>
  <si>
    <t>renukapasupala@gmail.com</t>
  </si>
  <si>
    <t>039201000021199</t>
  </si>
  <si>
    <t>IOBA0000392</t>
  </si>
  <si>
    <t>BNOPD5269G</t>
  </si>
  <si>
    <t>Pasupala Jagadish</t>
  </si>
  <si>
    <t>V1101678</t>
  </si>
  <si>
    <t>Dr.Amarnath Reddy Kombala</t>
  </si>
  <si>
    <t>dramarnath1985@gmail.com</t>
  </si>
  <si>
    <t>137910100057740</t>
  </si>
  <si>
    <t>CEHPK9121H</t>
  </si>
  <si>
    <t>Kombala Venkata Rami Reddy</t>
  </si>
  <si>
    <t>V1101673</t>
  </si>
  <si>
    <t>Dr.Aalla Swapna</t>
  </si>
  <si>
    <t>APMC/FMR/82466</t>
  </si>
  <si>
    <t>swapnareddy.aalla@gmail.com</t>
  </si>
  <si>
    <t>50100285724093</t>
  </si>
  <si>
    <t>HDFC0004342</t>
  </si>
  <si>
    <t>AZTPA9122D</t>
  </si>
  <si>
    <t>A Narsimha Reddy</t>
  </si>
  <si>
    <t>USG, XRAY.</t>
  </si>
  <si>
    <t>masukpraveenkumar@gmail.com</t>
  </si>
  <si>
    <t>279801504884</t>
  </si>
  <si>
    <t>ICIC0002798</t>
  </si>
  <si>
    <t>M Samuel</t>
  </si>
  <si>
    <t>D1119867</t>
  </si>
  <si>
    <t>Dr.Kanuri Veera Mani</t>
  </si>
  <si>
    <t>Dr. PTS. Shashikanth</t>
  </si>
  <si>
    <t>sekharchandrat007@gmail.com</t>
  </si>
  <si>
    <t>81200100005460</t>
  </si>
  <si>
    <t>BARB0VJPENC</t>
  </si>
  <si>
    <t>CXYPK6680F</t>
  </si>
  <si>
    <t>personal reason</t>
  </si>
  <si>
    <t>2-3/1, BC Colony, Brahmanakotkur, Kurnool, Andhra Pradesh - 518432</t>
  </si>
  <si>
    <t>V1101660</t>
  </si>
  <si>
    <t>Dr.Yadagiri Kummari</t>
  </si>
  <si>
    <t>CT &amp; MRI, USG</t>
  </si>
  <si>
    <t>MBBS, DBB - Radiodiagnosis</t>
  </si>
  <si>
    <t>yads41@gmail.com</t>
  </si>
  <si>
    <t>50100295057601</t>
  </si>
  <si>
    <t>HDFC0004195</t>
  </si>
  <si>
    <t>BMZPK6379L</t>
  </si>
  <si>
    <t>Narayana</t>
  </si>
  <si>
    <t>V1101655</t>
  </si>
  <si>
    <t>Dr.Swathi Kisara</t>
  </si>
  <si>
    <t>USG, Pregency Scan, X Ray</t>
  </si>
  <si>
    <t>Govt. Siddhartha Medical College</t>
  </si>
  <si>
    <t>MBBS, MD -  Radiodiagnosis</t>
  </si>
  <si>
    <t>APMC/FMR/76049</t>
  </si>
  <si>
    <t>swa.reddy462@gmail.com</t>
  </si>
  <si>
    <t>6445543324</t>
  </si>
  <si>
    <t>IDIB000Y006</t>
  </si>
  <si>
    <t>GDUPS0526Q</t>
  </si>
  <si>
    <t>Vidwan Reddy Kisara</t>
  </si>
  <si>
    <t>P D V V P F Medical College</t>
  </si>
  <si>
    <t>TSMC/FMR/09017</t>
  </si>
  <si>
    <t>06440100008122</t>
  </si>
  <si>
    <t>BARB0BARKAT</t>
  </si>
  <si>
    <t>Madan Gavane</t>
  </si>
  <si>
    <t>V1101621</t>
  </si>
  <si>
    <t>Dr.Shankar Naik Karamtothu</t>
  </si>
  <si>
    <t>TSMC/FMR/04507</t>
  </si>
  <si>
    <t>gayatri.amgoth91@gmail.com</t>
  </si>
  <si>
    <t>35548272473</t>
  </si>
  <si>
    <t>SBIN0002705</t>
  </si>
  <si>
    <t>DVBPK7724Q</t>
  </si>
  <si>
    <t>K Nanu Naik</t>
  </si>
  <si>
    <t>USG, X-RAY</t>
  </si>
  <si>
    <t>Instant Resignation</t>
  </si>
  <si>
    <t>V1101597</t>
  </si>
  <si>
    <t>Dr.Amrutha Lakshmi Rayudu</t>
  </si>
  <si>
    <t>Siddartha Medical College</t>
  </si>
  <si>
    <t>MBBS, MD - Nuclear Medicine</t>
  </si>
  <si>
    <t>APMC/FMR/75519</t>
  </si>
  <si>
    <t>rayuduammuleni@gmail.com</t>
  </si>
  <si>
    <t>62419460859</t>
  </si>
  <si>
    <t>BCIPR5774B</t>
  </si>
  <si>
    <t>R Surya Chandra Sekhar</t>
  </si>
  <si>
    <t>V1101625</t>
  </si>
  <si>
    <t>Dr.Karthik Kuntumalla</t>
  </si>
  <si>
    <t>CT &amp; MRI &amp; X - Ray, USG</t>
  </si>
  <si>
    <t>Gujarat MRI Centre P Ltd</t>
  </si>
  <si>
    <t>APMC/FMR/88367</t>
  </si>
  <si>
    <t>karthuviking@gmail.com</t>
  </si>
  <si>
    <t>50100073289500</t>
  </si>
  <si>
    <t>HDFC0000214</t>
  </si>
  <si>
    <t>DRRPK7330A</t>
  </si>
  <si>
    <t>Rajendra Prasad Kuntumalla</t>
  </si>
  <si>
    <t>Dr.Sandeep Surisetty</t>
  </si>
  <si>
    <t>059601511559</t>
  </si>
  <si>
    <t>V1101629</t>
  </si>
  <si>
    <t>Dr.Vipin Kathuria</t>
  </si>
  <si>
    <t>Universal College of Medical Sciences</t>
  </si>
  <si>
    <t>SGT Medical College</t>
  </si>
  <si>
    <t>13-51798</t>
  </si>
  <si>
    <t>vipinkathuria2012@yahoo.com</t>
  </si>
  <si>
    <t>913010029876062</t>
  </si>
  <si>
    <t>UTIB0000723</t>
  </si>
  <si>
    <t>AXXPK8791N</t>
  </si>
  <si>
    <t>Ram Dhan Kathuria</t>
  </si>
  <si>
    <t>V1101595</t>
  </si>
  <si>
    <t>Dr.Abdur Rehman Asif</t>
  </si>
  <si>
    <t>Dr Bikash</t>
  </si>
  <si>
    <t>Deccam College of Medical Science</t>
  </si>
  <si>
    <t>arahbk@gmail.com</t>
  </si>
  <si>
    <t>52209063220</t>
  </si>
  <si>
    <t>BBWPA1363C</t>
  </si>
  <si>
    <t>Mohd Asif Ali</t>
  </si>
  <si>
    <t>V1101586</t>
  </si>
  <si>
    <t>Dr.S Ravindranath Reddy</t>
  </si>
  <si>
    <t>Command Hospital Air Force</t>
  </si>
  <si>
    <t>ravindranath.kmc@gmail.com</t>
  </si>
  <si>
    <t>50100245631364</t>
  </si>
  <si>
    <t>HDFC0004159</t>
  </si>
  <si>
    <t>CNIPS9122C</t>
  </si>
  <si>
    <t>S Venkateswarlu Reddy</t>
  </si>
  <si>
    <t>V1101585</t>
  </si>
  <si>
    <t>Dr.Jyoti Talukdar</t>
  </si>
  <si>
    <t>jyotired03@gmail.com</t>
  </si>
  <si>
    <t>10572655622</t>
  </si>
  <si>
    <t>SBIN0001565</t>
  </si>
  <si>
    <t>ACBPJ7098L</t>
  </si>
  <si>
    <t>Kishan Chand Manchana</t>
  </si>
  <si>
    <t>V1101581</t>
  </si>
  <si>
    <t>Dr.Rashmi K V S L</t>
  </si>
  <si>
    <t>Govt Kakatiya Medical College</t>
  </si>
  <si>
    <t>MBBS, DNB - Pathology</t>
  </si>
  <si>
    <t>APMC/FMR/82282</t>
  </si>
  <si>
    <t>rashmikondapalli@gmail.com</t>
  </si>
  <si>
    <t>030210100053425</t>
  </si>
  <si>
    <t>UBIN0802085</t>
  </si>
  <si>
    <t>BAPPR4009E</t>
  </si>
  <si>
    <t>K Chandramohan</t>
  </si>
  <si>
    <t>V1101563</t>
  </si>
  <si>
    <t>Dr.Salman Wajahat Ansari</t>
  </si>
  <si>
    <t>USG, X Ray, CT</t>
  </si>
  <si>
    <t>Bidar Institute of Medical Sciences</t>
  </si>
  <si>
    <t xml:space="preserve">AL- Ameen Medical College </t>
  </si>
  <si>
    <t>TSMC/FMR/11769</t>
  </si>
  <si>
    <t>salmanwajahat007@gmail.com</t>
  </si>
  <si>
    <t>FEDERAL BANK</t>
  </si>
  <si>
    <t>16040100076445</t>
  </si>
  <si>
    <t>FDRL0001604</t>
  </si>
  <si>
    <t>CAHPA3028F</t>
  </si>
  <si>
    <t>Rasheeduddin Ansari</t>
  </si>
  <si>
    <t>V1101571</t>
  </si>
  <si>
    <t>Dr.Rupa Sri T</t>
  </si>
  <si>
    <t>Meenakshi Mission Hospital and Research Center</t>
  </si>
  <si>
    <t>APMC/FMR/80875</t>
  </si>
  <si>
    <t>vanirupainspire@gmail.com</t>
  </si>
  <si>
    <t>50100059322975</t>
  </si>
  <si>
    <t>HDFC0002703</t>
  </si>
  <si>
    <t>AHGPT7612J</t>
  </si>
  <si>
    <t>Venkateswara Rao T</t>
  </si>
  <si>
    <t>V1101577</t>
  </si>
  <si>
    <t>Dr.Swetha K S</t>
  </si>
  <si>
    <t>swethakamble@gmail.com</t>
  </si>
  <si>
    <t>50100204873972</t>
  </si>
  <si>
    <t>HDFC0001022</t>
  </si>
  <si>
    <t>CPYPK9741K</t>
  </si>
  <si>
    <t>Kamble Subhash Chandra</t>
  </si>
  <si>
    <t>Dr.Akhil Reddy Munagala</t>
  </si>
  <si>
    <t>APMC/fmr/81956</t>
  </si>
  <si>
    <t>62052097023</t>
  </si>
  <si>
    <t>M Nageswar Reddy</t>
  </si>
  <si>
    <t>V1101693</t>
  </si>
  <si>
    <t>Dr.Satyanarayana Kummari</t>
  </si>
  <si>
    <t>Doppler, USG - Routines, X Ray</t>
  </si>
  <si>
    <t>APMC/FMR/86907</t>
  </si>
  <si>
    <t>sanambbs888@gmail.com</t>
  </si>
  <si>
    <t>50100269282965</t>
  </si>
  <si>
    <t>HDFC0001293</t>
  </si>
  <si>
    <t>DRAPK6299H</t>
  </si>
  <si>
    <t>Balaiyah</t>
  </si>
  <si>
    <t>V1101560</t>
  </si>
  <si>
    <t>Dr.Nagajyothi M</t>
  </si>
  <si>
    <t>USG,CT, X-RAY</t>
  </si>
  <si>
    <t>Maharajahs Institute of Medical Sciences</t>
  </si>
  <si>
    <t>MBBS, MIMS</t>
  </si>
  <si>
    <t>APMC/FMR/86206</t>
  </si>
  <si>
    <t>njyoti71@gmail.com</t>
  </si>
  <si>
    <t>Punjab National Bank</t>
  </si>
  <si>
    <t>4481000100019592</t>
  </si>
  <si>
    <t>PUNB0448100</t>
  </si>
  <si>
    <t>DPEPM8601B</t>
  </si>
  <si>
    <t>Monukun Chandra Sekhar Rao</t>
  </si>
  <si>
    <t>D1119441</t>
  </si>
  <si>
    <t>Dr.Sayeeda Asifa</t>
  </si>
  <si>
    <t>09:00:00</t>
  </si>
  <si>
    <t>Dr. VRK Womens Medical College</t>
  </si>
  <si>
    <t>TSMC/FMR/23460</t>
  </si>
  <si>
    <t>asifasyeeda@gmail.com</t>
  </si>
  <si>
    <t>35149034282</t>
  </si>
  <si>
    <t>SBIN0015248</t>
  </si>
  <si>
    <t>DCXPA9133G</t>
  </si>
  <si>
    <t>57/340-2-1, Sastri Nagar, Akkayapalli, Cuddapah, Andhra Pradesh - 516003</t>
  </si>
  <si>
    <t>D1101597</t>
  </si>
  <si>
    <t>Dr.Kola Mithun Kumar</t>
  </si>
  <si>
    <t>Suchitra - 26</t>
  </si>
  <si>
    <t>USG</t>
  </si>
  <si>
    <t>Maharajah's Institute of Medical College</t>
  </si>
  <si>
    <t>Yashoda Super Speciality Hospital</t>
  </si>
  <si>
    <t>kola.mithunkumar@gmail.com</t>
  </si>
  <si>
    <t>131801505088</t>
  </si>
  <si>
    <t>ICIC0001318</t>
  </si>
  <si>
    <t>DLKPK4194K</t>
  </si>
  <si>
    <t>K Veeranarayana</t>
  </si>
  <si>
    <t>D1108319</t>
  </si>
  <si>
    <t>Dr.Katravath Praneeth Kumar</t>
  </si>
  <si>
    <t>praneethkatravath@gmail.com</t>
  </si>
  <si>
    <t>20359999707</t>
  </si>
  <si>
    <t>SBIN0019065</t>
  </si>
  <si>
    <t>CTPPK3023B</t>
  </si>
  <si>
    <t>Katravath Ranapratap Singh</t>
  </si>
  <si>
    <t>V1101555</t>
  </si>
  <si>
    <t>Dr.Harshini Reddy Kotla</t>
  </si>
  <si>
    <t>USG, X-RAY, FNAC</t>
  </si>
  <si>
    <t>harshi85@yahoo.com</t>
  </si>
  <si>
    <t>917010033144733</t>
  </si>
  <si>
    <t>BMEPK3203J</t>
  </si>
  <si>
    <t>K Ramesh Reddy</t>
  </si>
  <si>
    <t>Dr.Bhashyakarla Akansha</t>
  </si>
  <si>
    <t>D1109122</t>
  </si>
  <si>
    <t>Dr.Mavalapally Soumya Reddy</t>
  </si>
  <si>
    <t>SVS Medical college</t>
  </si>
  <si>
    <t>drsoumya_79@yahoo.com</t>
  </si>
  <si>
    <t>279901503574</t>
  </si>
  <si>
    <t>ICIC0002362</t>
  </si>
  <si>
    <t>AVOPM2330G</t>
  </si>
  <si>
    <t>Surender Reddy Vellanki</t>
  </si>
  <si>
    <t>USG, XRAYS,</t>
  </si>
  <si>
    <t>ICIC0000014</t>
  </si>
  <si>
    <t>USG, X RAYS, USG FNAC PROCEDURES</t>
  </si>
  <si>
    <t>V1101547</t>
  </si>
  <si>
    <t>Dr.Mundla Pankaj</t>
  </si>
  <si>
    <t>pankajreddy_m@yahoo.co.in</t>
  </si>
  <si>
    <t>920010053436090</t>
  </si>
  <si>
    <t>UTIB0001379</t>
  </si>
  <si>
    <t>BKWPP7873D</t>
  </si>
  <si>
    <t>Mundala Lakshmikar Reddy</t>
  </si>
  <si>
    <t>V1101698</t>
  </si>
  <si>
    <t>Dr.Malapaka Swarnabala</t>
  </si>
  <si>
    <t xml:space="preserve">S V Medical college </t>
  </si>
  <si>
    <t>swarnabala.malapaka@gmail.com</t>
  </si>
  <si>
    <t>052010100018149</t>
  </si>
  <si>
    <t>UBIN0811459</t>
  </si>
  <si>
    <t>BEDPM5577E</t>
  </si>
  <si>
    <t>M Gopala</t>
  </si>
  <si>
    <t>Dr.Kandala Jeevan Sampath Kumar</t>
  </si>
  <si>
    <t>HOD Haematology</t>
  </si>
  <si>
    <t>V1101644</t>
  </si>
  <si>
    <t>Dr.Anusha Racherla</t>
  </si>
  <si>
    <t>USG, X Rays</t>
  </si>
  <si>
    <t>APMC/FMR/92509</t>
  </si>
  <si>
    <t>anookutti@gmail.com</t>
  </si>
  <si>
    <t>20283281294</t>
  </si>
  <si>
    <t>SBIN0007641</t>
  </si>
  <si>
    <t>BZQPR3340Q</t>
  </si>
  <si>
    <t>R Suresh Babu</t>
  </si>
  <si>
    <t>V1101541</t>
  </si>
  <si>
    <t>Dr.Budugu Sandya Rani</t>
  </si>
  <si>
    <t>Govt. Medical College</t>
  </si>
  <si>
    <t>drsandyarani86@gmail.com</t>
  </si>
  <si>
    <t>50100249406388</t>
  </si>
  <si>
    <t>HDFC0000742</t>
  </si>
  <si>
    <t>ECSPS6927J</t>
  </si>
  <si>
    <t>Budugu Ramchandraiah</t>
  </si>
  <si>
    <t>Dr.Sowmya</t>
  </si>
  <si>
    <t>V1101546</t>
  </si>
  <si>
    <t>Dr.Dagilla Priyanka</t>
  </si>
  <si>
    <t>USG, X Rays, Doppler</t>
  </si>
  <si>
    <t>APMC/FMR/87571</t>
  </si>
  <si>
    <t>dpriyanka14@gmail.com</t>
  </si>
  <si>
    <t>39511912179</t>
  </si>
  <si>
    <t>SBIN0014447</t>
  </si>
  <si>
    <t>CEVPD3366K</t>
  </si>
  <si>
    <t>Dagilla Shankar Rao</t>
  </si>
  <si>
    <t>V1101545</t>
  </si>
  <si>
    <t>Dr.Sughra Yasmeen</t>
  </si>
  <si>
    <t>TSMC/FMR/04856</t>
  </si>
  <si>
    <t>Drsughrayasmeen@gmail.com</t>
  </si>
  <si>
    <t>27530100014738</t>
  </si>
  <si>
    <t>BARB0ATTAPU</t>
  </si>
  <si>
    <t>AHWPY3407G</t>
  </si>
  <si>
    <t>Mohd Sarwar Ahmed</t>
  </si>
  <si>
    <t>V1101544</t>
  </si>
  <si>
    <t>Dr.Chokkaraju Venkata Hima Bindu</t>
  </si>
  <si>
    <t>TSMC/FMR/10715</t>
  </si>
  <si>
    <t>chokkarajubindhu@gmail.com</t>
  </si>
  <si>
    <t>33857266064</t>
  </si>
  <si>
    <t>SBIN0006314</t>
  </si>
  <si>
    <t>AYWPC0745J</t>
  </si>
  <si>
    <t>Chokkaraju Tirumala Veera Chandra Sekhar</t>
  </si>
  <si>
    <t>V1101543</t>
  </si>
  <si>
    <t>Dr.Mohammed Zeeshan Uddin</t>
  </si>
  <si>
    <t>TSMC/FMR/10005</t>
  </si>
  <si>
    <t>mohammedzeeshanuddin94@gmail.com</t>
  </si>
  <si>
    <t>10015568042</t>
  </si>
  <si>
    <t>SBIN0007054</t>
  </si>
  <si>
    <t>DMIPM4646D</t>
  </si>
  <si>
    <t>Mohd Zaheer Uddin</t>
  </si>
  <si>
    <t>V1101537</t>
  </si>
  <si>
    <t>Dr.Nayini Praseeda</t>
  </si>
  <si>
    <t>TSMC/FMR/08319</t>
  </si>
  <si>
    <t>pnayini1993@gmail.com</t>
  </si>
  <si>
    <t>CANARA BANK</t>
  </si>
  <si>
    <t>0649101043282</t>
  </si>
  <si>
    <t>CNRB0000649</t>
  </si>
  <si>
    <t>BSEPN8438A</t>
  </si>
  <si>
    <t>N Anand Reddy</t>
  </si>
  <si>
    <t>V1101536</t>
  </si>
  <si>
    <t>Dr.Mannava Sai Mahitha</t>
  </si>
  <si>
    <t>TSMC/FMR/05018</t>
  </si>
  <si>
    <t>mahitha96@gmail.com</t>
  </si>
  <si>
    <t>ANDHRA BANK</t>
  </si>
  <si>
    <t>151210100132519</t>
  </si>
  <si>
    <t>ANDB0001512</t>
  </si>
  <si>
    <t>GHFPM8933Q</t>
  </si>
  <si>
    <t>Mannava Chandra  Mouli</t>
  </si>
  <si>
    <t>V1101535</t>
  </si>
  <si>
    <t>Dr.Kolla Venkata Karunakar</t>
  </si>
  <si>
    <t>Molecular Pathologist</t>
  </si>
  <si>
    <t>Msc, Phd Genetics - Molecular Biology</t>
  </si>
  <si>
    <t>kovenkar@gmail.com</t>
  </si>
  <si>
    <t>232101500632</t>
  </si>
  <si>
    <t>ICIC0002321</t>
  </si>
  <si>
    <t>CLOPK5788C</t>
  </si>
  <si>
    <t>Babu Rao</t>
  </si>
  <si>
    <t>V1101531</t>
  </si>
  <si>
    <t>Dr.Priyanka Kalidindi</t>
  </si>
  <si>
    <t>APMS/FMR/110269</t>
  </si>
  <si>
    <t>priyanka9192@gmail.com&gt;</t>
  </si>
  <si>
    <t>50100361359700</t>
  </si>
  <si>
    <t>HDFC0002813</t>
  </si>
  <si>
    <t>BBCPK0227M</t>
  </si>
  <si>
    <t>Sri Hari Raju Kalidindi</t>
  </si>
  <si>
    <t>V1101676</t>
  </si>
  <si>
    <t>Dr.Rajani G M</t>
  </si>
  <si>
    <t>TSMC/FMR/08542</t>
  </si>
  <si>
    <t>rajanig49@gmail.com</t>
  </si>
  <si>
    <t>62216027132</t>
  </si>
  <si>
    <t>ALQPR0760H</t>
  </si>
  <si>
    <t>Manikappa Gada</t>
  </si>
  <si>
    <t>V1101532</t>
  </si>
  <si>
    <t>Dr.Raj Kishore Nayak</t>
  </si>
  <si>
    <t>TSMC/FMR/00305</t>
  </si>
  <si>
    <t>rajkis008@gmail.com</t>
  </si>
  <si>
    <t>20114473243</t>
  </si>
  <si>
    <t>ANQPN3859F</t>
  </si>
  <si>
    <t>Khageswar Nayak</t>
  </si>
  <si>
    <t>V1101533</t>
  </si>
  <si>
    <t>Dr.Kurapati Samatha</t>
  </si>
  <si>
    <t>APMC/FMR/86090</t>
  </si>
  <si>
    <t>samathakurapati@gmail.com</t>
  </si>
  <si>
    <t>62082486004</t>
  </si>
  <si>
    <t>DSHPK7051P</t>
  </si>
  <si>
    <t>Venkateshwarlu</t>
  </si>
  <si>
    <t>V1101556</t>
  </si>
  <si>
    <t>Dr.Vavilala Sheethal</t>
  </si>
  <si>
    <t>Vydehi Institute of Medical Sciences and Research Centre</t>
  </si>
  <si>
    <t>APMC/FMR/88970</t>
  </si>
  <si>
    <t>sheethalvreddy@gmail.com</t>
  </si>
  <si>
    <t>50100277200725</t>
  </si>
  <si>
    <t>HDFC0009417</t>
  </si>
  <si>
    <t>AWZPV1588K</t>
  </si>
  <si>
    <t>Vavilala Hanmantha Reddy</t>
  </si>
  <si>
    <t>V1101527</t>
  </si>
  <si>
    <t>Dr.Mohan Reddy Nalabolu</t>
  </si>
  <si>
    <t>Molecular Scientist</t>
  </si>
  <si>
    <t>M Sc, Phd Bio Tech</t>
  </si>
  <si>
    <t>mohannalabolu@gmail.com</t>
  </si>
  <si>
    <t>52205230720</t>
  </si>
  <si>
    <t>SBIN0020077</t>
  </si>
  <si>
    <t>ANSPN1026E</t>
  </si>
  <si>
    <t>Nalabolu Ananthareddy</t>
  </si>
  <si>
    <t>9:00 to 12:00</t>
  </si>
  <si>
    <t>17:00 to 21:00</t>
  </si>
  <si>
    <t>CT, MRI,USG, XRAY, Guided FNAC</t>
  </si>
  <si>
    <t>S M V M C H</t>
  </si>
  <si>
    <t>Uday Singh</t>
  </si>
  <si>
    <t>V1101526</t>
  </si>
  <si>
    <t>Dr.Zohiab Khan</t>
  </si>
  <si>
    <t>TSMC/FMR/10011</t>
  </si>
  <si>
    <t>zohiabkhan0786@gmail.com</t>
  </si>
  <si>
    <t>059601516208</t>
  </si>
  <si>
    <t>ABRPZ5758L</t>
  </si>
  <si>
    <t>Fazal Ahmed Khan</t>
  </si>
  <si>
    <t>V1101525</t>
  </si>
  <si>
    <t>Dr.Mohammad Asifuddin</t>
  </si>
  <si>
    <t>Deccan College of Medical Sciences, Hyderabad, Telangana</t>
  </si>
  <si>
    <t>APMC/FMR/88779</t>
  </si>
  <si>
    <t>dr.asif071@gmail.com</t>
  </si>
  <si>
    <t>30462568441</t>
  </si>
  <si>
    <t>SBIN0002769</t>
  </si>
  <si>
    <t>DLPPM9009G</t>
  </si>
  <si>
    <t>Mohammad Gousuddin</t>
  </si>
  <si>
    <t>0.10</t>
  </si>
  <si>
    <t>V1101529</t>
  </si>
  <si>
    <t>Dr.Dwaram Edwin Moses</t>
  </si>
  <si>
    <t>20:00:00</t>
  </si>
  <si>
    <t>USG(TIFFA,PREGANCY,DOPPLER,FOLLICULLAR,SCROTUM,EXTRA SCANS ),XRAY</t>
  </si>
  <si>
    <t>Nellore Narayana Medical College</t>
  </si>
  <si>
    <t>APMC/FMR/83714</t>
  </si>
  <si>
    <t>gladiator2468@gmail.com</t>
  </si>
  <si>
    <t>137910100086308</t>
  </si>
  <si>
    <t>CBFPD9937H</t>
  </si>
  <si>
    <t>D Prasad</t>
  </si>
  <si>
    <t>Dr Krishna Mohan Pottala</t>
  </si>
  <si>
    <t>Tele</t>
  </si>
  <si>
    <t>not doing cases</t>
  </si>
  <si>
    <t>40-787-B-9, J.J. Nagar, P D T Colony, Kurnool, Andhra Pradesh-518001</t>
  </si>
  <si>
    <t>V1101521</t>
  </si>
  <si>
    <t>Dr.U Vijayalakshmi</t>
  </si>
  <si>
    <t>Consultant Microbologist &amp; Serology</t>
  </si>
  <si>
    <t>vijayaadukoori@gmail.com</t>
  </si>
  <si>
    <t>7612815190</t>
  </si>
  <si>
    <t>KKBK0000631</t>
  </si>
  <si>
    <t>ABBPU1182D</t>
  </si>
  <si>
    <t>Srinivas Undurty</t>
  </si>
  <si>
    <t>V1101523</t>
  </si>
  <si>
    <t>Dr.Bevara Devi Mounika</t>
  </si>
  <si>
    <t>APMC/FMR/91157</t>
  </si>
  <si>
    <t>monie.medico@gmail.com</t>
  </si>
  <si>
    <t>10121530004236</t>
  </si>
  <si>
    <t>HDFC0001012</t>
  </si>
  <si>
    <t>BJTPB9462J</t>
  </si>
  <si>
    <t>Bevera Nageshwara Rao</t>
  </si>
  <si>
    <t>D1115450</t>
  </si>
  <si>
    <t>Dr.Maram Suneetha</t>
  </si>
  <si>
    <t>13:00 to 15:00</t>
  </si>
  <si>
    <t>16:00 to 19:30</t>
  </si>
  <si>
    <t>USG, Tiffa,  Guided Procedures,  IVP, RGU, MCGU, Barium Swallow, Barium Enemma, HSG, X Ray,  Mamography, Basic CT, MRI Basic</t>
  </si>
  <si>
    <t>Dr. Pinnamneni Siddhartha Medical Sciences &amp; RF</t>
  </si>
  <si>
    <t>ram5252@gmail.com</t>
  </si>
  <si>
    <t>20027753091</t>
  </si>
  <si>
    <t>SBIN0000752</t>
  </si>
  <si>
    <t>BALPM7294Q</t>
  </si>
  <si>
    <t>377775495830</t>
  </si>
  <si>
    <t>Rama Rao Maram</t>
  </si>
  <si>
    <t>Dr.Avinash Bairi</t>
  </si>
  <si>
    <t>V1101518</t>
  </si>
  <si>
    <t>Dr.Sonia Pavani M</t>
  </si>
  <si>
    <t>APMC/FMR/96156</t>
  </si>
  <si>
    <t>soniapavanimukkamala@gmail.com</t>
  </si>
  <si>
    <t>38441726937</t>
  </si>
  <si>
    <t>SBIN0002707</t>
  </si>
  <si>
    <t>BONPM1864E</t>
  </si>
  <si>
    <t>Appa Rao Mukkamala</t>
  </si>
  <si>
    <t>V1101515</t>
  </si>
  <si>
    <t>Dr.K Madhuri</t>
  </si>
  <si>
    <t>APMC/FMR/80149</t>
  </si>
  <si>
    <t>madhuri.kukunoor@gmail.com</t>
  </si>
  <si>
    <t>20055861819</t>
  </si>
  <si>
    <t>SBIN0011079</t>
  </si>
  <si>
    <t>DNEPK1148B</t>
  </si>
  <si>
    <t>Kukunoor Shyam</t>
  </si>
  <si>
    <t>V1101511</t>
  </si>
  <si>
    <t>Dr.Kasipathi Anita Reddy</t>
  </si>
  <si>
    <t>APMC/FMR/76485</t>
  </si>
  <si>
    <t>dranitareddyk@gmail.com</t>
  </si>
  <si>
    <t>03171000028253</t>
  </si>
  <si>
    <t>DYHPK7386F</t>
  </si>
  <si>
    <t>Kasipathy Raja</t>
  </si>
  <si>
    <t>V1101740</t>
  </si>
  <si>
    <t>Dr.Shivagouni Sreenivas</t>
  </si>
  <si>
    <t>USG , Tiffa, MSK, Basic CT,  X-Ray, IVP, RGU, MCGU, Barium Swallow, Barium Enema, HSG</t>
  </si>
  <si>
    <t>APMC/FMR/83527</t>
  </si>
  <si>
    <t>sreenivas2083@gmail.com</t>
  </si>
  <si>
    <t>219310100025608</t>
  </si>
  <si>
    <t>UBIN0821934</t>
  </si>
  <si>
    <t>JHNPS3430K</t>
  </si>
  <si>
    <t>S Narsimlu</t>
  </si>
  <si>
    <t>V1101517</t>
  </si>
  <si>
    <t>Dr.Velam Prathyusha</t>
  </si>
  <si>
    <t>Basis USG, Tiffa, Fetal Echo, MSK, Basic CT, Basic MRI, X-Ray, Mammography, IVP, RGU, MCGU, Barium Swallo, Barium Enema, HSG</t>
  </si>
  <si>
    <t>Dalian Medical University</t>
  </si>
  <si>
    <t>Asram Medical College</t>
  </si>
  <si>
    <t>APMC/FMR/76969</t>
  </si>
  <si>
    <t>prathyusha.amar@gmail.com</t>
  </si>
  <si>
    <t>34007363114</t>
  </si>
  <si>
    <t>BCEPV8933N</t>
  </si>
  <si>
    <t>Siva Ragaiah Velam</t>
  </si>
  <si>
    <t>D1119442</t>
  </si>
  <si>
    <t>Dr.Vaddadi Jayavardhini</t>
  </si>
  <si>
    <t>Dr. NTR Health Sciences University</t>
  </si>
  <si>
    <t>APMC/FMR/77571</t>
  </si>
  <si>
    <t>Vaddai.jayavardhani6@gmail.com</t>
  </si>
  <si>
    <t>38793329224</t>
  </si>
  <si>
    <t>SBIN0021242</t>
  </si>
  <si>
    <t>AOJPV5024J</t>
  </si>
  <si>
    <t>Flat No. 1-46-1/5 HIG 71 Sector No. 1, MVP Colony, LB Colony, Visakhapatnam, Andhra Pradesh - 530017</t>
  </si>
  <si>
    <t>Aitipamula Sree Laxmi</t>
  </si>
  <si>
    <t>V1101559</t>
  </si>
  <si>
    <t>Dr.Monika Rana</t>
  </si>
  <si>
    <t>mrana36@yahoo.com</t>
  </si>
  <si>
    <t>05261000085601</t>
  </si>
  <si>
    <t>HDFC0000526</t>
  </si>
  <si>
    <t>AGQPL7737D</t>
  </si>
  <si>
    <t>R P Singh</t>
  </si>
  <si>
    <t>Dr.Lumburu Srujana</t>
  </si>
  <si>
    <t>USG, Mamograph, X Ray Reporting</t>
  </si>
  <si>
    <t>srujana_patnaik@yahoo.co.in</t>
  </si>
  <si>
    <t>03171140054105</t>
  </si>
  <si>
    <t>L Chandra Mouleswara Rao</t>
  </si>
  <si>
    <t>V1101496</t>
  </si>
  <si>
    <t>Dr.Lakkam Srinath</t>
  </si>
  <si>
    <t>TSMC/FMR/01308</t>
  </si>
  <si>
    <t>srinath.sri1991@gmail.com</t>
  </si>
  <si>
    <t>030210100040403</t>
  </si>
  <si>
    <t>ANDB0001517</t>
  </si>
  <si>
    <t>APIPL8689R</t>
  </si>
  <si>
    <t>Bikshapati</t>
  </si>
  <si>
    <t>V1101501</t>
  </si>
  <si>
    <t>Dr.Kokasri Sandhya</t>
  </si>
  <si>
    <t>Dr. Manisha Singh</t>
  </si>
  <si>
    <t>sandhyarameshk12@gmail.com</t>
  </si>
  <si>
    <t>20313946501</t>
  </si>
  <si>
    <t>SBIN0012905</t>
  </si>
  <si>
    <t>BBVPK9309K</t>
  </si>
  <si>
    <t>K Surendranath Sai</t>
  </si>
  <si>
    <t>Dr.Puli Srilatha</t>
  </si>
  <si>
    <t>V1101506</t>
  </si>
  <si>
    <t>Dr.Gudivada Vijaylakshmi</t>
  </si>
  <si>
    <t>APMC/FMR/77633</t>
  </si>
  <si>
    <t>dr.vijjynaani@gmail.com</t>
  </si>
  <si>
    <t>00000031737055044</t>
  </si>
  <si>
    <t>SBIN0002238</t>
  </si>
  <si>
    <t>APGPV5737C</t>
  </si>
  <si>
    <t>G Ramappa</t>
  </si>
  <si>
    <t>V1101507</t>
  </si>
  <si>
    <t>Dr.Samreen Afzal Fatima</t>
  </si>
  <si>
    <t>APMC/FMR/85209</t>
  </si>
  <si>
    <t>drsamreen20@gmail.com</t>
  </si>
  <si>
    <t>50100357098974</t>
  </si>
  <si>
    <t>HDFC0001998</t>
  </si>
  <si>
    <t>ACVPF1156F</t>
  </si>
  <si>
    <t>Mohd Shafi Farooqi</t>
  </si>
  <si>
    <t>Dr.Apara Bhuyan</t>
  </si>
  <si>
    <t>V1101503</t>
  </si>
  <si>
    <t>Dr.Chinta Priyaanka</t>
  </si>
  <si>
    <t>CT,USG, XRAY.</t>
  </si>
  <si>
    <t>APMC/FMR/95342</t>
  </si>
  <si>
    <t>drpriyankachinta@gmail.com</t>
  </si>
  <si>
    <t>50100281389061</t>
  </si>
  <si>
    <t>HDFC0004189</t>
  </si>
  <si>
    <t>BCPPC7279B</t>
  </si>
  <si>
    <t>C Chandran</t>
  </si>
  <si>
    <t>S D Road</t>
  </si>
  <si>
    <t>V1101504</t>
  </si>
  <si>
    <t>Dr.A Rahul Goud</t>
  </si>
  <si>
    <t>TSMC/FMR/12238</t>
  </si>
  <si>
    <t>rahulgoud2494@gmail.com</t>
  </si>
  <si>
    <t>50100035060062</t>
  </si>
  <si>
    <t>HDFC0003059</t>
  </si>
  <si>
    <t>BNWPA7310R</t>
  </si>
  <si>
    <t>A  Srinivas Goud</t>
  </si>
  <si>
    <t>V1101505</t>
  </si>
  <si>
    <t>Dr.Kandimalla Sandeepa</t>
  </si>
  <si>
    <t>TSMC/FMR/11327</t>
  </si>
  <si>
    <t>sandeepakandimalla@gmail.com</t>
  </si>
  <si>
    <t>14960110007884</t>
  </si>
  <si>
    <t>UCBA0001496</t>
  </si>
  <si>
    <t>GITPK0026H</t>
  </si>
  <si>
    <t>K Srinivasa Rao</t>
  </si>
  <si>
    <t>V1101500</t>
  </si>
  <si>
    <t>Dr.Eatukuri Sruthi</t>
  </si>
  <si>
    <t>USG, ALL PREGNANCIES SCANS, X RAYS</t>
  </si>
  <si>
    <t>APMC/FMR/80963</t>
  </si>
  <si>
    <t>sruthieatukuri@gmail.com</t>
  </si>
  <si>
    <t>138110025091018</t>
  </si>
  <si>
    <t>ANDB0001381</t>
  </si>
  <si>
    <t>ABBPE0194M</t>
  </si>
  <si>
    <t>Nageswara Rao Eatukuri</t>
  </si>
  <si>
    <t>V1101499</t>
  </si>
  <si>
    <t>Dr.Ravi Palthiya</t>
  </si>
  <si>
    <t>09:00 - 10:00</t>
  </si>
  <si>
    <t>17:00 - 19:00</t>
  </si>
  <si>
    <t>drravi2k2@gmail.com</t>
  </si>
  <si>
    <t>62199407857</t>
  </si>
  <si>
    <t>SBIN0020455</t>
  </si>
  <si>
    <t>CBAPP4878A</t>
  </si>
  <si>
    <t>Palthiya Mansing</t>
  </si>
  <si>
    <t>V1101498</t>
  </si>
  <si>
    <t>Dr.Vallapureddy Tejaswini</t>
  </si>
  <si>
    <t>10:00 -12:00</t>
  </si>
  <si>
    <t>APMC/FMR/87795</t>
  </si>
  <si>
    <t>thejaswiniballapurereddy@gmail.com</t>
  </si>
  <si>
    <t>50200047588586</t>
  </si>
  <si>
    <t>HDFC0000473</t>
  </si>
  <si>
    <t>AKMPV9739M</t>
  </si>
  <si>
    <t>V Radhakrishna Reddy</t>
  </si>
  <si>
    <t>V1101502</t>
  </si>
  <si>
    <t>USG, X Ray reporting, CT Reporting</t>
  </si>
  <si>
    <t>Assam Medical College</t>
  </si>
  <si>
    <t>Mahatma Gandhi Medical College and Research Institute</t>
  </si>
  <si>
    <t>HN17359</t>
  </si>
  <si>
    <t>drapararadiology@gmail.com</t>
  </si>
  <si>
    <t>635401506277</t>
  </si>
  <si>
    <t>ICIC0006354</t>
  </si>
  <si>
    <t>AWWPB0131F</t>
  </si>
  <si>
    <t>Hari Prasad Bhuyan</t>
  </si>
  <si>
    <t>V1101497</t>
  </si>
  <si>
    <t>Dr.Penumalla Samuel Arun Kumar</t>
  </si>
  <si>
    <t>Shamshabad 2- 113</t>
  </si>
  <si>
    <t>College of Medical Sciences</t>
  </si>
  <si>
    <t>A J Institute of Medical Sciences and Research Centre</t>
  </si>
  <si>
    <t>APMC/FMR/74402</t>
  </si>
  <si>
    <t>9740284229/9493320299</t>
  </si>
  <si>
    <t>psamuel18@yahoo.co.in/psamuel82@gmail.com</t>
  </si>
  <si>
    <t>HSBC Bank</t>
  </si>
  <si>
    <t>081168775006</t>
  </si>
  <si>
    <t>HSBC0500002</t>
  </si>
  <si>
    <t>CVUPS1204H</t>
  </si>
  <si>
    <t>Perumalla Benjamin Arnold</t>
  </si>
  <si>
    <t>V1101492</t>
  </si>
  <si>
    <t>Dr.Muppidi Venkat Reddy</t>
  </si>
  <si>
    <t xml:space="preserve">USG, ALL USG PROCEDURES  CT , X RAY, MRI ROUTINE, </t>
  </si>
  <si>
    <t>MBBS,MD-Radiodiagnosis</t>
  </si>
  <si>
    <t>APMC/FMR/88105</t>
  </si>
  <si>
    <t>venmann@gmail.com</t>
  </si>
  <si>
    <t>ICIC0001843</t>
  </si>
  <si>
    <t>ALXPM8056E</t>
  </si>
  <si>
    <t>Muppidi Raji Reddy</t>
  </si>
  <si>
    <t>V1101491</t>
  </si>
  <si>
    <t xml:space="preserve">Dr.Vanga Srinivas Reddy </t>
  </si>
  <si>
    <t>BLDEA</t>
  </si>
  <si>
    <t>reddy_8@yahoo.com</t>
  </si>
  <si>
    <t>386801000783</t>
  </si>
  <si>
    <t>ICIC0003868</t>
  </si>
  <si>
    <t>CDEPS2939H</t>
  </si>
  <si>
    <t>V Bikshapathi Reddy</t>
  </si>
  <si>
    <t>V1101487</t>
  </si>
  <si>
    <t>Dr.Palakolanu Vijayasree</t>
  </si>
  <si>
    <t>USG, X Ray &amp; CT</t>
  </si>
  <si>
    <t>MBBS,DMRD-Radiodiagnosis</t>
  </si>
  <si>
    <t>vijji.sree227@gmail.com</t>
  </si>
  <si>
    <t>50100396781561</t>
  </si>
  <si>
    <t>BKGPP3734F</t>
  </si>
  <si>
    <t>P Subba Reddy</t>
  </si>
  <si>
    <t>D1104175</t>
  </si>
  <si>
    <t>Dr.K Riyaz</t>
  </si>
  <si>
    <t>kasalariyaz786@gmail.com</t>
  </si>
  <si>
    <t>187901000008768</t>
  </si>
  <si>
    <t>IOBA0001879</t>
  </si>
  <si>
    <t>DQQPK4811Q</t>
  </si>
  <si>
    <t>635728360601</t>
  </si>
  <si>
    <t>Pareedulla Saheeb</t>
  </si>
  <si>
    <t>V1101494</t>
  </si>
  <si>
    <t>Dr.Badangi Rahul Kumar</t>
  </si>
  <si>
    <t>TSMC/FMR/14343</t>
  </si>
  <si>
    <t>rahul2munna@gmail.com</t>
  </si>
  <si>
    <t>DEKPB6714P</t>
  </si>
  <si>
    <t>Badangi Srinivas</t>
  </si>
  <si>
    <t>Dr.Akkilaguta Sundar Dinesh</t>
  </si>
  <si>
    <t>CT &amp; MRI , Xray &amp; USG</t>
  </si>
  <si>
    <t>Shantiram Medical College and Hospital</t>
  </si>
  <si>
    <t>HDFC0003944</t>
  </si>
  <si>
    <t>A Vijaya Bhaskar</t>
  </si>
  <si>
    <t>V1101493</t>
  </si>
  <si>
    <t>Dr.Samineni Satya Vinuthna</t>
  </si>
  <si>
    <t>X Ray, USG</t>
  </si>
  <si>
    <t>Bhaskara Medical College</t>
  </si>
  <si>
    <t>TSMC/FMR/00526</t>
  </si>
  <si>
    <t>satyavinuthna11@gmail.com</t>
  </si>
  <si>
    <t>50100374384590</t>
  </si>
  <si>
    <t>BQHPB7867E</t>
  </si>
  <si>
    <t>B Narasimha rao</t>
  </si>
  <si>
    <t>D1107327</t>
  </si>
  <si>
    <t>Dr.David Kiran Kanagala</t>
  </si>
  <si>
    <t>david4kiran@gmail.com</t>
  </si>
  <si>
    <t>007601529366</t>
  </si>
  <si>
    <t>AMKPD3242R</t>
  </si>
  <si>
    <t>K B Ashirvadam</t>
  </si>
  <si>
    <t>V1101488</t>
  </si>
  <si>
    <t>Dr.Dwaram Jyoti Mallikarjun Reddy</t>
  </si>
  <si>
    <t>Datta Meghe Institute of Medical Sciences</t>
  </si>
  <si>
    <t>Dr. D Y Patil Institute of Medical Sciences</t>
  </si>
  <si>
    <t>TSMC/FMR/14998</t>
  </si>
  <si>
    <t>reddyjyoti145@gmail.com</t>
  </si>
  <si>
    <t>Karur Vysya Bank</t>
  </si>
  <si>
    <t>1460175000000655</t>
  </si>
  <si>
    <t>KVBL0001460</t>
  </si>
  <si>
    <t>BTZPR6245K</t>
  </si>
  <si>
    <t>Dwaram Mallikarjun Reddy</t>
  </si>
  <si>
    <t>V1101566</t>
  </si>
  <si>
    <t>Dr.Byreddy Bhagya Lakshmi</t>
  </si>
  <si>
    <t>USG(TIFFA,PREGANCY,DOPPLER,FOLLICULLAR,,EXTRA SCANS),XRAY,CT,MRI</t>
  </si>
  <si>
    <t>APMC/FMR/92262</t>
  </si>
  <si>
    <t>bhagya.byreddy@gmail.com</t>
  </si>
  <si>
    <t>50100173669397</t>
  </si>
  <si>
    <t>CNVPB7251A</t>
  </si>
  <si>
    <t>Byreddy Madhusudhan Reddy</t>
  </si>
  <si>
    <t>V1101490</t>
  </si>
  <si>
    <t>Dr.Baddam Mounika</t>
  </si>
  <si>
    <t>TSMC/FMR/05723</t>
  </si>
  <si>
    <t>boddammounika@gmail.com</t>
  </si>
  <si>
    <t>The Federal Bank</t>
  </si>
  <si>
    <t>99980103947185</t>
  </si>
  <si>
    <t>ELNPM9081H</t>
  </si>
  <si>
    <t>B Ramesh</t>
  </si>
  <si>
    <t>V1101483</t>
  </si>
  <si>
    <t>Dr.Minakshi Gulia</t>
  </si>
  <si>
    <t>DMC/R/4378</t>
  </si>
  <si>
    <t>mint.ucms@gmail.com</t>
  </si>
  <si>
    <t>4849000100028448</t>
  </si>
  <si>
    <t>PUNB0484900</t>
  </si>
  <si>
    <t>AVXPG6104H</t>
  </si>
  <si>
    <t>956897224120</t>
  </si>
  <si>
    <t>Yashpal Gulia</t>
  </si>
  <si>
    <t>V1101482</t>
  </si>
  <si>
    <t>Dr.Rachana Waghray</t>
  </si>
  <si>
    <t>08:00</t>
  </si>
  <si>
    <t>21:00</t>
  </si>
  <si>
    <t>MBBS, DM Pathlogy</t>
  </si>
  <si>
    <t>APMC/FMR/82519</t>
  </si>
  <si>
    <t>rachnawaghray@yahoo.in</t>
  </si>
  <si>
    <t>0606101060241</t>
  </si>
  <si>
    <t>CNRB0000606</t>
  </si>
  <si>
    <t>ADDPW9156B</t>
  </si>
  <si>
    <t>812023048236</t>
  </si>
  <si>
    <t>Vijay Waghray</t>
  </si>
  <si>
    <t>V1101486</t>
  </si>
  <si>
    <t>Dr.Lata Kini</t>
  </si>
  <si>
    <t>Head - Lab Operations</t>
  </si>
  <si>
    <t>Suprita Reddy</t>
  </si>
  <si>
    <t>lata.kini@gmail.com</t>
  </si>
  <si>
    <t>50100399494480</t>
  </si>
  <si>
    <t>HDFC0004898</t>
  </si>
  <si>
    <t>AIHPK7819E</t>
  </si>
  <si>
    <t>Vishwanath Nayak</t>
  </si>
  <si>
    <t>17:30</t>
  </si>
  <si>
    <t>20:30</t>
  </si>
  <si>
    <t>50100243907405</t>
  </si>
  <si>
    <t>Didi Gopal</t>
  </si>
  <si>
    <t>V1101481</t>
  </si>
  <si>
    <t>Dr.Isha Rastogi</t>
  </si>
  <si>
    <t>Subharti Medical College, Merut, Uttar Pradesh</t>
  </si>
  <si>
    <t>MBBS, MD Microbiologist</t>
  </si>
  <si>
    <t>isha10rastogi@gmail.com</t>
  </si>
  <si>
    <t>50100190157210</t>
  </si>
  <si>
    <t>HDFC0003676</t>
  </si>
  <si>
    <t>AOQPR6566N</t>
  </si>
  <si>
    <t>793588217286</t>
  </si>
  <si>
    <t>Dharamveer Singh</t>
  </si>
  <si>
    <t>D1120319</t>
  </si>
  <si>
    <t>Dr.Mukta Agrawal</t>
  </si>
  <si>
    <t>10:00:00AM</t>
  </si>
  <si>
    <t>12:00:00PM</t>
  </si>
  <si>
    <t>X-Ray,Mammography,BMD,USG,CT,MRI</t>
  </si>
  <si>
    <t>Rajendra Institute of medical sciences(RIMS),Ranchi</t>
  </si>
  <si>
    <t>DCP,DMRD(2008)</t>
  </si>
  <si>
    <t>RIMS ,Ranchi</t>
  </si>
  <si>
    <t>MBBS,DCP,DMRD</t>
  </si>
  <si>
    <t>Jharkhand state Medical Council</t>
  </si>
  <si>
    <t>mukta.agarwal1072@gmail.com</t>
  </si>
  <si>
    <t>SBIN0001672</t>
  </si>
  <si>
    <t>AHPPA4020L</t>
  </si>
  <si>
    <t>Flat No- 101, Sai Sadan Apartment, Ashram marg, Bariatu, Ranchi, Jhankhand- 834009</t>
  </si>
  <si>
    <t>V1101479</t>
  </si>
  <si>
    <t>Dr.Shriramoju Sujitha</t>
  </si>
  <si>
    <t>13:30</t>
  </si>
  <si>
    <t>19:30</t>
  </si>
  <si>
    <t>MBBS, MD - Radiognosis</t>
  </si>
  <si>
    <t>Suziitha11@gmail.com</t>
  </si>
  <si>
    <t>007610100066100</t>
  </si>
  <si>
    <t>ANDB0000076</t>
  </si>
  <si>
    <t>ENEPS6938C</t>
  </si>
  <si>
    <t>381160523573</t>
  </si>
  <si>
    <t>S Manohar Rao</t>
  </si>
  <si>
    <t>V1101610</t>
  </si>
  <si>
    <t>Dr.Lata Manchala</t>
  </si>
  <si>
    <t>lata.manchala@gmail.com</t>
  </si>
  <si>
    <t>00000052208026868</t>
  </si>
  <si>
    <t>SBIN0015975</t>
  </si>
  <si>
    <t>BMNPM2054A</t>
  </si>
  <si>
    <t>793593281418</t>
  </si>
  <si>
    <t>M Narsaiah</t>
  </si>
  <si>
    <t>V1101484</t>
  </si>
  <si>
    <t>Dr.Seelamonthula Mallikarun</t>
  </si>
  <si>
    <t>arjunsmallik@hotmail.com</t>
  </si>
  <si>
    <t>322201075243</t>
  </si>
  <si>
    <t>ICIC0003222</t>
  </si>
  <si>
    <t>BNIPS6365L</t>
  </si>
  <si>
    <t>284421521715</t>
  </si>
  <si>
    <t>Seelamonthula Eshwaraiah</t>
  </si>
  <si>
    <t>BHEL-30</t>
  </si>
  <si>
    <t>V1101772</t>
  </si>
  <si>
    <t>Dr.M Sruthi</t>
  </si>
  <si>
    <t>USG, XRAY, Mamography</t>
  </si>
  <si>
    <t>APMC/FMR/83524</t>
  </si>
  <si>
    <t>msruthi89@gmail.com</t>
  </si>
  <si>
    <t>916010032375056</t>
  </si>
  <si>
    <t>UTIB0002738</t>
  </si>
  <si>
    <t>BUGPM5889L</t>
  </si>
  <si>
    <t>361550804253</t>
  </si>
  <si>
    <t>M Venkateswarlu</t>
  </si>
  <si>
    <t>D1109962</t>
  </si>
  <si>
    <t>Dr.Boppidi Nikhitha</t>
  </si>
  <si>
    <t>nikitakolan@gmail.com</t>
  </si>
  <si>
    <t>50100007089881</t>
  </si>
  <si>
    <t>BTVPK0442B</t>
  </si>
  <si>
    <t>535532927357</t>
  </si>
  <si>
    <t>K Bhadra Reddy</t>
  </si>
  <si>
    <t>D1114607</t>
  </si>
  <si>
    <t>Dr.Shyamala Javvadi</t>
  </si>
  <si>
    <t>shyamala.javvadi@gmail.com</t>
  </si>
  <si>
    <t>Indus Bank</t>
  </si>
  <si>
    <t>100121147452</t>
  </si>
  <si>
    <t>INDB0000261</t>
  </si>
  <si>
    <t>AUIPJ0881G</t>
  </si>
  <si>
    <t>466606485531</t>
  </si>
  <si>
    <t>Satyanarayana</t>
  </si>
  <si>
    <t>D1114608</t>
  </si>
  <si>
    <t>Dr.Nimmakayala Lily</t>
  </si>
  <si>
    <t>nimmakayalalily6@gmail.com</t>
  </si>
  <si>
    <t>52102368188</t>
  </si>
  <si>
    <t>SBIN0020282</t>
  </si>
  <si>
    <t>AKUPN5312L</t>
  </si>
  <si>
    <t>235118320012</t>
  </si>
  <si>
    <t>Nageswararao Nimmakayala</t>
  </si>
  <si>
    <t>D1114612</t>
  </si>
  <si>
    <t>Dr.Sakam Venkata Abhinay</t>
  </si>
  <si>
    <t>TSMC/FMR/14632</t>
  </si>
  <si>
    <t>venkataabhinay.sakam@gmail.com</t>
  </si>
  <si>
    <t>22750100010464</t>
  </si>
  <si>
    <t>BARB0RAJAMP</t>
  </si>
  <si>
    <t>HKSPS8351F</t>
  </si>
  <si>
    <t>935331032703</t>
  </si>
  <si>
    <t>Sakam Venkata Harish</t>
  </si>
  <si>
    <t>D1111443</t>
  </si>
  <si>
    <t>Dr.Hajira Khanam</t>
  </si>
  <si>
    <t>APMC/FMR/89149</t>
  </si>
  <si>
    <t>dr.khanam.hajira@gmail.com</t>
  </si>
  <si>
    <t>32809848966</t>
  </si>
  <si>
    <t>CWUPK3351A</t>
  </si>
  <si>
    <t>399169788105</t>
  </si>
  <si>
    <t>Hussain Khan</t>
  </si>
  <si>
    <t>V1101861</t>
  </si>
  <si>
    <t>Dr.Gangapatnam Venkataraman</t>
  </si>
  <si>
    <t>USG, CT, MRI, X-RAY</t>
  </si>
  <si>
    <t>APMC/FMR/75304</t>
  </si>
  <si>
    <t>raman.venkata21@gmail.com</t>
  </si>
  <si>
    <t>62509547159</t>
  </si>
  <si>
    <t>SBIN0021486</t>
  </si>
  <si>
    <t>AYLPG5093L</t>
  </si>
  <si>
    <t>495699789038</t>
  </si>
  <si>
    <t>Gangapatnam Venkataraman</t>
  </si>
  <si>
    <t>D1114614</t>
  </si>
  <si>
    <t>Dr.Pasunoori Sravanthi</t>
  </si>
  <si>
    <t>APMC/FMR/96867</t>
  </si>
  <si>
    <t>sravii1717@gmail.com</t>
  </si>
  <si>
    <t>917010079849128</t>
  </si>
  <si>
    <t>UTIB0001195</t>
  </si>
  <si>
    <t>NCQPS2972J</t>
  </si>
  <si>
    <t>889385382331</t>
  </si>
  <si>
    <t>Pasunoori Rajesh</t>
  </si>
  <si>
    <t>D1114610</t>
  </si>
  <si>
    <t>Dr.Amathul Hafeez Tayyaba</t>
  </si>
  <si>
    <t>TSMC/FMR/13977</t>
  </si>
  <si>
    <t>amathultayyaba97@gmail.com</t>
  </si>
  <si>
    <t>4845309434</t>
  </si>
  <si>
    <t>KKBK0007487</t>
  </si>
  <si>
    <t>BYTPT5836M</t>
  </si>
  <si>
    <t>730143331520</t>
  </si>
  <si>
    <t>Mohammed Abdul Jameel</t>
  </si>
  <si>
    <t>V1101686</t>
  </si>
  <si>
    <t>Dr.Vijay Kanth Reddy Vuyyuru</t>
  </si>
  <si>
    <t>X-Ray (Regular), USG,FNAC, Tiffa, IVP, RGU, MCGU, Barium Swallow, Barium Enemma and HSG</t>
  </si>
  <si>
    <t>RGUHS</t>
  </si>
  <si>
    <t>S V M C H &amp; RC</t>
  </si>
  <si>
    <t>TSMC/FMR/05429</t>
  </si>
  <si>
    <t>vjkanthi1691@gmail.com</t>
  </si>
  <si>
    <t>058801510755</t>
  </si>
  <si>
    <t>ICIC0000588</t>
  </si>
  <si>
    <t>AXZPV8390C</t>
  </si>
  <si>
    <t>986017459002</t>
  </si>
  <si>
    <t>V Venkata Reddy</t>
  </si>
  <si>
    <t>D1119842</t>
  </si>
  <si>
    <t>Dr.Dangudubiyam Sri Venkata Pratap</t>
  </si>
  <si>
    <t>Basic USG, Doppler Studies, Thyroid/Scrotum USG, Breast USG, Penile Doppler, USG Guided FNAC, USG Guided Trucut Biopsy, USG Guided Aspiration, Guided Procedures, Basic CT, Chest/ Abdomen/Neck, 3DCT, CT Angiography, X Ray, Plain Radiography, Mammography, IVP, RGU, MCUG, Barium Swallow, Barium Anema, HSG.</t>
  </si>
  <si>
    <t>Ponducherry University</t>
  </si>
  <si>
    <t>TSMC/FMR/30756</t>
  </si>
  <si>
    <t>pratap.venkata9@gmail.com</t>
  </si>
  <si>
    <t>20286749226</t>
  </si>
  <si>
    <t>SBIN0000900</t>
  </si>
  <si>
    <t>EOHPS9748A</t>
  </si>
  <si>
    <t>#27 First Cross Street, Kasthuribai Nagar, Nellithoppe, Pondicherry - 605005</t>
  </si>
  <si>
    <t>Dr.Alla Siri Chandana</t>
  </si>
  <si>
    <t>APMC/FMR/89878</t>
  </si>
  <si>
    <t>allasirichandana@gmail.com</t>
  </si>
  <si>
    <t>130810100060276</t>
  </si>
  <si>
    <t>ANDB0001308</t>
  </si>
  <si>
    <t>AMKPA1282C</t>
  </si>
  <si>
    <t>214542457484</t>
  </si>
  <si>
    <t>Alla Venkateswara Reddy</t>
  </si>
  <si>
    <t>D1114609</t>
  </si>
  <si>
    <t>Dr.Reddy Ramya Saibhavani</t>
  </si>
  <si>
    <t xml:space="preserve">USG - Rotine, Dopplers, X Ray </t>
  </si>
  <si>
    <t>APMC/FMR/99441</t>
  </si>
  <si>
    <t>ramyasaireddy7@gmail.com</t>
  </si>
  <si>
    <t>107910100069268</t>
  </si>
  <si>
    <t>ANDB0001079</t>
  </si>
  <si>
    <t>DPKPR9498B</t>
  </si>
  <si>
    <t>696710510617</t>
  </si>
  <si>
    <t>Venkata Hariprasad Reddy</t>
  </si>
  <si>
    <t>D1110522</t>
  </si>
  <si>
    <t>Dr.Chinthireddy Mithun Reddy</t>
  </si>
  <si>
    <t>X-Ray (Regular), USG, Tiffa, MSK, Penile Dopplers, Guided Procedures, FNAC, IVP, RGU, MCGU, Barium Swallow, Barium Enemma and HSG, Basic CT, all Angios, CT Enteroclysis, All CT Guided procedures, MRI Basic and MRI Prostrate</t>
  </si>
  <si>
    <t>APMC/FMR/92729</t>
  </si>
  <si>
    <t>chmithunreddy@gmail.com</t>
  </si>
  <si>
    <t>214710100043002</t>
  </si>
  <si>
    <t>UBIN0821471</t>
  </si>
  <si>
    <t>BDZPC6723M</t>
  </si>
  <si>
    <t>773617045969</t>
  </si>
  <si>
    <t>Chinthireddy Ramana Reddy</t>
  </si>
  <si>
    <t>D1114731</t>
  </si>
  <si>
    <t>Dr.Mohammed Abdul Aziz</t>
  </si>
  <si>
    <t>TSMC/FMR/11078</t>
  </si>
  <si>
    <t>mohdabdulazizshaikh@gmail.com</t>
  </si>
  <si>
    <t>38507821760</t>
  </si>
  <si>
    <t>BAWPM3439C</t>
  </si>
  <si>
    <t>775054974583</t>
  </si>
  <si>
    <t>SK Ma Jabbar</t>
  </si>
  <si>
    <t>D1114730</t>
  </si>
  <si>
    <t>Dr.Gude Geethanjali</t>
  </si>
  <si>
    <t>Rangaraya Medical College </t>
  </si>
  <si>
    <t>MBBS, DM Histopathology</t>
  </si>
  <si>
    <t>APMC/FMR/81001</t>
  </si>
  <si>
    <t>geethanjaligude@gmail.com</t>
  </si>
  <si>
    <t>32300509973</t>
  </si>
  <si>
    <t>BNZPG8817Q</t>
  </si>
  <si>
    <t>880721168561</t>
  </si>
  <si>
    <t>Gude Govind Rao</t>
  </si>
  <si>
    <t>Dr.Yamujala Sethu Madhava</t>
  </si>
  <si>
    <t>D1110193</t>
  </si>
  <si>
    <t xml:space="preserve">Dr.B Mahesh Reddy </t>
  </si>
  <si>
    <t>USG Guided Procedures, Basic CT, All Anigios, CT Perfusion, CT Enteroclysis, CT Guided procedures,  MRI Basic, Cardiac, CSF Flow study, MR Perfusion</t>
  </si>
  <si>
    <t>S V Medical College</t>
  </si>
  <si>
    <t>APMC/FMR/75521</t>
  </si>
  <si>
    <t>8328520801, 8142946772</t>
  </si>
  <si>
    <t>maheshreddy.bursupalle@gmail.com</t>
  </si>
  <si>
    <t>33117234671</t>
  </si>
  <si>
    <t>CADPB6840G</t>
  </si>
  <si>
    <t>780255184679</t>
  </si>
  <si>
    <t>B Venkata Rami Reddy</t>
  </si>
  <si>
    <t>V1101580</t>
  </si>
  <si>
    <t>Dr.Vadla Namdev</t>
  </si>
  <si>
    <t>drnamdevv786@gmail.com</t>
  </si>
  <si>
    <t>52209061201</t>
  </si>
  <si>
    <t>AVQPV7541L</t>
  </si>
  <si>
    <t>865000089976</t>
  </si>
  <si>
    <t>Hanmandlu Vadla</t>
  </si>
  <si>
    <t>D1110543</t>
  </si>
  <si>
    <t>Dr.Voruganti Arun Jyothi</t>
  </si>
  <si>
    <t>9010255676 , 8247229758</t>
  </si>
  <si>
    <t>drarunajyothivoruganti@gmail.com</t>
  </si>
  <si>
    <t>110031636892</t>
  </si>
  <si>
    <t>CNRB0006488</t>
  </si>
  <si>
    <t>ALNPV3351M</t>
  </si>
  <si>
    <t>324936478430</t>
  </si>
  <si>
    <t>Krishna Bodupalli</t>
  </si>
  <si>
    <t>D1114732</t>
  </si>
  <si>
    <t>Dr.Manavi Radha Gandhi</t>
  </si>
  <si>
    <t>ROUTINE USG,X-RAY</t>
  </si>
  <si>
    <t>manavi.rg@gmail.com</t>
  </si>
  <si>
    <t>1787101060043</t>
  </si>
  <si>
    <t>CNRB0001787</t>
  </si>
  <si>
    <t>AHYPM4391F</t>
  </si>
  <si>
    <t>299380948028</t>
  </si>
  <si>
    <t>Lakshmi Narasimha Gandhi Cherukuri</t>
  </si>
  <si>
    <t>D1114725</t>
  </si>
  <si>
    <t>Dr.Rendla Santhosh Babu</t>
  </si>
  <si>
    <t>CT &amp; MRI, X Ray, USG</t>
  </si>
  <si>
    <t>santhoshrendla@yahoo.co.in</t>
  </si>
  <si>
    <t>104810100070228</t>
  </si>
  <si>
    <t>BICPS1524A</t>
  </si>
  <si>
    <t>448331047752</t>
  </si>
  <si>
    <t>Rendla Uppalaiah</t>
  </si>
  <si>
    <t>D1114726</t>
  </si>
  <si>
    <t xml:space="preserve">Dr.R Anitha </t>
  </si>
  <si>
    <t>Mamtha Medical College</t>
  </si>
  <si>
    <t>anitharamtenki@gmail.com</t>
  </si>
  <si>
    <t>50100338602301</t>
  </si>
  <si>
    <t>AZLPR7505H</t>
  </si>
  <si>
    <t>566205553273</t>
  </si>
  <si>
    <t>Srihari Ramtenki</t>
  </si>
  <si>
    <t>D1114733</t>
  </si>
  <si>
    <t>Dr.Pothakuri Sanketh</t>
  </si>
  <si>
    <t>Absconded</t>
  </si>
  <si>
    <t>TSMC/PMR/16941</t>
  </si>
  <si>
    <t>8008455020, 6300475043</t>
  </si>
  <si>
    <t>sanketh114@gmail.com</t>
  </si>
  <si>
    <t>32041309058</t>
  </si>
  <si>
    <t>SBIN0003184</t>
  </si>
  <si>
    <t>FDOPS2964F</t>
  </si>
  <si>
    <t>496277621317</t>
  </si>
  <si>
    <t>Venkateshwar Rao</t>
  </si>
  <si>
    <t>D1114728</t>
  </si>
  <si>
    <t>Dr.Abbagani Samyuktha</t>
  </si>
  <si>
    <t>M S Ramaiah Medical College</t>
  </si>
  <si>
    <t>TSMC/FMR/08935</t>
  </si>
  <si>
    <t>samyuktha_89@yahoo.com ; samyuktha1189@gmail.com</t>
  </si>
  <si>
    <t>50100285867545</t>
  </si>
  <si>
    <t>HDFC0002073</t>
  </si>
  <si>
    <t>BQLPA8248Q</t>
  </si>
  <si>
    <t>475002504921</t>
  </si>
  <si>
    <t>Abbagani Vidya Sagar</t>
  </si>
  <si>
    <t>D1114729</t>
  </si>
  <si>
    <t>Dr.Bollapalli Naveen Goud</t>
  </si>
  <si>
    <t>APMC/FMR/107950</t>
  </si>
  <si>
    <t>bollapallynaveengoud@gmail.com</t>
  </si>
  <si>
    <t>50100279605298</t>
  </si>
  <si>
    <t>HDFC0000982</t>
  </si>
  <si>
    <t>ENTPB9049G</t>
  </si>
  <si>
    <t>451037164816</t>
  </si>
  <si>
    <t>Bollapalli Narayana Goud</t>
  </si>
  <si>
    <t>D1114745</t>
  </si>
  <si>
    <t>Dr.Donthoju Rambabu</t>
  </si>
  <si>
    <t>drrambabudonthoju@gmail.com</t>
  </si>
  <si>
    <t>62334389904</t>
  </si>
  <si>
    <t>BGKPD4632C</t>
  </si>
  <si>
    <t>244522471264</t>
  </si>
  <si>
    <t>Donthoju Shankara Chary</t>
  </si>
  <si>
    <t>D1114744</t>
  </si>
  <si>
    <t>Dr.Jakkula Haritha</t>
  </si>
  <si>
    <t xml:space="preserve">8:00 to 9:00 </t>
  </si>
  <si>
    <t>drharithajakkula@gmail.com</t>
  </si>
  <si>
    <t>0214104000160483</t>
  </si>
  <si>
    <t>IBKL0000214</t>
  </si>
  <si>
    <t>ANKPJ4505C</t>
  </si>
  <si>
    <t>505082329265</t>
  </si>
  <si>
    <t>Jakkula Satyanarayana</t>
  </si>
  <si>
    <t>D1114891</t>
  </si>
  <si>
    <t>Dr.Anupama Gangadhar Patil</t>
  </si>
  <si>
    <t>MBBS. DM Pathology</t>
  </si>
  <si>
    <t>itsagp@gmail.com</t>
  </si>
  <si>
    <t>3513077002</t>
  </si>
  <si>
    <t>KKBK0000431</t>
  </si>
  <si>
    <t>BAHPP2712E</t>
  </si>
  <si>
    <t>602036195183</t>
  </si>
  <si>
    <t>Gangadhar Shankar Patil</t>
  </si>
  <si>
    <t>V1101738</t>
  </si>
  <si>
    <t xml:space="preserve">Dr.Damera Madhulika </t>
  </si>
  <si>
    <t>CT, USG X Ray</t>
  </si>
  <si>
    <t>Prathima Medical College</t>
  </si>
  <si>
    <t>madhulikadamera03@gmail.com</t>
  </si>
  <si>
    <t>50100231985552</t>
  </si>
  <si>
    <t>ARUPD9632N</t>
  </si>
  <si>
    <t>368422909889</t>
  </si>
  <si>
    <t>Damera Sri Krishna Dattatreya</t>
  </si>
  <si>
    <t>D1114987</t>
  </si>
  <si>
    <t>Dr.Pasupuleti Raghavendra</t>
  </si>
  <si>
    <t>APMC/FMR/85327</t>
  </si>
  <si>
    <t>raghudr14@gmail.com</t>
  </si>
  <si>
    <t>BOI</t>
  </si>
  <si>
    <t>572811610000777</t>
  </si>
  <si>
    <t>BKID0008689</t>
  </si>
  <si>
    <t>BYVPR4383M</t>
  </si>
  <si>
    <t>672099304952</t>
  </si>
  <si>
    <t>Pasupuleti Sreenivasulu</t>
  </si>
  <si>
    <t>Dr.V Deepthi</t>
  </si>
  <si>
    <t>APMC/FMR/77950</t>
  </si>
  <si>
    <t>drdeepthi77@gmail.com</t>
  </si>
  <si>
    <t>1512248812</t>
  </si>
  <si>
    <t>KKBK0000564</t>
  </si>
  <si>
    <t>ALOPV7046G</t>
  </si>
  <si>
    <t>496240631575</t>
  </si>
  <si>
    <t>V Joseph</t>
  </si>
  <si>
    <t>D1114962</t>
  </si>
  <si>
    <t>Dr.Bollam Vyshnavi</t>
  </si>
  <si>
    <t>Basic USG, Tiffa, USG Guided Procedures, IVP, RGU, MCGU, Barium Swallow, Barium Enemma, HSG, X-Ray, Basic CT, MRI Basic</t>
  </si>
  <si>
    <t>SVS Medical College &amp; Hospital</t>
  </si>
  <si>
    <t>APMC/FMR/93658</t>
  </si>
  <si>
    <t>docvysh@gmail.com</t>
  </si>
  <si>
    <t>918010063179984</t>
  </si>
  <si>
    <t>UTIB0002962</t>
  </si>
  <si>
    <t>BHQPB9146Q</t>
  </si>
  <si>
    <t>464515157752</t>
  </si>
  <si>
    <t>Naveen Kumar</t>
  </si>
  <si>
    <t>D1114963</t>
  </si>
  <si>
    <t>Dr.Vakkalagadda Lakshmi Kusuma Chandrika</t>
  </si>
  <si>
    <t>Mediciti Institute Of Health Sciences</t>
  </si>
  <si>
    <t>APMC/FMR/76414</t>
  </si>
  <si>
    <t>vlk.chandrika@gmail.com</t>
  </si>
  <si>
    <t>IDFC First Bank</t>
  </si>
  <si>
    <t>10056035489</t>
  </si>
  <si>
    <t>IDFB0080224</t>
  </si>
  <si>
    <t>AITPV0271B</t>
  </si>
  <si>
    <t>370626742066</t>
  </si>
  <si>
    <t>Vakkalagadda Venkata Krishna Raja Mohan</t>
  </si>
  <si>
    <t>D1114988</t>
  </si>
  <si>
    <t>Dr.Prasuna Chilveri</t>
  </si>
  <si>
    <t>prasunachilveri15@gmail.com</t>
  </si>
  <si>
    <t>50100282100307</t>
  </si>
  <si>
    <t>CHOPB4083K</t>
  </si>
  <si>
    <t>614659353968</t>
  </si>
  <si>
    <t>Vijay Kumar Chiluveri</t>
  </si>
  <si>
    <t>D1115077</t>
  </si>
  <si>
    <t>Dr.Marla Vineela</t>
  </si>
  <si>
    <t>APMC/FMR/74451</t>
  </si>
  <si>
    <t>vineelamarlamd@gmail.com</t>
  </si>
  <si>
    <t>520291005842129</t>
  </si>
  <si>
    <t>UBIN0917311</t>
  </si>
  <si>
    <t>DDEPM0371J</t>
  </si>
  <si>
    <t>401361537380</t>
  </si>
  <si>
    <t>Raghuramaiah Marla</t>
  </si>
  <si>
    <t>D1119554</t>
  </si>
  <si>
    <t>Dr.Baptist Francis Jason Fernandes</t>
  </si>
  <si>
    <t>GOA Medical College</t>
  </si>
  <si>
    <t>Belagavi Institute of Medical Science</t>
  </si>
  <si>
    <t>TSMC/FMR/29516</t>
  </si>
  <si>
    <t>baptistfernandes922@gmail.com</t>
  </si>
  <si>
    <t>BOI bank</t>
  </si>
  <si>
    <t>100110110013104</t>
  </si>
  <si>
    <t>BKID0001001</t>
  </si>
  <si>
    <t>ACLPF0231F</t>
  </si>
  <si>
    <t>Flat No. F-10, Priyanka Enclave, Aquem Alto, Near Babu Naik, Margao, South Goa, Goa - 403601</t>
  </si>
  <si>
    <t>D1100750</t>
  </si>
  <si>
    <t>Dr.Ali Murtuza</t>
  </si>
  <si>
    <t>TSMC/FMR/03161</t>
  </si>
  <si>
    <t>dralimurtuza1624@gmail.com</t>
  </si>
  <si>
    <t>630501548732</t>
  </si>
  <si>
    <t>ICIC0000410</t>
  </si>
  <si>
    <t>BHBPA0795H</t>
  </si>
  <si>
    <t>439435363363</t>
  </si>
  <si>
    <t>Mohammed Shoukat Ali</t>
  </si>
  <si>
    <t>D1115074</t>
  </si>
  <si>
    <t>Dr.Naseha Fathima</t>
  </si>
  <si>
    <t>NTR Univervisty</t>
  </si>
  <si>
    <t>TSMC/FMR/02136</t>
  </si>
  <si>
    <t>naasfathima22@gmail.com</t>
  </si>
  <si>
    <t>004001651900</t>
  </si>
  <si>
    <t>ICIC0000040</t>
  </si>
  <si>
    <t>ADSPF7077M</t>
  </si>
  <si>
    <t>266822219494</t>
  </si>
  <si>
    <t>Mohammed Rafiuddin</t>
  </si>
  <si>
    <t>D1110371</t>
  </si>
  <si>
    <t>Dr.Jogi Suneeth</t>
  </si>
  <si>
    <t>Basic USGs, Tiffa, MSK, USG Guided Procedures, IVP, RGU, MCGU, Barium Swallow, Barium Enema, HSG, Xrays and Mammography, Basic CT, CT Enteroclysis, All Angio's except Coronary, Basic MRI</t>
  </si>
  <si>
    <t>suneeth_j@yahoo.co.in</t>
  </si>
  <si>
    <t>62205268976</t>
  </si>
  <si>
    <t>SBIN0018276</t>
  </si>
  <si>
    <t>ALMPJ5099B</t>
  </si>
  <si>
    <t>410123003266</t>
  </si>
  <si>
    <t>Buggappa Chandrashekar Jogi</t>
  </si>
  <si>
    <t>D1115264</t>
  </si>
  <si>
    <t>Dr.Vennampally Divya</t>
  </si>
  <si>
    <t>USG, Tiffa, MSK, Guided Procedures, IVP, RGU, MCGU, Barium Swallow, Barium Enemma, HSG, X Ray, Mammograpgy,  Basic MRI and Basic CT</t>
  </si>
  <si>
    <t>TSMC/FMR/00984</t>
  </si>
  <si>
    <t>badri.saikarthikeya@gmail.com</t>
  </si>
  <si>
    <t>107910100068320</t>
  </si>
  <si>
    <t>AXKPV6174H</t>
  </si>
  <si>
    <t>462293152906</t>
  </si>
  <si>
    <t>Venkataramana Vennampally</t>
  </si>
  <si>
    <t>D1115081</t>
  </si>
  <si>
    <t>Dr.Uma Devi</t>
  </si>
  <si>
    <t>MBBS, MD - Obstetrics &amp; Gynaecology</t>
  </si>
  <si>
    <t>HMC10856</t>
  </si>
  <si>
    <t>umadevisunkari@gmail.com</t>
  </si>
  <si>
    <t>05211000047243</t>
  </si>
  <si>
    <t>ALAPS3631C</t>
  </si>
  <si>
    <t>652658594676</t>
  </si>
  <si>
    <t>Mallikharjuna Swamy SunKari</t>
  </si>
  <si>
    <t>D1115073</t>
  </si>
  <si>
    <t xml:space="preserve">Dr.Aarthi Magdaleena Joseph </t>
  </si>
  <si>
    <t>TSMC/FMR/04854</t>
  </si>
  <si>
    <t>aamajo.88@gmail.com</t>
  </si>
  <si>
    <t>30572190006146</t>
  </si>
  <si>
    <t>AJXPJ3793P</t>
  </si>
  <si>
    <t>269165404750</t>
  </si>
  <si>
    <t>Kothur Joseph Samrudhie</t>
  </si>
  <si>
    <t>V1101584</t>
  </si>
  <si>
    <t>Dr.Rajput Santosh Ashok Kiran Singh</t>
  </si>
  <si>
    <t>Dr.Pinnamaneni Institute of Medical Sciences and Research Foundation</t>
  </si>
  <si>
    <t>7799776333  </t>
  </si>
  <si>
    <t>drkiransinghmdpathology@gmail.com</t>
  </si>
  <si>
    <t>37716788824</t>
  </si>
  <si>
    <t>SBIN0018793</t>
  </si>
  <si>
    <t>BDCPR9818P</t>
  </si>
  <si>
    <t>299097541636</t>
  </si>
  <si>
    <t>Rajput Raja Lakshman Singh</t>
  </si>
  <si>
    <t>D1115078</t>
  </si>
  <si>
    <t>Dr.Srithi Rani Bhui</t>
  </si>
  <si>
    <t>USG, Tiffa, MSK, Guided Procedures, IVP, RGU, MCGU, Barium Swallow, Barium Enemma, HSG, X Ray, Mammography,  Basic CT, All Angios except Coronary and CT Enterclysis</t>
  </si>
  <si>
    <t>TSMC/FMR/14043</t>
  </si>
  <si>
    <t>ranisrithi@gmail.com</t>
  </si>
  <si>
    <t>INDUSIND</t>
  </si>
  <si>
    <t>158971229135</t>
  </si>
  <si>
    <t>BHQPB6763B</t>
  </si>
  <si>
    <t>Kumar Bhui Kanak</t>
  </si>
  <si>
    <t>D1115253</t>
  </si>
  <si>
    <t>Dr.M Ramesh Kamath</t>
  </si>
  <si>
    <t>USG, Tiffa, MSK, Guided Procedures, IVP, RGU, MCGU, Barium Swallow, Barium Enemma, HSG, X Ray, Mammograpgy,  Basic CT, All Angios except Coronary, CT Perfusion, CT Guided Procedures, CT Enterclysis,  Basic MRI, CSF Flow Study, MR Persfusion, MR Prostrate</t>
  </si>
  <si>
    <t>Pushpagiri Medical College</t>
  </si>
  <si>
    <t>dr08ramesh@gmail.com</t>
  </si>
  <si>
    <t>02011530016485</t>
  </si>
  <si>
    <t>AKNPR3729E</t>
  </si>
  <si>
    <t>648503924057</t>
  </si>
  <si>
    <t>M Mohandas Kamath</t>
  </si>
  <si>
    <t>D1115254</t>
  </si>
  <si>
    <t>Dr.Suman Kaveti</t>
  </si>
  <si>
    <t>USG, Tiffa, MSK, Guided Procedures, IVP, RGU, MCGU, Barium Swallow, Barium Enemma, HSG, X Ray,  Basic CT, All Angios, CT Guided Procedures, Basic MRI</t>
  </si>
  <si>
    <t>TSMC/FMR/02645</t>
  </si>
  <si>
    <t>docsuman89@gmail.com</t>
  </si>
  <si>
    <t>50100403838073</t>
  </si>
  <si>
    <t>HDFC0000621</t>
  </si>
  <si>
    <t>EUGPK6057K</t>
  </si>
  <si>
    <t>839125524888</t>
  </si>
  <si>
    <t>Ashok Kumar Kaveti</t>
  </si>
  <si>
    <t>D1115255</t>
  </si>
  <si>
    <t>Dr.Dantam Srinivas</t>
  </si>
  <si>
    <t>APMC/FMR/81585</t>
  </si>
  <si>
    <t>srinu81585@gmail.com</t>
  </si>
  <si>
    <t>104810100068029</t>
  </si>
  <si>
    <t>UBIN0811203</t>
  </si>
  <si>
    <t>AVIPD2449M</t>
  </si>
  <si>
    <t>489591291157</t>
  </si>
  <si>
    <t>Dantam Koti Nageswara Rao</t>
  </si>
  <si>
    <t>D1115256</t>
  </si>
  <si>
    <t>Dr.Narapareddy Siva Sahas Reddy</t>
  </si>
  <si>
    <t>APMC/FMR/88434</t>
  </si>
  <si>
    <t>sahasnarapa@gmail.com</t>
  </si>
  <si>
    <t>30465523972</t>
  </si>
  <si>
    <t>AXKPN5655M</t>
  </si>
  <si>
    <t>807808166855</t>
  </si>
  <si>
    <t>Narapareddy Mohan Reddy</t>
  </si>
  <si>
    <t>D1119874</t>
  </si>
  <si>
    <t>Dr.Korna Archana</t>
  </si>
  <si>
    <t>TSMC/FMR/27080</t>
  </si>
  <si>
    <t>archanakiran1616@gmail.com</t>
  </si>
  <si>
    <t>INDIAN Bank</t>
  </si>
  <si>
    <t>0615448161</t>
  </si>
  <si>
    <t>IDIB000N127</t>
  </si>
  <si>
    <t>DDTPK6445J</t>
  </si>
  <si>
    <t>Flat No-206, 2nd Floor, Sri Chakra Apartment, 3rd Street, Prasanthi Nagar, Nellore, Sri Potti Sriramulu Nellore, Andhra Pradesh - 524002</t>
  </si>
  <si>
    <t>D1115258</t>
  </si>
  <si>
    <t>Dr.Riya Sarkar</t>
  </si>
  <si>
    <t>KPC Meidcal College</t>
  </si>
  <si>
    <t>Kolkata Medical College</t>
  </si>
  <si>
    <t>riyasarkar26@gmail.com</t>
  </si>
  <si>
    <t>20343256056</t>
  </si>
  <si>
    <t>SBIN0000093</t>
  </si>
  <si>
    <t>CXAPS8780A</t>
  </si>
  <si>
    <t>560327976079</t>
  </si>
  <si>
    <t>Samir Kumar Sarkar</t>
  </si>
  <si>
    <t>D1115259</t>
  </si>
  <si>
    <t>Dr.Sumera Amin</t>
  </si>
  <si>
    <t>Al Ameen Medical College</t>
  </si>
  <si>
    <t>M R Medical College </t>
  </si>
  <si>
    <t>drsumera12@hotmail.com</t>
  </si>
  <si>
    <t>50100093525292</t>
  </si>
  <si>
    <t>HDFC0004171</t>
  </si>
  <si>
    <t>AFYPR1837B</t>
  </si>
  <si>
    <t>550792889107</t>
  </si>
  <si>
    <t>Mohd Shafiur Rehman</t>
  </si>
  <si>
    <t>D1115260</t>
  </si>
  <si>
    <t>Dr.Kagitha Harisha</t>
  </si>
  <si>
    <t>TSMC/FMR/15186</t>
  </si>
  <si>
    <t>harisha.kagitha987@gmail.com</t>
  </si>
  <si>
    <t>916010068808955</t>
  </si>
  <si>
    <t>CXLPK3468A</t>
  </si>
  <si>
    <t>577663215114</t>
  </si>
  <si>
    <t>Kagitha Venkata Narasimha Rao</t>
  </si>
  <si>
    <t>Dr.Alekhya Reddy</t>
  </si>
  <si>
    <t>APMC/FMR/78995</t>
  </si>
  <si>
    <t>reddyalekhya74@gmail.com</t>
  </si>
  <si>
    <t>D1115261</t>
  </si>
  <si>
    <t>Dr.Settem Theja</t>
  </si>
  <si>
    <t>APMC/FMR/91473</t>
  </si>
  <si>
    <t>tejumbbs97@gmail.com</t>
  </si>
  <si>
    <t>36961259182</t>
  </si>
  <si>
    <t>AVFPT8054M</t>
  </si>
  <si>
    <t>254824819819</t>
  </si>
  <si>
    <t>Seetem Sreenivasulu</t>
  </si>
  <si>
    <t>D1115262</t>
  </si>
  <si>
    <t>Dr.Mothukuri Udaya Sri</t>
  </si>
  <si>
    <t>APMC/FMR/102160</t>
  </si>
  <si>
    <t>udayadolly1991@gmail.com</t>
  </si>
  <si>
    <t>50100305834942</t>
  </si>
  <si>
    <t>HDFC0002381</t>
  </si>
  <si>
    <t>CXQPM5778J</t>
  </si>
  <si>
    <t>223149902992</t>
  </si>
  <si>
    <t>Mothukuri Ramachandra Rao</t>
  </si>
  <si>
    <t>D1115263</t>
  </si>
  <si>
    <t>Dr.Potukuchi Sachin Sidhardha</t>
  </si>
  <si>
    <t>sidharthpothukuchi@gmail.com</t>
  </si>
  <si>
    <t>20251437284</t>
  </si>
  <si>
    <t>SBIN0015215</t>
  </si>
  <si>
    <t>DKYPP2558B</t>
  </si>
  <si>
    <t>206705747029</t>
  </si>
  <si>
    <t>Venkata Subramanya Kutumba Rao Potukuchi</t>
  </si>
  <si>
    <t>D1115252</t>
  </si>
  <si>
    <t>Dr.Pasham Shreya Reddy</t>
  </si>
  <si>
    <t>TSMC/FMR/15950</t>
  </si>
  <si>
    <t>p.shreyareddy25@gmail.com</t>
  </si>
  <si>
    <t>20363335729</t>
  </si>
  <si>
    <t>EOQPP3833C</t>
  </si>
  <si>
    <t>470299520878</t>
  </si>
  <si>
    <t>Pasham Shekar Reddy</t>
  </si>
  <si>
    <t>D1114028</t>
  </si>
  <si>
    <t>Dr.Aradhyula Venkata Sai Kartheek</t>
  </si>
  <si>
    <t>USG, Tiffa,  MSK, Penile Dopplers, TRUS, Guided Procedures,  IVP, RGU, MCGU, Barium Swallow, Barium Enemma, HSG, X Ray,   Basic CT, All Angios,  CT Perfusion, CT Enterclysis,  CT Guided procedures,  MRI Basic, MR Perfusion, Fetal MR, MR Defacography, MR Prostrate and MR Neurography</t>
  </si>
  <si>
    <t>MBBS, DMRD, DNB- Radio Diagnosis</t>
  </si>
  <si>
    <t>ANP 2014 0000543 KTK</t>
  </si>
  <si>
    <t>7899362934, 9052204034</t>
  </si>
  <si>
    <t>kartheek.avs27@gmail.com</t>
  </si>
  <si>
    <t>31740893987</t>
  </si>
  <si>
    <t>SBIN0002801</t>
  </si>
  <si>
    <t>AXBPA1982D</t>
  </si>
  <si>
    <t>280431465901</t>
  </si>
  <si>
    <t>Aradhyula Venkateswara Rao</t>
  </si>
  <si>
    <t>1.0</t>
  </si>
  <si>
    <t>V1101859</t>
  </si>
  <si>
    <t>Dr.Geetha Godasu</t>
  </si>
  <si>
    <t>Basis USG, Tiffa, MSK, Guided Procedures, Basic CT, All Angios, CT, Perfusion, CT Enteroclysis, Guided Procedures, Basic MRI, CSF Flow Stydy, MR Perfusion, MR Defacogray, MR Prostate, X-Ray, IVP, RGU, MCGU, Barium Swallow, Barium Enema, HSG</t>
  </si>
  <si>
    <t>APMC/FMR/94227</t>
  </si>
  <si>
    <t>geetha_omc@yahoo.com</t>
  </si>
  <si>
    <t>62108108627</t>
  </si>
  <si>
    <t>BKXPG1969C</t>
  </si>
  <si>
    <t>480224775983</t>
  </si>
  <si>
    <t>Godasu Padmarao</t>
  </si>
  <si>
    <t>D1115451</t>
  </si>
  <si>
    <t>Dr.Rahmath Unnisa Begum</t>
  </si>
  <si>
    <t>TSMC/FMR/10570</t>
  </si>
  <si>
    <t>rahmathmirza1995@gmail.com</t>
  </si>
  <si>
    <t>75740100005090</t>
  </si>
  <si>
    <t>BARB0VJMOTI</t>
  </si>
  <si>
    <t>BXAPB1147H</t>
  </si>
  <si>
    <t>278352706862</t>
  </si>
  <si>
    <t>Mirza Anwar Ullah Baig</t>
  </si>
  <si>
    <t>D1115265</t>
  </si>
  <si>
    <t>Dr.Kamalapuram Himabindu</t>
  </si>
  <si>
    <t>09:30:00</t>
  </si>
  <si>
    <t>17:30:00</t>
  </si>
  <si>
    <t>USG, Tiffa, MSK, IVP, RGU, MCGU, Barium Swallow, Barium Enemma, HSG, X Ray, Mammograpgy,  Basic CT, All Angios except Coronary and CT Enterclysis, Basic MRI</t>
  </si>
  <si>
    <t>kpyvardhan@gmail.com</t>
  </si>
  <si>
    <t>34796478295</t>
  </si>
  <si>
    <t>SBIN0002725</t>
  </si>
  <si>
    <t>BLUPK8452L</t>
  </si>
  <si>
    <t>524612590885</t>
  </si>
  <si>
    <t>Kamalapuram Chandra Sekhar Rao</t>
  </si>
  <si>
    <t>V1101857</t>
  </si>
  <si>
    <t>Dr.Anne Rohit</t>
  </si>
  <si>
    <t>USG, Tiffa,  MSK,  IVP, RGU, MCGU, Barium Swallow, Barium Enemma, HSG, X Ray,  Mamography, Basic CT, All Angios except Coronay, CT Perfusion, CT Enterclysis and  MRI Basic</t>
  </si>
  <si>
    <t>APMC/FMR/81349</t>
  </si>
  <si>
    <t>annerohit@gmail.com</t>
  </si>
  <si>
    <t>134010011005242</t>
  </si>
  <si>
    <t>UBIN0813401</t>
  </si>
  <si>
    <t>AUQPA2528P</t>
  </si>
  <si>
    <t>Gopichand Anne</t>
  </si>
  <si>
    <t>D1119140</t>
  </si>
  <si>
    <t>Dr.Kundeti Rakesh Yadav</t>
  </si>
  <si>
    <t>Basic USG, Tiffa, MSK, Guided Procedures, Basic CT, X Ray, Plain Radiology, IVP, RGU, MCGU, Barium Swallow, Barium Anema, HSG</t>
  </si>
  <si>
    <t>MGMCRI , Puducherry</t>
  </si>
  <si>
    <t>TSMC/FMR/07609</t>
  </si>
  <si>
    <t>8897444523, 8074247228</t>
  </si>
  <si>
    <t>rakithunder@gmail.com</t>
  </si>
  <si>
    <t>030401522738</t>
  </si>
  <si>
    <t>ICIC0000304</t>
  </si>
  <si>
    <t>CGVPK7803E</t>
  </si>
  <si>
    <t>Got fellowship in fetal medicine chennai</t>
  </si>
  <si>
    <t>5-5-247/324, Prashanth Nagar, Vanasthalipuram, Hayathnagar, Telangana - 500070</t>
  </si>
  <si>
    <t>Sreenivasulu Kaluva</t>
  </si>
  <si>
    <t>D1115453</t>
  </si>
  <si>
    <t>Dr.Challagulla Lakshmi Vineela</t>
  </si>
  <si>
    <t>USG, Tiffa, IVP, RGU, MCGU, Barium Swallow, Barium Enemma, HSG, X Ray,  Mamography</t>
  </si>
  <si>
    <t>Bharathi Vidyapeeth Medical College</t>
  </si>
  <si>
    <t>TSMC/FMC/15623</t>
  </si>
  <si>
    <t>vini.lucky5@gmail.com, vini.lucky1@yahoo.com</t>
  </si>
  <si>
    <t>99980113771096</t>
  </si>
  <si>
    <t>BOBPM9771C</t>
  </si>
  <si>
    <t>300357799862</t>
  </si>
  <si>
    <t>Veera Venkata Satyanarayana Chowdary Meka</t>
  </si>
  <si>
    <t>D1115447</t>
  </si>
  <si>
    <t>Dr.Uzma Afreen</t>
  </si>
  <si>
    <t>USG, MSK, Guided Procedures, IVP, RGU, MCGU, Barium Swallow, Barium Enemma, HSG, X Ray,  Mamography, Basic CT and  MRI Basic</t>
  </si>
  <si>
    <t>Deccan College &amp; Medical Science</t>
  </si>
  <si>
    <t>Kakatiya Medical college</t>
  </si>
  <si>
    <t>APMC/FMR/82462</t>
  </si>
  <si>
    <t>9121004500, 7799336109</t>
  </si>
  <si>
    <t>uzma.afreen456@gmail.com</t>
  </si>
  <si>
    <t>236001517402</t>
  </si>
  <si>
    <t>ICIC0002360</t>
  </si>
  <si>
    <t>ARLPA0084G</t>
  </si>
  <si>
    <t>947396282794</t>
  </si>
  <si>
    <t>Mohammed Sana Ullah Shareef</t>
  </si>
  <si>
    <t>D1115452</t>
  </si>
  <si>
    <t>Dr.G Rangaswamy</t>
  </si>
  <si>
    <t>PES institute of Medical Sciences</t>
  </si>
  <si>
    <t>Kakatiya Medical College &amp; MGM Hospital</t>
  </si>
  <si>
    <t>drrangaswamy11@gmail.com</t>
  </si>
  <si>
    <t>50100472357680</t>
  </si>
  <si>
    <t>HDFC0000995</t>
  </si>
  <si>
    <t>BDKPG4414Q</t>
  </si>
  <si>
    <t>382673752553</t>
  </si>
  <si>
    <t>Rangaswamy Gantepogu</t>
  </si>
  <si>
    <t>D1115446</t>
  </si>
  <si>
    <t>Dr.Gopagoni Ragini</t>
  </si>
  <si>
    <t>TSMC/FMR/15905</t>
  </si>
  <si>
    <t>raginigopagoni@gmail.com</t>
  </si>
  <si>
    <t>30232010076039</t>
  </si>
  <si>
    <t>CNRB0013023</t>
  </si>
  <si>
    <t>DBJPG6593P</t>
  </si>
  <si>
    <t>237475561418</t>
  </si>
  <si>
    <t>Raghu Ram Gopagoni</t>
  </si>
  <si>
    <t>D1103555</t>
  </si>
  <si>
    <t>Dr.N S Girija Ramani</t>
  </si>
  <si>
    <t>girijaramanidr@gmail.com</t>
  </si>
  <si>
    <t>035610100003493</t>
  </si>
  <si>
    <t>UBIN0803561</t>
  </si>
  <si>
    <t>ACWPN8684R</t>
  </si>
  <si>
    <t>375273570349</t>
  </si>
  <si>
    <t>Saibaba Naguluri</t>
  </si>
  <si>
    <t>D1115443</t>
  </si>
  <si>
    <t>Dr.K Vani</t>
  </si>
  <si>
    <t>kattavani1000@gmail.com</t>
  </si>
  <si>
    <t>37096370862</t>
  </si>
  <si>
    <t>BWQPK8442M</t>
  </si>
  <si>
    <t>927053234719</t>
  </si>
  <si>
    <t>Katta Murali</t>
  </si>
  <si>
    <t>D1113278</t>
  </si>
  <si>
    <t>Dr.Parul Hindupur</t>
  </si>
  <si>
    <t>USG , X ray</t>
  </si>
  <si>
    <t>APMC/FMR/88269</t>
  </si>
  <si>
    <t>parulhindupur@gmail.com</t>
  </si>
  <si>
    <t>ACZPH8787Q</t>
  </si>
  <si>
    <t>519433102426</t>
  </si>
  <si>
    <t>Satish Kumar Sharma</t>
  </si>
  <si>
    <t>D1115445</t>
  </si>
  <si>
    <t>Dr.Kanumuri Mounika</t>
  </si>
  <si>
    <t>TSMC/FMR/16636</t>
  </si>
  <si>
    <t>mounikaraju1994@gmail.com</t>
  </si>
  <si>
    <t>165410100073173</t>
  </si>
  <si>
    <t>UBIN0816540</t>
  </si>
  <si>
    <t>GUHPM8349K</t>
  </si>
  <si>
    <t>637390527482</t>
  </si>
  <si>
    <t>Kanumuri Ravi Kumar</t>
  </si>
  <si>
    <t>D1115444</t>
  </si>
  <si>
    <t>Dr.Mohammed Azeem</t>
  </si>
  <si>
    <t>TSMC/FMR/07722</t>
  </si>
  <si>
    <t>mohammedazeem27.ma@gmail.com</t>
  </si>
  <si>
    <t>31353332831</t>
  </si>
  <si>
    <t>SBIN0008026</t>
  </si>
  <si>
    <t>AWZPA6543R</t>
  </si>
  <si>
    <t>764840506098</t>
  </si>
  <si>
    <t>Mohammed Razvi</t>
  </si>
  <si>
    <t>D1115455</t>
  </si>
  <si>
    <t>Dr.Kommidi Shilpa</t>
  </si>
  <si>
    <t>Medipally - 101</t>
  </si>
  <si>
    <t>Basic USG, Tiffa, Guided Procedured,  X- Ray, Mammography, IVP, RGU, MCGU, Barium Swallow, Barium Enemma, HSG, Basic CT, CT Guided Procedures and Basic MRI</t>
  </si>
  <si>
    <t>Rajendra Institute of Medical Sciences</t>
  </si>
  <si>
    <t>TSMC/FMR/05233</t>
  </si>
  <si>
    <t>shilpaba555@gmail.com</t>
  </si>
  <si>
    <t>50100438876897</t>
  </si>
  <si>
    <t>HDFC0009610</t>
  </si>
  <si>
    <t>EONPK6746C</t>
  </si>
  <si>
    <t>259090289795</t>
  </si>
  <si>
    <t>Mahendar Reddy Kommidi</t>
  </si>
  <si>
    <t>D1115454</t>
  </si>
  <si>
    <t>Dr.Vennamaneni Preethi</t>
  </si>
  <si>
    <t>Basic USG, Tiffa,   X- Ray, Mammography, IVP, RGU, MCGU, Barium Swallow, Barium Enemma, HSG, Basic CT and Basic MRI</t>
  </si>
  <si>
    <t>APMC/FMR/84006</t>
  </si>
  <si>
    <t>preethivennamaneni@gmail.com</t>
  </si>
  <si>
    <t>279801504883</t>
  </si>
  <si>
    <t>AVTPV2265N</t>
  </si>
  <si>
    <t>216457631151</t>
  </si>
  <si>
    <t>Thirupathi Rao Vennamaneni</t>
  </si>
  <si>
    <t>Precious pregnanacy</t>
  </si>
  <si>
    <t>D1119871</t>
  </si>
  <si>
    <t>Dr.Viswa Meghana Ponduri</t>
  </si>
  <si>
    <t>Mediciti institute of medical sciences</t>
  </si>
  <si>
    <t>TSMC/FMR/28306</t>
  </si>
  <si>
    <t>viswameghana3101@gmail.com</t>
  </si>
  <si>
    <t>416601502552</t>
  </si>
  <si>
    <t>ICIC0004166</t>
  </si>
  <si>
    <t>DQNPP3574A</t>
  </si>
  <si>
    <t>Higher studies</t>
  </si>
  <si>
    <t>Flat No. 302, Phase - 2, Block -C, Sri Tirumala Millenium, HCL Nagar, Manikchand Road, Mallapur, Uppal, KV Rangareddy, Telangana - 500076</t>
  </si>
  <si>
    <t>V1101723</t>
  </si>
  <si>
    <t>Dr.Poluboina Aswith Kumar</t>
  </si>
  <si>
    <t>Basic USG, Tiffa, MSK, Guided Procedures, X- Ray, Mammography, IVP, RGU, MCGU, Barium Swallow, Barium Enemma, HSG</t>
  </si>
  <si>
    <t>Narayana medical college</t>
  </si>
  <si>
    <t xml:space="preserve">Mamata medical college </t>
  </si>
  <si>
    <t>APMC/FMR/79334</t>
  </si>
  <si>
    <t>aswithk@gmail.com</t>
  </si>
  <si>
    <t>155010100046346</t>
  </si>
  <si>
    <t>UBIN0805262</t>
  </si>
  <si>
    <t>AIPPA7229J</t>
  </si>
  <si>
    <t>543913576906</t>
  </si>
  <si>
    <t>Audi Seshaiah Poluboina</t>
  </si>
  <si>
    <t>D1115586</t>
  </si>
  <si>
    <t>Dr.Mohammed Ghouse Shareef</t>
  </si>
  <si>
    <t>TSMC/FMR/11425</t>
  </si>
  <si>
    <t>asif.217.kj@gmail.com</t>
  </si>
  <si>
    <t>62210514416</t>
  </si>
  <si>
    <t>SBIN0021235</t>
  </si>
  <si>
    <t>CUWPM3356B</t>
  </si>
  <si>
    <t>725729240647</t>
  </si>
  <si>
    <t>Mohammed Ismail Shariff</t>
  </si>
  <si>
    <t>D1108156</t>
  </si>
  <si>
    <t>Dr.Rakasi Naveen</t>
  </si>
  <si>
    <t>USG, X ray</t>
  </si>
  <si>
    <t>dr.navin3933@gmail.com</t>
  </si>
  <si>
    <t>913010046633983</t>
  </si>
  <si>
    <t>UTIB0003061</t>
  </si>
  <si>
    <t>APCPN0475M</t>
  </si>
  <si>
    <t>973399568318</t>
  </si>
  <si>
    <t>R Bala Krishna Reddy</t>
  </si>
  <si>
    <t>D1115585</t>
  </si>
  <si>
    <t>Dr.Pillodi Pragnya</t>
  </si>
  <si>
    <t>TSMC/FMR/11500</t>
  </si>
  <si>
    <t>pragnyarozy@gmail.com</t>
  </si>
  <si>
    <t>50100160248994</t>
  </si>
  <si>
    <t>HDFC0000364</t>
  </si>
  <si>
    <t>DLPPP3432J</t>
  </si>
  <si>
    <t>391592728980</t>
  </si>
  <si>
    <t>Pillodi Ashok Kumar</t>
  </si>
  <si>
    <t>D1115590</t>
  </si>
  <si>
    <t>Dr.Banda Maheshwari</t>
  </si>
  <si>
    <t>APMC/FMR/92610</t>
  </si>
  <si>
    <t>drbmaheshwari15@gmail.com</t>
  </si>
  <si>
    <t>916010061801201</t>
  </si>
  <si>
    <t>UTIB0000890</t>
  </si>
  <si>
    <t>CDXPB6529B</t>
  </si>
  <si>
    <t>595953003358</t>
  </si>
  <si>
    <t>Yadagiri Banda</t>
  </si>
  <si>
    <t>D1115587</t>
  </si>
  <si>
    <t>Dr.Aditya Nagabhirava</t>
  </si>
  <si>
    <t xml:space="preserve">Routine USG and Dopplers only </t>
  </si>
  <si>
    <t xml:space="preserve">Andhra Medical College </t>
  </si>
  <si>
    <t xml:space="preserve">Narayana Hrudayalaya </t>
  </si>
  <si>
    <t>aditya.radrcr@gmail.com</t>
  </si>
  <si>
    <t>50100237522847</t>
  </si>
  <si>
    <t>HDFC0003940</t>
  </si>
  <si>
    <t>BIWPA9495A</t>
  </si>
  <si>
    <t>781234997246</t>
  </si>
  <si>
    <t>Hariprasad</t>
  </si>
  <si>
    <t>V1101762</t>
  </si>
  <si>
    <t>Dr.Himabindu Aerupula</t>
  </si>
  <si>
    <t>Basic USG, Tiffa, MSK, Mammography, X- Ray,  IVP, RGU, MCGU, Barium Swallow, Barium Enemma, HSG, Basic CT</t>
  </si>
  <si>
    <t xml:space="preserve">Care Hospital </t>
  </si>
  <si>
    <t xml:space="preserve">Deccan College of Medical Sciences </t>
  </si>
  <si>
    <t>APMC/FMR/81972</t>
  </si>
  <si>
    <t>aerupulabindu@gmail.com</t>
  </si>
  <si>
    <t>62067337902</t>
  </si>
  <si>
    <t>SBIN0021056</t>
  </si>
  <si>
    <t>CDVPA6711L</t>
  </si>
  <si>
    <t>384741580920</t>
  </si>
  <si>
    <t>Pradeep Kumar Aerupula</t>
  </si>
  <si>
    <t>D1115584</t>
  </si>
  <si>
    <t>Dr.Ravindra Reddy Bandi</t>
  </si>
  <si>
    <t>Basic USG, Tiffa, MSK, Penile dopplers, Guided Procedures, Mammography, X- Ray,  IVP, RGU, MCGU, Barium Swallow, Barium Enemma, HSG, Basic CT and Basic MRI</t>
  </si>
  <si>
    <t>KVG Medical College</t>
  </si>
  <si>
    <t>Kamineni Insttitute of Medical Sciences</t>
  </si>
  <si>
    <t>APMC/FMR/90683</t>
  </si>
  <si>
    <t>drravindra88@gmail.com</t>
  </si>
  <si>
    <t>004801620175</t>
  </si>
  <si>
    <t>BHMPB6832P</t>
  </si>
  <si>
    <t>202077283751</t>
  </si>
  <si>
    <t>Bandi Narayana Reddy</t>
  </si>
  <si>
    <t>D1115588</t>
  </si>
  <si>
    <t>Dr.Md Abdul Salam Baba</t>
  </si>
  <si>
    <t>08:00 to 16:00</t>
  </si>
  <si>
    <t>16:30 to 19:00</t>
  </si>
  <si>
    <t>Basic USG, Tiffa, Penile dopplers, Guided Procudures, X- Ray,  IVP, RGU, MCGU, Barium Swallow, Barium Enemma, HSG, Basic CT, CT Guided procedures and Basic MRI</t>
  </si>
  <si>
    <t>SVS medical college</t>
  </si>
  <si>
    <t>shoebsalaam123@gmail.com</t>
  </si>
  <si>
    <t>49640100002224</t>
  </si>
  <si>
    <t>BARB0PEDDAP</t>
  </si>
  <si>
    <t>BRDPA0831L</t>
  </si>
  <si>
    <t>246858320952</t>
  </si>
  <si>
    <t>Mohd Abdul Majid</t>
  </si>
  <si>
    <t>D1115783</t>
  </si>
  <si>
    <t>Dr.Mohd Masood Uddin</t>
  </si>
  <si>
    <t>FNAC, Semen Analysis</t>
  </si>
  <si>
    <t>APMC/FMR/90985</t>
  </si>
  <si>
    <t>drmdmasooduddin@gmail.com</t>
  </si>
  <si>
    <t>50100273104561</t>
  </si>
  <si>
    <t>HDFC0003643</t>
  </si>
  <si>
    <t>DAHPM1369G</t>
  </si>
  <si>
    <t>336129621408</t>
  </si>
  <si>
    <t>Mohd Faizuddin</t>
  </si>
  <si>
    <t>D1115784</t>
  </si>
  <si>
    <t>Dr.Yella Mounika Reddy</t>
  </si>
  <si>
    <t>Basic USG, Tiffa, MSK, Guided Procudures, X- Ray, IVP, RGU, MCGU, Barium Swallow, Barium Enemma, HSG, Basic CT, CT Enteroclysis and Basic MRI</t>
  </si>
  <si>
    <t>mouni.chinni150@gmail.com</t>
  </si>
  <si>
    <t>118010100044287</t>
  </si>
  <si>
    <t>UBIN0811807</t>
  </si>
  <si>
    <t>AKNPY2210M</t>
  </si>
  <si>
    <t>428574587364</t>
  </si>
  <si>
    <t>Yella Dilip Reddy</t>
  </si>
  <si>
    <t>D1115776</t>
  </si>
  <si>
    <t>Dr.Mohammad Aijaz Ahmed</t>
  </si>
  <si>
    <t>Basic USG, Tiffa, MSK, Guided Procudures, X- Ray, Mammography, IVP, RGU, MCGU, Barium Swallow, Barium Enemma, HSG, Basic CT, CT Enteroclysis and all Angios except coronary</t>
  </si>
  <si>
    <t>Shadan institute of Medical Sciences</t>
  </si>
  <si>
    <t>APMC/FMR/91003</t>
  </si>
  <si>
    <t>aijaz7977@gmail.com</t>
  </si>
  <si>
    <t>50100480996966</t>
  </si>
  <si>
    <t>BKGPM6600P</t>
  </si>
  <si>
    <t>702751557038</t>
  </si>
  <si>
    <t>Amjad Ali Mohammad</t>
  </si>
  <si>
    <t xml:space="preserve">Dr.Cheppa Varun Raghav </t>
  </si>
  <si>
    <t>Basic USG, Tiffa, MSK, Penile dopplers, Guided Procedures, X- Ray, Mammpography, IVP, RGU, MCGU, Barium Swallow, Barium Enemma, HSG, Basic CT and Basic MRI</t>
  </si>
  <si>
    <t>Telangana Medical Council</t>
  </si>
  <si>
    <t>Dr.Zooni Nasrana Fatima</t>
  </si>
  <si>
    <t>Basic USG, Tiffa,  X- Ray, Mammpography, IVP, RGU, MCGU, Barium Swallow, Barium Enemma, HSG</t>
  </si>
  <si>
    <t>Deccen College of Medical Sciences</t>
  </si>
  <si>
    <t>zoonik93@gmail.com</t>
  </si>
  <si>
    <t>112401001138</t>
  </si>
  <si>
    <t>ICIC0001124</t>
  </si>
  <si>
    <t>ABIPZ4224C</t>
  </si>
  <si>
    <t>401863746325</t>
  </si>
  <si>
    <t>Javid Hussain Khan</t>
  </si>
  <si>
    <t>D1121080</t>
  </si>
  <si>
    <t>Dr.Dharipalli Jayavardhan</t>
  </si>
  <si>
    <t>APMC/FMR/78255</t>
  </si>
  <si>
    <t>jayavardhan_d@yahoo.co.in</t>
  </si>
  <si>
    <t>16401530007654</t>
  </si>
  <si>
    <t>HDFC0001640</t>
  </si>
  <si>
    <t>CCLPD1311G</t>
  </si>
  <si>
    <t>494574100606</t>
  </si>
  <si>
    <t>Dharipalli Nagabushanam</t>
  </si>
  <si>
    <t>D1115781</t>
  </si>
  <si>
    <t>Dr.Thirunahari Nayana</t>
  </si>
  <si>
    <t>Chalemeda Anandrao Institute of Medical Sciences</t>
  </si>
  <si>
    <t>9502729407/9940442408</t>
  </si>
  <si>
    <t>thirunaharinayana@gmail.com</t>
  </si>
  <si>
    <t>37823812153</t>
  </si>
  <si>
    <t>BBMPT8676H</t>
  </si>
  <si>
    <t>337063915137</t>
  </si>
  <si>
    <t>Thirunahari Suresh Babu</t>
  </si>
  <si>
    <t>D1115780</t>
  </si>
  <si>
    <t>Dr.K Niveditha</t>
  </si>
  <si>
    <t>Basic USG, Tiffa, MSK, X- Ray, Mammpography, IVP, RGU, MCGU, Barium Swallow, Barium Enemma, HSG, Basic CT and Basic MRI</t>
  </si>
  <si>
    <t>JJMMC</t>
  </si>
  <si>
    <t>APMC/FMR/85091</t>
  </si>
  <si>
    <t xml:space="preserve">9440512520 , 8073866241 </t>
  </si>
  <si>
    <t>nivedithak.kodali@gmail.com</t>
  </si>
  <si>
    <t>20130866641</t>
  </si>
  <si>
    <t>BBVPN7382R</t>
  </si>
  <si>
    <t>953314638817</t>
  </si>
  <si>
    <t>K Muralidhara</t>
  </si>
  <si>
    <t>D1119314</t>
  </si>
  <si>
    <t>Dr.Syed Taha Hussain</t>
  </si>
  <si>
    <t>Dr P T S Shashikant</t>
  </si>
  <si>
    <t>TSMC/FMR/06417</t>
  </si>
  <si>
    <t>sthussain95@gmail.com</t>
  </si>
  <si>
    <t>BBQPH0001L</t>
  </si>
  <si>
    <t>8-2-686/K/31, Inside Kaman, Road No. 12, Banjara Hills, Hyderabad, Telangana - 500034</t>
  </si>
  <si>
    <t>D1115777</t>
  </si>
  <si>
    <t>Dr.A F Md Nidaullah</t>
  </si>
  <si>
    <t>8:00 to 10:00</t>
  </si>
  <si>
    <t>14:00 to 20:00</t>
  </si>
  <si>
    <t>Deccan College Of Medical Sciences</t>
  </si>
  <si>
    <t>APMC/FMR/86500</t>
  </si>
  <si>
    <t>connect_nida@yahoo.com</t>
  </si>
  <si>
    <t>915010052450813</t>
  </si>
  <si>
    <t>BMFPA0108M</t>
  </si>
  <si>
    <t>580576072352</t>
  </si>
  <si>
    <t>A F Fazlullah</t>
  </si>
  <si>
    <t>D1115911</t>
  </si>
  <si>
    <t>Dr.Bayye Mouna Santhi Sree</t>
  </si>
  <si>
    <t>APMC/FMR/99542</t>
  </si>
  <si>
    <t>mounasanthisree176@gmail.com</t>
  </si>
  <si>
    <t>30960414802</t>
  </si>
  <si>
    <t>BPBPB3177C</t>
  </si>
  <si>
    <t>602545675378</t>
  </si>
  <si>
    <t>Pothana Raju Bayye</t>
  </si>
  <si>
    <t>D1115910</t>
  </si>
  <si>
    <t>Dr.Bandi Arun Kumar</t>
  </si>
  <si>
    <t>Basic CT, All Angios, Virtual Endoscopy, CT Enteroclysis, CT Guided procedures, Basic MRI, MR Defacography, MR Prostrate</t>
  </si>
  <si>
    <t>PES Institute of Medical sciences and Research</t>
  </si>
  <si>
    <t>APMC/FMR/80055</t>
  </si>
  <si>
    <t>arun.reddy9985@gmail.com</t>
  </si>
  <si>
    <t>50100250895424</t>
  </si>
  <si>
    <t>HDFC0009095</t>
  </si>
  <si>
    <t>BNFPB6335N</t>
  </si>
  <si>
    <t>285282725907</t>
  </si>
  <si>
    <t>B C Mohan Reddy</t>
  </si>
  <si>
    <t>D1119431</t>
  </si>
  <si>
    <t>Dr.Sushmita Keerthi</t>
  </si>
  <si>
    <t>Basic USG, Tiffa, Basic CT, All Angios, Basic MRI, Cardiac MR, X Ray, Plain Radiology, Mammography, IVP, RGU, MCGU, Barium Swallow, Barium Anema, HSG</t>
  </si>
  <si>
    <t>Ministry of Health and Family Welfare</t>
  </si>
  <si>
    <t>sushmita.chilkuri@gmail.com</t>
  </si>
  <si>
    <t>50100662632441</t>
  </si>
  <si>
    <t>AKGPC0279F</t>
  </si>
  <si>
    <t xml:space="preserve">Abroad </t>
  </si>
  <si>
    <t>H. No. 1-1-9/9/A, Jawahar Nagar, RTC X Roads, Musheerabad, Hyderabad, Telangana - 500020</t>
  </si>
  <si>
    <t>Lothukunta-90</t>
  </si>
  <si>
    <t>362882478788</t>
  </si>
  <si>
    <t>D1115810</t>
  </si>
  <si>
    <t>Dr.Pratibha B H</t>
  </si>
  <si>
    <t>USG Basic, Tiffa, Fetal Echo, MSK, Dopplers, Guided Procedured, X- Ray, Mammpography, IVP, RGU, MCGU, Barium Swallow, Barium Enemma, HSG, Basic CT, All Angios, CT Perfusion, CT Enteroclysis, MRI Basic, MR Prostrate, MR Neurography</t>
  </si>
  <si>
    <t>TSMC/FMR/18479</t>
  </si>
  <si>
    <t>pratibhasatyampet@gmail.com</t>
  </si>
  <si>
    <t>33667851483</t>
  </si>
  <si>
    <t>SBIN0001972</t>
  </si>
  <si>
    <t>BRQPP9363R</t>
  </si>
  <si>
    <t>540449984434</t>
  </si>
  <si>
    <t>Basavaraja</t>
  </si>
  <si>
    <t>D1115909</t>
  </si>
  <si>
    <t>Dr.Aakansha Shukla</t>
  </si>
  <si>
    <t>Karnataka Institute of Medical Sciences</t>
  </si>
  <si>
    <t>Rajarajeswari Medical College and Hospital</t>
  </si>
  <si>
    <t>aakanshashukla2016@gmail.com</t>
  </si>
  <si>
    <t>37891562370</t>
  </si>
  <si>
    <t>SBIN0011394</t>
  </si>
  <si>
    <t>BOAPS9113K</t>
  </si>
  <si>
    <t>612119801980</t>
  </si>
  <si>
    <t>Anil Kumar Shukla</t>
  </si>
  <si>
    <t>D1115908</t>
  </si>
  <si>
    <t>Dr.Perumallapalli Pavani</t>
  </si>
  <si>
    <t>8:00 AM to 1:00 PM ( Any 4 hours as per duty roster) and 3:00 PM to 8:00 PM ( Any 4 hours as per duty roster)</t>
  </si>
  <si>
    <t>Dr. NTR University of Health Sciences - 2012</t>
  </si>
  <si>
    <t>MD</t>
  </si>
  <si>
    <t>APMC/FMR/82149</t>
  </si>
  <si>
    <t>drpavani.777@gmail.com</t>
  </si>
  <si>
    <t>BARB0UPPALX</t>
  </si>
  <si>
    <t>CHSPP2788R</t>
  </si>
  <si>
    <t>330271618078</t>
  </si>
  <si>
    <t>Krishna Prasad</t>
  </si>
  <si>
    <t>D1115907</t>
  </si>
  <si>
    <t>Dr.Usha Amgoth</t>
  </si>
  <si>
    <t>Moula-Ali - 86</t>
  </si>
  <si>
    <t>USG Basic, Tiffa, Dopplers, Guided Procedure, X- Ray, Mammography, IVP, RGU, MCGU, Barium Swallow, Barium Enemma, HSG, Basic CT, All Angios except Coronary</t>
  </si>
  <si>
    <t>Kakatiya Medical College Warangal</t>
  </si>
  <si>
    <t>Prathima Institute Of Medical Sciences</t>
  </si>
  <si>
    <t>dhruvusha.06@gmail.com</t>
  </si>
  <si>
    <t>24990100011011</t>
  </si>
  <si>
    <t>BARB0KHAMMA</t>
  </si>
  <si>
    <t>CJVPM4650E</t>
  </si>
  <si>
    <t>202498157484</t>
  </si>
  <si>
    <t>Amgoth Ramulu</t>
  </si>
  <si>
    <t>D1115913</t>
  </si>
  <si>
    <t>Dr.Baddula Swetha Yadav</t>
  </si>
  <si>
    <t>drswethayadav9@gmail.com</t>
  </si>
  <si>
    <t>62461778756</t>
  </si>
  <si>
    <t>SBIN0021164</t>
  </si>
  <si>
    <t>AFXPY6264Q</t>
  </si>
  <si>
    <t>202194226151</t>
  </si>
  <si>
    <t>Ravinder Yadav Baddula</t>
  </si>
  <si>
    <t>D1116130</t>
  </si>
  <si>
    <t>Dr.Chaluvadi Sravanthi Padmini</t>
  </si>
  <si>
    <t>paddu1611@gmail.com</t>
  </si>
  <si>
    <t>20129755888</t>
  </si>
  <si>
    <t>SBIN0015901</t>
  </si>
  <si>
    <t>ASIPC8759L</t>
  </si>
  <si>
    <t>863679536515</t>
  </si>
  <si>
    <t>Krishna Rama Chaluvadi</t>
  </si>
  <si>
    <t xml:space="preserve">Dr.Arpula Prathibha Rani </t>
  </si>
  <si>
    <t>Basaveswara Medical College</t>
  </si>
  <si>
    <t>Yadaiah Arpula</t>
  </si>
  <si>
    <t>D1115969</t>
  </si>
  <si>
    <t>Dr.Matta Sujana Reddy</t>
  </si>
  <si>
    <t>reddy.msujana@gmail.com</t>
  </si>
  <si>
    <t>50100089408162</t>
  </si>
  <si>
    <t>HDFC0001628</t>
  </si>
  <si>
    <t>CWLPM8884M</t>
  </si>
  <si>
    <t>807413090665</t>
  </si>
  <si>
    <t>Venkat Ramana Matta</t>
  </si>
  <si>
    <t>D1115968</t>
  </si>
  <si>
    <t>Dr.Mallipeddi Pravallika</t>
  </si>
  <si>
    <t>Mamata medical college</t>
  </si>
  <si>
    <t>8790468103 / 8179465320 </t>
  </si>
  <si>
    <t>prabhareddy21@gmail.com</t>
  </si>
  <si>
    <t>62168359025</t>
  </si>
  <si>
    <t>SBIN0020848</t>
  </si>
  <si>
    <t>CODPM3846M</t>
  </si>
  <si>
    <t>825303121050</t>
  </si>
  <si>
    <t>Nagarjun Reddy Mallipeddi</t>
  </si>
  <si>
    <t>D1109493</t>
  </si>
  <si>
    <t>Dr.Meda Tejaswi</t>
  </si>
  <si>
    <t>dr.tejaswireddym@gmail.com</t>
  </si>
  <si>
    <t>04181140011222</t>
  </si>
  <si>
    <t>CMFPM2451J</t>
  </si>
  <si>
    <t>632042114161</t>
  </si>
  <si>
    <t>Mohan Reddy Meda</t>
  </si>
  <si>
    <t>D1110501</t>
  </si>
  <si>
    <t>Dr.Niharika Kadiyala</t>
  </si>
  <si>
    <t>USG Basic, Tiffa, Fetal Echo, MSK, Dopplers, Guided Procedures, X- Ray, Mammography, IVP, RGU, MCGU, Barium Swallow, Barium Enema, HSG, Basic CT,MRI Basic</t>
  </si>
  <si>
    <t>TSMC/FMR/05064</t>
  </si>
  <si>
    <t>dr.niharikakadiyalaa@gmail.com</t>
  </si>
  <si>
    <t>004001039998</t>
  </si>
  <si>
    <t>DJUPK9013B</t>
  </si>
  <si>
    <t>929116456643</t>
  </si>
  <si>
    <t>Subba Rao Kadiyala</t>
  </si>
  <si>
    <t>Not Applicable - Absconded</t>
  </si>
  <si>
    <t>D1115966</t>
  </si>
  <si>
    <t>Dr.Kola Shravani</t>
  </si>
  <si>
    <t>TSMC/FMR/10373</t>
  </si>
  <si>
    <t>shravani0402@gmail.com</t>
  </si>
  <si>
    <t>0213490209</t>
  </si>
  <si>
    <t>KKBK0008376</t>
  </si>
  <si>
    <t>EUVPK7456M</t>
  </si>
  <si>
    <t>635253239137</t>
  </si>
  <si>
    <t>Shivkumar Kola</t>
  </si>
  <si>
    <t>D1115971</t>
  </si>
  <si>
    <t>Dr.Chaluvadi Vijaya Lakshmi</t>
  </si>
  <si>
    <t>TSMC/FMR/08810</t>
  </si>
  <si>
    <t>vijayalakshmichaluvadi45@gmail.com</t>
  </si>
  <si>
    <t>62346333195</t>
  </si>
  <si>
    <t>SBIN0020981</t>
  </si>
  <si>
    <t>BAVPC5820N</t>
  </si>
  <si>
    <t>474934364767</t>
  </si>
  <si>
    <t>Ravinder Chaluvadi</t>
  </si>
  <si>
    <t>USG Basic, Tiffa, MSK, Penile Dopplers, Guided Procedured, X- Ray, Mammography, IVP, RGU, MCGU, Barium Swallow, Barium Enemma, HSG, Basic CT, All Angios, CT Enteroclysis, Basic MR, Fetal MR</t>
  </si>
  <si>
    <t>PES Institute of Medical Sciences</t>
  </si>
  <si>
    <t>D1115965</t>
  </si>
  <si>
    <t>Dr.A Vamshi Krishna Reddy</t>
  </si>
  <si>
    <t>Sangareddy - 4</t>
  </si>
  <si>
    <t>USG Basic, Tiffa, Guided Procedured, X- Ray, Mammpography, IVP, RGU, MCGU, Barium Swallow, Barium Enemma, HSG, Basic CT, All Angios, Basic MR, MR Perfusion</t>
  </si>
  <si>
    <t>Gandhi medical college</t>
  </si>
  <si>
    <t>KIMS hospital</t>
  </si>
  <si>
    <t>APMC/FMR/94037</t>
  </si>
  <si>
    <t>vamshia.mbbs@gmail.com</t>
  </si>
  <si>
    <t>59112244466688</t>
  </si>
  <si>
    <t>HDFC0003949</t>
  </si>
  <si>
    <t>BEFPV0052R</t>
  </si>
  <si>
    <t>664813358618</t>
  </si>
  <si>
    <t>Anmula Jithender Reddy</t>
  </si>
  <si>
    <t>D1115963</t>
  </si>
  <si>
    <t>Dr.Vatti Anurudh Kishore</t>
  </si>
  <si>
    <t>USG Basic, Tiffa, Fetal Echo, MSK, Penile Dopplers, Guided Procedures,  X- Ray, Mammography, IVP, RGU, MCGU, Barium Swallow, Barium Enemma, HSG, Basic CT, All Angios, CT Enteroclysis, CT Guided procedures, Basic MR, CSF flow study, MR Perfusion, MR Defacography, MR Prostrate, MR Neurography</t>
  </si>
  <si>
    <t>APMC/FMR/88250</t>
  </si>
  <si>
    <t>anurudh.kishore@gmail.com</t>
  </si>
  <si>
    <t>32993603400</t>
  </si>
  <si>
    <t>AIZPV3555A</t>
  </si>
  <si>
    <t>319851497677</t>
  </si>
  <si>
    <t>Vatti Balakishtaiah Nand Kishore</t>
  </si>
  <si>
    <t>D1115964</t>
  </si>
  <si>
    <t>Dr.B Bhavya</t>
  </si>
  <si>
    <t>USG Basic,  Guided Procedured, X- Ray, Mammpography, IVP, RGU, MCGU, Barium Swallow, Barium Enemma, HSG, Basic CT, All Angios, CT Enteroclysis, Basic MR</t>
  </si>
  <si>
    <t>Sri Rama Chandra Medical College</t>
  </si>
  <si>
    <t>TSMC/FMR/04446</t>
  </si>
  <si>
    <t>bhavya.basetti@gmail.com</t>
  </si>
  <si>
    <t>6661348725</t>
  </si>
  <si>
    <t>IDIB000S180</t>
  </si>
  <si>
    <t>CEDPB6236A</t>
  </si>
  <si>
    <t>879853548338</t>
  </si>
  <si>
    <t>Basetti Lakshmi Narayana</t>
  </si>
  <si>
    <t>V1101657</t>
  </si>
  <si>
    <t>Dr.Pallem Krishnakanth</t>
  </si>
  <si>
    <t>USG Basic, Tiffa, MSK, Guided Procedures, X- Ray,  IVP, RGU, MCGU, Barium Swallow, Barium Enemma, HSG, Basic CT, All Angios except coronary, CT Enteroclysis</t>
  </si>
  <si>
    <t>krishnakanthpallem007@gmail.com</t>
  </si>
  <si>
    <t>50100187814057</t>
  </si>
  <si>
    <t>HDFC0001021</t>
  </si>
  <si>
    <t>CPMPK4593M</t>
  </si>
  <si>
    <t>994758948842</t>
  </si>
  <si>
    <t>Pallem Venkati</t>
  </si>
  <si>
    <t>D1116217</t>
  </si>
  <si>
    <t>Dr.Challa Sukumar</t>
  </si>
  <si>
    <t>Xi’an Jiaotong University, China  and MCI exam in 2014</t>
  </si>
  <si>
    <t>NDMC- Government Hindu Rao Hospital and Medical College, Delhi</t>
  </si>
  <si>
    <t>MBBS, DNB</t>
  </si>
  <si>
    <t>APMC/FMR/90342</t>
  </si>
  <si>
    <t>samsonsukumar00@gmail.com</t>
  </si>
  <si>
    <t>33949662973</t>
  </si>
  <si>
    <t>SBIN0000883</t>
  </si>
  <si>
    <t>APVPC1916K</t>
  </si>
  <si>
    <t>C. Sikhamani</t>
  </si>
  <si>
    <t>D1116219</t>
  </si>
  <si>
    <t>Dr.Tadiboyina Kavya</t>
  </si>
  <si>
    <t>USG Basic, Tiffa, Fetal Echo, Guided Procedured, X- Ray,  IVP, RGU, MCGU, Barium Swallow, Barium Enemma, HSG, Basic CT</t>
  </si>
  <si>
    <t>TSMC/FMR/01314</t>
  </si>
  <si>
    <t>Telangana Medical Countil</t>
  </si>
  <si>
    <t>kavyatadiboyina@gmail.com</t>
  </si>
  <si>
    <t>20125811044</t>
  </si>
  <si>
    <t>SBIN0021393</t>
  </si>
  <si>
    <t>AQBPT1093M</t>
  </si>
  <si>
    <t>Veera Swamy Tadiboyina</t>
  </si>
  <si>
    <t>Dr.Bollam Vyshnavi </t>
  </si>
  <si>
    <t xml:space="preserve">Mamata Medical college </t>
  </si>
  <si>
    <t>Dr.Swetha Madasu</t>
  </si>
  <si>
    <t>Dr. Shashikant</t>
  </si>
  <si>
    <t>Chalmeda Anand Rao Institute of Medical Sciences, Karimnagar</t>
  </si>
  <si>
    <t>Muraliprasad Madasu</t>
  </si>
  <si>
    <t>D1116220</t>
  </si>
  <si>
    <t>Dr.Narra Sudheer Kumar</t>
  </si>
  <si>
    <t>Basic USG, Tiffa, MSK, Penile Dopplers/TRUS, Guided Procedures, X- Ray, Mammography, IVP, RGU, MCGU, Barium Swallow, Barium Enemma, HSG, Basic CT, All Angios, CT Enteroclysis, CT Guided Procedures, Basic MRI</t>
  </si>
  <si>
    <t>Dr. L T Kishore</t>
  </si>
  <si>
    <t xml:space="preserve">Gandhi Medical College, Hyderabad </t>
  </si>
  <si>
    <t xml:space="preserve">Prathima Institute of Medical Sciences, Karimnagar </t>
  </si>
  <si>
    <t>APMC/FMR/93949</t>
  </si>
  <si>
    <t>8121568745, 9642182905</t>
  </si>
  <si>
    <t>sudheer.gmc@gmail.com</t>
  </si>
  <si>
    <t>916010074422323</t>
  </si>
  <si>
    <t>UTIB0000687</t>
  </si>
  <si>
    <t>BDZPN7572F</t>
  </si>
  <si>
    <t>Anjaneyulu Narra</t>
  </si>
  <si>
    <t>D1116218</t>
  </si>
  <si>
    <t>Dr.Nithya Mamidala</t>
  </si>
  <si>
    <t xml:space="preserve">Osmania Medical College under Kaloji Narayana Rao University, Warangal </t>
  </si>
  <si>
    <t>APMC/FMR/81655</t>
  </si>
  <si>
    <t>nithya161189@gmail.com</t>
  </si>
  <si>
    <t>50100036748194</t>
  </si>
  <si>
    <t>HDFC0000811</t>
  </si>
  <si>
    <t>CMIPM0447H</t>
  </si>
  <si>
    <t>Bhikshapathi Mamidala</t>
  </si>
  <si>
    <t>Dr.Syed Aamir Sohail</t>
  </si>
  <si>
    <t>USG Basic, Tiffa, MSK, Guided Procedures, X-Rays, Basic CTs, CT guided procedures, Basic MRI</t>
  </si>
  <si>
    <t>Mahadevappa Rampure Medical College, Gurbara, Karnataka</t>
  </si>
  <si>
    <t>Navodaya Medical College and Research Centre, Raichur, Karnataka</t>
  </si>
  <si>
    <t>TSMC/FMR/18571</t>
  </si>
  <si>
    <t>syedsohail281@gmail.com</t>
  </si>
  <si>
    <t>D1108383</t>
  </si>
  <si>
    <t>Dr.Preetham Pantrangam</t>
  </si>
  <si>
    <t>USG, Xray, CT and MRI</t>
  </si>
  <si>
    <t>preetham1783@gmail.com</t>
  </si>
  <si>
    <t>HDFC</t>
  </si>
  <si>
    <t>50100142965561</t>
  </si>
  <si>
    <t>BLDPP4460N</t>
  </si>
  <si>
    <t>330511334928</t>
  </si>
  <si>
    <t>D1116343</t>
  </si>
  <si>
    <t>Dr.Borra Meghana Sai Swetha</t>
  </si>
  <si>
    <t>Nizampet</t>
  </si>
  <si>
    <t>50100426912435</t>
  </si>
  <si>
    <t>HDFC00003949</t>
  </si>
  <si>
    <t>LHCPS4651P</t>
  </si>
  <si>
    <t>347122918563</t>
  </si>
  <si>
    <t>30 July 2022 - LWD</t>
  </si>
  <si>
    <t>Part time</t>
  </si>
  <si>
    <t>DNB</t>
  </si>
  <si>
    <t>0.6</t>
  </si>
  <si>
    <t>Basic USG, Tiffa, MSK, Guided Procedures, Basic CT, CT Enteroclysis, Basic MRI, X-Ray, IVP, RGU, MCGU, Barium Swallow, BariumEnema, HSG</t>
  </si>
  <si>
    <t>Mamata Medical College, Khammam, Telangana</t>
  </si>
  <si>
    <t>Navodaya Medical College, Raichur, Karnataka</t>
  </si>
  <si>
    <t>TSMC/FMR/02483</t>
  </si>
  <si>
    <t>Y Dilip Reddy</t>
  </si>
  <si>
    <t>D1116351</t>
  </si>
  <si>
    <t>Dr.Kummari Divya sree</t>
  </si>
  <si>
    <t xml:space="preserve"> divyasreekummari2710@gmail.com</t>
  </si>
  <si>
    <t>UNION BANK OF INDIA</t>
  </si>
  <si>
    <t>030210100105904</t>
  </si>
  <si>
    <t>CIQPK7959C</t>
  </si>
  <si>
    <t>716080420045</t>
  </si>
  <si>
    <t>D1116346</t>
  </si>
  <si>
    <t>Dr.A Narasimha Reddy</t>
  </si>
  <si>
    <t>USG Basic, Tiffa, MSK, Basic CT, All Angios except Coronary, Virtual Endoscopy, CT Perfusion, CT Enterclysis, Basic MRI, Cardiac MRI, MR Perfusion, Fetal MRI, MR Prostate, X-Ray, Mammography, IVP, RGU, MCGU, Barium Swallow, Barium Enema, HSG</t>
  </si>
  <si>
    <t xml:space="preserve">Prathima Institute Of Medical Sciences </t>
  </si>
  <si>
    <t>Jawaharlal Nehru Medical Sciences, KLE University, Belgaum</t>
  </si>
  <si>
    <t>59126120621989</t>
  </si>
  <si>
    <t>HDFC0001014</t>
  </si>
  <si>
    <t>ATDPA9674L</t>
  </si>
  <si>
    <t>822544987989</t>
  </si>
  <si>
    <t>D1116350</t>
  </si>
  <si>
    <t>Dr.Ramnath M D V</t>
  </si>
  <si>
    <t>ramnathmajety@hotmail.com</t>
  </si>
  <si>
    <t>AHUPM3761B</t>
  </si>
  <si>
    <t>723210385289</t>
  </si>
  <si>
    <t>Performance issues, asked to leave from our end</t>
  </si>
  <si>
    <t>Dr.Sushma Cherukuri</t>
  </si>
  <si>
    <t>AQOPC9348M</t>
  </si>
  <si>
    <t>588252497215</t>
  </si>
  <si>
    <t>D1115075</t>
  </si>
  <si>
    <t>Dr.Mohd Jameel</t>
  </si>
  <si>
    <t>Basic USG, Tiffa, USG Guided procedures,  IVP, RGU, MCGU, Barium Swallow, Barium Enemma, HSG, X-Ray</t>
  </si>
  <si>
    <t>SRM Medical College</t>
  </si>
  <si>
    <t>TSMC/FMR/02581</t>
  </si>
  <si>
    <t>jameelkairos@gmail.com</t>
  </si>
  <si>
    <t>30442010212228</t>
  </si>
  <si>
    <t>CNRB0013044</t>
  </si>
  <si>
    <t>CBAPM4874K</t>
  </si>
  <si>
    <t>406257701478</t>
  </si>
  <si>
    <t>Mohd Sikandar</t>
  </si>
  <si>
    <t>Notice issued from Vijaya</t>
  </si>
  <si>
    <t>D1116231</t>
  </si>
  <si>
    <t>Dr.Prithvi Rani</t>
  </si>
  <si>
    <t>USG, Tiffa,  TRUS, Guided Procedures,  IVP, RGU, MCGU, Barium Swallow, Barium Enemma, HSG, X Ray,  Mammography,  Basic CT, All Angios, Virtual Entoscopy,  CT Perfusion, CT Enterclysis,  CT Guided procedures,  MRI Basic, MR Flow Study, MR Perfusion, Fetal MR,  MR Prostrate and MR Neurography</t>
  </si>
  <si>
    <t>00000020205715281</t>
  </si>
  <si>
    <t>CHOPR5407F</t>
  </si>
  <si>
    <t>869234040385</t>
  </si>
  <si>
    <t>Dr.Gunda Venkata Koteswara Rao</t>
  </si>
  <si>
    <t>D1116345</t>
  </si>
  <si>
    <t xml:space="preserve">Dr.Mohammad Fahad Abdul Gafur Chaudhari </t>
  </si>
  <si>
    <t>USG, Xray</t>
  </si>
  <si>
    <t>50100471010038</t>
  </si>
  <si>
    <t>AHGPC5817L</t>
  </si>
  <si>
    <t>595024099555</t>
  </si>
  <si>
    <t xml:space="preserve">Yashoda Hospital, Somajiguda, Hyderabad </t>
  </si>
  <si>
    <t>ICICI</t>
  </si>
  <si>
    <t>004801621369</t>
  </si>
  <si>
    <t>D1116347</t>
  </si>
  <si>
    <t>Dr.C Manjula Vani Kiran</t>
  </si>
  <si>
    <t>8:30 to 10:30</t>
  </si>
  <si>
    <t>16:30 to 18:30</t>
  </si>
  <si>
    <t>Sri Venkatewara Medical College, Tirupathi</t>
  </si>
  <si>
    <t>30531455270</t>
  </si>
  <si>
    <t>SBIN0021991</t>
  </si>
  <si>
    <t>ANCPC5437C</t>
  </si>
  <si>
    <t>548497553515</t>
  </si>
  <si>
    <t>Basic USG, Guided Procedures, Xray, Mammography, IVP, RGU, MCGU, Barium Swallow, Barium Enema, HSG</t>
  </si>
  <si>
    <t xml:space="preserve"> GSL Medical College, Rajahmundry, AP</t>
  </si>
  <si>
    <t>APMC/ FMR/80963</t>
  </si>
  <si>
    <t>59150015102021</t>
  </si>
  <si>
    <t>HDFC0000368</t>
  </si>
  <si>
    <t>717447615277</t>
  </si>
  <si>
    <t>D1116348</t>
  </si>
  <si>
    <t>Dr.Deepa Anantha Laxmi N V</t>
  </si>
  <si>
    <t>058801513043</t>
  </si>
  <si>
    <t>AXVPN4015A</t>
  </si>
  <si>
    <t>230003091828</t>
  </si>
  <si>
    <t>D1116349</t>
  </si>
  <si>
    <t xml:space="preserve">Dr.Arisetty Himabindu </t>
  </si>
  <si>
    <t xml:space="preserve">DR.B.R.AMBEDKAR MEDICAL COLLEGE, BANGALORE. </t>
  </si>
  <si>
    <t xml:space="preserve">KMC, Manipal </t>
  </si>
  <si>
    <t>drahimabindu@gmail.com</t>
  </si>
  <si>
    <t>50100517895702</t>
  </si>
  <si>
    <t>AWYPA9674J</t>
  </si>
  <si>
    <t>254113030764</t>
  </si>
  <si>
    <t>D1116525</t>
  </si>
  <si>
    <t>Dr.Hanumandla Abdhija</t>
  </si>
  <si>
    <t>M N R Medical College, Sangareddy, Telangana</t>
  </si>
  <si>
    <t>Gandhi Medical College, Secunderabad</t>
  </si>
  <si>
    <t>abdhija.h@gmail.com</t>
  </si>
  <si>
    <t>State Bank Of India</t>
  </si>
  <si>
    <t>20244019287</t>
  </si>
  <si>
    <t>AEPPH9158F</t>
  </si>
  <si>
    <t>Balaraju Hanumandla</t>
  </si>
  <si>
    <t>V1101661</t>
  </si>
  <si>
    <t>Dr.Upendra Bhargava Mohan</t>
  </si>
  <si>
    <t>USG, Tiffa, MSK, Guided Procedures,  IVP, RGU, MCGU, Barium Swallow, Barium Enemma, HSG, X Ray,  Mammography,  Basic CT, All Angios, CT Enterclysis,  CT Guided procedures,  MRI Basic, Cardiac MRI, CSF Flow Study, MR Perfusion, Fetal MR, MR Defacography,  MR Prostrate and MR Neurography</t>
  </si>
  <si>
    <t>DMRD - Kurnool Medical College</t>
  </si>
  <si>
    <t>DNB - KIMS Hospitals, 2019</t>
  </si>
  <si>
    <t>MBBS, DMRD, DNB</t>
  </si>
  <si>
    <t>drgupendra@gmail.com</t>
  </si>
  <si>
    <t>31187448095</t>
  </si>
  <si>
    <t>SBIN0011080</t>
  </si>
  <si>
    <t>BCMPG0089E</t>
  </si>
  <si>
    <t>Rajeswara Rao Goparaju</t>
  </si>
  <si>
    <t>USG Basic, Tiffa, Fetal Echo, MSK, Guided Procedures, X Ray, IVP, RGU, MCGU, Barium Swallow, Barium Enema, HSG</t>
  </si>
  <si>
    <t>APMC/FMR/83475</t>
  </si>
  <si>
    <t>D1116528</t>
  </si>
  <si>
    <t>Dr.Anusha Mekala</t>
  </si>
  <si>
    <t>6:00 to 8:00</t>
  </si>
  <si>
    <t>USG Basic, Tiffa, Fetal Echo, Guided Procedures, X Ray, Mamography, IVP, RGU, MCGU, Barium Swallow, Barium Enema, HSG, Basic CT, All angios except coronary, CT Perfusion, CT Enteroclysis, MRI, MR Perfusion, Fetal MR, MR Prostrate</t>
  </si>
  <si>
    <t>Kamineni Institute of Medical Sciences, Narketpally</t>
  </si>
  <si>
    <t>APMC/FMR/80447</t>
  </si>
  <si>
    <t>anushavarma41@gmail.com</t>
  </si>
  <si>
    <t>50100516952521</t>
  </si>
  <si>
    <t>HDFC0005391</t>
  </si>
  <si>
    <t>EMCPM6476C</t>
  </si>
  <si>
    <t>Ramesh Mekala</t>
  </si>
  <si>
    <t>D1116524</t>
  </si>
  <si>
    <t>Dr.Atul Upadhyay</t>
  </si>
  <si>
    <t xml:space="preserve">Muzaffarnagar Medical College &amp; Hospital, Muzaffarnagar </t>
  </si>
  <si>
    <t>Saraswathi Institute of Medical Sciences, Hapur, Chaudhary Charan Singh University, Meerut</t>
  </si>
  <si>
    <t>atkeshvi23@gmail.com</t>
  </si>
  <si>
    <t>30251664723</t>
  </si>
  <si>
    <t>SBIN0003111</t>
  </si>
  <si>
    <t>ABAPU6193M</t>
  </si>
  <si>
    <t>Ramesh Chand Upadhyay</t>
  </si>
  <si>
    <t>Dr.Anila Sushma Challa</t>
  </si>
  <si>
    <t>ASRAM medical college, Eluru, Andhra Pradesh</t>
  </si>
  <si>
    <t>anila.sushma@gmail.com</t>
  </si>
  <si>
    <t>D1116523</t>
  </si>
  <si>
    <t>Dr.Jigeesha Gutti</t>
  </si>
  <si>
    <t>Hematology, Cytology, Clinical Pathology</t>
  </si>
  <si>
    <t>Pinnamanenisiddhartha Institute  of Medical Sciences</t>
  </si>
  <si>
    <t>jigeeshagutti@gmail.com</t>
  </si>
  <si>
    <t>50100418430916</t>
  </si>
  <si>
    <t>HDFC0005088</t>
  </si>
  <si>
    <t>AVWPG0792N</t>
  </si>
  <si>
    <t>Venkata rao</t>
  </si>
  <si>
    <t>Dr.V S Srikala</t>
  </si>
  <si>
    <t>SVMC, Tirupathi</t>
  </si>
  <si>
    <t>Sri Venkateswara Institute of Medical Sciences, Tirupathi</t>
  </si>
  <si>
    <t>srikalasanangula@gmail.com</t>
  </si>
  <si>
    <t>1440166000033560</t>
  </si>
  <si>
    <t>KVBL0001440</t>
  </si>
  <si>
    <t>AMNPV 3401D</t>
  </si>
  <si>
    <t>V. S. Siddaiah</t>
  </si>
  <si>
    <t>D1116526</t>
  </si>
  <si>
    <t>Dr.Sobiya Mahnaz Ayesha</t>
  </si>
  <si>
    <t>APMC/FMR/86023</t>
  </si>
  <si>
    <t>sobiya6691@gmail.com</t>
  </si>
  <si>
    <t>Union Bank</t>
  </si>
  <si>
    <t>107910100049954</t>
  </si>
  <si>
    <t>BQZPA5075P</t>
  </si>
  <si>
    <t>Khaja Gulam Mohammed Haqqani</t>
  </si>
  <si>
    <t>D1116529</t>
  </si>
  <si>
    <t xml:space="preserve">Dr.Rajesh L G </t>
  </si>
  <si>
    <t>Adichuchanagiri Institute Of Medical Sciences, Bellur</t>
  </si>
  <si>
    <t>Dharmasthala Manjunatheshwara Medical College, Dharwad</t>
  </si>
  <si>
    <t>DMCH</t>
  </si>
  <si>
    <t>drlgrajesh@Yahoo.co.in</t>
  </si>
  <si>
    <t>50100501496000</t>
  </si>
  <si>
    <t>ALJPR7854H</t>
  </si>
  <si>
    <t>L N Gangadarappa</t>
  </si>
  <si>
    <t>Dr.Madhuri K</t>
  </si>
  <si>
    <t>Rajarajeswari Medical College, Bangaluru, Karnataka</t>
  </si>
  <si>
    <t>D1116658</t>
  </si>
  <si>
    <t>Dr.Tasmiya Khan</t>
  </si>
  <si>
    <t>Shadan Medical College, Hyderabad, Telangana</t>
  </si>
  <si>
    <t>TSMC/FMR/05715</t>
  </si>
  <si>
    <t>tasmiyaelensar1518@gmail.com</t>
  </si>
  <si>
    <t>50100211328904</t>
  </si>
  <si>
    <t>HDFC0003788</t>
  </si>
  <si>
    <t>BDNPT6971J</t>
  </si>
  <si>
    <t>Jalal Khan Abdul</t>
  </si>
  <si>
    <t>D1116652</t>
  </si>
  <si>
    <t>Dr.Hari Krishna Namburi</t>
  </si>
  <si>
    <t>Basic USG, Tiffa, MSK, Penile Dopplers/TRUS, Guided Procedures, X-Ray, Mammography, IVP, RGU, MCGU, Barium Swallow, Barium Enema, HSG</t>
  </si>
  <si>
    <t>Ningxia Medical College</t>
  </si>
  <si>
    <t>Sri Manakula Vinayagar Medical College, Pondicherry University</t>
  </si>
  <si>
    <t>MCI/11-42018 (PG Not yet registered)</t>
  </si>
  <si>
    <t>namburuhari16@yahoo.com</t>
  </si>
  <si>
    <t>AHQPN6514M</t>
  </si>
  <si>
    <t>Subba naidu Namburi</t>
  </si>
  <si>
    <t>Posted in Kavuri Hills in June 2022</t>
  </si>
  <si>
    <t>Dr.D Jyoti Reddy // Dwaram Jyoti Mallikarjun Reddy</t>
  </si>
  <si>
    <t>Dr. D Y Patil Institute of Medical Sciences, Pune, Maharashtra</t>
  </si>
  <si>
    <t>Chalmeda Anand Rao Institute of Medical Sciences, Karimnagar, Telangana</t>
  </si>
  <si>
    <t>Gandhi Medical College, Hyderabad, Telangana</t>
  </si>
  <si>
    <t>jyothi.mazzu@gmail.com</t>
  </si>
  <si>
    <t>D1116660</t>
  </si>
  <si>
    <t>Dr.Syed Salman</t>
  </si>
  <si>
    <t>Basic USG, Tiffa, IVP, RGU, MCGU, Barium Swallow, Barium Enema, HSG, Xray, Mammography, Basic CT, All Angios Except Coronary, CT Enteroclysis, Basic MRI, MRI Prostrate</t>
  </si>
  <si>
    <t>Shadaan Institute of Medical Sciences</t>
  </si>
  <si>
    <t>Max Super Speciality Hospital, Mohali, Punjab</t>
  </si>
  <si>
    <t>TSMC/FMR/03825</t>
  </si>
  <si>
    <t>syedsalman66@yahoo.com</t>
  </si>
  <si>
    <t>918010080885752</t>
  </si>
  <si>
    <t>UTIB0001305</t>
  </si>
  <si>
    <t>JUDPS7653K</t>
  </si>
  <si>
    <t>Syed Baber</t>
  </si>
  <si>
    <t xml:space="preserve">TSMC/FMR/03825 </t>
  </si>
  <si>
    <t>Basic USG, Tiffa, Guided Procedured,  X- Ray, Mammography, IVP, RGU, MCGU, Barium Swallow, Barium Enemma, HSG, Basic CT, CT Guided Procedures and Basic MRI</t>
  </si>
  <si>
    <t>Rajiv Gandhi Institute of Medical Scineces</t>
  </si>
  <si>
    <t>Maharaja Institute Of Medical Sciences(MIMS)</t>
  </si>
  <si>
    <t>Kommidi Mahendar Reddy</t>
  </si>
  <si>
    <t>V1101779</t>
  </si>
  <si>
    <t>Dr.Kavitha Mandapati</t>
  </si>
  <si>
    <t>APMC/FMR/84177</t>
  </si>
  <si>
    <t>drkavithareddy7@gmail.com</t>
  </si>
  <si>
    <t>ICIC0001117</t>
  </si>
  <si>
    <t>CUIPK6433K</t>
  </si>
  <si>
    <t>Mandapati Yalamanda Reddy</t>
  </si>
  <si>
    <t>Pt. BD Sharma Post Graduate Institute Of Medical
Sciences (PGIMS), Rohtak, Haryana</t>
  </si>
  <si>
    <t xml:space="preserve">Pt. BD Sharma Post Graduate Institute Of Medical
Sciences (PGIMS), Rohtak, Haryana </t>
  </si>
  <si>
    <t>MBBS, MD- Pathology</t>
  </si>
  <si>
    <t>4099000100156730</t>
  </si>
  <si>
    <t>PUNB0409900</t>
  </si>
  <si>
    <t>Suresh Kumar Monga</t>
  </si>
  <si>
    <t>D1116649</t>
  </si>
  <si>
    <t>Dr.Mohd Rahel Afzal</t>
  </si>
  <si>
    <t>Shadan Institute of Medical Sciences, Hyderbad, Telangana</t>
  </si>
  <si>
    <t>TSMC/FMR/00334</t>
  </si>
  <si>
    <t>dr.rahelafzal@gmail.com</t>
  </si>
  <si>
    <t>SBIN0020534</t>
  </si>
  <si>
    <t>COUPA5864G</t>
  </si>
  <si>
    <t>Mohd Abdul Bari</t>
  </si>
  <si>
    <t>D1116655</t>
  </si>
  <si>
    <t>Dr.Amudala Srinivasa Sahu</t>
  </si>
  <si>
    <t>amusri81@gmail.com</t>
  </si>
  <si>
    <t>ICIC0001319</t>
  </si>
  <si>
    <t>AWQPA0164M</t>
  </si>
  <si>
    <t>Kesava Sahu Amudala</t>
  </si>
  <si>
    <t>D1116651</t>
  </si>
  <si>
    <t>Dr.Bukkapatnam Tirumala Sravanalavanya</t>
  </si>
  <si>
    <t>Tianjin Medical University, China</t>
  </si>
  <si>
    <t>TSMC/FMR/ 09602</t>
  </si>
  <si>
    <t>shravanalavanya03@gmail.com</t>
  </si>
  <si>
    <t>1048104000143981</t>
  </si>
  <si>
    <t>IBKL0001048</t>
  </si>
  <si>
    <t>BLZPB4514R</t>
  </si>
  <si>
    <t>Tirumala Simhachary Bukkapatnam</t>
  </si>
  <si>
    <t>D1116654</t>
  </si>
  <si>
    <t>Dr.Chanda Sai Krishna</t>
  </si>
  <si>
    <t>KPHB Phase 6</t>
  </si>
  <si>
    <t>Chalmeda Institute of Medical Sciences, Karimnagar</t>
  </si>
  <si>
    <t>TSMC/FMR/19333</t>
  </si>
  <si>
    <t>chandasaikrishna@gmail.com</t>
  </si>
  <si>
    <t>BCGPC5306N</t>
  </si>
  <si>
    <t>Nagender Chanda</t>
  </si>
  <si>
    <t>D1116653</t>
  </si>
  <si>
    <t>Dr.Modi Hiralben Narendrakumar</t>
  </si>
  <si>
    <t>Basic USG, Guided Procedures, X-Ray, Basic CT, All Angios CT Enterclysis, Basic MRI, IVP, RGU, MCGU, Barium Swallow, Barium Enema, HSG</t>
  </si>
  <si>
    <t>BLJ Medical College, Ahmedabad, Gujarat University</t>
  </si>
  <si>
    <t>N H L Medial College, V S General Hospital, SVP Hospital, Gujarat University</t>
  </si>
  <si>
    <t>MBBS, MD - Radiology</t>
  </si>
  <si>
    <t>TSMC/FMR/20391</t>
  </si>
  <si>
    <t>hirmodi95@gmail.com</t>
  </si>
  <si>
    <t>912010043067731</t>
  </si>
  <si>
    <t>CVVPM7450G</t>
  </si>
  <si>
    <t>Narendrakumar Modi</t>
  </si>
  <si>
    <t xml:space="preserve">USG, CT, X-RAY, MAMMOGRAPHY, FNAC </t>
  </si>
  <si>
    <t>Santhiram Medical College, Nandyal, Andhra Pradesh</t>
  </si>
  <si>
    <t>D1116539</t>
  </si>
  <si>
    <t>Dr.Mettu Sindhura</t>
  </si>
  <si>
    <t>Basic USG, Tiffa, MSK, Guided Procedures, X-Ray, Basic CT, All Angios except Coronary, CT Enteroclysis, Basic MRI, IVP, RGU, MCGU, Barium Swallow, Barium Enema, HSG</t>
  </si>
  <si>
    <t>Jawaharlal Nehru Medical College, Belgaum, Karnataka</t>
  </si>
  <si>
    <t>MNR Medical College, Sangareddy, Telangana</t>
  </si>
  <si>
    <t>TSMC/FMR/10348</t>
  </si>
  <si>
    <t>sindhurareddy91@gmail.com</t>
  </si>
  <si>
    <t>50100281030538</t>
  </si>
  <si>
    <t>BIRPM2610N</t>
  </si>
  <si>
    <t>Venkatdas Reddy Mettu</t>
  </si>
  <si>
    <t>D1116656</t>
  </si>
  <si>
    <t>Dr.Jawwad Mohammed Kaleem</t>
  </si>
  <si>
    <t>Khaja Banda Nawaz Institute of Medical Sciences, Gulbarga</t>
  </si>
  <si>
    <t>TSMC/FMR/ 17135</t>
  </si>
  <si>
    <t>tabib36@gmail.com</t>
  </si>
  <si>
    <t>20199122954</t>
  </si>
  <si>
    <t>SBIN0005322</t>
  </si>
  <si>
    <t>ERJPK5896Q</t>
  </si>
  <si>
    <t>Mohammed Kaleemuddin</t>
  </si>
  <si>
    <t>V1101574</t>
  </si>
  <si>
    <t>Dr.B Saikiran</t>
  </si>
  <si>
    <t>APMC/FMR/93640</t>
  </si>
  <si>
    <t>saikiranballikonda@gmail.com</t>
  </si>
  <si>
    <t>BKID0005710</t>
  </si>
  <si>
    <t>EHGPS9297J</t>
  </si>
  <si>
    <t>Ballikonda Narsaiah</t>
  </si>
  <si>
    <t>D1116657</t>
  </si>
  <si>
    <t>Dr.Kothi Sindhu</t>
  </si>
  <si>
    <t>SVS Medical College, Mahaboobnagar</t>
  </si>
  <si>
    <t>TSMC/FMR/11665</t>
  </si>
  <si>
    <t>sindhureddy1017@gmail.com</t>
  </si>
  <si>
    <t>HVZPK1202F</t>
  </si>
  <si>
    <t>Venkata Ramana Reddy Kothi</t>
  </si>
  <si>
    <t>D1116650</t>
  </si>
  <si>
    <t>Dr.Syed Tajamul Arshad</t>
  </si>
  <si>
    <t>JJM Medical College, Davangere, Karnataka</t>
  </si>
  <si>
    <t>TSMC/FMR/22164</t>
  </si>
  <si>
    <t>tajammul99@gmail.com</t>
  </si>
  <si>
    <t>HDFC0004684</t>
  </si>
  <si>
    <t>AYTPA1973F</t>
  </si>
  <si>
    <t>Syed Yusuf Ali Patel</t>
  </si>
  <si>
    <t>D1116235</t>
  </si>
  <si>
    <t>Dr.Sushma Nadipelli</t>
  </si>
  <si>
    <t>Basic USG, Tiffa, MSK, Basic CT, Basic MRI, Xray, Mammography</t>
  </si>
  <si>
    <t xml:space="preserve">Mamata Medical Collage, Khammam, Telangana </t>
  </si>
  <si>
    <t>DMRD-Chalmeda Anada Rao Institute of Medical Sciences, Karimnagar</t>
  </si>
  <si>
    <t>DNB- Yashoda Hospital, Somajiguda, Hyderabad, Telangana - 2021</t>
  </si>
  <si>
    <t>MBBS, DMRD, DNB Radiology</t>
  </si>
  <si>
    <t>nsushma28@gmail.com</t>
  </si>
  <si>
    <t>50100024696633</t>
  </si>
  <si>
    <t>HDFC0000743</t>
  </si>
  <si>
    <t>AKCPN3585B</t>
  </si>
  <si>
    <t>Lakshmi Kantha Rao Nadipelli</t>
  </si>
  <si>
    <t>D1116792</t>
  </si>
  <si>
    <t>Dr.Kotte Abhijith Kumar</t>
  </si>
  <si>
    <t>Basic USG, Tiffa, Fetal Echo, MSK, Penile Doppler, USG Guided Procedures, Basic CT, All Angios, Virtual Endoscopy, CT Enterclysis, CT Guided Procedures, Basic MRI, Fetal MRI, MR Prostate, IVP, RGU, MCGU, Barium Swallow, Barium Enema, HSG, Xray, Mammography</t>
  </si>
  <si>
    <t>Dr. LT Kishore</t>
  </si>
  <si>
    <t>MNR Medical College, Sangareddy</t>
  </si>
  <si>
    <t>TSMC/FMR/81589</t>
  </si>
  <si>
    <t>abhijithkotte@gmail.com</t>
  </si>
  <si>
    <t>007201532802</t>
  </si>
  <si>
    <t>BRMPK0305G</t>
  </si>
  <si>
    <t>236809879923</t>
  </si>
  <si>
    <t>Kotte Anjaiah</t>
  </si>
  <si>
    <t>D1106721</t>
  </si>
  <si>
    <t>Dr.K Siva Santhoshini</t>
  </si>
  <si>
    <t>Basic USG, Tiffa,  MSK,USG Guided Procedures, Basic CT, Xray</t>
  </si>
  <si>
    <t>Kakatiya University, Warangal</t>
  </si>
  <si>
    <t>SVS Medical college, Mahabubnagar</t>
  </si>
  <si>
    <t>santhoshinikarine@gmail.com</t>
  </si>
  <si>
    <t>0670101031505</t>
  </si>
  <si>
    <t>CRNB0001825</t>
  </si>
  <si>
    <t>BNAPK5662C</t>
  </si>
  <si>
    <t>Mallepalli Rajesh</t>
  </si>
  <si>
    <t>Dr.Dudekonda Gopal</t>
  </si>
  <si>
    <t>Basic USG, Tiffa,  Fetal Echo, MSK, Basic CT, Xray and Mammography</t>
  </si>
  <si>
    <t>Narayana Medical College, Nellore, Andhra Pradesh</t>
  </si>
  <si>
    <t>dgopinath789@gmail.com</t>
  </si>
  <si>
    <t>Dr.D Jyoti Reddy</t>
  </si>
  <si>
    <t xml:space="preserve">Dr. D Y Patil Institute of Medical Sciences, Pune, Maharashtra </t>
  </si>
  <si>
    <t>374518043799</t>
  </si>
  <si>
    <t>Mallikarjun Reddy</t>
  </si>
  <si>
    <t>D1116788</t>
  </si>
  <si>
    <t>Dr.Anusha Geda</t>
  </si>
  <si>
    <t>Basic USG, Tiffa, Basic CT, All Angios except Coronary, Basic MRI,  Xray and Mammography</t>
  </si>
  <si>
    <t>Alluri Sitaramaraju Academy of Medical Sciences, Eluru</t>
  </si>
  <si>
    <t>gedaanusha@gmail.com</t>
  </si>
  <si>
    <t>50100284641209</t>
  </si>
  <si>
    <t>HDFC0004124</t>
  </si>
  <si>
    <t>BSMPG9686B</t>
  </si>
  <si>
    <t>Bhaskara Rao</t>
  </si>
  <si>
    <t>D1116785</t>
  </si>
  <si>
    <t>Resigned</t>
  </si>
  <si>
    <t>Dr.Venkatesh Pettem</t>
  </si>
  <si>
    <t xml:space="preserve">Katmandu University, Nepal </t>
  </si>
  <si>
    <t>9573427442, 9654311539</t>
  </si>
  <si>
    <t>pettemvenkat@gmail.com</t>
  </si>
  <si>
    <t>SBIN0012967</t>
  </si>
  <si>
    <t>CRQPP7180P</t>
  </si>
  <si>
    <t>Bheemaiah</t>
  </si>
  <si>
    <t xml:space="preserve">Dr.Syed Wesam Ul Haq </t>
  </si>
  <si>
    <t>Basic USG, Tiffa, MSK, Guided Procedures, Basic CT, Xray, IVP</t>
  </si>
  <si>
    <t>Chalmeda Anand Rao Medical College, Karimnagar -2010</t>
  </si>
  <si>
    <t>Shadan Medical College, Hyderabad</t>
  </si>
  <si>
    <t>drwesamsyed@gmail.com</t>
  </si>
  <si>
    <t>D1116799</t>
  </si>
  <si>
    <t>Dr.Moumita Dam</t>
  </si>
  <si>
    <t>Aarupadai Veedu Medical College &amp; Hospital, Puducherry, Vinayaka Missions University</t>
  </si>
  <si>
    <t>Sree Balaji Medical College &amp; Hospital, Chennai, BIHER University</t>
  </si>
  <si>
    <t>07-jul-2022-</t>
  </si>
  <si>
    <t>moumita.dam.md@gmail.com</t>
  </si>
  <si>
    <t>50100332583446</t>
  </si>
  <si>
    <t>HDFC0001063</t>
  </si>
  <si>
    <t>APBPD8182N</t>
  </si>
  <si>
    <t>867341031273</t>
  </si>
  <si>
    <t>Sitangshu Dam</t>
  </si>
  <si>
    <t>D1116784</t>
  </si>
  <si>
    <t>Dr.Neeti Sindhwani</t>
  </si>
  <si>
    <t>Semen Analysis and FNAC</t>
  </si>
  <si>
    <t>KMC, Mangalore, Karnataka</t>
  </si>
  <si>
    <t>Army Hospital, R and R, Delhi Cant</t>
  </si>
  <si>
    <t>1681, Haryana Medical Council</t>
  </si>
  <si>
    <t>neeti28413@gmail.com</t>
  </si>
  <si>
    <t>SBIN0001535</t>
  </si>
  <si>
    <t>BNBPS4134C</t>
  </si>
  <si>
    <t>Inder kumar Sindhwani</t>
  </si>
  <si>
    <t>07:30:00</t>
  </si>
  <si>
    <t>Sri Ramachandra Medical College &amp; Research Institute, Porur, Chennai</t>
  </si>
  <si>
    <t>5-3-211/1, Shanthi Nagar, Near Ramalayam, Kukatpally, Hyderabad, Telangana - 500072</t>
  </si>
  <si>
    <t>D1116800</t>
  </si>
  <si>
    <t>Dr.Mohammed Soharwardi</t>
  </si>
  <si>
    <t>Basic USG, Guided Procedures, Basic CT, Basic MRI, X-ray, IVP, RGU, MCGU, Barium Swallow, Barium Enema, HSG</t>
  </si>
  <si>
    <t>Mahadevappa Rampure Medical College, Gulbarga, Karnataka</t>
  </si>
  <si>
    <t>Alameen Medical College, Bijapur</t>
  </si>
  <si>
    <t>TSMC/FMR/ 18715</t>
  </si>
  <si>
    <t>soharwardi9723@gmail.com</t>
  </si>
  <si>
    <t>SBIN0003304</t>
  </si>
  <si>
    <t>GSJPS8276M</t>
  </si>
  <si>
    <t>Mohammed Showkat</t>
  </si>
  <si>
    <t>D1116536</t>
  </si>
  <si>
    <t>Dr.Sai Shashank D</t>
  </si>
  <si>
    <t>Basic USG, Tiffa, MSK, Penile Dopplers/TRUS, Guided Procedures, Basic CT, All Angios, Virtual Endoscopy, CT Perfusion, CT Enteroclysis, CT Guided Procedures, Basic MRI, CSF Flow Study, MR Prostate,  MR Neurography, MR Defacography, MR Perfusion, Fetal MR, X-ray, IVP, RGU, MCGU, Barium Swallow, Barium Enema, HSG, XRay, Mammography</t>
  </si>
  <si>
    <t xml:space="preserve">Vydehi Institute of Medical Sciences &amp; Research Centre, Bangalore </t>
  </si>
  <si>
    <t>JJM Medical college, Bangalore</t>
  </si>
  <si>
    <t>MBBS, MD Rdio diagnosis</t>
  </si>
  <si>
    <t>TSMC/ FMR/ 18251</t>
  </si>
  <si>
    <t>shashank@radiologist.net</t>
  </si>
  <si>
    <t>ICIC BANK</t>
  </si>
  <si>
    <t>736501500231</t>
  </si>
  <si>
    <t>ICIC0007565</t>
  </si>
  <si>
    <t>BETPD0381R</t>
  </si>
  <si>
    <t>Sreenivasulu D</t>
  </si>
  <si>
    <t>D1116794</t>
  </si>
  <si>
    <t>Dr.Srikanth Nalla</t>
  </si>
  <si>
    <t>Basic USG, Tiffa, MSK, Guided Procedures, Basic CT, All Angios except coronary, CT Perfusion, CT Enteroclysis, Basic MRI, Xray, IVP, RGU, MCUG, Barium Swallow, Barium Enemma, HSG</t>
  </si>
  <si>
    <t xml:space="preserve"> AFMC- Command hospital Airforce Bangalore</t>
  </si>
  <si>
    <t>APMC/FMR/ 77008 (MBBS only)</t>
  </si>
  <si>
    <t>srikanth.nalla123@gmail.com</t>
  </si>
  <si>
    <t>Axis bank</t>
  </si>
  <si>
    <t>914010042479513</t>
  </si>
  <si>
    <t>APIPN8809D</t>
  </si>
  <si>
    <t>Nalla Mogulaiah</t>
  </si>
  <si>
    <t>D1116787</t>
  </si>
  <si>
    <t>Dr.Alekya Daida</t>
  </si>
  <si>
    <t>11:00:00</t>
  </si>
  <si>
    <t>19:00:00</t>
  </si>
  <si>
    <t>Basic USG, Tiffa, MSK, Basic CT, All Angios except Coronary, CT Enterclysis, Xray, Mammography</t>
  </si>
  <si>
    <t>Rajarajeswari Medical College, Bangalore</t>
  </si>
  <si>
    <t>TSMC/FMR/05146</t>
  </si>
  <si>
    <t>daidaalekya@gmail.com</t>
  </si>
  <si>
    <t>50100494634812</t>
  </si>
  <si>
    <t>HDFC0007059</t>
  </si>
  <si>
    <t>DSZPD0337M</t>
  </si>
  <si>
    <t>Sudarshan Daida</t>
  </si>
  <si>
    <t>Meternety Leave</t>
  </si>
  <si>
    <t>Wants to change in (Old Shift from 10:00 AM - 06:00 PM to New Shift 11:00 AM to 07:00 PM)</t>
  </si>
  <si>
    <t>D1116791</t>
  </si>
  <si>
    <t>Dr.K Shah Moinur Rahman</t>
  </si>
  <si>
    <t>Basic USG, Tiffa, Guided Procedures, Basic CT, XRay, IVP, RGU, MCGU, Barium Swallow, Barium Enema, HSG</t>
  </si>
  <si>
    <t>Odessa National Medical University, Odessa, Ukraine</t>
  </si>
  <si>
    <t>Deccan Medical College, Hyderabad, Telangana</t>
  </si>
  <si>
    <t>APMC/FMR/83019</t>
  </si>
  <si>
    <t>dr_moinrahman@yahoo.com</t>
  </si>
  <si>
    <t>1457155000005769</t>
  </si>
  <si>
    <t>KVBL0001457</t>
  </si>
  <si>
    <t>EBMPK1706E</t>
  </si>
  <si>
    <t>Dr K Abdul Rahman</t>
  </si>
  <si>
    <t>D1116790</t>
  </si>
  <si>
    <t>Dr.Yelamanchili Alekhya</t>
  </si>
  <si>
    <t>North Sichuan medical college</t>
  </si>
  <si>
    <t>APMC/FMR/82460</t>
  </si>
  <si>
    <t>coolalekhya@gmail.com</t>
  </si>
  <si>
    <t>059801541350</t>
  </si>
  <si>
    <t>ICIC0000598</t>
  </si>
  <si>
    <t>ALXPY2365A</t>
  </si>
  <si>
    <t>Kumar Yelamanchili</t>
  </si>
  <si>
    <t>D1116793</t>
  </si>
  <si>
    <t>Dr.Sandrugu Cyril Rohith</t>
  </si>
  <si>
    <t>Basic USG, Tiffa, MSK, Basic CT, Basic MRI, Xray, Mammography, IVP, RGU, MCGU, Barium Swallow, Barium Enema, HSG</t>
  </si>
  <si>
    <t>Navodaya Medical College and Hospital, Raichur, karnataka</t>
  </si>
  <si>
    <t>JSS Academy of Higher Education and Research</t>
  </si>
  <si>
    <t>TSMC/FMR/20387</t>
  </si>
  <si>
    <t>cyrilsrk@gmail.com</t>
  </si>
  <si>
    <t>1976101019076</t>
  </si>
  <si>
    <t>CNRB0001976</t>
  </si>
  <si>
    <t>ISAPS3156P</t>
  </si>
  <si>
    <t>S E Susheel Kumar Sandrugu</t>
  </si>
  <si>
    <t>D1116786</t>
  </si>
  <si>
    <t>Dr.Amaradi Sai Samyukth</t>
  </si>
  <si>
    <t>Zaporozhye State Medical University, Ukraine</t>
  </si>
  <si>
    <t>TSMC/FMR/15855</t>
  </si>
  <si>
    <t>samyukthamaradi2625ps@gmail.com</t>
  </si>
  <si>
    <t>384867456149</t>
  </si>
  <si>
    <t>SBIN0020822</t>
  </si>
  <si>
    <t>CSMPA5542H</t>
  </si>
  <si>
    <t>Amaradi Raju</t>
  </si>
  <si>
    <t>D1120005</t>
  </si>
  <si>
    <t>Dr.Sabeera Begum</t>
  </si>
  <si>
    <t>11:00:00 AM</t>
  </si>
  <si>
    <t>APMC/FMR/122818</t>
  </si>
  <si>
    <t>sabeerabegum79@gmail.com</t>
  </si>
  <si>
    <t>SBIN0004758</t>
  </si>
  <si>
    <t>HEYPB1534M</t>
  </si>
  <si>
    <t>27-64, Gandhi Nagar, Quthbullahpur Mandal, Medchal District VTC, Chintal, PO HMT township, TS 500054</t>
  </si>
  <si>
    <t>D1116909</t>
  </si>
  <si>
    <t>Dr.Priyanka Gudala</t>
  </si>
  <si>
    <t>Basic USG,  Xray, Mammography</t>
  </si>
  <si>
    <t>TSMC/FMR/04126</t>
  </si>
  <si>
    <t>gpriyanka855@gmail.com</t>
  </si>
  <si>
    <t>BKPPG4244J</t>
  </si>
  <si>
    <t>Gangaram Gudala</t>
  </si>
  <si>
    <t>ANDHRA MEDICAL COLLEGE,VIZAG</t>
  </si>
  <si>
    <t>AMC19484</t>
  </si>
  <si>
    <t>918010083876898</t>
  </si>
  <si>
    <t>Sampath Rao Dilleswar rao</t>
  </si>
  <si>
    <t>D1116913</t>
  </si>
  <si>
    <t>Dr.Mohammed Mustafa Ahmed Ghouri</t>
  </si>
  <si>
    <t>Shadan Institute of Medical Sciences - Hyderabad, Telangana</t>
  </si>
  <si>
    <t>TSMC/FMR/18765</t>
  </si>
  <si>
    <t>mustafaahmedghouri@gmail.com</t>
  </si>
  <si>
    <t>054510100078479</t>
  </si>
  <si>
    <t>UBIN0805459</t>
  </si>
  <si>
    <t>DFZPG9447A</t>
  </si>
  <si>
    <t>Mohammed Javeed Ghouri</t>
  </si>
  <si>
    <t>D1116914</t>
  </si>
  <si>
    <t>Dr.Sabahath Zamani Nagma</t>
  </si>
  <si>
    <t>VRK Women's Medical College</t>
  </si>
  <si>
    <t>TSMC/FMR/03072</t>
  </si>
  <si>
    <t>sznam93@gmail.com</t>
  </si>
  <si>
    <t>BKHPN9622H</t>
  </si>
  <si>
    <t>Mohd Mujjab Ali Faruq</t>
  </si>
  <si>
    <t>D1120308</t>
  </si>
  <si>
    <t>Dr.Syed Muhammad Asadullah Hashmi</t>
  </si>
  <si>
    <t>Osmania medical College</t>
  </si>
  <si>
    <t>TSMC/FMR/31839</t>
  </si>
  <si>
    <t>hashmiasadullah@yahoo.com</t>
  </si>
  <si>
    <t>UBIN0813362</t>
  </si>
  <si>
    <t>AZWPH6448J</t>
  </si>
  <si>
    <t>Syed Khaleel Hashmi</t>
  </si>
  <si>
    <t>2-7-628, Mukurampura, Karimnagar, Telangana-505001.</t>
  </si>
  <si>
    <t>V1101530</t>
  </si>
  <si>
    <t>Dr.Jyothsna Arekal</t>
  </si>
  <si>
    <t>Basic USG, Xray</t>
  </si>
  <si>
    <t>APMC/FMR/81880</t>
  </si>
  <si>
    <t>arekal.j@gmail.com</t>
  </si>
  <si>
    <t>137910100034730</t>
  </si>
  <si>
    <t xml:space="preserve">UBIN0813796
</t>
  </si>
  <si>
    <t>AUZPJ4293P</t>
  </si>
  <si>
    <t>Linganna</t>
  </si>
  <si>
    <t>Dr.Maddeti Roshika Yadav</t>
  </si>
  <si>
    <t>Basic USG, Tiffa, Guided Procedures, Basic CT, Basic MRI, X-Ray, Mammography,  IVP, RGU, MCGU, Barium Swallow, Barium Enema, HSG</t>
  </si>
  <si>
    <t>Kamineni Institute of Medical Sciences, Narketpally- 2016</t>
  </si>
  <si>
    <t>Sri Siddhartha Medical College, Tumkur, Karnataka - 2022</t>
  </si>
  <si>
    <t>TSMC/FMR/01279</t>
  </si>
  <si>
    <t>dr.roshikamaddeti@gmail.com</t>
  </si>
  <si>
    <t>CBOPM7692G</t>
  </si>
  <si>
    <t>Maddeti Roshika Yadav</t>
  </si>
  <si>
    <t>D1119139</t>
  </si>
  <si>
    <t>Dr.Aparna Pandey</t>
  </si>
  <si>
    <t>Bharati Vidyapeeth Deemed University</t>
  </si>
  <si>
    <t>SAIMS &amp; PGI</t>
  </si>
  <si>
    <t>draparna29@gmail.com</t>
  </si>
  <si>
    <t>2713805576</t>
  </si>
  <si>
    <t>KKBK0000287</t>
  </si>
  <si>
    <t>CUHPP6712K</t>
  </si>
  <si>
    <t>Tower 14, Flat 1201, Emaar Gurgaon Greens, Dwarka Expressway, Dhankot Village, Sector 102, Gurgaon, Haryana - 122505</t>
  </si>
  <si>
    <t>D1116874</t>
  </si>
  <si>
    <t>Dr.Vallepu Prathibha</t>
  </si>
  <si>
    <t>TSMC/FMR/16007</t>
  </si>
  <si>
    <t>sweetvallepu@gmail.com</t>
  </si>
  <si>
    <t>ATEPV0831F</t>
  </si>
  <si>
    <t>Vallepu Anjaneyulu</t>
  </si>
  <si>
    <t>D1116916</t>
  </si>
  <si>
    <t xml:space="preserve">Dr.Kamishetty Anil Kumar
</t>
  </si>
  <si>
    <t>Bharath vidyapeeth deemed University and medical college</t>
  </si>
  <si>
    <t>TSMC/FMR/20415</t>
  </si>
  <si>
    <t xml:space="preserve"> anil.kamisetty5868@gmail.com</t>
  </si>
  <si>
    <t>SBIN0006648</t>
  </si>
  <si>
    <t>BZWPA9053P</t>
  </si>
  <si>
    <t>Kamisetty Srinivasulu</t>
  </si>
  <si>
    <t>D1116908</t>
  </si>
  <si>
    <t>Dr.Venkipally Vishalini</t>
  </si>
  <si>
    <t>Malkajgiri-134</t>
  </si>
  <si>
    <t>Basic USG, Tiffa, MSK, Guided Procedures, Basic CT, X-Ray, Mammography,  IVP, RGU, MCGU, Barium Swallow, Barium Enema, HSG</t>
  </si>
  <si>
    <t>Kakatiya Medical College, MGM Hospital, Warangal</t>
  </si>
  <si>
    <t>Mamatha Medical College, Khammam</t>
  </si>
  <si>
    <t>TSMC/FMR/04406</t>
  </si>
  <si>
    <t>shalinie580@gmail.com</t>
  </si>
  <si>
    <t xml:space="preserve">DCB Bank </t>
  </si>
  <si>
    <t>05111500008105</t>
  </si>
  <si>
    <t>DCBL0000051</t>
  </si>
  <si>
    <t>AECPE4646J</t>
  </si>
  <si>
    <t>Shankar Ega</t>
  </si>
  <si>
    <t>Bharath Vidyapeeth Deemed University and Medical College</t>
  </si>
  <si>
    <t>D1116912</t>
  </si>
  <si>
    <t>Dr.Pottapatri Praneetha</t>
  </si>
  <si>
    <t>Bhaskar Medical College, Yenkapally</t>
  </si>
  <si>
    <t>TSMC/FMR/11673</t>
  </si>
  <si>
    <t>exploreall94@gmail.com</t>
  </si>
  <si>
    <t>UNION BANK</t>
  </si>
  <si>
    <t>007610100049592</t>
  </si>
  <si>
    <t>UBIN0800767</t>
  </si>
  <si>
    <t>EFAPP3398B</t>
  </si>
  <si>
    <t>Pattapotri Naveen</t>
  </si>
  <si>
    <t>D1117098</t>
  </si>
  <si>
    <t>Dr.Khuteja Samreen</t>
  </si>
  <si>
    <t>Dr VRK Womens Medical College and Hospital, Aziznagar</t>
  </si>
  <si>
    <t>TSMC/FMR/09930</t>
  </si>
  <si>
    <t>shaikkhuteja@gmail.com</t>
  </si>
  <si>
    <t>State bank india</t>
  </si>
  <si>
    <t>KZYPS4671A</t>
  </si>
  <si>
    <t>Sk Dawood Ali</t>
  </si>
  <si>
    <t>D1117088</t>
  </si>
  <si>
    <t>Dr.Kodali Venkata Gopala Rao</t>
  </si>
  <si>
    <t>Basic USG, Tiffa, Fetal Echo, MSK, Guided Procedures, Basic CT, All Angios except Coronary Angios, CT guided procedures, X-Ray, Mammography,  IVP, RGU, MCGU, Barium Swallow, Barium Enema, HSG</t>
  </si>
  <si>
    <t>Siddhartha Medical College, Tumkur, Karnantaka</t>
  </si>
  <si>
    <t>APMC/FMR/74337</t>
  </si>
  <si>
    <t>vgrk@icloud.com</t>
  </si>
  <si>
    <t>50100263419022</t>
  </si>
  <si>
    <t>HDFC0001228</t>
  </si>
  <si>
    <t>ATUPK6850B</t>
  </si>
  <si>
    <t>Kodali Rama krishna</t>
  </si>
  <si>
    <t>Dr.Sundara Krishna Chirala</t>
  </si>
  <si>
    <t>Dr. Anuj Jain</t>
  </si>
  <si>
    <t>MD BioPhysicis and Nuclear Medicine from AIIMS, New Drlhi</t>
  </si>
  <si>
    <t>DNB Nuclear Medicine</t>
  </si>
  <si>
    <t>drchirala@gmail.com</t>
  </si>
  <si>
    <t>D1117086</t>
  </si>
  <si>
    <t>Dr.Mohamed Salim Pasha</t>
  </si>
  <si>
    <t>Basic USG, USG Guided procedures, Basic CT, All Angios, Guided procedures, X-Ray, Mammography, IVP, RGU, MCGU, Barium Swallow, Barium Enema, HSG</t>
  </si>
  <si>
    <t>Aligarh Muslim University</t>
  </si>
  <si>
    <t>MD- Radiology - Rangaraya Medical College, Kakinada - 1993</t>
  </si>
  <si>
    <t>MBBS, DMRD, MD</t>
  </si>
  <si>
    <t>AMC16534</t>
  </si>
  <si>
    <t>drsalimpasha@gmail.com</t>
  </si>
  <si>
    <t>00502020001165</t>
  </si>
  <si>
    <t>HDFC0004064</t>
  </si>
  <si>
    <t>AGSPM6034E</t>
  </si>
  <si>
    <t>Jilani Mohammed</t>
  </si>
  <si>
    <t>D1117096</t>
  </si>
  <si>
    <t>Dr.Thummala Vandana</t>
  </si>
  <si>
    <t>Mediciti Institute of Medical Sciences, Ghanpur</t>
  </si>
  <si>
    <t xml:space="preserve">MBBS </t>
  </si>
  <si>
    <t xml:space="preserve">TSMC/FMR/21333 </t>
  </si>
  <si>
    <t>vandanathummala98@gmail.com</t>
  </si>
  <si>
    <t>SBIN0004347</t>
  </si>
  <si>
    <t>CESPT7789B</t>
  </si>
  <si>
    <t>Sanjeev Kumar</t>
  </si>
  <si>
    <t>D1117084</t>
  </si>
  <si>
    <t>Dr.Velakkayala Durga Bhavani</t>
  </si>
  <si>
    <t>Zaporizhzhya State Medical University, China</t>
  </si>
  <si>
    <t>TSMC/FMR/16260</t>
  </si>
  <si>
    <t>vani.naidus16@gmail.com</t>
  </si>
  <si>
    <t>Union bank of india</t>
  </si>
  <si>
    <t>052210100105339</t>
  </si>
  <si>
    <t>UBIN08O5220</t>
  </si>
  <si>
    <t>AROPV7792H</t>
  </si>
  <si>
    <t>Yedukondalu velakkayala</t>
  </si>
  <si>
    <t>D1117085</t>
  </si>
  <si>
    <t>Dr.Mandumula Shalini</t>
  </si>
  <si>
    <t>TSMC/FMR/00868</t>
  </si>
  <si>
    <t>dr.shalini868@gmail.com</t>
  </si>
  <si>
    <t>50100266468584</t>
  </si>
  <si>
    <t>HDFC0000045</t>
  </si>
  <si>
    <t>CIOPM8505L</t>
  </si>
  <si>
    <t>Mandamula Nivarthi Dev</t>
  </si>
  <si>
    <t>D1117095</t>
  </si>
  <si>
    <t>Dr.Lakka Snigdha</t>
  </si>
  <si>
    <t>Dr P.S.I. Medical College, Chinoutpalli </t>
  </si>
  <si>
    <t>TSMC/FMR/20613</t>
  </si>
  <si>
    <t>snigdhalakka9@gmail.com</t>
  </si>
  <si>
    <t>151410100115062</t>
  </si>
  <si>
    <t>UBIN0815144</t>
  </si>
  <si>
    <t>APNPL6883J</t>
  </si>
  <si>
    <t>Bhushanam</t>
  </si>
  <si>
    <t>Dr.Totawar Sanjay Narayanrao</t>
  </si>
  <si>
    <t>Basic USG, Tiffa, Fetal Echo, MSK, TRUS, Guided procedures,  X-Ray, Mammography, IVP, RGU, MCGU, Barium Swallow, Barium Enema, HSG</t>
  </si>
  <si>
    <t xml:space="preserve">Dr. L. T. Kishore </t>
  </si>
  <si>
    <t xml:space="preserve">Government Medical College, Miraj, Sangli, Maharashtra </t>
  </si>
  <si>
    <t>TSMC/FMR/21023</t>
  </si>
  <si>
    <t>7410063644, 9309478693</t>
  </si>
  <si>
    <t>919010081424098</t>
  </si>
  <si>
    <t>UTIB0000048</t>
  </si>
  <si>
    <t>D1117094</t>
  </si>
  <si>
    <t>Dr.Chittiboina Madhavi</t>
  </si>
  <si>
    <t>Basic USG, Tiffa, Fetal Echo, MSK,  Guided procedures,  X-Ray, Mammography, HSG, Basic CT, Basic MRI</t>
  </si>
  <si>
    <t>APMC/FMR/86212</t>
  </si>
  <si>
    <t>madhavileo9@gmail.com</t>
  </si>
  <si>
    <t>456202010728195</t>
  </si>
  <si>
    <t>UBIN0545627</t>
  </si>
  <si>
    <t>AOWPC0515N</t>
  </si>
  <si>
    <t>Apparao Chitiboina</t>
  </si>
  <si>
    <t>D1119712</t>
  </si>
  <si>
    <t>Dr.Kilari Swathi</t>
  </si>
  <si>
    <t>CEBU Doctors University College of Medicine</t>
  </si>
  <si>
    <t>TSMC/FMR/15620</t>
  </si>
  <si>
    <t>swathikilari@yahoo.com</t>
  </si>
  <si>
    <t>914010045789947</t>
  </si>
  <si>
    <t>UTIB0000193</t>
  </si>
  <si>
    <t>ENXPK3103E</t>
  </si>
  <si>
    <t>16-31-464/302, Phase 6, KPHB Colony, Kukatpally, Hyderabad, Telangana - 500072</t>
  </si>
  <si>
    <t>Dr.Sindhuja Desu</t>
  </si>
  <si>
    <t>TSMC/FMR/18489</t>
  </si>
  <si>
    <t>drsindhuja0906@gmail.com</t>
  </si>
  <si>
    <t>30832200057453</t>
  </si>
  <si>
    <t>CNRB0013083</t>
  </si>
  <si>
    <t>Desu Vijay Kumar</t>
  </si>
  <si>
    <t>096-feb-1997</t>
  </si>
  <si>
    <t>Dr.Alla Swapna</t>
  </si>
  <si>
    <t>Basic USG, Tiffa, Fetal Echo, MSK, Guided Procedures, Basic CT, All Angios, Basic MRI, X Ray, Plain Radiology, Mammography, IVP, RGU, MCGU, Barium Swallow, Barium Anema, HSG</t>
  </si>
  <si>
    <t>Luzhou Medical College</t>
  </si>
  <si>
    <t xml:space="preserve">#522, Trident grande apt, Gundlapochamapally road, Kompalle, Hyderabad – 500014
</t>
  </si>
  <si>
    <t>D1117140</t>
  </si>
  <si>
    <t>Dr.Koppolu Vaishnavi</t>
  </si>
  <si>
    <t>Jinzhou Medical University, China</t>
  </si>
  <si>
    <t>TSMC/FMR/12106</t>
  </si>
  <si>
    <t>vaishnavi.koppolu@gmail.com</t>
  </si>
  <si>
    <t>50100345714704</t>
  </si>
  <si>
    <t>HDFC0001996</t>
  </si>
  <si>
    <t>DHTPK0396C</t>
  </si>
  <si>
    <t>Koppolu Rama Koteshwarao</t>
  </si>
  <si>
    <t xml:space="preserve">Dr.Basam Pavani Reddy </t>
  </si>
  <si>
    <t xml:space="preserve"> Shantiram Medical College, Nandyal</t>
  </si>
  <si>
    <t xml:space="preserve">APMC/FMR/106094 (PG not yet registerred) </t>
  </si>
  <si>
    <t>pavanireddybasam@gmail.com</t>
  </si>
  <si>
    <t>D1117097</t>
  </si>
  <si>
    <t>Dr.Taheniyat Kousar</t>
  </si>
  <si>
    <t>Deccan Medical College, Hyderabad</t>
  </si>
  <si>
    <t>TSMC/FMR/04759</t>
  </si>
  <si>
    <t>tahniyat2010@gmail.com</t>
  </si>
  <si>
    <t>50100226166698</t>
  </si>
  <si>
    <t>HDFC0004125</t>
  </si>
  <si>
    <t>GBQPK0940G</t>
  </si>
  <si>
    <t>Mohammed Abdul Yameen</t>
  </si>
  <si>
    <t>131901507160</t>
  </si>
  <si>
    <t>D1117091</t>
  </si>
  <si>
    <t>Dr.Karri Lakshmi Gayathri</t>
  </si>
  <si>
    <t>Jawaharlal Nehru Medical College, Belgaum</t>
  </si>
  <si>
    <t>APMC/FMR/91013</t>
  </si>
  <si>
    <t>klgayatri9@gmail.com</t>
  </si>
  <si>
    <t>SBIN0001424</t>
  </si>
  <si>
    <t>BVJPG3076R</t>
  </si>
  <si>
    <t>Krishna Murthy</t>
  </si>
  <si>
    <t>D1117690</t>
  </si>
  <si>
    <t>Dr.Khushboo Ghanshyani</t>
  </si>
  <si>
    <t>Mediciti Institute of Medical Sciences, Medchal  - 2014</t>
  </si>
  <si>
    <t>Kakatiya Medical College - 2020</t>
  </si>
  <si>
    <t>APMC/FMR/94643</t>
  </si>
  <si>
    <t>khushbooghanshyani@gmail.com</t>
  </si>
  <si>
    <t>630501542265</t>
  </si>
  <si>
    <t>BRCPG1930K</t>
  </si>
  <si>
    <t>Tikamdar Lekhraj Ghanshyani</t>
  </si>
  <si>
    <t>D1117099</t>
  </si>
  <si>
    <t>Dr.Garikala Munni Krishna</t>
  </si>
  <si>
    <t>Mamata medical college, Khammam</t>
  </si>
  <si>
    <t>BIOCHEMISTRY Osmania medical college, Hyderabad</t>
  </si>
  <si>
    <t>APMC/FMR/84082</t>
  </si>
  <si>
    <t>gmk044@outlook.com</t>
  </si>
  <si>
    <t>00000020303053518</t>
  </si>
  <si>
    <t>BQHPG7254C</t>
  </si>
  <si>
    <t>Garikala Pedda Munaiah</t>
  </si>
  <si>
    <t>50100329254270</t>
  </si>
  <si>
    <t>D1117119</t>
  </si>
  <si>
    <t>Dr.Yarlagadda Lakshmi Deepika</t>
  </si>
  <si>
    <t>Konaseema Institute of Medical Sciences, Amalapuram</t>
  </si>
  <si>
    <t xml:space="preserve">Nizam’s  Institute of Medical Sciences,Hyderabad </t>
  </si>
  <si>
    <t>APMC/FMR/85821</t>
  </si>
  <si>
    <t>deepika.yarlagadda50@gmail.com</t>
  </si>
  <si>
    <t>919010033542610</t>
  </si>
  <si>
    <t>UTIB0000698</t>
  </si>
  <si>
    <t>AIIPY5385N</t>
  </si>
  <si>
    <t>Koteswararao</t>
  </si>
  <si>
    <t>D1117120</t>
  </si>
  <si>
    <t>Dr.Poreddy Goutham Reddy</t>
  </si>
  <si>
    <t>Basic USG, Tiffa, MSK, Penile Doppler/TRUS, Guided Procedures, Basic CT, All Angios except Coronary, CT Enteroclysis, X-Ray, Mammography, IVP, RGU, MCGU, Barium Swallow, Barium Enema HSG</t>
  </si>
  <si>
    <t>Southern Medical College, China</t>
  </si>
  <si>
    <t>Madras Medical College, Tamil Nadu</t>
  </si>
  <si>
    <t>DNB-2019</t>
  </si>
  <si>
    <t>Apollo Jubli Hills</t>
  </si>
  <si>
    <t>APMC/FMR/83991</t>
  </si>
  <si>
    <t>9398729479, 7799423671</t>
  </si>
  <si>
    <t xml:space="preserve"> docgoutham@gmail.com</t>
  </si>
  <si>
    <t>50100201807694</t>
  </si>
  <si>
    <t>CUJPP6994B</t>
  </si>
  <si>
    <t>Poreddy Surendere reddy</t>
  </si>
  <si>
    <t>Telangana State Medical Countil</t>
  </si>
  <si>
    <t>D1117112</t>
  </si>
  <si>
    <t>Dr.Md Shareef Ahmed</t>
  </si>
  <si>
    <t>Bidar Institute of Medical Sciences, Bidar, Karnataka</t>
  </si>
  <si>
    <t>Karnataka Institute of Medical Sciences, Karnataka</t>
  </si>
  <si>
    <t>Karnataka Medical Sciences</t>
  </si>
  <si>
    <t>mdshareef.ahmed12@gmail.com</t>
  </si>
  <si>
    <t>112401508874</t>
  </si>
  <si>
    <t>BBSPA9911J</t>
  </si>
  <si>
    <t>Md Ibrahim</t>
  </si>
  <si>
    <t>D1117111</t>
  </si>
  <si>
    <t>Dr.Thery Priya Darshini</t>
  </si>
  <si>
    <t>Vinayaka Mission Medical College, Salem, Tamil Nadu</t>
  </si>
  <si>
    <t>Sri Ramachandra Medical College, Porur, Tamil Nadu</t>
  </si>
  <si>
    <t>APMC/FMR/82829</t>
  </si>
  <si>
    <t>therypriyadarshini@gmail.com</t>
  </si>
  <si>
    <t>Indian bank</t>
  </si>
  <si>
    <t>IDIB000M256</t>
  </si>
  <si>
    <t>BDDPP7331Q</t>
  </si>
  <si>
    <t>S Thery Babu</t>
  </si>
  <si>
    <t>D1117114</t>
  </si>
  <si>
    <t>Dr.Neeraj Rao</t>
  </si>
  <si>
    <t>Basic USG, Tiffa, Fetal Echo, MSK, Penile Dopplers, TRUS, Guided Procedures, Basic CT, All Angios, CT Enterclysis, Guided Procedures, Basic MRI, Cardiac MR, MR Defacography, MR Prostate, X Ray, Mammography, IVP, RGU, MCGU, Barium Swallow, Barium Anema, HSG</t>
  </si>
  <si>
    <t>Sawai Man Singh Medical College, Jaipur</t>
  </si>
  <si>
    <t>Jahangir Hospital Pune</t>
  </si>
  <si>
    <t>HN-21555</t>
  </si>
  <si>
    <t>neerajrao10@gmail.com</t>
  </si>
  <si>
    <t>917010046265151</t>
  </si>
  <si>
    <t>UTIB0001387</t>
  </si>
  <si>
    <t>BZFPR0052Q</t>
  </si>
  <si>
    <t>Jile Singha Rao</t>
  </si>
  <si>
    <t>D1117262</t>
  </si>
  <si>
    <t>Dr.Vani Chandrashekar</t>
  </si>
  <si>
    <t>Consultant -Head of the department- Hematology</t>
  </si>
  <si>
    <t>Dr. Anil Tarigopula</t>
  </si>
  <si>
    <t>Sri Siddartha Medical College, Tumkur</t>
  </si>
  <si>
    <t>JIPMER, Pondicherry University</t>
  </si>
  <si>
    <t>DNB-2007</t>
  </si>
  <si>
    <t>MBBS, MD, DNB</t>
  </si>
  <si>
    <t>Applied for Telangana Medical Council</t>
  </si>
  <si>
    <t>drvani001@gmail.com</t>
  </si>
  <si>
    <t>167501000016701</t>
  </si>
  <si>
    <t>IOBA0001675</t>
  </si>
  <si>
    <t>AHYPC5381P</t>
  </si>
  <si>
    <t>Chandrashekar Hande</t>
  </si>
  <si>
    <t>D1117110</t>
  </si>
  <si>
    <t>Dr.Anil Tarigopula</t>
  </si>
  <si>
    <t>Consultant Director Lab Services</t>
  </si>
  <si>
    <t>dranilt@gmail.com</t>
  </si>
  <si>
    <t>167501000016702</t>
  </si>
  <si>
    <t>AEEPT9724J</t>
  </si>
  <si>
    <t>T S S Rao</t>
  </si>
  <si>
    <t>D1117115</t>
  </si>
  <si>
    <t>Dr.Penmetsa Tejaswani Lalitha Sri</t>
  </si>
  <si>
    <t>Basic USG, Tiffa, Basic CT,   X Ray, IVP, RGU, MCGU</t>
  </si>
  <si>
    <t>Ramachandra Medical College, Chennai, Tamil Nadu</t>
  </si>
  <si>
    <t>Mahaveer Jain Medical College, RGUHS, Bangalore, Karnataka</t>
  </si>
  <si>
    <t>tejaswanipenmetsa@gmail.com</t>
  </si>
  <si>
    <t>State bank of india</t>
  </si>
  <si>
    <t>SBIN0004202</t>
  </si>
  <si>
    <t>BFUPP9492P</t>
  </si>
  <si>
    <t>Penmesta Sury Mangapathi Raju</t>
  </si>
  <si>
    <t>D1117116</t>
  </si>
  <si>
    <t>Dr.Priyanka</t>
  </si>
  <si>
    <t>Basic USG, Tiffa, Fetal Echo, MSK, Guided Procedure, Basic CT, Basic MRI, Xray, Sono-Mammography, IVP, RGU, MCGU, Barium Swallow, Barium Anema, HSG</t>
  </si>
  <si>
    <t>Apollo Institute Of Medical Sciences</t>
  </si>
  <si>
    <t>Deccan College Of Medical sciences, Hyderabad, Telangana</t>
  </si>
  <si>
    <t>TSMC/FMR/03097</t>
  </si>
  <si>
    <t>priyankasingh1804@yahoo.in/priyankasingh0418@gmail.com</t>
  </si>
  <si>
    <t>50100268087860</t>
  </si>
  <si>
    <t>GZKPP5870C</t>
  </si>
  <si>
    <t>Madhu Sudhan</t>
  </si>
  <si>
    <t>Dr.Perumalla Samuel Arun Kumar</t>
  </si>
  <si>
    <t>Basic USG, Tiffa, Basic CT, Basic MRI, X-Ray, IVP, RGU, MCGU, Barium Swallow, Barium Enema, HSG</t>
  </si>
  <si>
    <t>College of Medical Sciences, Bharatpur, Chitwan District, Nepal</t>
  </si>
  <si>
    <t>A J Institute of Medical Sciences and Research Centre, RGUHS, Karnataka</t>
  </si>
  <si>
    <t>Telangana State Medical Sciences</t>
  </si>
  <si>
    <t>Perumall Benjanain Arnold</t>
  </si>
  <si>
    <t>D1117118</t>
  </si>
  <si>
    <t>Dr.Vurubindi Sai Praneetha</t>
  </si>
  <si>
    <t>TSMC/FMR/08483</t>
  </si>
  <si>
    <t>vuru.sai@gmail.com</t>
  </si>
  <si>
    <t>15550100051835</t>
  </si>
  <si>
    <t>FDRL0001555</t>
  </si>
  <si>
    <t>DHYPP5359B</t>
  </si>
  <si>
    <t>Vurubandi Siva Prasad</t>
  </si>
  <si>
    <t>D1117383</t>
  </si>
  <si>
    <t>Dr.Polasa Aditya</t>
  </si>
  <si>
    <t>Basic USG, Tiffa, Fetal Echo, MSK Shoulder, Guided Procedures, Basic CT, Basic MRI, Xray, IVP, RGU, MCGU</t>
  </si>
  <si>
    <t>MNR Medical College, Sangareddy, Hyderabad</t>
  </si>
  <si>
    <t>Mahatma Gandhi medical college, Puducherry</t>
  </si>
  <si>
    <t>TSMC/FMR/01004 - Only MBBS (not valid)</t>
  </si>
  <si>
    <t>polasaaditya5@gmail.com</t>
  </si>
  <si>
    <t>HDFC0001982</t>
  </si>
  <si>
    <t>CNBPP5144E</t>
  </si>
  <si>
    <t>Polasa Suresh</t>
  </si>
  <si>
    <t>D1117393</t>
  </si>
  <si>
    <t>Dr.Nelluri Akhil</t>
  </si>
  <si>
    <t>Basic USG, Tiffa, Guided Procedures, Basic CT, Basic MRI, X-Ray, IVP, RGU, MCGU</t>
  </si>
  <si>
    <t>TSMC/FMR/08293- Only MBBS</t>
  </si>
  <si>
    <t>akki.nelluri@gmail.com</t>
  </si>
  <si>
    <t>SBIN0020181</t>
  </si>
  <si>
    <t>BOJPN3038P</t>
  </si>
  <si>
    <t>Nelluri Mohan Rao</t>
  </si>
  <si>
    <t>D1117546</t>
  </si>
  <si>
    <t>Dr.Sai Theja Paidipally</t>
  </si>
  <si>
    <t>Basic USG, Tiffa, Penile Doppler/TRUS, Guided Procedure, Doppler, Basic CT, All Angios, Basic MRI, X Ray, Radiography, Mammography, IVP, RGU, MCUG, Barium Swallow, Barium Anema, HSG</t>
  </si>
  <si>
    <t>Amrita institute of medical sciences, Kochi (Kerala)</t>
  </si>
  <si>
    <t>TSMC/FMR/03567</t>
  </si>
  <si>
    <t>saithejapaidipelly@gmail.com</t>
  </si>
  <si>
    <t>SBIN0021439</t>
  </si>
  <si>
    <t>CYIPP8252P</t>
  </si>
  <si>
    <t>Paidipally Satyanarayana Rao</t>
  </si>
  <si>
    <t>1-5-198/H, Ravindranath Tagore Nagar, Jagtial, TELANGANA – 505327</t>
  </si>
  <si>
    <t>D1118327</t>
  </si>
  <si>
    <t>Dr.Syed Haroon Hussain</t>
  </si>
  <si>
    <t>Senior Consultant Microbiologist</t>
  </si>
  <si>
    <t>drharoonhussain@gmail.com</t>
  </si>
  <si>
    <t>50100080115941</t>
  </si>
  <si>
    <t>DANPS3759G</t>
  </si>
  <si>
    <t>Syed Mushtaq Hussain</t>
  </si>
  <si>
    <t>Foreign opportunity</t>
  </si>
  <si>
    <t>D1117384</t>
  </si>
  <si>
    <t>Dr.Pottumuthu Sarvani</t>
  </si>
  <si>
    <t>TSMC/FMR/18359</t>
  </si>
  <si>
    <t>pls.sarvani@gmail.com</t>
  </si>
  <si>
    <t>79260100007308</t>
  </si>
  <si>
    <t>BARB0VJMIYA</t>
  </si>
  <si>
    <t>CVFPP7254R</t>
  </si>
  <si>
    <t>Suresh Puttumutu</t>
  </si>
  <si>
    <t>D1117385</t>
  </si>
  <si>
    <t>Dr.Kamadana Vinisha</t>
  </si>
  <si>
    <t>Basic USG, Tiffa, Guided Procedures, Basic CT, X-Ray, IVP, RGU, MCGU, Barium Swallow, Barium Enema, HSG</t>
  </si>
  <si>
    <t>Prathima Institute of Medical Sciences, Karimnagar, Telangana</t>
  </si>
  <si>
    <t>SRM Medical College Hospital and Research Center</t>
  </si>
  <si>
    <t>TSMC/FMR/04361</t>
  </si>
  <si>
    <t>vinisharao8@gmail.com</t>
  </si>
  <si>
    <t>SBIN0020248</t>
  </si>
  <si>
    <t>GZVPK7521L</t>
  </si>
  <si>
    <t>Kamadana Firoz Kumar</t>
  </si>
  <si>
    <t>D1117388</t>
  </si>
  <si>
    <t>Dr.Suchita Sadashiv Bhusare</t>
  </si>
  <si>
    <t>Government Medical College, Akola</t>
  </si>
  <si>
    <t>Annasaheb Chudaman Patil Memorial Medical College, Dhule, Maharashtra</t>
  </si>
  <si>
    <t>bhusare999@gmail.com</t>
  </si>
  <si>
    <t>0139006900005975</t>
  </si>
  <si>
    <t>PUNB0013900</t>
  </si>
  <si>
    <t>BPXPB2759C</t>
  </si>
  <si>
    <t xml:space="preserve">Sadhashiv Pasram Bhushare </t>
  </si>
  <si>
    <t>D1117390</t>
  </si>
  <si>
    <t>Dr.Satkuri Shiva Krishna</t>
  </si>
  <si>
    <t>Basic USG, Tiffa, MSK, Penile Dopplers/TRUS, Guided Procedures, Basic CT, All Angios, CT Enteroclysis, Basic MRI, MR Perfusion, MR Prostate, X-Ray, Mammography, IVP, RGU, MCGU, Barium Swallow, Barium Enema, HSG</t>
  </si>
  <si>
    <t>JIPMER, Pondicherry</t>
  </si>
  <si>
    <t>DNB-2020</t>
  </si>
  <si>
    <t>APMC/FMR/92706</t>
  </si>
  <si>
    <t>shivakrishnambbs@gmail.com</t>
  </si>
  <si>
    <t>CQYPS3648N</t>
  </si>
  <si>
    <t>Shekar</t>
  </si>
  <si>
    <t xml:space="preserve">Dr.Sonal </t>
  </si>
  <si>
    <t>Basic USG, Tiffa, MSK, Guided Procedures, Basic CT, All Angios, Virtual Endoscopy, CT Enterclysis, Guided Procedures, X-Ray, Mommography, Basic MRI, MR Perfusion, Fetal MRI, MR Prostate, IVP, RGU, MCGU, Barium Swallow, Barium Enema, HSG</t>
  </si>
  <si>
    <t>Government Medical College, Haldwani, Kumaun University, Uttarakhand</t>
  </si>
  <si>
    <t>Tata Memorial Centre, Mumbai, Homi Bhabha National Institute</t>
  </si>
  <si>
    <t>HN-18772</t>
  </si>
  <si>
    <t>Haryanana Medical Council</t>
  </si>
  <si>
    <t>sonaljoshi012@gmail.com</t>
  </si>
  <si>
    <t>041154918</t>
  </si>
  <si>
    <t>KKBK0000282</t>
  </si>
  <si>
    <t>V1101788</t>
  </si>
  <si>
    <t>Dr.Anusheela Yalavarthy</t>
  </si>
  <si>
    <t>Basic USG, Tiffa, X-Ray, Mammography</t>
  </si>
  <si>
    <t>dr.anusheela@gmail.com</t>
  </si>
  <si>
    <t>SBIN0020072</t>
  </si>
  <si>
    <t>AAXPY0511B</t>
  </si>
  <si>
    <t>Yalavarthy Shyam Prasad</t>
  </si>
  <si>
    <t>D1117391</t>
  </si>
  <si>
    <t>Dr.Rayachoti Tanvi Niharika</t>
  </si>
  <si>
    <t xml:space="preserve"> Kurnool Medical College</t>
  </si>
  <si>
    <t>APMC/FMR/95931</t>
  </si>
  <si>
    <t>r.niharika122@icloud.com</t>
  </si>
  <si>
    <t>110045505440</t>
  </si>
  <si>
    <t>CNRB0000778</t>
  </si>
  <si>
    <t>ALHPN6786E</t>
  </si>
  <si>
    <t>Nagendrappa Ravikumar</t>
  </si>
  <si>
    <t>Dr.Sindhura Manne</t>
  </si>
  <si>
    <t>Basic USG, Tiffa, MSK, FNAC, Dopplers, Breast USG, Basic CT, All Angios, Basic MRI, X-Ray, IVP, RGU, MCGU, Barium Swallow, Barium Enema, HSG</t>
  </si>
  <si>
    <t>Sriramachandra Medical College, Chennai</t>
  </si>
  <si>
    <t>TSMC/FMR/ 12784</t>
  </si>
  <si>
    <t>mannesindhu92@gmail.com</t>
  </si>
  <si>
    <t>HDFC0003611</t>
  </si>
  <si>
    <t>BMRP7771N</t>
  </si>
  <si>
    <t>Vijaya Karunakar Rao</t>
  </si>
  <si>
    <t>KIMS, Secunderabad</t>
  </si>
  <si>
    <t>D1117395</t>
  </si>
  <si>
    <t>Dr.Perumandla Mohan Rao</t>
  </si>
  <si>
    <t>08:00 AM to 09:30 AM</t>
  </si>
  <si>
    <t xml:space="preserve"> 1:30 PM to 5:00 PM </t>
  </si>
  <si>
    <t>Basic USG, Tiffa, MSK, Penile dopplers, FNAC, Dopplers,  X-Ray, Mammography, Basic CT, CT Pulminory Angios,  Guided Procedures, Basic MRI, MR Prostate,  IVP, RGU, MCGU, Barium Swallow, Barium Enema, HSG</t>
  </si>
  <si>
    <t>TSMC/FMR/04654</t>
  </si>
  <si>
    <t>Only MBBS -Telangana State Medical Council</t>
  </si>
  <si>
    <t>8247062526, 8106525939</t>
  </si>
  <si>
    <t>dr.mohanraorad@gmail.com</t>
  </si>
  <si>
    <t>EDFPP1235Q</t>
  </si>
  <si>
    <t>Ramaswamy Perumadla</t>
  </si>
  <si>
    <t>D1117382</t>
  </si>
  <si>
    <t>Dr.Samala Snigdha</t>
  </si>
  <si>
    <t>Basic USG, Tiffa, MSK, Guided Procedures, X-Ray, Mammography, Basic CT, CT Enteroclysis, Basic MRI, IVP, RGU, MCGU, Barium Swallow, Barium Enema, HSG</t>
  </si>
  <si>
    <t xml:space="preserve">Kamineni Medical College, Narketpally </t>
  </si>
  <si>
    <t>TSMC/FMR/02942</t>
  </si>
  <si>
    <t>snigdhasamala@gmail.com</t>
  </si>
  <si>
    <t>50100545480078</t>
  </si>
  <si>
    <t>HDFC0001636</t>
  </si>
  <si>
    <t>CQEPS3351L</t>
  </si>
  <si>
    <t>Ramanadham</t>
  </si>
  <si>
    <t>D1117387</t>
  </si>
  <si>
    <t>Dr.Syeda Saleha Fareed</t>
  </si>
  <si>
    <t>Dr. VRK Medical College and research centre, Aziznagar, Hyderabad</t>
  </si>
  <si>
    <t xml:space="preserve">TSMC/FMR/03528 </t>
  </si>
  <si>
    <t>salehafareed@rocketmail.com</t>
  </si>
  <si>
    <t>SBIN0004903</t>
  </si>
  <si>
    <t>JMVPS1196D</t>
  </si>
  <si>
    <t>Mhd Shahnawaz Ali Khan</t>
  </si>
  <si>
    <t>D1119868</t>
  </si>
  <si>
    <t>Dr.Amreen Barkat Thobani</t>
  </si>
  <si>
    <t>Basic USG, Doppler Studies, Thyroid/Scrotum USG, Breast USG, Guided Procedures, Basic CT, Chest/ Abdomen/Neck, 3DCT, CT Angiography, Basic MRI, X Ray, Plain Radiography, Mammography, IVP, RGU, MCUG, Barium Swallow, Barium Anema, HSG.</t>
  </si>
  <si>
    <t>TSMC/FMR/19593</t>
  </si>
  <si>
    <t>dramreenthobani@gmail.com</t>
  </si>
  <si>
    <t>914010014463607</t>
  </si>
  <si>
    <t>AWYPT1105F</t>
  </si>
  <si>
    <t xml:space="preserve">Pregnancy </t>
  </si>
  <si>
    <t>5-8-50/6, Flat No. 104, Sangeeta Apartments, Chirag Ali Lane, Abids, Nampally, Hyderabad, Telangana- 500001</t>
  </si>
  <si>
    <t>D1117538</t>
  </si>
  <si>
    <t>Dr.Poreddy Sadhana Reddy</t>
  </si>
  <si>
    <t>Basic USG, Tiffa, Basic CT, Xray, Mammography</t>
  </si>
  <si>
    <t>SVS Medical College, Mahboobnagar, Telangana</t>
  </si>
  <si>
    <t>TSMC/FMR/ 00187</t>
  </si>
  <si>
    <t>poreddysadhana@gmail.com</t>
  </si>
  <si>
    <t>50100495972503</t>
  </si>
  <si>
    <t>BJIPP1384E</t>
  </si>
  <si>
    <t>332749882335</t>
  </si>
  <si>
    <t>Satyanarayana Reddy Poreddy</t>
  </si>
  <si>
    <t>D1117535</t>
  </si>
  <si>
    <t>Dr.A Srikanth</t>
  </si>
  <si>
    <t>Basic USG, Tiffa, USG guided FNAC, Basic CT, Basic MRI, X-Ray, Mammography, IVP, RGU, MCGU, Barium Swallow, Barium Enema, HSG</t>
  </si>
  <si>
    <t>APMC/FMR/81446 </t>
  </si>
  <si>
    <t>kanthuamaravadi@gmail.com</t>
  </si>
  <si>
    <t>50100065513760</t>
  </si>
  <si>
    <t>HDFC0001043</t>
  </si>
  <si>
    <t>BNNPA9607G</t>
  </si>
  <si>
    <t>700520963380</t>
  </si>
  <si>
    <t xml:space="preserve">A Nageshwar </t>
  </si>
  <si>
    <t>Dr.Palla Divya Reddy</t>
  </si>
  <si>
    <t>D1117536</t>
  </si>
  <si>
    <t>Dr.Bolledu Hadassah John</t>
  </si>
  <si>
    <t>APMC/FMR/89219</t>
  </si>
  <si>
    <t>hadassahjohn@gmail.com</t>
  </si>
  <si>
    <t>KBKO007530</t>
  </si>
  <si>
    <t>AXQPJ7095P</t>
  </si>
  <si>
    <t>377055949583</t>
  </si>
  <si>
    <t>Bolledu Jhon</t>
  </si>
  <si>
    <t>Dr.Tellapuram Vani</t>
  </si>
  <si>
    <t>D1118030</t>
  </si>
  <si>
    <t>Dr.Athika Nayesha</t>
  </si>
  <si>
    <t>Dr. NTR University of Health Sciences - 2018</t>
  </si>
  <si>
    <t>TSMC/FMR/09434</t>
  </si>
  <si>
    <t>dratikanayesh@gmail.com</t>
  </si>
  <si>
    <t>130701001659</t>
  </si>
  <si>
    <t>ICIC0001307</t>
  </si>
  <si>
    <t>BQAPN9457M</t>
  </si>
  <si>
    <t>07-08-1993</t>
  </si>
  <si>
    <t>Basic USG, Tiffa, Fetal Echo, MSK, Basic CT, All Angios,   Basic MRI, X Ray, Regular, Mammography, IVP, RGU, MCGU, Barium Swallow, Barium Anema, HSG</t>
  </si>
  <si>
    <t>Assam Medical College Dibrugarh University</t>
  </si>
  <si>
    <t>Mahatma Gandhi Medical College and research institute,Pondicherry-</t>
  </si>
  <si>
    <t>drprararadiology@gmail.com</t>
  </si>
  <si>
    <t>866965724424</t>
  </si>
  <si>
    <t>D1117545</t>
  </si>
  <si>
    <t>Dr.Mounika Dongala</t>
  </si>
  <si>
    <t xml:space="preserve"> Basic USG, Tiffa, MSK,Guided Procedure, Doppler, Basic CT, Basic MRI, X Ray, Radiography, Mammography, IVP, RGU, MCUG, Barium Swallow, Barium Anema, HSG</t>
  </si>
  <si>
    <t>Kakatiya Medical College, Mahatma Gandhi Memorial Hospital, Warangal</t>
  </si>
  <si>
    <t>Osmania General Hospital</t>
  </si>
  <si>
    <t>APMC/FMR/81046</t>
  </si>
  <si>
    <t>mounika.jn@gmail.com</t>
  </si>
  <si>
    <t>CDLPD8364E</t>
  </si>
  <si>
    <t>Dongala Prabhakar</t>
  </si>
  <si>
    <t>Dr.Amit Shukla</t>
  </si>
  <si>
    <t>Rajshree Medical Research Institute,
M.J.P Rohilkhand University,Bareilly</t>
  </si>
  <si>
    <t>TSMC/FMR/22258</t>
  </si>
  <si>
    <t>amithshuklag@gmail.com</t>
  </si>
  <si>
    <t xml:space="preserve">Canara Bank </t>
  </si>
  <si>
    <t>CNRB0013022</t>
  </si>
  <si>
    <t>JEAPS7461L</t>
  </si>
  <si>
    <t>B Deepak Shukla</t>
  </si>
  <si>
    <t xml:space="preserve"> Pt. BD Sharma Post Graduate Institute Of Medical Sciences (PGIMS), Rohtak, Haryan</t>
  </si>
  <si>
    <t>Haryana Mediacal Council</t>
  </si>
  <si>
    <t>D1117540</t>
  </si>
  <si>
    <t>Dr.Syed Owaisi Ali</t>
  </si>
  <si>
    <t>NINGXIA Medical University China</t>
  </si>
  <si>
    <t>NO</t>
  </si>
  <si>
    <t>TSMC/FMR/15656</t>
  </si>
  <si>
    <t>awesali43@gmail.com</t>
  </si>
  <si>
    <t>50100469750452</t>
  </si>
  <si>
    <t>EIPPA9206M</t>
  </si>
  <si>
    <t>Mohd Mazher Ali</t>
  </si>
  <si>
    <t>D1116915</t>
  </si>
  <si>
    <t>Dr.Tejashwini Reddy</t>
  </si>
  <si>
    <t>Technical Lab Operations</t>
  </si>
  <si>
    <t>Consultant Technical Lab Operations</t>
  </si>
  <si>
    <t xml:space="preserve">Chettinad Medical College, Chettinad, Tamilnadu </t>
  </si>
  <si>
    <t>Savita Medical College, Chennai, Tamil Nadu</t>
  </si>
  <si>
    <t>teju.1191@gmail.com</t>
  </si>
  <si>
    <t>018301565802</t>
  </si>
  <si>
    <t>ICIC0000183</t>
  </si>
  <si>
    <t>CDIPP9573L</t>
  </si>
  <si>
    <t>963333739581</t>
  </si>
  <si>
    <t>Chamundeswar Rao</t>
  </si>
  <si>
    <t>higer studies-approved</t>
  </si>
  <si>
    <t>Dr.D Hemanth Kumar</t>
  </si>
  <si>
    <t>D1117541</t>
  </si>
  <si>
    <t>Dr.Mantripragada Nisanth</t>
  </si>
  <si>
    <t>Jinzhou Medical University</t>
  </si>
  <si>
    <t>TSMC/FMR/08243</t>
  </si>
  <si>
    <t>manthripragada.nishanth01@gmail.com</t>
  </si>
  <si>
    <t>Indusind Bank</t>
  </si>
  <si>
    <t>158121141101</t>
  </si>
  <si>
    <t>INDB0000226</t>
  </si>
  <si>
    <t>BWMPM9876R</t>
  </si>
  <si>
    <t>Mantripragada Seetha Rama Rao</t>
  </si>
  <si>
    <t>MBBS,MD, DNB</t>
  </si>
  <si>
    <t>D1119009</t>
  </si>
  <si>
    <t>Dr.Veginati Sai Phani</t>
  </si>
  <si>
    <t>Basic USG, Tiffa, MSK, Penile Doppler/TRUS,  Guided Procedures, Basic CT, Basic MRI, X Ray, Plain Radiology, IVP, RGU, MCGU, Barium Swallow, Barium Anema, HSG</t>
  </si>
  <si>
    <t>Osmania medical College, Hyderabad</t>
  </si>
  <si>
    <t>Kasturba Medical College, Mangloare</t>
  </si>
  <si>
    <t>TSMC/FMR/09548</t>
  </si>
  <si>
    <t>saiphani34@gmail.com</t>
  </si>
  <si>
    <t>001401537538</t>
  </si>
  <si>
    <t>FSDPP5682M</t>
  </si>
  <si>
    <t>Relocation due to marriage</t>
  </si>
  <si>
    <t>H.No-1-2-25,Flat No-402,Badamgalli,Streat No-16, Domalguda, Himayathnagar, Telangana-500029.</t>
  </si>
  <si>
    <t>Dr. Srikanth Nalla</t>
  </si>
  <si>
    <t>D1109930</t>
  </si>
  <si>
    <t>Dr.Abishek Mogili</t>
  </si>
  <si>
    <t>Basic USG, Tiffa, MSK, Guided Procedure, Basic CT, Basic MRI, Regular X Ray, Mammography, IVP, RGU, MCUG, Barium Swallow, Barium Anema, HSG</t>
  </si>
  <si>
    <t>Shadan institute of medical science</t>
  </si>
  <si>
    <t>APMC/FMR/79820</t>
  </si>
  <si>
    <t>abhishekmogili@gmail.com</t>
  </si>
  <si>
    <t>50100158236871</t>
  </si>
  <si>
    <t>HDFC0001554</t>
  </si>
  <si>
    <t>APPPA1906F</t>
  </si>
  <si>
    <t>Mogili Subba Rao</t>
  </si>
  <si>
    <t>D1117687</t>
  </si>
  <si>
    <t>Dr.Rayavarapu Sukumar</t>
  </si>
  <si>
    <t>Basic USG, Tiffa, Xray</t>
  </si>
  <si>
    <t xml:space="preserve"> Andhra Pradesh Medical Counil</t>
  </si>
  <si>
    <t>sukumarayavarapu@gmail.com</t>
  </si>
  <si>
    <t>103010100024423</t>
  </si>
  <si>
    <t>BYVPR5269N</t>
  </si>
  <si>
    <t>7633 6515 4101</t>
  </si>
  <si>
    <t>Rayavarapu Chiranjeeva Rao</t>
  </si>
  <si>
    <t>D1117692</t>
  </si>
  <si>
    <t>M.G + Incentive</t>
  </si>
  <si>
    <t>Dr.Aleena Ali</t>
  </si>
  <si>
    <t>GOVERNMEN MEDICALCOLLEGE,KOTTAYAM,KERALA</t>
  </si>
  <si>
    <t>TSMC/FMR/20646</t>
  </si>
  <si>
    <t>aleenaaly@gmail.com</t>
  </si>
  <si>
    <t>50100604679479</t>
  </si>
  <si>
    <t>DGNPA2498L</t>
  </si>
  <si>
    <t>Kattathara Ashankunju Ali</t>
  </si>
  <si>
    <t>Relocate to Punjagutta</t>
  </si>
  <si>
    <t>D1117693</t>
  </si>
  <si>
    <t>Dr.Sharabu Yamini</t>
  </si>
  <si>
    <t>Govt.Medical College, Anantapur- 2006</t>
  </si>
  <si>
    <t>Sri Venkateswara Medical College, Tirupati - 2013</t>
  </si>
  <si>
    <t>59410 - Andhra Pradesh Medical Council</t>
  </si>
  <si>
    <t>sharabudurga@gmail.com</t>
  </si>
  <si>
    <t>00000062426903281</t>
  </si>
  <si>
    <t>GKZPS3727M</t>
  </si>
  <si>
    <t>S Nagabhushana Chari</t>
  </si>
  <si>
    <t>Dr.Madhulika Kothuru</t>
  </si>
  <si>
    <t>D1120312</t>
  </si>
  <si>
    <t>Dr.Abinaya G</t>
  </si>
  <si>
    <t>Sri Lakshmi Narayana Institiute of Medical Science.</t>
  </si>
  <si>
    <t>TSMC/FMR/30294</t>
  </si>
  <si>
    <t>abinyaanoint@gmail.com</t>
  </si>
  <si>
    <t>HDFC0000847</t>
  </si>
  <si>
    <t>BWWPG0491A</t>
  </si>
  <si>
    <t>GUNASEKARAN PERUMAL</t>
  </si>
  <si>
    <t>Resigned due to higher studies, not served notice period</t>
  </si>
  <si>
    <t>Hospital road, Perambakkam, thiruvallur, Tamil Nadu-631402.</t>
  </si>
  <si>
    <t>D1118329</t>
  </si>
  <si>
    <t>Dr.Vikas Ranjan</t>
  </si>
  <si>
    <t>Maharashtra University Of Health Sciences, Nashik - 2011</t>
  </si>
  <si>
    <t>Maharashtra University Of Health Sciences, Nashik - 2019</t>
  </si>
  <si>
    <t>DMC/R/8189</t>
  </si>
  <si>
    <t>Delhi medical Counil</t>
  </si>
  <si>
    <t>rvvikash@gmail.com</t>
  </si>
  <si>
    <t>921010002870806</t>
  </si>
  <si>
    <t>UTIB0003683</t>
  </si>
  <si>
    <t>ASDPR8306B</t>
  </si>
  <si>
    <t>Girindra Mohan Kumar</t>
  </si>
  <si>
    <t>D1117689</t>
  </si>
  <si>
    <t>Dr.Kavya J</t>
  </si>
  <si>
    <t>Sri Ramachandra Medical College and Research Institute, Chennai - 2013</t>
  </si>
  <si>
    <t>Manipal - Kasturba Medical College - 2020</t>
  </si>
  <si>
    <t>APMC/FMR/113107</t>
  </si>
  <si>
    <t>jeepalemkavya@gmail.com</t>
  </si>
  <si>
    <t>Indian Oversea Bank</t>
  </si>
  <si>
    <t>378001000002262</t>
  </si>
  <si>
    <t>IOBA0003780</t>
  </si>
  <si>
    <t>ATMPJ4277F</t>
  </si>
  <si>
    <t>Jeepalem Chandra</t>
  </si>
  <si>
    <t>14:00:00 PM</t>
  </si>
  <si>
    <t>18:00:00 PM</t>
  </si>
  <si>
    <t>D1109752</t>
  </si>
  <si>
    <t>Dr.Vinoth Saravanan M C</t>
  </si>
  <si>
    <t>Annamalai University - 1992</t>
  </si>
  <si>
    <t>University of Delhi South Campus - 2004</t>
  </si>
  <si>
    <t>APMC/FMR/123257</t>
  </si>
  <si>
    <t>mvs7771@gmail.com</t>
  </si>
  <si>
    <t>477010100001182</t>
  </si>
  <si>
    <t>UTIB0002927</t>
  </si>
  <si>
    <t>AFIPM7072F</t>
  </si>
  <si>
    <t>Marappa Chettiy</t>
  </si>
  <si>
    <t>Work from Home</t>
  </si>
  <si>
    <t>Andhra Pradesh Medical Counil</t>
  </si>
  <si>
    <t>D1117691</t>
  </si>
  <si>
    <t>Dr.Shaik Mohamad Zeeshan Ahmed</t>
  </si>
  <si>
    <t>Fathima Instt.of Medical Sciences, Kadapa - 2016</t>
  </si>
  <si>
    <t>APMC/FMR/100801</t>
  </si>
  <si>
    <t>91103 48287</t>
  </si>
  <si>
    <t>zeshaan7869@gmail.com</t>
  </si>
  <si>
    <t>SBIN0000866</t>
  </si>
  <si>
    <t>OMTPS4242B</t>
  </si>
  <si>
    <t>Md.Maqsood Ahmed</t>
  </si>
  <si>
    <t>D1117861</t>
  </si>
  <si>
    <t>Dr.Madduri Shruti Reddy</t>
  </si>
  <si>
    <t>JSS  Medical College - 2012</t>
  </si>
  <si>
    <t>JSS Academy Of Higher Education &amp; Research - 2021</t>
  </si>
  <si>
    <t>TSMC/FMR/22656</t>
  </si>
  <si>
    <t>shrutitadachina22@gmail.com</t>
  </si>
  <si>
    <t>50100004870472</t>
  </si>
  <si>
    <t>HDFC0004096</t>
  </si>
  <si>
    <t>ALIPT8763G</t>
  </si>
  <si>
    <t>220773977849</t>
  </si>
  <si>
    <t>Laxma Reddy</t>
  </si>
  <si>
    <t>We Ask Her to Leave</t>
  </si>
  <si>
    <t>Dr.Ruth Reddy</t>
  </si>
  <si>
    <t>Dr. NTR University of Health Sciences - 2019</t>
  </si>
  <si>
    <t>TSMC/FMR/15308</t>
  </si>
  <si>
    <t>ruthbreddy@gmail.com</t>
  </si>
  <si>
    <t>SBI</t>
  </si>
  <si>
    <t>SBIN0003607</t>
  </si>
  <si>
    <t>ENTPR1042F</t>
  </si>
  <si>
    <t>441722655301</t>
  </si>
  <si>
    <t>B.Yadi Reddy</t>
  </si>
  <si>
    <t>D1117866</t>
  </si>
  <si>
    <t>Dr.Sai Prasanth Kumar Reddy</t>
  </si>
  <si>
    <t>Shri B M Patil Medical College, Hospital And Research Centre - 2017</t>
  </si>
  <si>
    <t>APMC/FMR/104215</t>
  </si>
  <si>
    <t>prashanth.reddy535@gmail.com</t>
  </si>
  <si>
    <t>520101032887023</t>
  </si>
  <si>
    <t>UBIN0930903</t>
  </si>
  <si>
    <t>ARSPV3994M</t>
  </si>
  <si>
    <t>428923307321</t>
  </si>
  <si>
    <t>V. Venkata Subbareddy</t>
  </si>
  <si>
    <t>BU0PA0778A</t>
  </si>
  <si>
    <t>11026020471</t>
  </si>
  <si>
    <t>SBIN0001491</t>
  </si>
  <si>
    <t>D1117092</t>
  </si>
  <si>
    <t>Dr.Ashish Rajendra Ghuli</t>
  </si>
  <si>
    <t>Dr Anuj Jain</t>
  </si>
  <si>
    <t>KIMS, Karad, Maharashtra</t>
  </si>
  <si>
    <t>Radiation Medicine Centre, BARC, Mumbai, Mumbai University</t>
  </si>
  <si>
    <t>DNB Nuclear Medicine - 2010</t>
  </si>
  <si>
    <t>G-67520</t>
  </si>
  <si>
    <t>Gujrath  Medical Council</t>
  </si>
  <si>
    <t>ashishghuli@gmail.com</t>
  </si>
  <si>
    <t>603601525272</t>
  </si>
  <si>
    <t>ICIC0006421</t>
  </si>
  <si>
    <t>APOPG7217C</t>
  </si>
  <si>
    <t>Rajendra Ghuli</t>
  </si>
  <si>
    <t>D1117859</t>
  </si>
  <si>
    <t>Dr.Veerabhadra Rao</t>
  </si>
  <si>
    <t>Shadan Medical College - 2021</t>
  </si>
  <si>
    <t>TSMC/FMR/23253</t>
  </si>
  <si>
    <t>msrveerabhadrarao@gmail.com</t>
  </si>
  <si>
    <t>Pending</t>
  </si>
  <si>
    <t>GKEPB2977K</t>
  </si>
  <si>
    <t>615018073165</t>
  </si>
  <si>
    <t>M V S Rama Rao</t>
  </si>
  <si>
    <t>D1120003</t>
  </si>
  <si>
    <t>Dr.Tabassum Iqbal</t>
  </si>
  <si>
    <t>1:00:00 PM</t>
  </si>
  <si>
    <t>Shadan Institute of Medical Science</t>
  </si>
  <si>
    <t>APMC/FMR/90989</t>
  </si>
  <si>
    <t>hinaiqbal06@gmail.com</t>
  </si>
  <si>
    <t>37854410194</t>
  </si>
  <si>
    <t>AISPI1984M</t>
  </si>
  <si>
    <t>Government Job</t>
  </si>
  <si>
    <t>17-9-614, Chowni Nade Ali Baig, Yakutpura, Charminar, Hyderabad, Telangana - 500023</t>
  </si>
  <si>
    <t>Dr.P Suma Reddy</t>
  </si>
  <si>
    <t>Rajiv Gandhi University Of Health Sciences</t>
  </si>
  <si>
    <t>TSMC/FMR/22553 - Telangana State Medical Council</t>
  </si>
  <si>
    <t>sumapunnati95@gmail.com</t>
  </si>
  <si>
    <t>CZVPP9397R</t>
  </si>
  <si>
    <t>257876187455</t>
  </si>
  <si>
    <t>P Surendranath Reddy</t>
  </si>
  <si>
    <t>D1118688</t>
  </si>
  <si>
    <t>Dr.Nadia Jabeen</t>
  </si>
  <si>
    <t>AR Multispecialty Hospital</t>
  </si>
  <si>
    <t>APMC/FMR/94054</t>
  </si>
  <si>
    <t>Jabeen.NadiaMD@gmail.com</t>
  </si>
  <si>
    <t>HDFC0000365</t>
  </si>
  <si>
    <t>BOPPJ7393F</t>
  </si>
  <si>
    <t>17-1-375/A/26/A, Qalandar Nagar, Santhosh Nagar, Saidabad, Hyderabad – 500059</t>
  </si>
  <si>
    <t>V1101514</t>
  </si>
  <si>
    <t>Dr.Yalaka Gautham Reddy</t>
  </si>
  <si>
    <t>Basic USG, Tiffa, Xray, Basic CT, IVP, RGU, MCGU, Barium Swallow, Barium Enema, HSG</t>
  </si>
  <si>
    <t>S S Institute of Medical Sciences</t>
  </si>
  <si>
    <t>TSMC/FMR/17028</t>
  </si>
  <si>
    <t>gautham132@gmail.com</t>
  </si>
  <si>
    <t>32231520871</t>
  </si>
  <si>
    <t>SBIN0003605</t>
  </si>
  <si>
    <t>AIDPY4690H</t>
  </si>
  <si>
    <t>Dr Yalaka Jayapal Reddy</t>
  </si>
  <si>
    <t>D1110503</t>
  </si>
  <si>
    <t>Dr.Nithin Reddy D</t>
  </si>
  <si>
    <t>Kempegowda institute of medical sciences and hospital, Bangalore</t>
  </si>
  <si>
    <t>Dasarinithinreddy@gmail.com</t>
  </si>
  <si>
    <t>SBIN0020080</t>
  </si>
  <si>
    <t>AVPPR9409J</t>
  </si>
  <si>
    <t>NTR University of Health Sciences</t>
  </si>
  <si>
    <t>D1119866</t>
  </si>
  <si>
    <t>Dr.Kotha Hari Priyanka</t>
  </si>
  <si>
    <t>09:00 TO 13:00</t>
  </si>
  <si>
    <t>16:00 TO 20:00</t>
  </si>
  <si>
    <t>Basic USG, Doppler Studies, Thyroid/Scrotum USG, Breast USG, Tiffa, MSK USG, USG Guided FNAC, Guided Procedures, Basic CT, Chest/ Abdomen/Neck, 3DCT, X Ray, Plain Radiography, Mammography, IVP, RGU, MCUG, Barium Swallow, Barium Anema, HSG.</t>
  </si>
  <si>
    <t>GOVERNMENT MEDICAL COLLEGE</t>
  </si>
  <si>
    <t>APMC/FMR/102146</t>
  </si>
  <si>
    <t>haripriyanka080@gmail.com</t>
  </si>
  <si>
    <t>73010100016030</t>
  </si>
  <si>
    <t>BARB0DBMEDI</t>
  </si>
  <si>
    <t>DJVPK3086D</t>
  </si>
  <si>
    <t>3B-2-21, Padamara Veedhi, Dongala Mandapam Daggara, Eluru, West Godavari, Andhra Pradesh - 534001</t>
  </si>
  <si>
    <t>D1118024</t>
  </si>
  <si>
    <t>Dr.N Vignesh</t>
  </si>
  <si>
    <t>08:00 AM to 9:30 AM</t>
  </si>
  <si>
    <t>1:30 PM to 6:30 PM</t>
  </si>
  <si>
    <t>Kakatiya Medical College -2022</t>
  </si>
  <si>
    <t>TSMC/FMR/21802</t>
  </si>
  <si>
    <t>Vigneshkvp@yahoo.com</t>
  </si>
  <si>
    <t>City Union Bank</t>
  </si>
  <si>
    <t>128001001709417</t>
  </si>
  <si>
    <t>CIUB0000128</t>
  </si>
  <si>
    <t>AUIPV6871C</t>
  </si>
  <si>
    <t>D1118025</t>
  </si>
  <si>
    <t>Dr.Veda C S</t>
  </si>
  <si>
    <t>Mysore Medical College-2017</t>
  </si>
  <si>
    <t>TSMC/FMR/23059</t>
  </si>
  <si>
    <t>vedacsawalgi@gmail.com</t>
  </si>
  <si>
    <t>107910100068852</t>
  </si>
  <si>
    <t>AZMPV3563C</t>
  </si>
  <si>
    <t>D1118323</t>
  </si>
  <si>
    <t>Dr.Shaheen Siddiqua Amrin</t>
  </si>
  <si>
    <t>Gandhi Medical college, Secunderabad, Telangana--2010</t>
  </si>
  <si>
    <t>Reg No. 73784</t>
  </si>
  <si>
    <t>shaheenamreen@gmail.com</t>
  </si>
  <si>
    <t>DKCPS7604M</t>
  </si>
  <si>
    <t>V1101750</t>
  </si>
  <si>
    <t>Dr.Elsabet</t>
  </si>
  <si>
    <t>KIMS, Amalapuram</t>
  </si>
  <si>
    <t>APMC/FMR/88096</t>
  </si>
  <si>
    <t>cutelthota@gmail.com</t>
  </si>
  <si>
    <t>HDFC0002388</t>
  </si>
  <si>
    <t>AIVPA1559R</t>
  </si>
  <si>
    <t>Locum</t>
  </si>
  <si>
    <t>Dr.Hemlata Nelli</t>
  </si>
  <si>
    <t>Irregular to duties, Performance issued asked to leave form our end</t>
  </si>
  <si>
    <t>Dr.D Reddi Mithun Reddy</t>
  </si>
  <si>
    <t>Basic USG, Tiffa, Penile Doppler/TRUS,  Guided Procedures, Basic CT, All Angios, Basic MRI, MSK,  X Ray, Plain Radiology, Mammography, IVP, RGU, MCGU, Barium Swallow, Barium Anema, HSG</t>
  </si>
  <si>
    <t>APMC/FMR/126725</t>
  </si>
  <si>
    <t>GJKPD5076C</t>
  </si>
  <si>
    <t>12-11- 1528, Boudha Nagar, Warasi Guda, Sitaphalmandi, Hyderabad, Telangana – 500061.</t>
  </si>
  <si>
    <t>D1117542</t>
  </si>
  <si>
    <t>Dr.Zubeda Subhani Sayyed</t>
  </si>
  <si>
    <t>Lokmanya Tilak Medical College, Mumbai, Maharsahtra University</t>
  </si>
  <si>
    <t>0833016</t>
  </si>
  <si>
    <t>Medical Council India</t>
  </si>
  <si>
    <t>sayyedzubeda@gmail.com</t>
  </si>
  <si>
    <t>50100163641442</t>
  </si>
  <si>
    <t>HDFC0002825</t>
  </si>
  <si>
    <t>BZRPS0508J</t>
  </si>
  <si>
    <t>Subhani Sayyed</t>
  </si>
  <si>
    <t>50100420978707</t>
  </si>
  <si>
    <t>HDFC0001203</t>
  </si>
  <si>
    <t>D1118331</t>
  </si>
  <si>
    <t>Dr.Gorli Divyarani</t>
  </si>
  <si>
    <t>Basic USG, Tiffa, Guided Procedures, Basic CT, Basic MRI, X Ray, Radiography, Mammography, IVP, RGU, MCUG, Barium Swallow, Barium Anema, HSG</t>
  </si>
  <si>
    <t>APMC/FMR/92458</t>
  </si>
  <si>
    <t>9533689075, 7901299693</t>
  </si>
  <si>
    <t>divyaranigorle642@gmail.com</t>
  </si>
  <si>
    <t>50100363722487</t>
  </si>
  <si>
    <t>BTJPG9593B</t>
  </si>
  <si>
    <t>Satyanarayana Gorli</t>
  </si>
  <si>
    <t>D1118340</t>
  </si>
  <si>
    <t>Dr.P Naga Bhavani</t>
  </si>
  <si>
    <t>Basic USG, Tiffa, Basic CT (Brain and PNS), Basic CT (Other), Basic CT (Angios), Basic MRI (Brain and Spine), Basic MRI (Other),Basic MRI Screening,  X Ray, Radiography, Mammography, IVP, RGU, MCUG, Barium Swallow, Barium Anema, HSG</t>
  </si>
  <si>
    <t>Dr. NTR University of Health and Sciences</t>
  </si>
  <si>
    <t>doc.pnb@gmail.com</t>
  </si>
  <si>
    <t>30924593054</t>
  </si>
  <si>
    <t>SBIN0007955</t>
  </si>
  <si>
    <t>CENPP6835F</t>
  </si>
  <si>
    <t>Abdul Jalal Khan</t>
  </si>
  <si>
    <t>D1118333</t>
  </si>
  <si>
    <t>Dr.Priyanka Verma</t>
  </si>
  <si>
    <t>Subharti Medical College</t>
  </si>
  <si>
    <t>Teerthankr Mahaveer University</t>
  </si>
  <si>
    <t>drpriyankaverma62@gmail.com</t>
  </si>
  <si>
    <t>509902010007590</t>
  </si>
  <si>
    <t>UBIN0564265</t>
  </si>
  <si>
    <t>AFFPV1584A</t>
  </si>
  <si>
    <t>Ashwani Verma</t>
  </si>
  <si>
    <t>D1118334</t>
  </si>
  <si>
    <t>Dr.Saisudha M</t>
  </si>
  <si>
    <t>Maternity Leave</t>
  </si>
  <si>
    <t>muddamsettysudha@gmail.com</t>
  </si>
  <si>
    <t>39059479814</t>
  </si>
  <si>
    <t>AVDPM6348P</t>
  </si>
  <si>
    <t>M Sivasankarappa</t>
  </si>
  <si>
    <t>Dr.M Sagar Goud</t>
  </si>
  <si>
    <t xml:space="preserve">Basic USG, Tiffa, X Ray, Plan - Radiography, IVP, RGU, MCUG, Barium Swallow, Barium Anema, </t>
  </si>
  <si>
    <t>Dr. NTR University of Health Sciences - 2010</t>
  </si>
  <si>
    <t>APMC/FMR/74116</t>
  </si>
  <si>
    <t>goud.sagar@gmail.com</t>
  </si>
  <si>
    <t>16291000010670</t>
  </si>
  <si>
    <t>BW0PM9987P</t>
  </si>
  <si>
    <t>601691380598</t>
  </si>
  <si>
    <t>Moola Mohan</t>
  </si>
  <si>
    <t>8-1-293/A/1, Dwaraka Nagar colony , Darag shaikpet, Golconda , Hyderabad -500008</t>
  </si>
  <si>
    <t>D1118339</t>
  </si>
  <si>
    <t>Dr.Mohammed Himayatullah Khan</t>
  </si>
  <si>
    <t>TSMC/FMR/18670</t>
  </si>
  <si>
    <t>himayatkhan789@gmail.com</t>
  </si>
  <si>
    <t>38191385217</t>
  </si>
  <si>
    <t>SBIN0018395</t>
  </si>
  <si>
    <t>HUCPK4623L</t>
  </si>
  <si>
    <t>Mohammed Rahatullah Khan</t>
  </si>
  <si>
    <t>D1118335</t>
  </si>
  <si>
    <t>Dr.Insha Farooqi</t>
  </si>
  <si>
    <t>Mediciti institute of medical Sciences</t>
  </si>
  <si>
    <t>TSMC/FMR/23454</t>
  </si>
  <si>
    <t>inshafarooqi98@gmail.com</t>
  </si>
  <si>
    <t>62353249147</t>
  </si>
  <si>
    <t>SBIN0015760</t>
  </si>
  <si>
    <t>AFNPI4261F</t>
  </si>
  <si>
    <t>Personal resons, not served notice period</t>
  </si>
  <si>
    <t>D1118336</t>
  </si>
  <si>
    <t>Dr.Anuhasini</t>
  </si>
  <si>
    <t>Maheshwara Medical College</t>
  </si>
  <si>
    <t>TSMC/FMR/23339</t>
  </si>
  <si>
    <t>dr.anuhasini@gmail.com</t>
  </si>
  <si>
    <t>20235167497</t>
  </si>
  <si>
    <t>SBIN0018875</t>
  </si>
  <si>
    <t>EOZPB4824N</t>
  </si>
  <si>
    <t>D1118338</t>
  </si>
  <si>
    <t>Dr.Singh Vaibhav</t>
  </si>
  <si>
    <t>Great Eastern medical School and Hospital</t>
  </si>
  <si>
    <t>TSMC/FMR/20412</t>
  </si>
  <si>
    <t>vaibhavs813@gmail.com</t>
  </si>
  <si>
    <t>155510100062900</t>
  </si>
  <si>
    <t>UBIN0801399</t>
  </si>
  <si>
    <t>CYTPS3382J</t>
  </si>
  <si>
    <t>D1118525</t>
  </si>
  <si>
    <t>Dr.Hiral Jayeshkumar Majithia</t>
  </si>
  <si>
    <t>Maharaja Krishnakumarsinhji Bhabnagar University</t>
  </si>
  <si>
    <t>G-34344</t>
  </si>
  <si>
    <t>hiralmajithia22@gmail.com</t>
  </si>
  <si>
    <t>SBIN0013382</t>
  </si>
  <si>
    <t>BHAPM2864E</t>
  </si>
  <si>
    <t>D1118687</t>
  </si>
  <si>
    <t>Dr.Neelagiri Dheeraj</t>
  </si>
  <si>
    <t>TSMC/FMR/02872</t>
  </si>
  <si>
    <t>drdheeraj93@gmail.com</t>
  </si>
  <si>
    <t>AXVPN4522E</t>
  </si>
  <si>
    <t>Dr.Syed Wesam Ul Haq</t>
  </si>
  <si>
    <t>8:30 Am to 12:30 PM</t>
  </si>
  <si>
    <t>3:00 pm to 7:00 PM</t>
  </si>
  <si>
    <t>Chalmeda anand rao institute of medical science</t>
  </si>
  <si>
    <t>PENDING</t>
  </si>
  <si>
    <t>D1119327</t>
  </si>
  <si>
    <t>Dr.J Arul Jabez</t>
  </si>
  <si>
    <t>PSG institute of Medical Science</t>
  </si>
  <si>
    <t>Kakatiya Government College</t>
  </si>
  <si>
    <t>TSMC/FMR/16171</t>
  </si>
  <si>
    <t>jabezgershom@gmail.com</t>
  </si>
  <si>
    <t>BJJPA1492D</t>
  </si>
  <si>
    <t>8, 3rd Street DAE Township, Kalpakkam, Kancheepuram, Tamil Nadu - 603102</t>
  </si>
  <si>
    <t>D1118522</t>
  </si>
  <si>
    <t>Dr.Abhilash Appala</t>
  </si>
  <si>
    <t>Basic USG, Tiffa, Guided Procedures, Basic CT, Al Angios, Basic MRI,  X Ray, Plain Radiology, Mammography, IVP, RGU, MCGU, Barium Swallow, Barium Anema, HSG</t>
  </si>
  <si>
    <t>Dr NTR University of Health Science</t>
  </si>
  <si>
    <t>appalabhi36@gmail.com</t>
  </si>
  <si>
    <t>59119703029999</t>
  </si>
  <si>
    <t>ARFPA8713L</t>
  </si>
  <si>
    <t>D1119835</t>
  </si>
  <si>
    <t>Dr.Abhilasha Reddy C N</t>
  </si>
  <si>
    <t>Basic USG, Tiffa, MSK, Basic CT, X Ray, Plain Radiography, IVP, RGU, MCUG, Barium Swallow, Barium Anema, HSG.
(Can be taken for USG, X-Ray and CT Reporting)</t>
  </si>
  <si>
    <t>TSMC/FMR/30366</t>
  </si>
  <si>
    <t>abhilashareddy1997@gmail.com</t>
  </si>
  <si>
    <t>38215827684</t>
  </si>
  <si>
    <t>EXLPR9701P</t>
  </si>
  <si>
    <t>compulsory rural service</t>
  </si>
  <si>
    <t>#10/11, 17th Ward, Haddinagunda Road, Patel Nagar, Bellary, Karnataka - 583101</t>
  </si>
  <si>
    <t>Dr.M Ashwini</t>
  </si>
  <si>
    <t>S.V.S MEDICAL COLLEGE, MAHABUBNAGAR</t>
  </si>
  <si>
    <t>APMC/FMR/94032</t>
  </si>
  <si>
    <t>8106719542 ,  7989840117</t>
  </si>
  <si>
    <t>ashwinimbbs1043@gmail.com</t>
  </si>
  <si>
    <t>BNEPM3051R</t>
  </si>
  <si>
    <t>D1119309</t>
  </si>
  <si>
    <t>Dr.Mousumi Roy Chowdhury</t>
  </si>
  <si>
    <t>15:30:00</t>
  </si>
  <si>
    <t>Basic USG, Tiffa, Guided Procedures, Basic CT, All Angios, Basic MRI, X Ray, Plain Radiology, Mammography, IVP, RGU, MCGU, Barium Swallow, Barium Anema, HSG</t>
  </si>
  <si>
    <t>Fellow of Indian Academy of Medical Sciences</t>
  </si>
  <si>
    <t>9123872392/8017833492</t>
  </si>
  <si>
    <t>roychowdhury.drmousumi@gmail.com</t>
  </si>
  <si>
    <t>05151930005581</t>
  </si>
  <si>
    <t>AEIPC8255M</t>
  </si>
  <si>
    <t>D1119308</t>
  </si>
  <si>
    <t>Dr.Naznin Siddique</t>
  </si>
  <si>
    <t>Basic USG, Tiffa, Fetal Echo, Guided Procedures, Basic CT, Basic MRI, X Ray, Plain Radiology, Mammography, IVP, RGU, MCGU, Barium Swallow, Barium Anema, HSG</t>
  </si>
  <si>
    <t>Calcutta National Medical College &amp; Hospital</t>
  </si>
  <si>
    <t>9830509475, 9051805554</t>
  </si>
  <si>
    <t>nazneen410@gmail.com</t>
  </si>
  <si>
    <t>11202222457</t>
  </si>
  <si>
    <t>SBIN0001488</t>
  </si>
  <si>
    <t>BBEPS5155C</t>
  </si>
  <si>
    <t>781544708983</t>
  </si>
  <si>
    <t>Bangalaxmi Abasan, Dashdron Checkpost Rajarhat Gopaluer (m) North 24 Parganas GopalpurWest Bengal, 700136</t>
  </si>
  <si>
    <t>Dr.Somnath Paul</t>
  </si>
  <si>
    <t>Basic USG, Tiffa, Guided Procedures, Basic CT, Basic MRI, X Ray, Plain Radiology, IVP, RGU, MCGU, Barium Swallow, Barium Anema, HSG</t>
  </si>
  <si>
    <t>IPGMER &amp; SSKM Hospital</t>
  </si>
  <si>
    <t>dr.somnathpaul@gmail.com</t>
  </si>
  <si>
    <t>127801501523</t>
  </si>
  <si>
    <t>ICIC0001278</t>
  </si>
  <si>
    <t>BJWPP1492D</t>
  </si>
  <si>
    <t>D1116017</t>
  </si>
  <si>
    <t>Dr.Danda Vaishnavi</t>
  </si>
  <si>
    <t>Chalmeda AnandRao Institute of Medical Sciences</t>
  </si>
  <si>
    <t>APMC/FMR/78761</t>
  </si>
  <si>
    <t>vaishnavi.1218d@gmail.com</t>
  </si>
  <si>
    <t>30292010080287</t>
  </si>
  <si>
    <t>CNRB0013056</t>
  </si>
  <si>
    <t>FCWPD3047R</t>
  </si>
  <si>
    <t>B Prabhaker Reddy</t>
  </si>
  <si>
    <t>Family shifting</t>
  </si>
  <si>
    <t>Hyderabad Telangana</t>
  </si>
  <si>
    <t>D1118755</t>
  </si>
  <si>
    <t>Dr.Deeksha Reddy K</t>
  </si>
  <si>
    <t>TSMC/FMR/06919</t>
  </si>
  <si>
    <t>deekshakud@gmail.com</t>
  </si>
  <si>
    <t>FOAPK5598L</t>
  </si>
  <si>
    <t>Street No 8 Habsiguda, Hyderabad, Telangana - 500007</t>
  </si>
  <si>
    <t>D1118328</t>
  </si>
  <si>
    <t>Dr.K Siva Lakshmi</t>
  </si>
  <si>
    <t>Kaloji Narayana Rao University of Health Science</t>
  </si>
  <si>
    <t>kaipalaks@gmail.com</t>
  </si>
  <si>
    <t>03681000038544</t>
  </si>
  <si>
    <t>BWAPK4917R</t>
  </si>
  <si>
    <t>W/o B Babul Reddy</t>
  </si>
  <si>
    <t>D1119864</t>
  </si>
  <si>
    <t>Dr.Nethi Balingari Bhavana Laxmi</t>
  </si>
  <si>
    <t>Basic USG, Doppler Studies, Thyroid/Scrotum USG, Breast USG, Tiffa, USG Guided FNAC, Guided Procedures, X Ray, Plain Radiography, Mammography, IVP, RGU, MCUG, Barium Swallow, Barium Anema, HSG.</t>
  </si>
  <si>
    <t>TSMC/FMR/09809</t>
  </si>
  <si>
    <t>921010040285947</t>
  </si>
  <si>
    <t>UTIB0001319</t>
  </si>
  <si>
    <t>BQDPN5136Q</t>
  </si>
  <si>
    <t>Villa No. 216, Indu Aranya Haritha, Nagole, Hyderabad, Hayathnagar, KV Rangareddy, Telangana - 500068</t>
  </si>
  <si>
    <t>Dr.S RAMYA VENI</t>
  </si>
  <si>
    <t>APMC/FMR/93968</t>
  </si>
  <si>
    <t>ramyaveni.s@gmail.com</t>
  </si>
  <si>
    <t>GVPPS5995L</t>
  </si>
  <si>
    <t>2-661/93 – west, Shalivahana enclave, Kapra, Secunderabad, Hyderabad – 500062.</t>
  </si>
  <si>
    <t>D1117089</t>
  </si>
  <si>
    <t>Dr.Vemavarapu Kalyani</t>
  </si>
  <si>
    <t>MNR medical college, Sangareddy</t>
  </si>
  <si>
    <t>Mediciti Medical College, Medchal</t>
  </si>
  <si>
    <t>APMC/FMR/80503</t>
  </si>
  <si>
    <t>kalyaniv88@gmail.com</t>
  </si>
  <si>
    <t>50100295015547</t>
  </si>
  <si>
    <t>AJLPV3880F</t>
  </si>
  <si>
    <t>Sri Hari Rao</t>
  </si>
  <si>
    <t>High salary expectations</t>
  </si>
  <si>
    <t>D1118697</t>
  </si>
  <si>
    <t>Dr.Sama Varsha</t>
  </si>
  <si>
    <t>USG , Tiffa, Doppler, Mammogram, Basic CT,  X-Ray, IVP, RGU, MCGU, Barium Swallow, Barium Enema, HSG</t>
  </si>
  <si>
    <t>Prathima institute of Medical Science</t>
  </si>
  <si>
    <t>TSMC/FMR/10905</t>
  </si>
  <si>
    <t>sama.varshareddy170795@gmail.com</t>
  </si>
  <si>
    <t>SBIN0020119</t>
  </si>
  <si>
    <t>GOMPS5542R</t>
  </si>
  <si>
    <t>3-15/5, Mupkal, Kisannagar, Nizamabad, Telangana – 503218</t>
  </si>
  <si>
    <t>D1117392</t>
  </si>
  <si>
    <t>Dr.Chandana Rama Krishna</t>
  </si>
  <si>
    <t>Andhra Medical College,Vishakapatnam, Andhra Pradesh</t>
  </si>
  <si>
    <t>ramjeerk@gmail.com</t>
  </si>
  <si>
    <t>SBIN0030434</t>
  </si>
  <si>
    <t>AFXPC5631D</t>
  </si>
  <si>
    <t>Chandna Tirupathi</t>
  </si>
  <si>
    <t>D1118684</t>
  </si>
  <si>
    <t>Dr.Rajveer Singh</t>
  </si>
  <si>
    <t>Basic USG, Tiffa, Guided Procedures, Basic CT, All Angios,  Basic MRI, X Ray, Plain Radiology, Mammography, IVP, RGU, MCGU, Barium Swallow, Barium Anema, HSG</t>
  </si>
  <si>
    <t>Sambalpur University</t>
  </si>
  <si>
    <t>radiologyreporter1@gmail.com</t>
  </si>
  <si>
    <t>SBIN0032280</t>
  </si>
  <si>
    <t>AWSPS9382F</t>
  </si>
  <si>
    <t>5PH2, ATS Kocoon, Rao Ramkishan Marg, Sector-109, Bajghera, Gurgaon, Haryana-122017</t>
  </si>
  <si>
    <t>D1119555</t>
  </si>
  <si>
    <t>Dr.Ekta Yadav</t>
  </si>
  <si>
    <t>Basic USG, Tiffa, Guided Procedure, Basic CT, Basic MRI, X Ray, Plain Radiography, Mammography, IVP, RGU, MCUG, Barium Swallow, Barium Anema, HSG.
(Can do USG, TIFFA, Doppler, Mamography, CT, MRI)</t>
  </si>
  <si>
    <t>B.D Sharma PGIMS</t>
  </si>
  <si>
    <t>HN008308</t>
  </si>
  <si>
    <t>drekta89@gmail.com</t>
  </si>
  <si>
    <t>918010034054579</t>
  </si>
  <si>
    <t>AGIPY0427F</t>
  </si>
  <si>
    <t>House No. 3412, Sector 23, Cartarpuri Alias Daulatpur, Nasirabad, Gurgaon, Haryana - 122017</t>
  </si>
  <si>
    <t>D1107953</t>
  </si>
  <si>
    <t>Dr.Deshabhotla Megha (Yadav)</t>
  </si>
  <si>
    <t>Bhavnagar University</t>
  </si>
  <si>
    <t>TSMC/FMR/05483</t>
  </si>
  <si>
    <t>drmegha1852@gmail.com</t>
  </si>
  <si>
    <t>20148155684</t>
  </si>
  <si>
    <t>SBIN0021216</t>
  </si>
  <si>
    <t>ABPPY2113C</t>
  </si>
  <si>
    <t>644530975577</t>
  </si>
  <si>
    <t>Omprakash Ransih Arya</t>
  </si>
  <si>
    <t>D1118699</t>
  </si>
  <si>
    <t>Dr.Gurram Naga Vaishnavi Reddy</t>
  </si>
  <si>
    <t>Basic USG, Tiffa, Guided Procedures, Basic CT,  X Ray, Plain Radiology, Mammography, IVP, RGU, MCGU, Barium Swallow, Barium Anema, HSG</t>
  </si>
  <si>
    <t>Chelmeda Anand Rao Institute of Medical Sciences, Karimnagar</t>
  </si>
  <si>
    <t>SVS Medical College and Hospital, Mahabubnagar</t>
  </si>
  <si>
    <t>TSMC/FMR/03666</t>
  </si>
  <si>
    <t>vyshnavi972@gmail.com</t>
  </si>
  <si>
    <t>KKBK0007494</t>
  </si>
  <si>
    <t>CABPV7310R</t>
  </si>
  <si>
    <t>Villa no 13,Bhavya Alluri Meadows, Whitefields road,Kondapur,Hyderabad 500084</t>
  </si>
  <si>
    <t>D1118664</t>
  </si>
  <si>
    <t>Dr.Bonala Venkata Rajeswari</t>
  </si>
  <si>
    <t>8019468290, 9642843858</t>
  </si>
  <si>
    <t>rajibonala15@gmail.com</t>
  </si>
  <si>
    <t>30537953121</t>
  </si>
  <si>
    <t>AULPB2463K</t>
  </si>
  <si>
    <t>D.No 87-1364-24, Brundavan Nagar, Kurnool, AP – 518002</t>
  </si>
  <si>
    <t>D1117865</t>
  </si>
  <si>
    <t>Dr.Prem Chand Paladugu</t>
  </si>
  <si>
    <t>Basic USG, Tiffa, Guided Procedure, Doppler, Basic CT, All Angios, Basic MRI, X Ray, Radiography, Mammography, IVP, RGU, MCUG, Barium Swallow, Barium Anema, HSG, Virtual endoscopy , CT perfusion, CT enteroclysis, Cardiac MR.</t>
  </si>
  <si>
    <t>Dr. NTR University of Health Sciences - 2004</t>
  </si>
  <si>
    <t>Amrita Institute Of Medicine Sciences, Kochi - 2011</t>
  </si>
  <si>
    <t>prem_paladugu@yahoo.co.in</t>
  </si>
  <si>
    <t>SBIN0018794</t>
  </si>
  <si>
    <t>AZWPP3185C</t>
  </si>
  <si>
    <t>499554984463</t>
  </si>
  <si>
    <t>M Naidu Paladugu</t>
  </si>
  <si>
    <t>Moving Abroad (UAE)</t>
  </si>
  <si>
    <t>8-1-346/49/D, Greenwoods Sabza Colony, Tolichowki, Golconda, Hyderabad, Telangana-500008.</t>
  </si>
  <si>
    <t>Dr.Bolisetty Satya Vinuthna</t>
  </si>
  <si>
    <t xml:space="preserve">Vydehi Institute of Medical Science and Research Centre, Bangalore, Karnataka </t>
  </si>
  <si>
    <t>Bhaskara Medical College, Rangareddy</t>
  </si>
  <si>
    <t xml:space="preserve">Villa No- 8A, Pearl Village, Kondapur, Near Chirec School, Hyderabad
</t>
  </si>
  <si>
    <t>D1118686</t>
  </si>
  <si>
    <t>Dr.Afshan Jabeen</t>
  </si>
  <si>
    <t>afshanjabeen30887@rediff.com</t>
  </si>
  <si>
    <t>917010030584826</t>
  </si>
  <si>
    <t>UTIB0001628</t>
  </si>
  <si>
    <t>ATCPJ0898C</t>
  </si>
  <si>
    <t>12-2-204, Murad Nagar, Hyderabad, Telangana</t>
  </si>
  <si>
    <t>Dr.VAMSHI KIRAN</t>
  </si>
  <si>
    <t>Basic USG, Tiffa, Guided Procedure, Basic CT, All Angios, Basic MRI, X Ray, Plain Radiography, IVP, RGU, MCUG, Barium Swallow, Barium Anema, HSG</t>
  </si>
  <si>
    <t>Dr. NTR University of Health Sciences, Vijayawada</t>
  </si>
  <si>
    <t>DBS Bank</t>
  </si>
  <si>
    <t>Plot: 24, Sri satya sai Homes, Chandrapuri colony ROAD No: 4, LB Nagar, RangaReddy - 500074</t>
  </si>
  <si>
    <t>Dr.NEELAGIRI DHEERAJ</t>
  </si>
  <si>
    <t>Bhaskar Medical College, Moinabad</t>
  </si>
  <si>
    <t>921010017974142</t>
  </si>
  <si>
    <t>UTIB0004067</t>
  </si>
  <si>
    <t>H. No 11-7-245, P No 47-A, Huda colony, Road no 5,Saroornagar, Hyderabad -500035</t>
  </si>
  <si>
    <t>D1115449</t>
  </si>
  <si>
    <t>Dr.Sravanthi Girimaji</t>
  </si>
  <si>
    <t>USG, Tiffa,  MSK, IVP, RGU, MCGU, Barium Swallow, Barium Enemma, HSG, X Ray,  Mamography, Basic CT</t>
  </si>
  <si>
    <t>drsravanthi.girimaji@gmail.com</t>
  </si>
  <si>
    <t>50100297212867</t>
  </si>
  <si>
    <t>BRUPG5398D</t>
  </si>
  <si>
    <t>675383823148</t>
  </si>
  <si>
    <t>Damodar Girimaji</t>
  </si>
  <si>
    <t>Dr.Srinivasa Royal Inty</t>
  </si>
  <si>
    <t>17:30 to 20:30</t>
  </si>
  <si>
    <t>Mamata medical college khammam</t>
  </si>
  <si>
    <t>KLE JNMC BELGAUM</t>
  </si>
  <si>
    <t>royalvas@gmail.com</t>
  </si>
  <si>
    <t>SBIN0021984</t>
  </si>
  <si>
    <t>BBEPR0293J</t>
  </si>
  <si>
    <t>H No - 25-570, Srinivasa Nagar, Nandyal, Kurnool, Andhra Pradesh, 518501</t>
  </si>
  <si>
    <t>D1118690</t>
  </si>
  <si>
    <t>Dr.Boda Mounika</t>
  </si>
  <si>
    <t>APMC/FMR/108289</t>
  </si>
  <si>
    <t>monunandu52@gmail.com</t>
  </si>
  <si>
    <t>CEJPB9202E</t>
  </si>
  <si>
    <t>Hno-24-6-6/1, Vinayakanagar, Jaggu centre, Gajuwaka, Vuda colony, Pedagantyada, Visakhapatnam, Andhrapradesh - 530044</t>
  </si>
  <si>
    <t>D1118691</t>
  </si>
  <si>
    <t>Dr.Roohi Hafsa</t>
  </si>
  <si>
    <t>Basic USG, Tiffa, MSK, Penile Doppler/TRUS, X Ray, Plain Radiology, IVP, RGU, MCGU, Barium Swallow, Barium Anema, HSG</t>
  </si>
  <si>
    <t>Shadan College of Medical science, Hyderabad</t>
  </si>
  <si>
    <t>TSMC/FMR/01912</t>
  </si>
  <si>
    <t>roohihafsa24@gmail.com</t>
  </si>
  <si>
    <t>HDFC0009395</t>
  </si>
  <si>
    <t>BJCPR7824P</t>
  </si>
  <si>
    <t>401, Legno Apartment, Floor Mill, Indra Nagar, Nanal Nagar, Tolichowki,  Hyderabad, - 500008</t>
  </si>
  <si>
    <t>D1116907</t>
  </si>
  <si>
    <t>Dr.Ayesha Tahseen Anwari</t>
  </si>
  <si>
    <t>Deccan College of Medical Sciences [NTR University of Medical Sciences]</t>
  </si>
  <si>
    <t xml:space="preserve">NTR University of Health Sciences </t>
  </si>
  <si>
    <t>ayeshatahseenanwari@gmail.com</t>
  </si>
  <si>
    <t>50100477051825</t>
  </si>
  <si>
    <t>AVGPA2084H</t>
  </si>
  <si>
    <t>Mohd Asman Siddique</t>
  </si>
  <si>
    <t>D1102673</t>
  </si>
  <si>
    <t>Dr.Esparanto Sudanagunta</t>
  </si>
  <si>
    <t>11:30:00</t>
  </si>
  <si>
    <t>Basic USG, Tiffa, Guided Procedures, Basic CT, Basic MRI, X Ray, Plain Radiology, Mammography, IVP, RGU, MCGU, Barium Swallow, Barium Anema, HSG</t>
  </si>
  <si>
    <t>Apollo Hospital, Jubilee Hills</t>
  </si>
  <si>
    <t>APMC/FMR/87073</t>
  </si>
  <si>
    <t>sesparanto@gmail.com</t>
  </si>
  <si>
    <t>50100288146102</t>
  </si>
  <si>
    <t>FSCPS7696F</t>
  </si>
  <si>
    <t>B-92, Journalist colony, Opp: Sridhar reddy cardiac centre, Jubilee hills, Hyderabad, Telangana-500033</t>
  </si>
  <si>
    <t>D1119310</t>
  </si>
  <si>
    <t>Dr.Amatul Kareem Sumayya</t>
  </si>
  <si>
    <t>TSMC/FMR/05323</t>
  </si>
  <si>
    <t>8668879612, 8999290071</t>
  </si>
  <si>
    <t>amatulkareemsumayafarooqui@gmail.com</t>
  </si>
  <si>
    <t>31122969498</t>
  </si>
  <si>
    <t>OXIPS0539F</t>
  </si>
  <si>
    <t>Pregnancy</t>
  </si>
  <si>
    <t>17-2-937, Yakutpura, Rain Bazar, Charminar, Yakutpura, Hyderabad, Telangana - 500023</t>
  </si>
  <si>
    <t>Basic USG, Tiffa, MSK, Penile Doppler/TRUS,  Guided Procedures, Basic CT, X Ray, Plain Radiology, IVP, RGU, MCGU, Barium Swallow, Barium Anema, HSG</t>
  </si>
  <si>
    <t>Mamata Medical College and Hospital, Khammam</t>
  </si>
  <si>
    <t>APMC/FMR/83770</t>
  </si>
  <si>
    <t>H.No-62, Doveton Bazar, Bollaram, Alwal, Hyderabad-500010.</t>
  </si>
  <si>
    <t>D1119011</t>
  </si>
  <si>
    <t>Dr.V Ramya Lakshmi</t>
  </si>
  <si>
    <t>OSMANIA MEDICAL COLLEGE</t>
  </si>
  <si>
    <t>NIZAM’S INSTITUTE OF MEDICAL SCIENCES</t>
  </si>
  <si>
    <t>TSMC/FMR/04330</t>
  </si>
  <si>
    <t>ramyareports@gmail.com</t>
  </si>
  <si>
    <t>ICIC0003892</t>
  </si>
  <si>
    <t>BJOPR5039N</t>
  </si>
  <si>
    <t>11-5-349/10, Flat No 211, Arun Apartments, Redhill’s, Khairatabad, Hyderabad – 500004</t>
  </si>
  <si>
    <t>D1119311</t>
  </si>
  <si>
    <t>Dr.Koluguri Sravya</t>
  </si>
  <si>
    <t>Basic USG, Tiffa, Basic CT, X Ray, Plain Radiology, IVP, RGU, MCGU, Barium Swallow, Barium Anema, HSG</t>
  </si>
  <si>
    <t>TSMC/FMR/08807</t>
  </si>
  <si>
    <t>9640962752, 6304632927</t>
  </si>
  <si>
    <t>sravyakoluguri@gmail.com</t>
  </si>
  <si>
    <t>HDFC0003739</t>
  </si>
  <si>
    <t>DSDPK4857H</t>
  </si>
  <si>
    <t>2-5-271/1-505, Maram Towers, I O B Lane, Nakkalagutta, Hamankonda, Warangal, Telangana - 506001</t>
  </si>
  <si>
    <t>D1119316</t>
  </si>
  <si>
    <t>Dr.Nitisha Jain</t>
  </si>
  <si>
    <t>Government Medical college and SSG Hospital</t>
  </si>
  <si>
    <t>B. J. Medical College and Civil Hospital</t>
  </si>
  <si>
    <t>TSMC/FMR/27709</t>
  </si>
  <si>
    <t>nitishajain13@gmail.com</t>
  </si>
  <si>
    <t>918010006738324</t>
  </si>
  <si>
    <t>UTIB0000383</t>
  </si>
  <si>
    <t>BDXPJ3769G</t>
  </si>
  <si>
    <t>13 Kombal Kendra road, Nai Abadi, Mandsaur, Madhya Pradesh - 458001</t>
  </si>
  <si>
    <t>D1119840</t>
  </si>
  <si>
    <t>Dr.Shaik Afrin</t>
  </si>
  <si>
    <t>Nimra Institute of Medical Science</t>
  </si>
  <si>
    <t>APMC/FMR/128005</t>
  </si>
  <si>
    <t>shaikafrinhydervali1999@gmail.com</t>
  </si>
  <si>
    <t>007910018001605</t>
  </si>
  <si>
    <t>UBIN0800791</t>
  </si>
  <si>
    <t>SKTPS5905R</t>
  </si>
  <si>
    <t>8-226, Meraka Street, Chintalapudi, West Godavari, Andhra Pradesh - 534460</t>
  </si>
  <si>
    <t>Dr.K Suhasini</t>
  </si>
  <si>
    <t>10:00 AM to 12:00 PM</t>
  </si>
  <si>
    <t>17:00 PM to 19:00 PM</t>
  </si>
  <si>
    <t>suhasinichuvvi30@gmail.com</t>
  </si>
  <si>
    <t>BDBPK9243G</t>
  </si>
  <si>
    <t>6-1-504, Plot no-82, Phase 1 MIG2, Vanastalipuram, Hayatnagar, Hyderabad-500070</t>
  </si>
  <si>
    <t>Dr.Waltair Sri Ramya</t>
  </si>
  <si>
    <t>APMC/FMR/120888</t>
  </si>
  <si>
    <t>sriramya1605@gmail.com</t>
  </si>
  <si>
    <t>ACNPW1561B</t>
  </si>
  <si>
    <t>H.No-50-83-34, S-3, Chandra Enclave, Near BVK College, Madhuranagar, Visakhapatnam, Andhra Pradesh-530016</t>
  </si>
  <si>
    <t>D1119004</t>
  </si>
  <si>
    <t>Dr.Rojiwadia Brajesh Kumar</t>
  </si>
  <si>
    <t>Bhaskar Medical College, Hyderabad</t>
  </si>
  <si>
    <t>TSMC/FMR/06391</t>
  </si>
  <si>
    <t>brajeshkumar638@gmail.com</t>
  </si>
  <si>
    <t>002210100100705</t>
  </si>
  <si>
    <t>UBIN0800228</t>
  </si>
  <si>
    <t>BRSPR3219J</t>
  </si>
  <si>
    <t>H.No-4-3-74/a/30,Dwaraka Nagar, Adilabad, Telangana-504001</t>
  </si>
  <si>
    <t>H.No-3-6-319, Flat No-201, Namitha Everest Apts, SBH Colony, Bahadurguda, Chintalakunta, K.V.Rangareddy, Hyderabad-500074</t>
  </si>
  <si>
    <t>D1114803</t>
  </si>
  <si>
    <t>Dr.PBlessy Susmitha</t>
  </si>
  <si>
    <t>APMC/FMR/86876</t>
  </si>
  <si>
    <t>dr.blessysusmitha.p@gmail.com</t>
  </si>
  <si>
    <t>194101510916</t>
  </si>
  <si>
    <t>ICIC0001941</t>
  </si>
  <si>
    <t>CAMPB1420R</t>
  </si>
  <si>
    <t>H.No-4-4-128,Gandhi Colony,Vikarabad, K.V.Rangareddy,Telangana-501101</t>
  </si>
  <si>
    <t>D1118021</t>
  </si>
  <si>
    <t>Dr.Chinta Padmini</t>
  </si>
  <si>
    <t>S.V.S Medical college,Mahboobnagar,Telangana--2016</t>
  </si>
  <si>
    <t>TSMC/FMR/02312</t>
  </si>
  <si>
    <t>pchinta54@gmail.com</t>
  </si>
  <si>
    <t>33062200002570</t>
  </si>
  <si>
    <t>CNRB0013306</t>
  </si>
  <si>
    <t>CFRPP3409J</t>
  </si>
  <si>
    <t>10-12-1991</t>
  </si>
  <si>
    <t>D1120525</t>
  </si>
  <si>
    <t>Dr.Gazala Iram</t>
  </si>
  <si>
    <t>w</t>
  </si>
  <si>
    <t>TSMC/FMR/27963</t>
  </si>
  <si>
    <t>9542820209 / 7013497699</t>
  </si>
  <si>
    <t>iramgazala56@gmail.com</t>
  </si>
  <si>
    <t>110147038932</t>
  </si>
  <si>
    <t>CNRB0001178</t>
  </si>
  <si>
    <t>AKOPI3682E</t>
  </si>
  <si>
    <t>Mohammed Riyaz Uddin</t>
  </si>
  <si>
    <t>Due to Exams</t>
  </si>
  <si>
    <t>19-4-280/B/115/30, Tadban, Bahadurpura, Asifnagar, Hyderabad, Telangana - 500028.</t>
  </si>
  <si>
    <t>D1119006</t>
  </si>
  <si>
    <t>Dr.KSaranya</t>
  </si>
  <si>
    <t>APMC/FMR/102373</t>
  </si>
  <si>
    <t>saranyareddy83@gmail.com</t>
  </si>
  <si>
    <t>630601569554</t>
  </si>
  <si>
    <t>ICIC0006306</t>
  </si>
  <si>
    <t>EQDPK7493A</t>
  </si>
  <si>
    <t>Because of Marrege</t>
  </si>
  <si>
    <t>25a,Annamayyanagar, Sai Nagar, VTC, Tirupati(rural) District-Chittoor, Andhra Pradesh-517507</t>
  </si>
  <si>
    <t>Dr.Sumayya Begum</t>
  </si>
  <si>
    <t>TSMC/FMR/11005</t>
  </si>
  <si>
    <t>sumayyaraheem707@gmail.com</t>
  </si>
  <si>
    <t>CDIPB9467M</t>
  </si>
  <si>
    <t>Abdul Raheem</t>
  </si>
  <si>
    <t>19-3-41/3/A, Jahanuma, Charminar, Falaknuma, Hyderabad, Telangana- 500053.</t>
  </si>
  <si>
    <t>D1119133</t>
  </si>
  <si>
    <t>Dr.Guntamukkala Vishnu Sai</t>
  </si>
  <si>
    <t>maharaja institute of medical science, Vizianagaram</t>
  </si>
  <si>
    <t>APMC/FMR/96914</t>
  </si>
  <si>
    <t>vishnusaigvs@gmail.com</t>
  </si>
  <si>
    <t>50100572884270</t>
  </si>
  <si>
    <t>HDFC0009062</t>
  </si>
  <si>
    <t>BWUPG8208B</t>
  </si>
  <si>
    <t>Flat No-508, VIP Road, Near Paradise Hotel, CBM Compound, Visakhapatnam, AP - 530003</t>
  </si>
  <si>
    <t>D1119134</t>
  </si>
  <si>
    <t>Dr.Divya Siddarth Kolkipudi</t>
  </si>
  <si>
    <t>Basic USG, Tiffa, Guided Procedures, Basic CT, All Angios, X Ray, Plain Radiology, IVP, RGU, MCGU, Barium Swallow, Barium Anema, HSG</t>
  </si>
  <si>
    <t>Mahatma gandhi medical college</t>
  </si>
  <si>
    <t>APMC/FMR/80528</t>
  </si>
  <si>
    <t>divya.kolikipudi.14@gmail.com</t>
  </si>
  <si>
    <t>HDFC0004259</t>
  </si>
  <si>
    <t>APGPD8565E</t>
  </si>
  <si>
    <t>Flat No-FF-3, 2nd Floor, Kodur Enclave, Pitchaiah Street,Labbipeta, Vijayawada, Andhra Pradesh-520010</t>
  </si>
  <si>
    <t>D1119135</t>
  </si>
  <si>
    <t>Dr.Sharankumar Patil</t>
  </si>
  <si>
    <t>karnataka institute of medical sciences</t>
  </si>
  <si>
    <t>AJ Institute of medical sciences</t>
  </si>
  <si>
    <t>TSMC/FMR/26985</t>
  </si>
  <si>
    <t>sharan22p@gmail.com</t>
  </si>
  <si>
    <t>32416807981</t>
  </si>
  <si>
    <t>SBIN0001814</t>
  </si>
  <si>
    <t>DFLPP3963J</t>
  </si>
  <si>
    <t>Jaikant</t>
  </si>
  <si>
    <t>Joining Fellowship</t>
  </si>
  <si>
    <t>Lq Gokak house no 204/49, gokkak, Belagavi, bengaluru, Karnataka-591307</t>
  </si>
  <si>
    <t>760064783166</t>
  </si>
  <si>
    <t>Gokak House No-204/49, Gokak, Belagavi, Karnataka - 591307.</t>
  </si>
  <si>
    <t>D1112032</t>
  </si>
  <si>
    <t>Dr.Paipaty Veena</t>
  </si>
  <si>
    <t>X-Ray (Plain Radiography-Basic,Advanced), USG(Basic, Doppler Studies,Thyroid/Scrotum USG, Breast USG,TIFFA, USG Guided FNAC, USG Guided Aspiration)</t>
  </si>
  <si>
    <t>veenapaipatydr@gmail.com</t>
  </si>
  <si>
    <t>62270991545</t>
  </si>
  <si>
    <t>SBIN0021460</t>
  </si>
  <si>
    <t>ATUPP2632C</t>
  </si>
  <si>
    <t>Paipaty Veeresh</t>
  </si>
  <si>
    <t>16-2-742/F/2/3, Venkatadri Nagar Colony, Asmangadh, Malakpet, Hyderabad, Telangana-500036.</t>
  </si>
  <si>
    <t>D1119137</t>
  </si>
  <si>
    <t>Dr.KPavani</t>
  </si>
  <si>
    <t>Basic USG, Tiffa, Doppler, Guided Procedures, Basic CT, X Ray, Plain Radiology, Mammography, IVP, RGU, MCGU, Barium Swallow, Barium Anema, HSG</t>
  </si>
  <si>
    <t>TSMC/FMR/07422</t>
  </si>
  <si>
    <t>pavani_vlw@yahoo.com</t>
  </si>
  <si>
    <t>38429266000</t>
  </si>
  <si>
    <t>SBIN0012720</t>
  </si>
  <si>
    <t>CNMPP9951L</t>
  </si>
  <si>
    <t>Got Government Job</t>
  </si>
  <si>
    <t>H.No-3-5-138, Shiva Nagar Colony, Pillar No-154, Attapur, Hyderabad-500048</t>
  </si>
  <si>
    <t>MG +Incentives</t>
  </si>
  <si>
    <t>MBBS,MD-Nuclear Medicine</t>
  </si>
  <si>
    <t>Hno-12-2-800/441/1, Dilshad Nagar Colony, Mehdipatnam,Hyderabad , Telangana-500028</t>
  </si>
  <si>
    <t>Dr.Nausheen Kauser</t>
  </si>
  <si>
    <t>VRK Womens Medical College</t>
  </si>
  <si>
    <t>TSMC/FMR/03914</t>
  </si>
  <si>
    <t>noush.kouser@gmail.com</t>
  </si>
  <si>
    <t>SBIN0003256</t>
  </si>
  <si>
    <t>FAYPK1962C</t>
  </si>
  <si>
    <t>19-3-702-703/1,Ghazi Banda,Shah Ali Banda, Near Daisy High School,Charminar,Hyderabad-500065</t>
  </si>
  <si>
    <t>D1120516</t>
  </si>
  <si>
    <t>Dr.Shaik Kazamunnisa</t>
  </si>
  <si>
    <t>APMC/FMR/110683</t>
  </si>
  <si>
    <t>kazasweety123@gmail.com</t>
  </si>
  <si>
    <t>31446197545</t>
  </si>
  <si>
    <t>SBIN0008997</t>
  </si>
  <si>
    <t>GKSPS3439H</t>
  </si>
  <si>
    <t>Shaik Abdul Rehman</t>
  </si>
  <si>
    <t>Moved to Delhi (Abscond)</t>
  </si>
  <si>
    <t>D1120760</t>
  </si>
  <si>
    <t>Dr.Sharath Nandibhatla</t>
  </si>
  <si>
    <t>TSMC/FMR/26918</t>
  </si>
  <si>
    <t>sharath1192@gmail.com</t>
  </si>
  <si>
    <t>20178645551</t>
  </si>
  <si>
    <t>SBIN0004928</t>
  </si>
  <si>
    <t>EZXPS7525G</t>
  </si>
  <si>
    <t>Bhaskar Nandibhatla</t>
  </si>
  <si>
    <t>Flat No:- 402,SSS Plaza Sri Krishna Nagar Colony, Chakripuram,ECIL, Secunderabad, Hyderabad, telangana - 500062.</t>
  </si>
  <si>
    <t>D1118840</t>
  </si>
  <si>
    <t>Regular (Break Shift)</t>
  </si>
  <si>
    <t>Dr.Vasireddi Rani Sarojini Devi</t>
  </si>
  <si>
    <t>08:30 to 10:30</t>
  </si>
  <si>
    <t>Ultrasound, X- Ray</t>
  </si>
  <si>
    <t>Deccan College of Medical Sciences, Hyderabad</t>
  </si>
  <si>
    <t>TSMC/FMR/13216</t>
  </si>
  <si>
    <t>vasireddysarojini5@gmail.com</t>
  </si>
  <si>
    <t>CBIN0283639</t>
  </si>
  <si>
    <t>AWBPV6378B</t>
  </si>
  <si>
    <t>Plot No-246, Road No-78, Jubilee Hills, Shaikpet, Filmnagar, Hyderabad-500096</t>
  </si>
  <si>
    <t>Dr.Nukala Aishwarya</t>
  </si>
  <si>
    <t>TSMC/FMR/21180</t>
  </si>
  <si>
    <t>aishwaryareddy.nookala@gmail.com</t>
  </si>
  <si>
    <t>ATUPN6203F</t>
  </si>
  <si>
    <t>Nukala Dinesh Reddy</t>
  </si>
  <si>
    <t>6-1-88, Kankara Board, Mahabubabad, Warangal, Telangana-506101.</t>
  </si>
  <si>
    <t>D1106334</t>
  </si>
  <si>
    <t>Dr.Juveria Mohammed</t>
  </si>
  <si>
    <t>drjuveriamd@gmail.com</t>
  </si>
  <si>
    <t>AIIPJ4242K</t>
  </si>
  <si>
    <t>Health problem</t>
  </si>
  <si>
    <t>8-1-40/a/37, Samtha Colony, 7 Tombs Road, Toli Chowki, Hyderabad - 500008</t>
  </si>
  <si>
    <t>D1119865</t>
  </si>
  <si>
    <t>Dr.Kurikala Nidhi</t>
  </si>
  <si>
    <t>Basic USG, Doppler Studies, Thyroid/Scrotum USG, Breast USG, Tiffa, MSK USG, USG Guided FNAC, Guided Procedures, Basic CT, Chest/ Abdomen/Neck, Basic MRI, X Ray, Plain Radiography, Mammography, IVP, RGU, MCUG, Barium Swallow, Barium Anema, HSG.</t>
  </si>
  <si>
    <t>D.Y. Patil Medical College</t>
  </si>
  <si>
    <t>TSMC/FMR/06970</t>
  </si>
  <si>
    <t>kurikalanidhi@gmail.com</t>
  </si>
  <si>
    <t>127452400002212</t>
  </si>
  <si>
    <t>YESB0001274</t>
  </si>
  <si>
    <t>FUIPK4371M</t>
  </si>
  <si>
    <t>Leave policies</t>
  </si>
  <si>
    <t>3-4-60/1, Sudha Nagar, Hanamkonda, Warangal, Telangana - 506001</t>
  </si>
  <si>
    <t>D1117093</t>
  </si>
  <si>
    <t>Dr.Saimadhusree Kudapa</t>
  </si>
  <si>
    <t xml:space="preserve"> Basic USG, Tiffa, Fetal Echo, MSK,  Guided procedures,  X-Ray, Mammography, HSG, Basic CT, Basic MRI</t>
  </si>
  <si>
    <t>Government Medical College, Guntur, Andhra Pradesh</t>
  </si>
  <si>
    <t>drksaisree@gmail.com</t>
  </si>
  <si>
    <t>50100340797350</t>
  </si>
  <si>
    <t>HDFC0004348</t>
  </si>
  <si>
    <t>AHWPK9371R</t>
  </si>
  <si>
    <t>Sriramkrishna Chowdary Medikonda</t>
  </si>
  <si>
    <t>8-3-167/D/224, Kalyan Nagar Phase 1, Behind Andhra Bank, Vengalrao nagar, Ameerpet, SR Nagar, Hyderabad, Andhra Pradesh-500038.</t>
  </si>
  <si>
    <t>D1119175</t>
  </si>
  <si>
    <t>Dr.Mara Maanvi Reddy</t>
  </si>
  <si>
    <t>TSMC/FMR/04922</t>
  </si>
  <si>
    <t>m.maanvireddy07@gmail.com</t>
  </si>
  <si>
    <t>20196570261</t>
  </si>
  <si>
    <t>SBIN0010100</t>
  </si>
  <si>
    <t>CMWPR3185H</t>
  </si>
  <si>
    <t>3-5-42/c, Bhavani Nagar, Amberpet, Ramanthapur, Amberpet, Hyderabad, Telangana - 500013</t>
  </si>
  <si>
    <t>D1119312</t>
  </si>
  <si>
    <t>Dr.Sandeep Nagulapally</t>
  </si>
  <si>
    <t>Basic USG, Tiffa, Fetal Echo, Guided Procedures, Basic CT, X Ray, Plain Radiology, IVP, RGU, MCGU, Barium Swallow, Barium Anema, HSG</t>
  </si>
  <si>
    <t>Krishna Institute of Medical Science</t>
  </si>
  <si>
    <t>APMC/FMR/94309</t>
  </si>
  <si>
    <t>nagulapallisandeep@gmail.com</t>
  </si>
  <si>
    <t>AUVPN3255F</t>
  </si>
  <si>
    <t>Exams preparation</t>
  </si>
  <si>
    <t>4-6-131 Srinivasa Hospital Main Road, Hayathnagar, Rangareddi, Telangana - 501505</t>
  </si>
  <si>
    <t>Long Distance</t>
  </si>
  <si>
    <t>7-2-1780 FN 309, Czech Colony, Sanath Nagar, Hyderabad, Rangareddi, Telangana - 500018</t>
  </si>
  <si>
    <t>V1101512</t>
  </si>
  <si>
    <t>Dr.Lata Abhyudoy Mahanatikavi</t>
  </si>
  <si>
    <t>Consultant Microbiologist &amp; Quality Manager</t>
  </si>
  <si>
    <t>Indira Gandhi Govt. Medical College</t>
  </si>
  <si>
    <t>APMC/FMR/111060</t>
  </si>
  <si>
    <t>lata.galate@gmail.com</t>
  </si>
  <si>
    <t>004801639392</t>
  </si>
  <si>
    <t>ARKPG3652P</t>
  </si>
  <si>
    <t>Baswanna</t>
  </si>
  <si>
    <t>D1119315</t>
  </si>
  <si>
    <t>Dr.Chintala Anuhya</t>
  </si>
  <si>
    <t>13:30:00</t>
  </si>
  <si>
    <t>Bhaskar Medical college</t>
  </si>
  <si>
    <t>TSMC/FMR/02796</t>
  </si>
  <si>
    <t>chintalaanuhya@gmail.com</t>
  </si>
  <si>
    <t>HDFC0001631</t>
  </si>
  <si>
    <t>BDWPC8742H</t>
  </si>
  <si>
    <t>Maternity, Infomred orally to Nazia in Sep-24</t>
  </si>
  <si>
    <t>6-1-39 V.D.O S Colony, Khammam, Khanapuram Haweli, Khammam, Andhra Pradesh - 507002</t>
  </si>
  <si>
    <t>Dr.Damera Madhulika</t>
  </si>
  <si>
    <t>Basic USG, Tiffa, Fetal Echo, MSK, Guided Procedures, Basic CT, All Angios, X Ray, Plain Radiology, Mammography, IVP, RGU, MCGU, Barium Swallow, Barium Anema, HSG</t>
  </si>
  <si>
    <t>2-4-163 Ram Nagar, Hanamkonda, Warangal, Telangana -506001</t>
  </si>
  <si>
    <t>Dr.Shilpa Bhimalli</t>
  </si>
  <si>
    <t>MRMS</t>
  </si>
  <si>
    <t>shilpabhimalli1234@gmail.com</t>
  </si>
  <si>
    <t>DPQPS7166B</t>
  </si>
  <si>
    <t>Plot No. 10, Matoshree Nilaya, New Jewargi Road, Mahveer Nagar, Gulbarga, Karnataka - 585102</t>
  </si>
  <si>
    <t>D1119319</t>
  </si>
  <si>
    <t>Dr.Chandrashree J</t>
  </si>
  <si>
    <t>SIMS</t>
  </si>
  <si>
    <t>jchandrashree@gmail.com</t>
  </si>
  <si>
    <t>SBIN0017792</t>
  </si>
  <si>
    <t>BFMPC7131N</t>
  </si>
  <si>
    <t>#51 80th Cross Kumarswamy Layout 1st Stage Bangalore, Karnataka - 560078</t>
  </si>
  <si>
    <t>D1119550</t>
  </si>
  <si>
    <t>Dr.Alla Murali Krishna</t>
  </si>
  <si>
    <t>TSMC/FMR/05779</t>
  </si>
  <si>
    <t>allamuralikrishna21@gmail.com</t>
  </si>
  <si>
    <t>39565350895</t>
  </si>
  <si>
    <t>BESPA5761F</t>
  </si>
  <si>
    <t>Senior residency at central institute</t>
  </si>
  <si>
    <t>H No. 1-4-35, Shikarkanigadda, Near Kuravigate, Mahabubabad, Telangana - 506101</t>
  </si>
  <si>
    <t>D1119320</t>
  </si>
  <si>
    <t>Dr.Kedarnath Dixit</t>
  </si>
  <si>
    <t>Basic USG, Tiffa, Guided Procedures, Basic CT, All Angios, Virtual Endoscopy, CT Entrorily, Guided Procedures, Basic MRI, MR Defecography, MR Prostate, X Ray, Plain Radiology, IVP, RGU, MCGU, Barium Swallow, Barium Anema, HSG</t>
  </si>
  <si>
    <t>kedar10nath@gmail.com</t>
  </si>
  <si>
    <t>SBIN0001934</t>
  </si>
  <si>
    <t>BZNPK7247L</t>
  </si>
  <si>
    <t>525866924546</t>
  </si>
  <si>
    <t>#13/2b BAKUL, Vivekananda Nagar, Gulbarga, Karnataka-11</t>
  </si>
  <si>
    <t>D1119321</t>
  </si>
  <si>
    <t>Dr.Pranitha Lella</t>
  </si>
  <si>
    <t>APMC/FMR/117116</t>
  </si>
  <si>
    <t>pranithalella@gmail.com</t>
  </si>
  <si>
    <t>BDCPL8453N</t>
  </si>
  <si>
    <t>1-567, Bantumilli Road, Bapuji Nagar, Gudivada, Krishna, Andhra Pradesh - 521301</t>
  </si>
  <si>
    <t>D1119322</t>
  </si>
  <si>
    <t>Dr.Bethi Akhil</t>
  </si>
  <si>
    <t>Shadan institute of Medical &amp; Health Sciences</t>
  </si>
  <si>
    <t>TSMC/FMR/24184</t>
  </si>
  <si>
    <t>9391231994, 8897541919</t>
  </si>
  <si>
    <t>akhil1231994@gmail.com</t>
  </si>
  <si>
    <t>HDFC0008332</t>
  </si>
  <si>
    <t>BKFPB9500C</t>
  </si>
  <si>
    <t xml:space="preserve">Terminated </t>
  </si>
  <si>
    <t>6-156s, SL N S Colony, Meerpet, Balapur X Road, Saroornagar, Rangareddi, Telangana - 500079</t>
  </si>
  <si>
    <t>9704553344, 6301728068</t>
  </si>
  <si>
    <t>Basic USG, Tiffa, Guided Procedures, X Ray, Plain Radiology, IVP, RGU, MCGU, Barium Swallow, Barium Anema, HSG</t>
  </si>
  <si>
    <t>INDIAN BANK</t>
  </si>
  <si>
    <t>IDIB000B053</t>
  </si>
  <si>
    <t>H No. 6-1-38/13, V D Os Colony, Khammam, Andhra Pradesh - 507001</t>
  </si>
  <si>
    <t>000801581011</t>
  </si>
  <si>
    <t>Converted to fill time in Shah Ali banda branch</t>
  </si>
  <si>
    <t>V1101662</t>
  </si>
  <si>
    <t>Dr.Mohammed Naseeruddin</t>
  </si>
  <si>
    <t>Basic USG, MSK,Tiffa, Guided Procedures, Basic CT, X-Ray, IVP, RGU, Barium Swallow, Barium Enema, HSG</t>
  </si>
  <si>
    <t>dr_naseeruddin@yahoo.com, drnaseeruddin@gmail.com</t>
  </si>
  <si>
    <t>1327104000120326</t>
  </si>
  <si>
    <t>IBKL0001327</t>
  </si>
  <si>
    <t>BKBPM9457R</t>
  </si>
  <si>
    <t>Khaja Moindduin Iqbal</t>
  </si>
  <si>
    <t>D1119324</t>
  </si>
  <si>
    <t>Dr.Kells N V S S Prabhu</t>
  </si>
  <si>
    <t>Sanjay Gandhi Institute of Medical Sciences</t>
  </si>
  <si>
    <t>APMC/FMR/640902</t>
  </si>
  <si>
    <t>drkellanvssprabhu@gmail.com</t>
  </si>
  <si>
    <t>ICIC0006628</t>
  </si>
  <si>
    <t>HJLPS1604F</t>
  </si>
  <si>
    <t>24-1-96, Nagaraju High School Daggara, Wivars Colony, Rajamandry, East Godavari, Andhra Pradesh - 533101</t>
  </si>
  <si>
    <t>D1117389</t>
  </si>
  <si>
    <t>Dr.Soheb Khan</t>
  </si>
  <si>
    <t>Basic USG, Tiffa, Guided Procedures, X-Ray, IVP, RGU, MCGU</t>
  </si>
  <si>
    <t>Chzheng Zhou Medical University, China</t>
  </si>
  <si>
    <t>TSMC/FMR/00442</t>
  </si>
  <si>
    <t>drsohebkhan@gmail.com</t>
  </si>
  <si>
    <t>342010100034131</t>
  </si>
  <si>
    <t>UTIB0000342</t>
  </si>
  <si>
    <t>EEYPS9879K</t>
  </si>
  <si>
    <t>Mukram Khan</t>
  </si>
  <si>
    <t>Performance issues</t>
  </si>
  <si>
    <t>H NO 7/15, G K Road, Batgera B Cross, Batgera, Batgera(b), Gulbarga, Karnataka-585222.</t>
  </si>
  <si>
    <t>D1117544</t>
  </si>
  <si>
    <t>Dr.Bathula Lingeswara Rao</t>
  </si>
  <si>
    <t>eswar.bathula@gmail.com</t>
  </si>
  <si>
    <t>107910100013153</t>
  </si>
  <si>
    <t>UBIN0800538</t>
  </si>
  <si>
    <t>BIQPB6783G</t>
  </si>
  <si>
    <t>Working hours 09:00 AM to 03:00 PM , Revised Amount - 114000, Eff from 1st June 2023</t>
  </si>
  <si>
    <t>D1119426</t>
  </si>
  <si>
    <t>Dr.Galeti Ayesha</t>
  </si>
  <si>
    <t>APMC/FMR/105368</t>
  </si>
  <si>
    <t>ayeshagaleti36@gmail.com</t>
  </si>
  <si>
    <t>INDIA Bank</t>
  </si>
  <si>
    <t>7431466471</t>
  </si>
  <si>
    <t>IDIB000V156</t>
  </si>
  <si>
    <t>BNSPG1124K</t>
  </si>
  <si>
    <t>2-1675 LBS Road, Pileru, Kondreddigaripalle, Chittoor, Andhra Pradesh - 517214</t>
  </si>
  <si>
    <t>PCPNDT registration issue</t>
  </si>
  <si>
    <t>Plot No. 108 H. No. 3, 108 Bazar Road Jyothi Colony, Kakaguda, Hyderabad, Telangana - 500015</t>
  </si>
  <si>
    <t>D1119425</t>
  </si>
  <si>
    <t>Dr.Tanjavuri Sai Sravya</t>
  </si>
  <si>
    <t>RIMS Adilabad</t>
  </si>
  <si>
    <t>TSMC/FMR/14319</t>
  </si>
  <si>
    <t>sravyasai9@gmail.com</t>
  </si>
  <si>
    <t>31847688403</t>
  </si>
  <si>
    <t>SBIN0010098</t>
  </si>
  <si>
    <t>LKUPS1282H</t>
  </si>
  <si>
    <t>H No. LIG - 410, Road No. 3, KPHB, Kukatpally, Hyderabad, Telangana - 500072</t>
  </si>
  <si>
    <t>D1119433</t>
  </si>
  <si>
    <t>Dr.Satyala Ramya Krishna</t>
  </si>
  <si>
    <t>NRIIMS</t>
  </si>
  <si>
    <t>APMC/FMR/101347</t>
  </si>
  <si>
    <t>ramyasatyala3426@gmail.com</t>
  </si>
  <si>
    <t>6180101002572</t>
  </si>
  <si>
    <t>CNRB0006180</t>
  </si>
  <si>
    <t>HXQPS3657R</t>
  </si>
  <si>
    <t>65-1-104A, Srinivasa Nagar, Sriharipuram, Malkapuram, Visakhapatnam, Andhra Pradesh - 530011</t>
  </si>
  <si>
    <t>D1119870</t>
  </si>
  <si>
    <t>Dr.Baddula Anil</t>
  </si>
  <si>
    <t>Dr. N T R University</t>
  </si>
  <si>
    <t>TSMC/FMR/23362</t>
  </si>
  <si>
    <t>baddulaanil@gmail.com</t>
  </si>
  <si>
    <t>572810110005524</t>
  </si>
  <si>
    <t>CAFPB9329C</t>
  </si>
  <si>
    <t>Saibaba Peta, Nandi Kotkur, Kurnool, Andhra Pradesh - 518401</t>
  </si>
  <si>
    <t>D1121373</t>
  </si>
  <si>
    <t>Dr.Manda Pranay Reddy</t>
  </si>
  <si>
    <t>X-Ray (Palim Radiography-Basic,Advanced), USG(Doppler Studies,Thyroid / Scrotum USG, Breast USG, USG Guided FNAC, USG Guided Aspiration, CT (Basic, Chest/Abdomen/Neck, CT Angiography), MRI (Basic, MR Prostate / Rectum, MR Neurography), Special Procedures ( IVP, RGU, MCUG, Barium Swallow, Barium Enema, HSG)</t>
  </si>
  <si>
    <t>TSMC/FMR/33861</t>
  </si>
  <si>
    <t>8867891999 / 8861303388</t>
  </si>
  <si>
    <t>pranayrdy@gmail.com</t>
  </si>
  <si>
    <t>916010068374795</t>
  </si>
  <si>
    <t>DDFPM9883N</t>
  </si>
  <si>
    <t>Chandra Kanth reddy Manda</t>
  </si>
  <si>
    <t>Higher Studies</t>
  </si>
  <si>
    <t>17-1-382/K/6/8, Champapet, Saidabad, Hyderabad, Telangana- 500059.</t>
  </si>
  <si>
    <t>D1117694</t>
  </si>
  <si>
    <t>Dr.Chintam Sushma</t>
  </si>
  <si>
    <t>Govt. Medical College, Anantapur -2006</t>
  </si>
  <si>
    <t>NRI Medical College, Chinakakani, Mangalagiri-2012</t>
  </si>
  <si>
    <t>dr.sushmachintam@gmail.com</t>
  </si>
  <si>
    <t>30614915204</t>
  </si>
  <si>
    <t>SBIN0017800</t>
  </si>
  <si>
    <t>CAKPS9258J</t>
  </si>
  <si>
    <t>Gundluru Uma Maheshwara Reddy</t>
  </si>
  <si>
    <t>V1101663</t>
  </si>
  <si>
    <t>Dr.K Aditya Abhishek</t>
  </si>
  <si>
    <t>Basic USG, Tiffa, Guided Procedures, Basic CT, X Ray, Plain Radiology, IVP, RGU, MCGU, Barium Swallow, Barium Anema, HSG 
(Note :- Can do USG, Tiffa, CT, Included FNAC and X-Ray)</t>
  </si>
  <si>
    <t>SS Institute of Medical Science</t>
  </si>
  <si>
    <t>APMC/FMR/90654</t>
  </si>
  <si>
    <t>adiabhi1818@gmail.com</t>
  </si>
  <si>
    <t>HDFC0004326</t>
  </si>
  <si>
    <t>BLEPK3553J</t>
  </si>
  <si>
    <t>14-39/1, P&amp;T Colony, Dilsukhnagar, Hyderabad, Telangana - 500060</t>
  </si>
  <si>
    <t>D1120333</t>
  </si>
  <si>
    <t>Dr.Bhagyashree Borikar</t>
  </si>
  <si>
    <t>CT,MRI,USG,Doppler,X-Ray</t>
  </si>
  <si>
    <t>Mahatma Gandhi institute of Medical Sciences,Sewagram</t>
  </si>
  <si>
    <t>DNB(2020)</t>
  </si>
  <si>
    <t>MBBS, DNB, DMRD</t>
  </si>
  <si>
    <t>2021/07/6882</t>
  </si>
  <si>
    <t>bhagyashri.4ever4u@gmail.com</t>
  </si>
  <si>
    <t>1674100100003883</t>
  </si>
  <si>
    <t>PUNB0167410</t>
  </si>
  <si>
    <t>BXVPB2045P</t>
  </si>
  <si>
    <t>Yogesh Borikar</t>
  </si>
  <si>
    <t>flat 721,tower 25, amanora metro towers hadapsar,pune 411028</t>
  </si>
  <si>
    <t>D1119438</t>
  </si>
  <si>
    <t>Dr.Shaik Imtyaz Ahammad</t>
  </si>
  <si>
    <t>APMC/FMR/102606</t>
  </si>
  <si>
    <t>imtyaz.ahammad@gmail.com</t>
  </si>
  <si>
    <t>50100272258404</t>
  </si>
  <si>
    <t>HDFC0001013</t>
  </si>
  <si>
    <t>LYYPS9718J</t>
  </si>
  <si>
    <t>3/223-A, Sai Kuteer Road, YMR Colony, Proddatur, Cuddapah, Andhra Pradesh - 516360</t>
  </si>
  <si>
    <t>Dr.Punuguvari Dinesh Kumar</t>
  </si>
  <si>
    <t>TSMC/FMR/04855</t>
  </si>
  <si>
    <t>dinesh.rdd1@gmail.com</t>
  </si>
  <si>
    <t>KGAPK5464G</t>
  </si>
  <si>
    <t>3-104, Shakhapur, Wanaparthy, Telangana - 509104</t>
  </si>
  <si>
    <t>D1119437</t>
  </si>
  <si>
    <t>Dr.Banothu Loka Bharani</t>
  </si>
  <si>
    <t>TSMC/FMR/11784</t>
  </si>
  <si>
    <t>lokabharani.banothu@gmail.com</t>
  </si>
  <si>
    <t>35134493437</t>
  </si>
  <si>
    <t>CSIPB5521R</t>
  </si>
  <si>
    <t>4-1/1, LB Nagar, Near Church Gopalapuram, Khammam, Telangana - 507001</t>
  </si>
  <si>
    <t>D1119436</t>
  </si>
  <si>
    <t>Dr.Sandhula Narsimha Sagar</t>
  </si>
  <si>
    <t>Mahdevappa Rampure Medical College</t>
  </si>
  <si>
    <t>ironmanmarvel1890@gmail.com</t>
  </si>
  <si>
    <t>1275104000102131</t>
  </si>
  <si>
    <t>IBKL0001275</t>
  </si>
  <si>
    <t>DNYPS3843F</t>
  </si>
  <si>
    <t>6-5-54/B/1 Babul Reddy Nagar, Rajendranagar, Kattedan le, K V Rangareddy, Telangana - 500077</t>
  </si>
  <si>
    <t>D1119435</t>
  </si>
  <si>
    <t>Dr.Asma Siddiqua</t>
  </si>
  <si>
    <t>TSMC/FMR/06737</t>
  </si>
  <si>
    <t>drasmasiddiqua2012@gmail.com</t>
  </si>
  <si>
    <t>38537389801</t>
  </si>
  <si>
    <t>LBSPS1960D</t>
  </si>
  <si>
    <t>17-9-179/B/2 Kurmaguda, Saidabad, Hyderabad, Telangana - 500059</t>
  </si>
  <si>
    <t>UBIN0805220</t>
  </si>
  <si>
    <t>8-3-228-678/1009/323/a, Shivamma Papi Reddy Hills, Karmika Nagar, Om Nagar, Khairatabad, Yousufguda, Hyderabad, Telangana - 500045</t>
  </si>
  <si>
    <t>D1120523</t>
  </si>
  <si>
    <t>Dr.Koneru Sri Lahari</t>
  </si>
  <si>
    <t>MBBS, MD-Biochemistry</t>
  </si>
  <si>
    <t>APMC/FMR/86620</t>
  </si>
  <si>
    <t>srilahari.koneru@gmail.com</t>
  </si>
  <si>
    <t>386801503191</t>
  </si>
  <si>
    <t>ICIC0001314</t>
  </si>
  <si>
    <t>BZFPK2494D</t>
  </si>
  <si>
    <t>k Lakshmanadas</t>
  </si>
  <si>
    <t>Leaves policy,More Public Holidays needed</t>
  </si>
  <si>
    <t>H.No- 5-12-70/2, Mangapuram Colony, Near Venkateswara Temple, Moulali, Secunderabad, Hyderabad, Telangana-500040.</t>
  </si>
  <si>
    <t>Challagulla Lakshmi Vineela</t>
  </si>
  <si>
    <t>Dr.Basetti Deepak</t>
  </si>
  <si>
    <t>Aparna Sarovar Grande</t>
  </si>
  <si>
    <t>APMC/FMR/92990</t>
  </si>
  <si>
    <t>bdeepu2001@gmail.com</t>
  </si>
  <si>
    <t>AYCPB8075G</t>
  </si>
  <si>
    <t>Aparna Sarovar Grande, Block - D, Flat no. - G02, Kanchi Gachibowli Road, Nalagandla, K V Rangareddy, Telangana - 500019</t>
  </si>
  <si>
    <t>D1117637</t>
  </si>
  <si>
    <t>Dr.Thatipamula Madhavi</t>
  </si>
  <si>
    <t>X-Ray (Plain Radiography-Basic,Advanced), Mammography, USG(Basic, Doppler Studies,Thyroid/Scrotum USG, Breast USG,TIFFA, MSK USG, USG Guided FNAC,USG Guided Aspirations), CT (Basic, Chest/Abdomen,3DCT,CT Angiography), MRI(Basic, MSk Studies- Knee/Shoulder, MRI MRCP / Abdomen / Liver), Special Procedures (RGU,MCUG, Barium Swallow, Barium Enema, HSG)</t>
  </si>
  <si>
    <t>madhavimdrd@gmail.com</t>
  </si>
  <si>
    <t>50100166925899</t>
  </si>
  <si>
    <t>ALWPT8097P</t>
  </si>
  <si>
    <t>Chandramouli Thatipamula</t>
  </si>
  <si>
    <t>Promotion in a medical college</t>
  </si>
  <si>
    <t>Flat No:- 403, Super Homes Sunshine Apparments, Near Modern Function hall, Khairatabad, Hyderabad, Telangana-500004.</t>
  </si>
  <si>
    <t>D1119443</t>
  </si>
  <si>
    <t>Dr.Juveria Sultana</t>
  </si>
  <si>
    <t>20:30:00</t>
  </si>
  <si>
    <t>Deccan College of medical sciences</t>
  </si>
  <si>
    <t>TSMC/FMR/06946</t>
  </si>
  <si>
    <t>djuveria@gmail.com</t>
  </si>
  <si>
    <t>38580356088</t>
  </si>
  <si>
    <t>SBIN0021119</t>
  </si>
  <si>
    <t>EILPS0809E</t>
  </si>
  <si>
    <t>H. No. 14-2-153, JPN Road, Mandi Bazar, Warangal, Telangana - 506002</t>
  </si>
  <si>
    <t>Dr.Daida Alekya</t>
  </si>
  <si>
    <t>Basic USG, Tiffa, MSK, Basic CT, All Angios except Coronary, CT Enterclysis, Xray-Plain, Mammography, Special Procedure- IVP,RGU,MCUG,Barrium Swallow, Barium Enema, HSG</t>
  </si>
  <si>
    <t>Personal resons</t>
  </si>
  <si>
    <t>Plot.No-1100, Phase 2, Bhagathsingh Nagar, Hydernagar, Kukatpally, Hyderabad, Telangana-500085.</t>
  </si>
  <si>
    <t>D1119007</t>
  </si>
  <si>
    <t>Dr.Pithana Monica Aneesha</t>
  </si>
  <si>
    <t>MIMS , Vizayanaram</t>
  </si>
  <si>
    <t>Asram Medical College, Eluru</t>
  </si>
  <si>
    <t>APMC/FMR/103325</t>
  </si>
  <si>
    <t>monicaaneesha1994thecool@gmail.com</t>
  </si>
  <si>
    <t>050810100131334</t>
  </si>
  <si>
    <t>UBIN0825069</t>
  </si>
  <si>
    <t>DDJPP6953E</t>
  </si>
  <si>
    <t>24-167, Gayatrinagar, Opp: Chandana girl towers, Simhapuri colony Road, Pendurthi, Vepugunta, Visakhapatnam, Andhra Pradesh-530047</t>
  </si>
  <si>
    <t>D1118657</t>
  </si>
  <si>
    <t>Dr.Abhilash H D</t>
  </si>
  <si>
    <t>Basic USG, Tiffa, Doppler, Guided Procedures, Basic CT, X Ray, Plain Radiology, IVP, RGU, MCGU, Barium Swallow, Barium Anema, HSG</t>
  </si>
  <si>
    <t>TSMC/FMR/24394</t>
  </si>
  <si>
    <t>abhilash1159@gmail.com</t>
  </si>
  <si>
    <t>2902500100173201</t>
  </si>
  <si>
    <t>KARB0000290</t>
  </si>
  <si>
    <t>DSZPD2298P</t>
  </si>
  <si>
    <t>H.No-#186,Gorur Road,Bittagowdanahali, Hassan, Karnataka-573217</t>
  </si>
  <si>
    <t>D1120763</t>
  </si>
  <si>
    <t>Dr.Seshasai V Mopuri</t>
  </si>
  <si>
    <t>X-Ray (Plain Radiography), USG(Basic, TIFFA, Fetal Echo, Guided Procedures), CT (Basic, All Angios), MRI(Basic, MR Prostate), Special Procedures (IVP,RGU,MCUG, Barium Swallow, Barium Enema,HSG)</t>
  </si>
  <si>
    <t>MGM Institute of Health Sciences</t>
  </si>
  <si>
    <t>TSMC/FMR/29078</t>
  </si>
  <si>
    <t>9320790032/8169068310</t>
  </si>
  <si>
    <t>mopurisai@yahoo.com</t>
  </si>
  <si>
    <t>004901001458</t>
  </si>
  <si>
    <t>ICIC0000049</t>
  </si>
  <si>
    <t>BRRPM7842M</t>
  </si>
  <si>
    <t>Vijaykumar Krishnaiah Mopuri</t>
  </si>
  <si>
    <t>DTPS Nagar, B-3/2, DTPS Road, Dahanu Road, Dahanu TPS Thane, Maharastra-401608.</t>
  </si>
  <si>
    <t>D1119557</t>
  </si>
  <si>
    <t>Dr.Katpally Rakshith Reddy</t>
  </si>
  <si>
    <t>Basic USG, Basic CT, Xray, Plain Radiography
(Cant do Antenatal, Tiffa Scans, Can do Routine USG, X-Rays)</t>
  </si>
  <si>
    <t>Ramaiah Medical College</t>
  </si>
  <si>
    <t>TSMC/FMR/27882</t>
  </si>
  <si>
    <t>rakshithreddykatpally@gmail.com</t>
  </si>
  <si>
    <t>038201003630</t>
  </si>
  <si>
    <t>ICIC0000382</t>
  </si>
  <si>
    <t>CXRPK5479B</t>
  </si>
  <si>
    <t>Villa 5, Ektha Highland Park, Financial District, Nanakramguda, Hyderabad, Telangana - 500032</t>
  </si>
  <si>
    <t>000801660181</t>
  </si>
  <si>
    <t>Sadhna Nagar, Near Hanuman Mandir, Degloor, Nanded, Maharashtra - 431717</t>
  </si>
  <si>
    <t>Flat No-5, 1st Floor, Nizam Colony, AI Hasanath Ground, Tolichowki, Golconda, Hyderabad, Telangana - 500008</t>
  </si>
  <si>
    <t>D1121020</t>
  </si>
  <si>
    <t>Dr.Sidra Tul Munataha</t>
  </si>
  <si>
    <t>Dr VRK Women's Medical College</t>
  </si>
  <si>
    <t>TSMC/FMR/23436</t>
  </si>
  <si>
    <t>st40537@gmail.com</t>
  </si>
  <si>
    <t>62250724968</t>
  </si>
  <si>
    <t>SBIN0001879</t>
  </si>
  <si>
    <t>CYQPM0106D</t>
  </si>
  <si>
    <t>Mirza Kareem Baig</t>
  </si>
  <si>
    <t>23-1-782, Moghal Pura, Charminar, Hyderabad, Telangana-500002.</t>
  </si>
  <si>
    <t>D1120519</t>
  </si>
  <si>
    <t>Dr.Kasturi Lakshmi Naga Sindhuja</t>
  </si>
  <si>
    <t>X-Ray (Plain Radiography-Basic,Advanced), USG(Basic, Doppler Studies,Thyroid/Scrotum USG, Breast USG,TIFFA,MSK USG,USG Guided FNAC, USG Guided Aspiration), CT (Basic, Chest/Abdomen/Neck,3DCT,CT Angiography),MRI(Basic, MSK studies-knee/shoulder, MSK studies-Wrist/Ankle, MRI MRCP/Abdomen/Liver,Foetal MR, MRI Enterography), Special Procedures (IVP,RGU,MCUG, Barium Swallow, Barium Enema, HSG)</t>
  </si>
  <si>
    <t>MBBS,MD-Radio Diagnosis</t>
  </si>
  <si>
    <t>APMC/FMR/96238</t>
  </si>
  <si>
    <t>cindrella.kln121@gmail.com</t>
  </si>
  <si>
    <t>921010017864090</t>
  </si>
  <si>
    <t>UTIB0000600</t>
  </si>
  <si>
    <t>CTAPS9304N</t>
  </si>
  <si>
    <t>Kasturi Ananda Kumar</t>
  </si>
  <si>
    <t>25-684-191-C, Padmavathi Nagar, Nandyal, Kurnool, Andhra Pradesh-518501.</t>
  </si>
  <si>
    <t>D1119551</t>
  </si>
  <si>
    <t>Dr.Jyothi Boda</t>
  </si>
  <si>
    <t>Chalmeda Anand rao Institute of Medical Sciences</t>
  </si>
  <si>
    <t>104810011004301</t>
  </si>
  <si>
    <t>UBIN0817741</t>
  </si>
  <si>
    <t>AZIPB2904M</t>
  </si>
  <si>
    <t>Flat No. 307, H. No. 1-4-522/1, Crystal Eshaq Arcade, Bholakpur St 1, Musheerabad, Hyderabad, Telangana - 500020</t>
  </si>
  <si>
    <t>D1117534</t>
  </si>
  <si>
    <t>Dr.Rasala Vidyasree</t>
  </si>
  <si>
    <t>Basic USG, Tiffa, Doppler TRUS, Guided Procedures FNAC, Basic CT, X-Ray, Plain Radiography, IVP, RGU, MCUG, Barium Swallow, Barium Enema, HSG</t>
  </si>
  <si>
    <t>Chalmeda Institute of Medical Sciences</t>
  </si>
  <si>
    <t>JJMMC (RGUHS) DAVANGERE,KARNATAKA</t>
  </si>
  <si>
    <t>APMC/FMR/87618</t>
  </si>
  <si>
    <t>drvidya08@outlook.com</t>
  </si>
  <si>
    <t>SBIN0020095</t>
  </si>
  <si>
    <t>BHAPR1424D</t>
  </si>
  <si>
    <t>460827806232</t>
  </si>
  <si>
    <t>Rasala Balaram</t>
  </si>
  <si>
    <t>1-9-295/10/3/A, 2nd Floor, Vidyanagar, Musheerabad, New Nallakunta, Hyderabad, Telangana-500044.</t>
  </si>
  <si>
    <t>D1119558</t>
  </si>
  <si>
    <t>Dr.Radha Ramesh Bawage</t>
  </si>
  <si>
    <t>Basic USG, Tiffa, Fetal Echo, Guided Procedure, Basic CT, All Angios, Guided Procedures, Basic MRI, X Ray, Plain Radiography, Mammography, IVP, RGU, MCUG, Barium Swallow, Barium Anema, HSG
(Dr Radha has done Fetal Medicine felloship . She is a gold medal in Md. Can handle USG, Tiffa, Guided FNAC, CT , MRI)</t>
  </si>
  <si>
    <t>radharameshbawage@gmail.com</t>
  </si>
  <si>
    <t>61450100001587</t>
  </si>
  <si>
    <t>BARB0MOHAMP</t>
  </si>
  <si>
    <t>EHRPB4597K</t>
  </si>
  <si>
    <t>Vishwashanti Niwas, Vishal Nagar, Latur, Maharashtra - 413512</t>
  </si>
  <si>
    <t>D1119548</t>
  </si>
  <si>
    <t>Dr.Kalla Vineela</t>
  </si>
  <si>
    <t>TSMC/FMR/02929</t>
  </si>
  <si>
    <t>drvineethakalla@gmail.com</t>
  </si>
  <si>
    <t>038201548549</t>
  </si>
  <si>
    <t>FMFPK5540H</t>
  </si>
  <si>
    <t>3-4-101/A, Laxmi Nagar, St. No. 8, Ramanthapur, Amberpet, Hyderabad, Telangana - 500013</t>
  </si>
  <si>
    <t>D1119547</t>
  </si>
  <si>
    <t>Dr.Ahmed Mohiuddin Khan</t>
  </si>
  <si>
    <t>Zhenzhou university</t>
  </si>
  <si>
    <t>TSMC/FMR/08575</t>
  </si>
  <si>
    <t>ahmedmuk92@hotmail.com</t>
  </si>
  <si>
    <t>1181101028503</t>
  </si>
  <si>
    <t>CNRB0001181</t>
  </si>
  <si>
    <t>DNJPA2957M</t>
  </si>
  <si>
    <t>8-2-603/B/33/A/5, Road No. 10, Khairatabad, Banjara Hills, Hyderabad, Telangana - 500034</t>
  </si>
  <si>
    <t>D1119546</t>
  </si>
  <si>
    <t>Dr.Gubbala Sai Thanmai</t>
  </si>
  <si>
    <t>International Higher School of Medicine</t>
  </si>
  <si>
    <t>APMC/FMR/111514</t>
  </si>
  <si>
    <t>iamthanmaisri@gmail.com</t>
  </si>
  <si>
    <t>7512494204</t>
  </si>
  <si>
    <t>IDIB000V171</t>
  </si>
  <si>
    <t>DVYPG8635P</t>
  </si>
  <si>
    <t>24-94/53, Plot No. - 203, Venkat Plaza, Asta Bhuja Temple Road, Anangbagh West, Hyderabad, Rangareddi, Telangana - 500047</t>
  </si>
  <si>
    <t>D1119545</t>
  </si>
  <si>
    <t>Dr.Akhil Reddy Dasari</t>
  </si>
  <si>
    <t>Belize Medical College</t>
  </si>
  <si>
    <t>TSMC/FMR/16166</t>
  </si>
  <si>
    <t>akhildasari96@gmail.com</t>
  </si>
  <si>
    <t>38132379075</t>
  </si>
  <si>
    <t>EPDPR0842R</t>
  </si>
  <si>
    <t>Q No. 3357, Type 3, ODF Estate O.F. Yeddumailaram, Medak, Andhra Pradesh - 502205</t>
  </si>
  <si>
    <t>D1119722</t>
  </si>
  <si>
    <t>Dr.Nallaganthula Shamili</t>
  </si>
  <si>
    <t>Basic USG, Tiffa, FNAC, Foetal Echo, MSK, Guided Procedures, Basic CT, Basic MRI, X Ray, Plain Radiography, Mammography, IVP, RGU, MCUG, Barium Swallow, Barium Anema, HSG.
(Dr. Shamili is good at USG, Foetal Echo, DOPPLER, USG Guided, FNAC, Mammography, X-Ray reporting can do Basic CT, MRI Reporting)</t>
  </si>
  <si>
    <t>APMC/FMR/75024</t>
  </si>
  <si>
    <t>shamili.me@gmail.com</t>
  </si>
  <si>
    <t>50100472298521</t>
  </si>
  <si>
    <t>ARVPN5452B</t>
  </si>
  <si>
    <t>18-116, Kamalanagar, Road no. 5, P &amp; T Colony, Saroornagar, KV Rangareddy, Telangana - 500060</t>
  </si>
  <si>
    <t>D1121405</t>
  </si>
  <si>
    <t>Dr.Deepukiran P Garlapadu</t>
  </si>
  <si>
    <t>B J Medical College, Pune</t>
  </si>
  <si>
    <t>TSMC/FMR/02208</t>
  </si>
  <si>
    <t>deepugdh0220@gmail.com</t>
  </si>
  <si>
    <t>915010017897037</t>
  </si>
  <si>
    <t>UTIB0000515</t>
  </si>
  <si>
    <t>BEGPG2809N</t>
  </si>
  <si>
    <t>Prahlad Garlapadu Dhonde hole</t>
  </si>
  <si>
    <t>Flat No-605, Block No-C, Aurora Block, Chitrapuri Colony Post, Green Grace Apts, Khajaguda, KV Rangareddy, Telangana-500104.</t>
  </si>
  <si>
    <t>V1101704</t>
  </si>
  <si>
    <t>Dr.Jalagam Arjun Prasad</t>
  </si>
  <si>
    <t>Basic USG, Tiffa, MSK, Penile Doppler/ TRUS, Guided Procedures, X-Ray, Mammography, Basic CT, Basic MRI, IVP, RGU, MCGU, Barium Swallow, Barium Enema, HSG</t>
  </si>
  <si>
    <t>Alluri Sitarama Raju Academy of Medical Sciences, Eluru, Andhra Pradesh</t>
  </si>
  <si>
    <t>APMC/FMR/77716</t>
  </si>
  <si>
    <t>jalagam_arjun@yahoo.in</t>
  </si>
  <si>
    <t>50100022517754</t>
  </si>
  <si>
    <t>HDFC0002413</t>
  </si>
  <si>
    <t>ARQPJ6407K</t>
  </si>
  <si>
    <t>J Rajendra Prasad</t>
  </si>
  <si>
    <t>D1117537</t>
  </si>
  <si>
    <t>Dr.Garima Sharma</t>
  </si>
  <si>
    <t>8:00 to 16:00</t>
  </si>
  <si>
    <t>12:00 to 20:00</t>
  </si>
  <si>
    <t>Moulana Institute of Medical Sciences, Ambala, Haryana</t>
  </si>
  <si>
    <t>Mahatma Gandhi Medical College and Hospital, Jaipur, Rajasthan</t>
  </si>
  <si>
    <t>garu6287@gmail.com</t>
  </si>
  <si>
    <t>83912300016407</t>
  </si>
  <si>
    <t>CNRB0019170</t>
  </si>
  <si>
    <t>BZHPS1503H</t>
  </si>
  <si>
    <t>365252707671</t>
  </si>
  <si>
    <t>Naresh Sharma</t>
  </si>
  <si>
    <t>D-419, Near Ramfal Chowk, Palam Extn, Dwaraka Sector 7, South West Delhi, Delhi - 110075.</t>
  </si>
  <si>
    <t>D1120766</t>
  </si>
  <si>
    <t>Dr.Pilli Vandana</t>
  </si>
  <si>
    <t>MBBS,DMRD,DNB-Radidiagnosis</t>
  </si>
  <si>
    <t>APMC/FMR/79480</t>
  </si>
  <si>
    <t>vandana233@gmail.com</t>
  </si>
  <si>
    <t>33939298868</t>
  </si>
  <si>
    <t>SBIN0008998</t>
  </si>
  <si>
    <t>BLEPP7094R</t>
  </si>
  <si>
    <t>PRM Prasad</t>
  </si>
  <si>
    <t>Recruited for temporary basis (Dr K Loka Pavani on Maternity leave)</t>
  </si>
  <si>
    <t>31-28-1/19, Kurmannapalem, Kalyan enclave opposite steel plant gate, Vadlapudi, Duvvada, Visakhapatnam, Andhra Pradesh-530046.</t>
  </si>
  <si>
    <t>V1101753</t>
  </si>
  <si>
    <t>Dr.Uma Maheswari</t>
  </si>
  <si>
    <t>X-Ray( Plain Radiography, Mammography), Usg(Basic, TIFFA, MSK, Guided Procedures)), CT ( Basic), MRI(Basic), Special Procedures (IVP, RGU, MCUG, Barium Swallow, Barium Enema, HSG)</t>
  </si>
  <si>
    <t>maheshwariuma02@gmail.com</t>
  </si>
  <si>
    <t>004801602787</t>
  </si>
  <si>
    <t>CDRPM4531Q</t>
  </si>
  <si>
    <t>S Parama Reddy</t>
  </si>
  <si>
    <t>4021/A/303259839/00/000</t>
  </si>
  <si>
    <t>D1118692</t>
  </si>
  <si>
    <t>Dr.Rudra Pradeep Kumar</t>
  </si>
  <si>
    <t>CHALMEDA ANAND RAO INSTITUTE OF MEDICAL SCIENCES, KARIMNAGAR</t>
  </si>
  <si>
    <t>GOVERNMENT MEDICAL COLLEGE ,AKOLA MAHARASHTRA</t>
  </si>
  <si>
    <t>TSMC/FMR/01226</t>
  </si>
  <si>
    <t>pradeep.rudra77@gmail.com</t>
  </si>
  <si>
    <t>CVEPR6617P</t>
  </si>
  <si>
    <t>2-1-7, I B Road, Koratla, Karimnagar, Telangana – 505326.</t>
  </si>
  <si>
    <t>Dr.Sirikonda Udaya Bhaskar Rao</t>
  </si>
  <si>
    <t>dr.uday@hotmail.com</t>
  </si>
  <si>
    <t>BKWPS3359F</t>
  </si>
  <si>
    <t>Not Joined</t>
  </si>
  <si>
    <t>10-179/1, Plot No - 105, Gayatri Homes, New Gayatri Nagar, Meerpet, KV Rangareddy, Telangana - 500097</t>
  </si>
  <si>
    <t>H. No - 4-42-776, Asbestos Colony, Kukatpally, Hyderabad - 500072</t>
  </si>
  <si>
    <t>D1119589</t>
  </si>
  <si>
    <t>Dr.Sayed Irshad</t>
  </si>
  <si>
    <t>APMC/FMR/129022</t>
  </si>
  <si>
    <t>irshad.syed.103@gmail.com</t>
  </si>
  <si>
    <t>Syndicate bank</t>
  </si>
  <si>
    <t>CNRB0013698</t>
  </si>
  <si>
    <t>HXSPS6159E</t>
  </si>
  <si>
    <t>1-64, Main Road Syndicate Bank Mundu, Veligandla, Prakasam, Andhra Pradesh - 523224</t>
  </si>
  <si>
    <t>Dr.Goutham Reddy S</t>
  </si>
  <si>
    <t>TSMC/FMR/21369</t>
  </si>
  <si>
    <t>sgouthamreddy1@gmail.com</t>
  </si>
  <si>
    <t>5-7/15, Road No-1, Hill County, Bachpalle, Malkajgiri, Telangana, 500090</t>
  </si>
  <si>
    <t>drsughrayasmeen@gmail.com</t>
  </si>
  <si>
    <t>4845478642</t>
  </si>
  <si>
    <t>Not Reported</t>
  </si>
  <si>
    <t>13-6-823/10, Hasham Nagar, Langar House, Hyderabad - 500008</t>
  </si>
  <si>
    <t>D1119707</t>
  </si>
  <si>
    <t>Dr.Yaramala Satyanarayana Reddy</t>
  </si>
  <si>
    <t>Basic USG, Tiffa, Guided Procedures, Basic CT, X Ray, Plain Radiography, IVP, RGU, MCUG, Barium Swallow, Barium Anema, HSG.
(Can Do USG, Doppler, TIFFA, Doppler, X-Ray,  Basic CT Chest &amp; Abdomen)</t>
  </si>
  <si>
    <t>P.S.I Medical College</t>
  </si>
  <si>
    <t>J.N.M.C College</t>
  </si>
  <si>
    <t>APMC/FMR/79902</t>
  </si>
  <si>
    <t>dryaramala@gmail.com</t>
  </si>
  <si>
    <t>11483949773</t>
  </si>
  <si>
    <t>SBIN0040479</t>
  </si>
  <si>
    <t>BAFPY1487B</t>
  </si>
  <si>
    <t>Fellowship in US</t>
  </si>
  <si>
    <t>3-69, Mylavaram Mandalam, Velvadam, Andhra Pradesh - 521230</t>
  </si>
  <si>
    <t xml:space="preserve">MBBS, </t>
  </si>
  <si>
    <t>D1119710</t>
  </si>
  <si>
    <t>Dr.Madaram Deepshik Raj</t>
  </si>
  <si>
    <t>Mediciti Institute of Medical Scioences</t>
  </si>
  <si>
    <t>TSMC/FMR/29579</t>
  </si>
  <si>
    <t>madaram.deepshik@gmail.com</t>
  </si>
  <si>
    <t>55560101012794</t>
  </si>
  <si>
    <t>FDRL0005556</t>
  </si>
  <si>
    <t>IVFPM3892A</t>
  </si>
  <si>
    <t>Personal Reason, not served notice period</t>
  </si>
  <si>
    <t>20-1-67, Chandrikapuram, Bahadurpura, Hyderabad, Telangana - 500064</t>
  </si>
  <si>
    <t>D1119005</t>
  </si>
  <si>
    <t>Dr.SHAMOON SULTANA</t>
  </si>
  <si>
    <t>SVS Medical College and Hospital</t>
  </si>
  <si>
    <t>TSMC/FMR/02257</t>
  </si>
  <si>
    <t>dr.shamoon@gmail.com</t>
  </si>
  <si>
    <t>024501535641</t>
  </si>
  <si>
    <t>ICIC0000245</t>
  </si>
  <si>
    <t>FVOPS4637B</t>
  </si>
  <si>
    <t>H.no. 2-2-290/20, Shanti Nagar, Tandur, Vikarabad, Telangana -501141.</t>
  </si>
  <si>
    <t>Personal Health Issues</t>
  </si>
  <si>
    <t>D1119862</t>
  </si>
  <si>
    <t>Dr.Soumyashree</t>
  </si>
  <si>
    <t>TSMC/FMR/26441</t>
  </si>
  <si>
    <t>soumyabadiger83@gmail.com</t>
  </si>
  <si>
    <t>107910100074880</t>
  </si>
  <si>
    <t>GAYPS6146B</t>
  </si>
  <si>
    <t>#1/47/1 Sedam Road, Gundagurthi, Chitapur, Gulbarga, Karnataka - 585317</t>
  </si>
  <si>
    <t>107912010000609</t>
  </si>
  <si>
    <t>10-4-13/11/A, Owaisi Pura, Masab Tank, Asifnagar, Hyderabad, Telangana - 500028</t>
  </si>
  <si>
    <t>D1119833</t>
  </si>
  <si>
    <t>Dr.Kamatham Harshitha</t>
  </si>
  <si>
    <t>Basic USG, Tiffa, Basic CT, X Ray, Plain Radiography, IVP, RGU, MCUG, Barium Swallow, Barium Anema, HSG.
(She is Beginner and Can handle Ultra Sound Study and Basic CT wants to go to Fetal Imaging Fellowship in June for 6  Months)</t>
  </si>
  <si>
    <t>Kurnool Government Medical College</t>
  </si>
  <si>
    <t>TSMC/FMR/30251</t>
  </si>
  <si>
    <t>telangana State Medical Council</t>
  </si>
  <si>
    <t>harshismily3@gmail.com</t>
  </si>
  <si>
    <t>07051870000673</t>
  </si>
  <si>
    <t>HDFC0000705</t>
  </si>
  <si>
    <t>AFVPH1082F</t>
  </si>
  <si>
    <t>Medical Fellowship</t>
  </si>
  <si>
    <t>11-1-358, Aravind Nagar, 1st Cross, Anantapur, Andhra Pradesh - 515001</t>
  </si>
  <si>
    <t>D1119724</t>
  </si>
  <si>
    <t>Dr.Veerasuri Sravya</t>
  </si>
  <si>
    <t>Medicity institute of medical science</t>
  </si>
  <si>
    <t>TSMC/FMR/00615</t>
  </si>
  <si>
    <t>sravyaveerasuri@gmail.com</t>
  </si>
  <si>
    <t>280910100026120</t>
  </si>
  <si>
    <t>UBIN0828092</t>
  </si>
  <si>
    <t>BAAPV2760B</t>
  </si>
  <si>
    <t>2-132/2, Sriramnagar, Yadagirigutta, Nalgonda, Andhra Pradesh - 508115</t>
  </si>
  <si>
    <t>Got Job in OSMANIA College</t>
  </si>
  <si>
    <t>D1120010</t>
  </si>
  <si>
    <t>Dr.Kauser Fatima</t>
  </si>
  <si>
    <t xml:space="preserve">Deccan College of Medical Science </t>
  </si>
  <si>
    <t>Osmania Medical college</t>
  </si>
  <si>
    <t>TSMC/FMR/04004</t>
  </si>
  <si>
    <t>fatima.kauser94@gmail.com</t>
  </si>
  <si>
    <t>38496199053</t>
  </si>
  <si>
    <t>AEDPF6988F</t>
  </si>
  <si>
    <t>18-8-243-33/A/1 Fateh Shah Nagar Saidabad TS, 500059</t>
  </si>
  <si>
    <t>D1120309</t>
  </si>
  <si>
    <t>Dr.Pulturu Vekata Shilpa</t>
  </si>
  <si>
    <t>Gomel State Medical University</t>
  </si>
  <si>
    <t>All India Institute of Medical Sciences, Rishikesh</t>
  </si>
  <si>
    <t>APMC/FMR/89473</t>
  </si>
  <si>
    <t>pvshilpa123@gmail.com</t>
  </si>
  <si>
    <t>CNRB0019068</t>
  </si>
  <si>
    <t>CUEPP5697N</t>
  </si>
  <si>
    <t>Better offer, HOD approved for early relieving</t>
  </si>
  <si>
    <t>C/O N Laxman,F/A-16 and A-15 First Floor, Madhu Vihar,I.P Extension,East Delhi, Delhi-110092.</t>
  </si>
  <si>
    <t>D1119837</t>
  </si>
  <si>
    <t>Dr.Pandava Supriya</t>
  </si>
  <si>
    <t>Basic USG, Doppler Studies, Thyroid/Scrotum USG, Breast USG, Tiffa, MSK USG, USG Guided FNAC, Guided Procedures, Basic CT, X Ray, Plain Radiography, Mammography, IVP, RGU, MCUG, Barium Swallow, Barium Anema, HSG.</t>
  </si>
  <si>
    <t>TSMC/FMR/10589</t>
  </si>
  <si>
    <t>supriyapandava@gmail.com</t>
  </si>
  <si>
    <t>1484177000006880</t>
  </si>
  <si>
    <t>KVBL0001484</t>
  </si>
  <si>
    <t>ENIPP5428J</t>
  </si>
  <si>
    <t>Plot No. 130, Vandanapuri Colony, Beeramguda, Ameenapur, Ramachandrapuram, Medak, Andhra Pradesh - 502032</t>
  </si>
  <si>
    <t>D1120771</t>
  </si>
  <si>
    <t>Dr.Madabhushi Hima Sindhu</t>
  </si>
  <si>
    <t>South Western university of Medicine, Philippines</t>
  </si>
  <si>
    <t>TSMC/FMR/24749</t>
  </si>
  <si>
    <t>drhimasindhu@gmail.com</t>
  </si>
  <si>
    <t>40820240088</t>
  </si>
  <si>
    <t>CWZPM3856K</t>
  </si>
  <si>
    <t>Madabushi Sesha Charyulu</t>
  </si>
  <si>
    <t>1-8-526, Jatkar Bhavan, Flat No.305, Chikkadaplly Street no.7, Musheerabad, Hyderabad, Telangana-500020.</t>
  </si>
  <si>
    <t>D1120521</t>
  </si>
  <si>
    <t>Dr.Kondaparthi Shirisha</t>
  </si>
  <si>
    <t>X-Ray (Plain Radiography-Basic,Advanced), USG(Basic, Doppler Studies,Thyroid/Scrotum USG, Breast USG), CT (Basic)</t>
  </si>
  <si>
    <t>MNR medical college</t>
  </si>
  <si>
    <t>TSMC/FMR/07018</t>
  </si>
  <si>
    <t>shirishakondaparthi02@gmail.com</t>
  </si>
  <si>
    <t>00000042202984083</t>
  </si>
  <si>
    <t>SBIN0020106</t>
  </si>
  <si>
    <t>MYQPS3220N</t>
  </si>
  <si>
    <t>Kondaparthy Bikshapathi</t>
  </si>
  <si>
    <t>4-114, D-Block, Infront of water plant,  Citizen colony, Indresham, Sangareddy, Telangana-502319.</t>
  </si>
  <si>
    <t>D1121716</t>
  </si>
  <si>
    <t>Dr.Sangars Bhashya</t>
  </si>
  <si>
    <t>X-Ray (Plain Radiography-Basic,Advanced), Mammography, USG (Basic,Doppler studies, Thyroid/Scrotum USG, Breast USG, MSK USG, USG Guided FNAC, USG Guided Aspiration, CT(Basic, Chest/Abdomen/Neck,3DCT, CT Angiography, MRI (Basic, MSk studies-Knee/Shoulder, MSK Studies-Wrist/Ankle, MRI MRCP/Abdomen/Liver), Special Procedures (IVP,RGU,MCUG, Barium Swallow, Barium Enema,HSG)</t>
  </si>
  <si>
    <t>APMC/FMR/88044</t>
  </si>
  <si>
    <t>bhashyasangars@gmail.com</t>
  </si>
  <si>
    <t>068301000780</t>
  </si>
  <si>
    <t>ICIC0000683</t>
  </si>
  <si>
    <t>CARPB6306D</t>
  </si>
  <si>
    <t>Bhagawanth Rao</t>
  </si>
  <si>
    <t>3-42/5, Rangampally, Peddapally Mandal, PP Colony, Karimnagar, Telangana- 505174.</t>
  </si>
  <si>
    <t>D1119860</t>
  </si>
  <si>
    <t>Dr.Shalini Sakaray</t>
  </si>
  <si>
    <t>S.V.S Medical college</t>
  </si>
  <si>
    <t>TSMC/FMR/27238</t>
  </si>
  <si>
    <t>shalzsakarey21@gmail.com</t>
  </si>
  <si>
    <t>DWYPS9760N</t>
  </si>
  <si>
    <t>8-287, Gowlipet Ganesh Circle, Adoni, Kurnool, Andhra Pradesh - 518301</t>
  </si>
  <si>
    <t>D1115591</t>
  </si>
  <si>
    <t>Dr.Manoj Kanaparti</t>
  </si>
  <si>
    <t>Basic USG, Tiffa, MSK, Penile Dopplers, Guided Procedures, X- Ray, Mammography, IVP, RGU, MCGU, Barium Swallow, Barium Enemma, HSG, Basic CT, All Angios, CT Perfusion, CT Enteroclysis, Guided Procedures and Basic MRI, CSF Flow Study, MR Perfusion, MR Prostate and MR Neurography</t>
  </si>
  <si>
    <t>APMC/FMR/76433</t>
  </si>
  <si>
    <t>manu.kanaparti@gmail.com</t>
  </si>
  <si>
    <t>50100298117361</t>
  </si>
  <si>
    <t>HDFC0001604</t>
  </si>
  <si>
    <t>CMQPM8939J</t>
  </si>
  <si>
    <t>249619765879</t>
  </si>
  <si>
    <t>Mohan Rao Kanaparthi</t>
  </si>
  <si>
    <t>D1119863</t>
  </si>
  <si>
    <t>Dr.Tirunagiri Naga Chandana</t>
  </si>
  <si>
    <t>APMC/FMR/101141</t>
  </si>
  <si>
    <t>chandana21194@gmail.com</t>
  </si>
  <si>
    <t>ATKPT0603M</t>
  </si>
  <si>
    <t>Flat No. 111, Kaleswari Residency, mydukur Road, KVR Colony, Proddatur, Cuddapah, Andhra Pradesh - 516360</t>
  </si>
  <si>
    <t>D1119879</t>
  </si>
  <si>
    <t>Dr.Vijayashree Kumaraswamy Midathala</t>
  </si>
  <si>
    <t>TSMC/FMR/05720</t>
  </si>
  <si>
    <t>vijshree2009@gmail.com</t>
  </si>
  <si>
    <t>Central Bank Of India</t>
  </si>
  <si>
    <t>3345270906</t>
  </si>
  <si>
    <t>CBIN0283811</t>
  </si>
  <si>
    <t>AGTPM4470B</t>
  </si>
  <si>
    <t>S No 69, F No. D 303 Vajra Sree Nivasam APTS Road No 1d opposite to ark Hamptons Apts, Kondapur, Rangareddy, Telangana 500084.</t>
  </si>
  <si>
    <t>D1121017</t>
  </si>
  <si>
    <t>MG+Incentives</t>
  </si>
  <si>
    <t>Dr.Srishti Singh Thakur</t>
  </si>
  <si>
    <t>X-Ray (Plain Radiography-Basic,Advanced), Mammography, USG(Basic, Doppler Studies,Thyroid/Scrotum USG, Breast USG,TIFFA, MSK USG,USG Guided FNAC, USG guided Aspiration), CT (Basic, Chest/Abdomen,3DCT,CT Angiography), Special Procedures (IVP,RGU,MCUG, Barium Swallow, Barium Enema, HSG)</t>
  </si>
  <si>
    <t>HN 22403</t>
  </si>
  <si>
    <t>srishtisinghthakur4555@gmail.com</t>
  </si>
  <si>
    <t>922010054808360</t>
  </si>
  <si>
    <t>UTIB0003205</t>
  </si>
  <si>
    <t>AKEPT5925F</t>
  </si>
  <si>
    <t>Jaggu Singh Thakur</t>
  </si>
  <si>
    <t>Exit without notice (Abscond)</t>
  </si>
  <si>
    <t>House No.D/270, Srishti house, Sector 4, Devendra Nagar, Near Planet Gym, Raipur, Chattisgarh- 492001.</t>
  </si>
  <si>
    <t>D1119456</t>
  </si>
  <si>
    <t>Dr.Pradeep Kumar Reddy Resu</t>
  </si>
  <si>
    <t>USG, Doppler, FNAC, Tiffa, Guided Procedures</t>
  </si>
  <si>
    <t>Mamata Medical Colege</t>
  </si>
  <si>
    <t>TSMC/FMR/00716</t>
  </si>
  <si>
    <t>rpsanthu9999@gmail.com</t>
  </si>
  <si>
    <t>007201033316</t>
  </si>
  <si>
    <t>ICIC0000072</t>
  </si>
  <si>
    <t>BMDPR4334L</t>
  </si>
  <si>
    <t>6-42/2/C, Sri Sai Homes Colony, Hyderabad, Balapur, K.V. Rangareddy, Telangana - 500005</t>
  </si>
  <si>
    <t>D1116918</t>
  </si>
  <si>
    <t>X-Ray (Plain Radiography - Basic, Advanced) Mammography, USG (Basic, Doppler Studies, Thyroid/Scrotum USG, Breast USG, TIFFA, MSK USG, USG Guided FNAC, USG Guided Trucut Biopsy,USG Guided Aspiration) CT (Basic, Chest/Abdomen/Neck, 3DCT) MRI (Bsic), Special Procedures (IVP,RGU, MCUG, Barium Swallow, Barium Enema, HSG)</t>
  </si>
  <si>
    <t>Kamineni Institute of Medical Sciences, Hyderabad</t>
  </si>
  <si>
    <t>Sri Siddhartha Medical College, Tumkur</t>
  </si>
  <si>
    <t>HDFC0004277</t>
  </si>
  <si>
    <t>CWOPM7692G</t>
  </si>
  <si>
    <t>Ramesh Yadav Maddeti</t>
  </si>
  <si>
    <t>long distance (notice period not servied</t>
  </si>
  <si>
    <t>Door No - 102, Kondapur, Hitech City, Madhapur, Serilingampally, KV Rangareddy, Telangana - 500084.</t>
  </si>
  <si>
    <t>D1119432</t>
  </si>
  <si>
    <t>Dr.Mangalagiri Raja Ratna Kishore</t>
  </si>
  <si>
    <t>APMC/FMR/75926</t>
  </si>
  <si>
    <t>raj.mims@gmail.com</t>
  </si>
  <si>
    <t>20093164697</t>
  </si>
  <si>
    <t>CGZPM7671L</t>
  </si>
  <si>
    <t>1-167/8 Flat 403, Susarla Colony, Gopalapatnam Post, Visakhapatnam, Andhra Pradesh - 530027</t>
  </si>
  <si>
    <t>D1121011</t>
  </si>
  <si>
    <t>Dr.U Vijay Siva Kumar</t>
  </si>
  <si>
    <t>Davao Medical School Foundation</t>
  </si>
  <si>
    <t>APMC/FMR/119664</t>
  </si>
  <si>
    <t>naiduvijay111@gmail.com</t>
  </si>
  <si>
    <t>041610100051968</t>
  </si>
  <si>
    <t>UBIN0804169</t>
  </si>
  <si>
    <t>AGSPU5936H</t>
  </si>
  <si>
    <t>7-13, Peravali, Vemuru, Guntur, Andhra Pradesh-522261.</t>
  </si>
  <si>
    <t>D1120964</t>
  </si>
  <si>
    <t>Dr.Madhuri Waghmare</t>
  </si>
  <si>
    <t>X-Ray(Plain Radiography-Basic, Advanced, Mammography),USG (Basic, Doppler Studies, Thyroid/Scrotum USG, Breast USG,Penile Doppler, TRUS,USG Guided FNAC,USG Guided Trucut blopsy, USG Guided aspiration, Breast Biospy, TRUS Guided Biospy ),CT(Basic, Chest/Abdomen/Neck,3DCT,CT Angiography,Virtual Bronchoscopy) ,MRI (Basic, MSK Studies-Knee/Shoulder, MR Defecography,MRCP/Abdomen/Liver, MR Prostate/Rectum,MR cartigram,MRI breast,MRI TM Joints,MRI Enterography),Special Procedures (IVP, RGU, MCUG, Barium Swallow, Barium Enema, HSG)</t>
  </si>
  <si>
    <t>Government Medical College, Aurangabad</t>
  </si>
  <si>
    <t>MD, Tata Memorial Hospital, Mumbai</t>
  </si>
  <si>
    <t>EDIR 2023</t>
  </si>
  <si>
    <t>madhuri.waghmare2602@gmail.com</t>
  </si>
  <si>
    <t>50100433060218</t>
  </si>
  <si>
    <t>HDFC0000052</t>
  </si>
  <si>
    <t>ADCPW7189F</t>
  </si>
  <si>
    <t>Ramkishan Namdeorao Waghmare</t>
  </si>
  <si>
    <t>Asked to leave/Branch machine moved</t>
  </si>
  <si>
    <t>h.no.64,kacheri road,rohila galli,old jalna,maharashtra 431203</t>
  </si>
  <si>
    <t>D1121744</t>
  </si>
  <si>
    <t>Dr.Didgi Sunil Kumar</t>
  </si>
  <si>
    <t>Siddhartha Medical College,Vijayawada</t>
  </si>
  <si>
    <t>APMC/FMR/86555</t>
  </si>
  <si>
    <t>9000928258 / 8618546197</t>
  </si>
  <si>
    <t>didgisunilkumar@gmail.com</t>
  </si>
  <si>
    <t>00000033211831443</t>
  </si>
  <si>
    <t>SBIN0007951</t>
  </si>
  <si>
    <t>ECJPK2898R</t>
  </si>
  <si>
    <t>9192764512947827</t>
  </si>
  <si>
    <t>Didgi Baswaraj</t>
  </si>
  <si>
    <t>2-5-144, rachannapet, Zahirabad, Medak, Telangana - 502220.</t>
  </si>
  <si>
    <t>D1120773</t>
  </si>
  <si>
    <t>Dr.Andlagutti Shaik Mohammad Naveed</t>
  </si>
  <si>
    <t>International Higher School of Medicine, Bishkek</t>
  </si>
  <si>
    <t>APMC/FMR/130010</t>
  </si>
  <si>
    <t>naveedsheik24@gmail.com</t>
  </si>
  <si>
    <t>31287314522</t>
  </si>
  <si>
    <t>SBIN0000901</t>
  </si>
  <si>
    <t>CKPPA3031G</t>
  </si>
  <si>
    <t>Andla Gutti Shaik Mohammad Naveed</t>
  </si>
  <si>
    <t>23/522, Kompala Pullanna, Proddatur, Cuddapah, Andhra Pradesh- 516360.</t>
  </si>
  <si>
    <t>X-Ray (Regular,Mammography), USG(Basic, TIFFA, Foetal Echo, MSK, Guided Procedures), CT (Basic), Special Procedures (IVP,RGU,MCUG, Enema,Barium Swallow, Barium Enema, HSG)</t>
  </si>
  <si>
    <t>088410100094501</t>
  </si>
  <si>
    <t>UBIN0808849</t>
  </si>
  <si>
    <t>Flat No: 302 Chandra Lok Enclave Nehru Nagar Kurnool Tholisapuram Kurnool Andhra Pradesh -518004</t>
  </si>
  <si>
    <t>4021/A/363424347/00/000</t>
  </si>
  <si>
    <t>D1121399</t>
  </si>
  <si>
    <t>Dr.Jemimah Nayar</t>
  </si>
  <si>
    <t>Christian Medical College, Vellore</t>
  </si>
  <si>
    <t>jemnayar@gmail.com</t>
  </si>
  <si>
    <t>32016231525</t>
  </si>
  <si>
    <t>SBIN0001618</t>
  </si>
  <si>
    <t>BBFPN4892Q</t>
  </si>
  <si>
    <t>Shanti Swaroop Nayar</t>
  </si>
  <si>
    <t>relocating (Short working period)</t>
  </si>
  <si>
    <t>10-1-35/A, Waltair Uplands, Andhra University, Visakhapatnam, Andhra Pradesh-530003.</t>
  </si>
  <si>
    <t>D1119875</t>
  </si>
  <si>
    <t>Dr.Khadeeja T</t>
  </si>
  <si>
    <t>APMC/FMR/129204</t>
  </si>
  <si>
    <t>khadeeja7755@gmail.com</t>
  </si>
  <si>
    <t>137910100107124</t>
  </si>
  <si>
    <t>BTNPT8655F</t>
  </si>
  <si>
    <t>Health issues (Notice period not served)</t>
  </si>
  <si>
    <t>Thasneem House, Kannankadav, Kappad, Chemancheri, Kappad, Kozhikode, Kerala-673304.</t>
  </si>
  <si>
    <t>D1112083</t>
  </si>
  <si>
    <t>Dr.Shahmeen Humaira</t>
  </si>
  <si>
    <t>Kaloji Narayana Rao University of Health Sciences - 2021</t>
  </si>
  <si>
    <t>APMC/FMR/85330</t>
  </si>
  <si>
    <t>7013368405, 9849073033</t>
  </si>
  <si>
    <t>shahmeensaba@gmail.com</t>
  </si>
  <si>
    <t>236001517316</t>
  </si>
  <si>
    <t>HEOPS5614M</t>
  </si>
  <si>
    <t>16-7-376/1, Azampura, Saidabad, Sahifa, Hyderabad, Telangana - 500024</t>
  </si>
  <si>
    <t>D1119549</t>
  </si>
  <si>
    <t>Dr.Manchoori Vishnu Prasad</t>
  </si>
  <si>
    <t xml:space="preserve">9:00 - 11:00 </t>
  </si>
  <si>
    <t>3:00 - 9:00 PM</t>
  </si>
  <si>
    <t>Basic USG, Basic CT, Basic MRI, MRI(Brain &amp; Spine), MRI Screening,CT(Brain &amp; PNS), Doppler, Tiffa, FNAC, Foetal Echo, Guided Procedures, X Ray, Plain Radiography, IVP, RGU, MCUG, Barium Swallow, Barium Anema, HSG.
(Can do USG, TIFFA, Doppler,CT, MRI)</t>
  </si>
  <si>
    <t>APMC/FMR/96204</t>
  </si>
  <si>
    <t>drmvishnumdrd@gmail.com</t>
  </si>
  <si>
    <t>50100683919255</t>
  </si>
  <si>
    <t>CBPPM1662N</t>
  </si>
  <si>
    <t>relocating</t>
  </si>
  <si>
    <t>2-1656/1 LBS Road, Pileru, Chittoor, Andhra Pradesh - 517214</t>
  </si>
  <si>
    <t>Basic USG, Doppler Studies, Thyroid/Scrotum USG, Breast USG, Tiffa, MSK USG, Penile Doppler, TRUS, USG Guided FNAC, USG guided Trucut biopsy, USG Guided Aspiration, Breast Biopsy, Guided Procedures, Basic CT, Chest/ Abdomen/Neck, 3DCT, CT Angiography, Basic MRI, X Ray, Plain Radiography, Mammography, IVP, RGU, MCUG , Barium Swallow, Barium Anema, HSG.</t>
  </si>
  <si>
    <t>Villa No. 21, Triton S Environ Bahadurpally Road, Dundigal Gandimaisamma, Medchal, Telangana - 500043</t>
  </si>
  <si>
    <t>D1120318</t>
  </si>
  <si>
    <t>Dr.Shettypally Yakshith</t>
  </si>
  <si>
    <t>Basic USG, Doppler Studies, Thyroid/Scrotum USG, Breast USG,Breast Biopsy, TRUS guided Biopsy Tiffa, MSK USG, USG Guided FNAC,  USG Guided Aspiration, Guided Procedures, Basic CT, Chest/Abdomen/ Neck, 3DCT, CT Angiography,Coronary CT, CT Guided Biopsy,  MRI MRCP /Abdomen / liver, MR Prostate / rectum  X Ray,Basic &amp; Advanced Plain Radiography, IVP,  RGU, MCUG , Barium Swallow, Barium Anema, HSG. Plain Radiography basic advance, Mammography.</t>
  </si>
  <si>
    <t xml:space="preserve">Mediciti Institute of Medical Sciences </t>
  </si>
  <si>
    <t>TSMC/FMR/08818</t>
  </si>
  <si>
    <t>yakshithmbbs@gmail.com</t>
  </si>
  <si>
    <t>KDCPS2940N</t>
  </si>
  <si>
    <t>596178208972</t>
  </si>
  <si>
    <t>S Nageshwar Sharma</t>
  </si>
  <si>
    <t>Higher education</t>
  </si>
  <si>
    <t>H No, 5-4-1596/1 Sharad nagar, Vanasthalipuram, Hyderabad, TS - 500070</t>
  </si>
  <si>
    <t>Dr.Tukramadevara Chaithanyalahari</t>
  </si>
  <si>
    <t>8:30:00 AM</t>
  </si>
  <si>
    <t>10:30:00 AM</t>
  </si>
  <si>
    <t>TSMC/PMR/18467</t>
  </si>
  <si>
    <t>laharic9999@gmail.com</t>
  </si>
  <si>
    <t>BMRPT5537P</t>
  </si>
  <si>
    <t>4-4-24/2/171, Rickshaw Colony, Adilabad, Telangana - 504001</t>
  </si>
  <si>
    <t>X-Ray (Plain Radiography-Basic,Advanced,Mammography), USG(Basic,Doppler Studies,Thyroid/Scrotum USG, Breast USG, TIFFA, Foetal Echo, USG Guided FNAC, USG Guided Aspiration), CT (Basic, CT Angiography), MRI ( Basic), Special Procedures (RGU,MCUG, Enema, HSG)</t>
  </si>
  <si>
    <t>Kodali Muralidhara Rao</t>
  </si>
  <si>
    <t>D1121018</t>
  </si>
  <si>
    <t>Dr.Shaik Mohammed Sarfaraz</t>
  </si>
  <si>
    <t>TSMC/FMR/27248</t>
  </si>
  <si>
    <t>sarfarzshaik191099@gmail.com</t>
  </si>
  <si>
    <t>38487438368</t>
  </si>
  <si>
    <t>LBLPS4238K</t>
  </si>
  <si>
    <t>Shaik Sardar</t>
  </si>
  <si>
    <t>Plot No. 165, Road No.7, Jana Chaitanya Colony, Golden Heights Colony, Attapur, Rajendra Nagar, Hyderabad, Hederabad, Telangana-500030.</t>
  </si>
  <si>
    <t>X-Ray( Plain Radiography-Basic, Plain Radiography-Advanced, Mammography), Usg(Basic, Doppler Studies, Thyroid/Scrotum USG, Breast USG, TIFFA, MSK USG, USG Guided FNAC,USG Guided Aspiration), CT ( Basic, Chest/Abdomen/Neck) MRI(Basic), Special Procedures (IVP, RGU, MCUG, Barium Swallow, Barium Enema, HSG)</t>
  </si>
  <si>
    <t>TSMC/FMR/09748</t>
  </si>
  <si>
    <t>nikitha0712@gmail.com</t>
  </si>
  <si>
    <t>Timings ( Notice not served)</t>
  </si>
  <si>
    <t>D1120013</t>
  </si>
  <si>
    <t>Dr.Syeda Shehla Touheed</t>
  </si>
  <si>
    <t>TSMS/FMR/23057</t>
  </si>
  <si>
    <t>shehlatouheed@gmail.com</t>
  </si>
  <si>
    <t>KWVPS2561F</t>
  </si>
  <si>
    <t>Studies purpose</t>
  </si>
  <si>
    <t>H No 9-4-131/1/N37  Neeraja colony tolichowki Golconda Hyderabad, 500008</t>
  </si>
  <si>
    <t>D1121741</t>
  </si>
  <si>
    <t>Dr.Rushwender Reddy Kolan</t>
  </si>
  <si>
    <t>X-Ray (Plain Radiography -  Basic, Advanced), USG ( Basic, Doppler Studies, Throid / Scrotum USG, Breast USG, TIFFA, USG Guided FNAC, USG Guided Aspiration, CT (Basic, Chest/ Abdomen / Neck), Special Procedures ( IVP, RGU, MCUG, Barium Swallow, Barium Enema, HSG)</t>
  </si>
  <si>
    <t>TSMC/FMR/02504</t>
  </si>
  <si>
    <t>rishi.kolan1003@gmail.com</t>
  </si>
  <si>
    <t>777010019872</t>
  </si>
  <si>
    <t>KKBK0007476</t>
  </si>
  <si>
    <t>FIXPK7973J</t>
  </si>
  <si>
    <t>Mehender Reddy Kolan</t>
  </si>
  <si>
    <t xml:space="preserve">Personal reasons </t>
  </si>
  <si>
    <t>6-72, Kapu Gadda, Beside Govt Junior College, Shamshabad, KV Rangareddy, Telangana - 501218.</t>
  </si>
  <si>
    <t>D1120009</t>
  </si>
  <si>
    <t>Dr.Ashitosh Wattamwar</t>
  </si>
  <si>
    <t>04:30:00 PM</t>
  </si>
  <si>
    <t>Basic USG, Doppler Studies, Thyroid/Scrotum USG, Breast USG,Breast Biopsy, TRUS guided Biopsy Tiffa, Penile Droppler, USG Guided FNAC,  USG Guided Aspiration, Guided Procedures, Basic CT, Chest/Abdomen/ Neck, 3DCT, CT Angiography, Virtual Bronchoscopy CT Guided Biopsy, Basic MRI,Brain &amp; Spine, X Ray,Basic &amp; Advanced Plain Radiography, IVP,  RGU, MCUG , Barium Swallow, Barium Anema, HSG.</t>
  </si>
  <si>
    <t>Bangalore Medical College and Research Institute.</t>
  </si>
  <si>
    <t>2020 - 2024</t>
  </si>
  <si>
    <t>MBBS, DMRD , DNB</t>
  </si>
  <si>
    <t>TSMC/FMR/20073</t>
  </si>
  <si>
    <t>ashwattamwar5@gmail.com</t>
  </si>
  <si>
    <t>50100504220661</t>
  </si>
  <si>
    <t>BJPPA0076H</t>
  </si>
  <si>
    <t>Laxmi Nivas Opp. Govt Hospital Aurad Karnataka 585326</t>
  </si>
  <si>
    <t>Dr.Raina Riyaz</t>
  </si>
  <si>
    <t>D1119839</t>
  </si>
  <si>
    <t>Dr.Chada Bhavana Reddy</t>
  </si>
  <si>
    <t>X-Ray (Plain Radiography Basic and advanced), Mammography, USG (Basic,Doppler Studies, Thyroid/Scrotum USG, Breast USG, TIFFA, MSK USG, USG Guided FNAC), CT ( Basic, Chest/Abdomen/Neck, 3DCT), Special Procedures (IVP, RGU, MCUG, Barium Swallow, Barium Enema,HSG).</t>
  </si>
  <si>
    <t>TSMC/FMR/12152</t>
  </si>
  <si>
    <t>chadapushpakreddy@gmail.com</t>
  </si>
  <si>
    <t>50100400752691</t>
  </si>
  <si>
    <t>HDFC0003796</t>
  </si>
  <si>
    <t>CIJPD5989C</t>
  </si>
  <si>
    <t>Personal reasons/asked to leave</t>
  </si>
  <si>
    <t>Plot No. 1364, Road no. 45, Jubilee Hills, Hyderabad, Telangana - 500033</t>
  </si>
  <si>
    <t>19:00:00 PM</t>
  </si>
  <si>
    <t>D1121010</t>
  </si>
  <si>
    <t>Dr.Ramanna Kol Lavanya</t>
  </si>
  <si>
    <t>TSMC/FMR/06921</t>
  </si>
  <si>
    <t>lavanyaramanakol27@gmail.com</t>
  </si>
  <si>
    <t>42094889665</t>
  </si>
  <si>
    <t>SBIN0020812</t>
  </si>
  <si>
    <t>BANPL0516Q</t>
  </si>
  <si>
    <t>RamannaKol Laxman</t>
  </si>
  <si>
    <t>Govt Job</t>
  </si>
  <si>
    <t>2-103/1, Kummari Basthi Old Alwal, Near Sai Baba Temple, Alwal, Secunderabad, Hyderabad, Telangana- 500010.</t>
  </si>
  <si>
    <t>D1121388</t>
  </si>
  <si>
    <t>Dr.Krishna Chaitanya E</t>
  </si>
  <si>
    <t>PES Institute of Medical sciences</t>
  </si>
  <si>
    <t>Sri Venkateswara Institute of Medical sciences</t>
  </si>
  <si>
    <t>drekcrejju@gmail.com</t>
  </si>
  <si>
    <t>HDFC Bank LTD</t>
  </si>
  <si>
    <t>50100031953585</t>
  </si>
  <si>
    <t>HDFC0002963</t>
  </si>
  <si>
    <t>CSZPK0137P</t>
  </si>
  <si>
    <t>EJJU Krishna Reddy</t>
  </si>
  <si>
    <t>1-1173, Kotapalle, Pileru, Chittoor, Andhra Pradesh - 517214.</t>
  </si>
  <si>
    <t>D1121736</t>
  </si>
  <si>
    <t>Dr.Fayyaz Mohd Khan</t>
  </si>
  <si>
    <t>Karnataka University, Dharwad</t>
  </si>
  <si>
    <t>fayyazsk@gmail.com</t>
  </si>
  <si>
    <t>107510021062148</t>
  </si>
  <si>
    <t>UBIN0810754</t>
  </si>
  <si>
    <t>AUTPK8675N</t>
  </si>
  <si>
    <t>Khan Mohammed</t>
  </si>
  <si>
    <t>10-2-9/18D, AC Guards, Behind SBI, Nampally , Hyderabad, Telangana - 500001.</t>
  </si>
  <si>
    <t>D1121737</t>
  </si>
  <si>
    <t>Dr.C Vaishnavi Goud</t>
  </si>
  <si>
    <t>Apollo Institute of Medical Science and Researc (AIMSR), HYD</t>
  </si>
  <si>
    <t>TSMC/FMR/29996</t>
  </si>
  <si>
    <t>vaishnavigoud111@gmail.com</t>
  </si>
  <si>
    <t>50100286699757</t>
  </si>
  <si>
    <t>HDFC0001638</t>
  </si>
  <si>
    <t>CZVPG4739G</t>
  </si>
  <si>
    <t>Shiva Kumar Goud</t>
  </si>
  <si>
    <t>6-5-77/7, Vaddar Gally, Tandur, KV Rangareddy, Telangana - 501141</t>
  </si>
  <si>
    <t>D1119705</t>
  </si>
  <si>
    <t>Dr.Jamullamudi Bhaskar Mary Ranadheer</t>
  </si>
  <si>
    <t>APMC/FMR/95271</t>
  </si>
  <si>
    <t>bhaskarranadheer.jamullamudi@gmail.com</t>
  </si>
  <si>
    <t>103010100054743</t>
  </si>
  <si>
    <t>BEOPJ7333E</t>
  </si>
  <si>
    <t>Other courses joining</t>
  </si>
  <si>
    <t>1-203 A-150C, Vidya Nagar, 3rd Line Markapur, Prakasam, Andhra Pradesh - 523316</t>
  </si>
  <si>
    <t>D1121397</t>
  </si>
  <si>
    <t>Dr.Chagi Hima Bindu</t>
  </si>
  <si>
    <t>X-Ray(Plain Radiography-Basic,advanced,Mammography), USG(Basic,Doppler studies,Thyroid/Scrotum USG, Breast USG,TIFFA, MSK USG, USG Guided FNAC,USG Guided Aspiration), CT(Basic, Chest/Abdomen/Neck,3DCT, CT Angiography), MRI(Basic,MSK Studies-Knee/Shoulder,MRI MRCP/Abdomen/Liver), Special procedures(IVP,RGU,MCUG, Barium Swallow, Barium Enema,HSG)</t>
  </si>
  <si>
    <t>Rajiv Gandhi Institue of Medical Sciences,Kadapa</t>
  </si>
  <si>
    <t xml:space="preserve">Sri Venkateshwara Medical College hospital &amp; Research </t>
  </si>
  <si>
    <t>TSMC/FMR/26937</t>
  </si>
  <si>
    <t>himachagi333@gmail.com</t>
  </si>
  <si>
    <t>491301500174</t>
  </si>
  <si>
    <t>ICIC0004913</t>
  </si>
  <si>
    <t>BJSPC5889F</t>
  </si>
  <si>
    <t>C Venkateswarlu</t>
  </si>
  <si>
    <t>H No-76-97-P-2-18, Priya Homes, Vishnu Township, Kallur, Kurnool, Andhra Pradesh - 518003.</t>
  </si>
  <si>
    <t>D1119709</t>
  </si>
  <si>
    <t>Dr.Teegala Sowmith</t>
  </si>
  <si>
    <t>Basic USG, Tiffa, Guided Procedures, Basic CT, X Ray, Plain Radiography, Mammography, IVP, RGU, MCUG, Barium Swallow, Barium Anema, HSG.
(Can Do USG, TIFFA, Doppler, Basic CT, Mammography)</t>
  </si>
  <si>
    <t>Chalmeda Anandrao Institute of Mecical Science</t>
  </si>
  <si>
    <t>AJ Institute of Medical Sciences</t>
  </si>
  <si>
    <t>TSMC/FMR/10886</t>
  </si>
  <si>
    <t>sowmith24@gmail.com</t>
  </si>
  <si>
    <t>363201502773</t>
  </si>
  <si>
    <t>ICIC0003632</t>
  </si>
  <si>
    <t>OBCPS1439G</t>
  </si>
  <si>
    <t>relocating / replacement early</t>
  </si>
  <si>
    <t>8-4-8/3, Sai Nagar, Vemulawada, Karimnagar, ndhra Pradesh - 505302</t>
  </si>
  <si>
    <t>D1120007</t>
  </si>
  <si>
    <t>Dr.Pakalapati Supriya</t>
  </si>
  <si>
    <t>Basic USG, Doppler Studies, Thyroid/Scrotum USG, Breast USG, Tiffa, USG Guided FNAC,  USG Guided Aspiration, Guided Procedures, Basic CT,  X Ray, Plain Radiography, Mammography, RGU, MCUG , Barium Swallow, Barium Anema, HSG.</t>
  </si>
  <si>
    <t>TSMC/FMR/19600</t>
  </si>
  <si>
    <t>supriya1666@gmail.com</t>
  </si>
  <si>
    <t>62195475833</t>
  </si>
  <si>
    <t>SBIN0022112</t>
  </si>
  <si>
    <t>CZHPP6866R</t>
  </si>
  <si>
    <t>Joining in Medical college</t>
  </si>
  <si>
    <t>5-8-44/39, Mani Enclave, Yapral, Alwal, Jawaharnagar, KV Rangareddy, Telangana - 500087</t>
  </si>
  <si>
    <t>4021/A/341158081/00/000</t>
  </si>
  <si>
    <t>D1121006</t>
  </si>
  <si>
    <t>Dr.Mohd Omer</t>
  </si>
  <si>
    <t>X-Ray (Plain Radiography-Basic,advanced), USG(Basic, Doppler Studies,Thyroid/Scrotum USG, TIFFA, Penile Doppler, Trus, USG Guided FNAC, USG Guided Trucut biopsy, USG guided Aspiration, Breast biopsy, Trus guided biopsy), CT (Basic, Chest/Abdomen,3DCT,CT Angiography, CT Guided Biopsy),MRI(Basic, MRI MRCP/Abdomen/Liver), Special Procedures (IVP,RGU,MCUG, Barium Swallow, Barium Enema, HSG)</t>
  </si>
  <si>
    <t>Deccan college of Medical Sciences</t>
  </si>
  <si>
    <t>APMC/FMR/80333</t>
  </si>
  <si>
    <t>madani786omer@gmail.com</t>
  </si>
  <si>
    <t>20087682299</t>
  </si>
  <si>
    <t>AAVPO8802B</t>
  </si>
  <si>
    <t>Mohammed Mashooq Rabbani</t>
  </si>
  <si>
    <t>18-8-602, Kumar Wadi, Edi Bazar, Hyderabad, Telangana- 500023</t>
  </si>
  <si>
    <t>D1121008</t>
  </si>
  <si>
    <t>Dr.Madhusudhan Chennamalla</t>
  </si>
  <si>
    <t>X-Ray( Plain Radiography-Basic, Plain Radiography-Advanced), Usg(Basic, Doppler Studies, Thyroid/Scrotum USG, Breast USG, TIFFA,USG Guided Aspiration, CT ( Basic, Chest/Abdomen/Neck), Special Procedures (IVP, RGU, MCUG, Barium Swallow, Barium Enema, HSG)</t>
  </si>
  <si>
    <t>drmadhuh2654@gmail.com</t>
  </si>
  <si>
    <t>62391639415</t>
  </si>
  <si>
    <t>SBIN0020909</t>
  </si>
  <si>
    <t>BBJPC3352C</t>
  </si>
  <si>
    <t>Rajesham Chennamalla</t>
  </si>
  <si>
    <t>28-144, Naspur Colony, Naspur, Mancherial, Coal Chemical Complex, Adilabad, Telangana-504302.</t>
  </si>
  <si>
    <t>4021/A/359892119/00/000</t>
  </si>
  <si>
    <t>D1118524</t>
  </si>
  <si>
    <t>Dr.D V H S Sarma</t>
  </si>
  <si>
    <t>S V University</t>
  </si>
  <si>
    <t>AMC9624</t>
  </si>
  <si>
    <t>dr.dvhssarma123@gmail.com</t>
  </si>
  <si>
    <t>137910100033555</t>
  </si>
  <si>
    <t>ACIPD6610P</t>
  </si>
  <si>
    <t>D1119723</t>
  </si>
  <si>
    <t>Dr.Srijita Mandal</t>
  </si>
  <si>
    <t>R.G Kar Medical College</t>
  </si>
  <si>
    <t>AIIMS</t>
  </si>
  <si>
    <t>TSMC/FMR/30584</t>
  </si>
  <si>
    <t>srijitadocgogreen@gmail.com</t>
  </si>
  <si>
    <t>20401413209</t>
  </si>
  <si>
    <t>SBIN0000180</t>
  </si>
  <si>
    <t>DMBPM6129N</t>
  </si>
  <si>
    <t>Other offer</t>
  </si>
  <si>
    <t>Partha Complex Flat No. 16, 19A, Chaudhury Lane, Shayambazar, Kolkata, West Bengal - 700004</t>
  </si>
  <si>
    <t>D1120011</t>
  </si>
  <si>
    <t>Dr.Kaja Praveen Babu</t>
  </si>
  <si>
    <t>Basic USG, Doppler Studies, Thyroid/Scrotum USG, Breast USG, Tiffa, MSK USG, USG Guided FNAC, USG Guided Aspiration, Guided Procedures, Basic CT, Chest/ Abdomen/Neck, 3DCT, CT Angiography, Basic MRI, MSK Studies - Knee/Shoulder, MSK Studies - Wrist/Ankle, MRI MRCP/Abdomen/Liver, X Ray, Plain Radiography, Mammography, IVP, RGU, MCUG.</t>
  </si>
  <si>
    <t>Kamineni Hospitals</t>
  </si>
  <si>
    <t>kpraveenbabu@yahoomail.com</t>
  </si>
  <si>
    <t>130710100038772</t>
  </si>
  <si>
    <t>UBIN0813079</t>
  </si>
  <si>
    <t>BBRPK6139D</t>
  </si>
  <si>
    <t>Starting Own clinic</t>
  </si>
  <si>
    <t>Flat No 401, Vamsee Enclava, Kamala Nagar, Ayyappa Temple, Ecil Post, Kapra R R dist, Hyderabad, Andhra Pradesh - 500062</t>
  </si>
  <si>
    <t>4021/A/334385703/00/000</t>
  </si>
  <si>
    <t>D1120310</t>
  </si>
  <si>
    <t>Dr.C Viswa Chaitanya</t>
  </si>
  <si>
    <t>USG(Basic, Doppler Studies,Thyroid/Scrotum USG, Breast USG,TIFFA,MSK USG, Penile Doppler, USG Guided FNAC, USG Guided Aspiration), CT (Basic, Chest/Abdomen/Neck,3DCT,CT Angiography, Virtual Bronchoscopy),MRI(Basic, MSK studies-knee/shoulder, MSK studies-Wrist/Ankle, MRI MRCP/Abdomen/Liver,MR Prostate/Rectum, MRI TM Joints), Special Procedures (IVP,RGU,MCUG, Barium Swallow, Barium Enema, HSG)</t>
  </si>
  <si>
    <t>PESIMSR,Kuppam,AP</t>
  </si>
  <si>
    <t>cvcviswa@gmail.com</t>
  </si>
  <si>
    <t>108210100104136</t>
  </si>
  <si>
    <t>UBIN0810827</t>
  </si>
  <si>
    <t>BCJPC3897B</t>
  </si>
  <si>
    <t>H No, 19-13-105/k115 Flat No: 115 D block, Sri Mahalakshmi Residency, tirupati andhar pradesh - 517501</t>
  </si>
  <si>
    <t>D1121003</t>
  </si>
  <si>
    <t>Dr.Vishnu Harika Karicherla</t>
  </si>
  <si>
    <t>X-Ray (Plain Radiography-Basic), USG(Basic, Doppler Studies,Thyroid/Scrotum USG, Breast USG,TIFFA, MSK USG,USG Guided FNAC, USG guided Aspiration), CT (Basic, Chest/Abdomen,3DCT,CT Angiography), MRI( Basic, MSK Studies-knee/shoulder, MRI MRCP/Abdomen/Liver, Special Procedures (IVP,RGU,MCUG, Barium Swallow, Barium Enema, HSG)</t>
  </si>
  <si>
    <t>APMC/FMR/103337</t>
  </si>
  <si>
    <t>kvishnuharika@gmail.com</t>
  </si>
  <si>
    <t>43265937893</t>
  </si>
  <si>
    <t>IBHPK3635R</t>
  </si>
  <si>
    <t>Sankar Prasad Karicherla</t>
  </si>
  <si>
    <t>87-1198-6, Nagireddy Revenue Colony, Revenue Ward No 87, Kurnool, Andhra Pradesh-518002.</t>
  </si>
  <si>
    <t>4021/A/356415014/00/000</t>
  </si>
  <si>
    <t>D1121740</t>
  </si>
  <si>
    <t>Dr.Nivedita Nagappa Biradar</t>
  </si>
  <si>
    <t>X-Ray (Plain Radiography -  Basic, Advanced, Mammography), USG ( Basic, Doppler Studies, Thyroid / Scrotum USG, Breast USG, TIFFA, Foetal Echo, USG Guided FNAC, USG Guided Aspiration, CT (Basic, Chest/Abdomen/Neck, 3 DCT), Special Procedures (IVP, RGU, MCUG, Barium Swallow, Barium Enema, HSG)</t>
  </si>
  <si>
    <t>Banglore Medical College and Research Institute(BMCRI)</t>
  </si>
  <si>
    <t>9945023704 / 8431873860</t>
  </si>
  <si>
    <t>niveditabiradar50@gmail.com</t>
  </si>
  <si>
    <t>232401507711</t>
  </si>
  <si>
    <t>ICIC0002324</t>
  </si>
  <si>
    <t>ENMPB8563A</t>
  </si>
  <si>
    <t>Nagappa Biradar</t>
  </si>
  <si>
    <t>Plot No-43, Jewargi Road, Kotnur D, Gulbarga, C J Colony, Gulbarga, Karnataka - 585102.</t>
  </si>
  <si>
    <t>4161/375441054/00/000</t>
  </si>
  <si>
    <t>D1121875</t>
  </si>
  <si>
    <t>Dr.Papanka Sharath Kumar</t>
  </si>
  <si>
    <t>TSMC/FMR/24625</t>
  </si>
  <si>
    <t>drsharathp@gmail.com</t>
  </si>
  <si>
    <t>2549566344</t>
  </si>
  <si>
    <t>KKBK0007473</t>
  </si>
  <si>
    <t>EDLPP7866M</t>
  </si>
  <si>
    <t>Nagaiah Papanka</t>
  </si>
  <si>
    <t>Study purpose</t>
  </si>
  <si>
    <t>2-21, Ammakkapet, Ibrahimpatnam, Karimnagar, Telangana - 505450.</t>
  </si>
  <si>
    <t>D1121714</t>
  </si>
  <si>
    <t>Dr.Shubhi Agrawal</t>
  </si>
  <si>
    <t>X-Ray(Plain Radiography-Basic,Advanced) USG (Basic, Doppler Studies, Thyroid/Scrotum USG, Breast USG, TIFFA, MSK USG, USG Guided FNAC, USG Guided Trucut Biopsy, USG Guided Aspiration) CT (Basic, Chest/Abdomen/ Neck, 3DCT, CT Angiography, Coronary CT) MRI (Basic, MRI MRCP/Abdomen/ Liver)</t>
  </si>
  <si>
    <t>GB Pant Institute of Postgraduate Medical Education and Research, Delhi</t>
  </si>
  <si>
    <t>TSMC/FMR/26784</t>
  </si>
  <si>
    <t>subhiagrawal1997@gmail.com</t>
  </si>
  <si>
    <t>38352376448</t>
  </si>
  <si>
    <t>SBIN0050590</t>
  </si>
  <si>
    <t>BRJPA5400R</t>
  </si>
  <si>
    <t>Chandresh Agrawal</t>
  </si>
  <si>
    <t>K-169, Sector A Scheme 71, Gumasta Nagar, Indore, Madhya Pradesh - 452009.</t>
  </si>
  <si>
    <t>D1119730</t>
  </si>
  <si>
    <t>Dr.Ramidi Madhavi</t>
  </si>
  <si>
    <t>Xuzhou Medical University</t>
  </si>
  <si>
    <t>TSMC/FMR/18436</t>
  </si>
  <si>
    <t>madhuramidi95@gmail.com</t>
  </si>
  <si>
    <t>39018217961</t>
  </si>
  <si>
    <t>SBIN0021652</t>
  </si>
  <si>
    <t>CIQPR0453N</t>
  </si>
  <si>
    <t>Time deviation deductions/Abscond</t>
  </si>
  <si>
    <t>Nagineni Palli, Bommalaramaram, Naogonda, Andhra Pardesh - 508126</t>
  </si>
  <si>
    <t>MBBS,MD-Pathology</t>
  </si>
  <si>
    <t>TSMC/FMR/34074</t>
  </si>
  <si>
    <t>dr.sheronIai@gimail.com</t>
  </si>
  <si>
    <t xml:space="preserve">Relocating </t>
  </si>
  <si>
    <t>D1119141</t>
  </si>
  <si>
    <t>Dr.Mohammed Sumer Ali</t>
  </si>
  <si>
    <t>TSMC/FMR/06349</t>
  </si>
  <si>
    <t>sumer667@gmail.com</t>
  </si>
  <si>
    <t>107510100058244</t>
  </si>
  <si>
    <t>UBIN0806056</t>
  </si>
  <si>
    <t>FUBPM5369E</t>
  </si>
  <si>
    <t>11-3-110/C-Class 71, New Mallepally, Hyderabad, Telangana - 500001</t>
  </si>
  <si>
    <t>D1120769</t>
  </si>
  <si>
    <t>Dr.Saumya Shivkumar</t>
  </si>
  <si>
    <t>TSMC/FMR/33956</t>
  </si>
  <si>
    <t>shivkumar.saumya@gmail.com</t>
  </si>
  <si>
    <t>1401031474</t>
  </si>
  <si>
    <t>EWAPS5473R</t>
  </si>
  <si>
    <t>Vitaladevuni Balasubrahmanyam Shivkumar</t>
  </si>
  <si>
    <t>A-10, Dhanwantari nagar, Post Sevagram, Warud, Wardha, Maharastra-442102.</t>
  </si>
  <si>
    <t>D1117862</t>
  </si>
  <si>
    <t>Dr.Moola Sagar Goud</t>
  </si>
  <si>
    <t>BWOPM9987P</t>
  </si>
  <si>
    <t>Mohan Goud Moola</t>
  </si>
  <si>
    <t>Asked to move Panjagutta but Dr left</t>
  </si>
  <si>
    <t>61190036230400000052</t>
  </si>
  <si>
    <t>D1121396</t>
  </si>
  <si>
    <t>Dr.Mohd Shamroze Hyder</t>
  </si>
  <si>
    <t>X-Ray(Plain Radiography-Basic,advanced,lower limb scanogram, Whole Spine X-Ray), USG(Basic,Doppler studies,Thyroid/Scrotum USG, Breast USG,TIFFA, USG Guided FNAC, USG Guided Truct Biopsy,USG Guided Aspiration, Breast Biopsy), CT(Basic, Chest/Abdomen), Special procedures(IVP,RGU,MCUG, Barium Swallow, Barium Enema,HSG)</t>
  </si>
  <si>
    <t>APMC/FMR/89548</t>
  </si>
  <si>
    <t>shambrooze@gmail.com</t>
  </si>
  <si>
    <t>42022141682</t>
  </si>
  <si>
    <t>CFGPM8470K</t>
  </si>
  <si>
    <t>Mohammad Abdul Raoof</t>
  </si>
  <si>
    <t>2-10-1565, Chaitanyapuri, Karimnagar, Telangana - 505001.</t>
  </si>
  <si>
    <t>D1119711</t>
  </si>
  <si>
    <t>Dr.Syeda Zaib Aara</t>
  </si>
  <si>
    <t>TSMC/FMR/04168</t>
  </si>
  <si>
    <t>aarazaib.sd@gmail.com</t>
  </si>
  <si>
    <t>42395823523</t>
  </si>
  <si>
    <t>SBIN0007952</t>
  </si>
  <si>
    <t>ELBPS6016Q</t>
  </si>
  <si>
    <t>580752556489</t>
  </si>
  <si>
    <t>Medial leave/ Not turnedup</t>
  </si>
  <si>
    <t>13-8-98, Papiahpet Chaman, Warangal, Telangana, 506002</t>
  </si>
  <si>
    <t>D1121014</t>
  </si>
  <si>
    <t>Dr.Shaik Mhd Saud Mohd Hayat</t>
  </si>
  <si>
    <t>SETH G S Medical College</t>
  </si>
  <si>
    <t>Fellowship in Clinical hematology</t>
  </si>
  <si>
    <t>TSMC/FMR/34363</t>
  </si>
  <si>
    <t>smsaud5287@gmail.com</t>
  </si>
  <si>
    <t>33464087956</t>
  </si>
  <si>
    <t>SBIN0001884</t>
  </si>
  <si>
    <t>BRJPS5851A</t>
  </si>
  <si>
    <t>Mohammed Hayat Shaikh</t>
  </si>
  <si>
    <t>exams</t>
  </si>
  <si>
    <t>H No-1401, Flat No-505, 5th Floor, A Wing, Marwah Appt, CO OP HSG SOC LTD, Aam Pada Raod, 4th Nizampura, Bhiwandi, Thane, Maharastra-421302.</t>
  </si>
  <si>
    <t>Dr.S Sreenivas</t>
  </si>
  <si>
    <t>50100620969024</t>
  </si>
  <si>
    <t>H:no ; 4-8-87/8/1, Manjeera Nagar, Sangareddy, 502001</t>
  </si>
  <si>
    <t>D1119440</t>
  </si>
  <si>
    <t>Dr.Kalyani Ratnakar Kalambe</t>
  </si>
  <si>
    <t>Basic USG, Tiffa, MSK, Guided Procedures, Basic CT, Basic MRI, X Ray, Plain Radiology, IVP, RGU, MCGU, Barium Swallow, Barium Anema, HSG 
(Note :- Can do USG, Tiffa, Doppel, CT, Basic MRI, Included FNAC)</t>
  </si>
  <si>
    <t>Government medical college</t>
  </si>
  <si>
    <t>IGGMC</t>
  </si>
  <si>
    <t>TSMC/FMR/27155</t>
  </si>
  <si>
    <t>kallu_kalambe@yahoo.com</t>
  </si>
  <si>
    <t>2723000400204320</t>
  </si>
  <si>
    <t>PUNB0272300</t>
  </si>
  <si>
    <t>DSEPK0172G</t>
  </si>
  <si>
    <t>Near Hanuman Mandir 12, Dhomane Layout, Mahalaxmi Nagar No. 3, Galli No.7, Ayodhya Nagar, Nagpur, Maharashtra - 440024</t>
  </si>
  <si>
    <t>D1110161</t>
  </si>
  <si>
    <t>Dr.Jyothirmai Matta</t>
  </si>
  <si>
    <t>APMC/FMR/74706</t>
  </si>
  <si>
    <t>joe06052@gmail.com</t>
  </si>
  <si>
    <t>176410100018787</t>
  </si>
  <si>
    <t>UBIN0817643</t>
  </si>
  <si>
    <t>BEWPM1290M</t>
  </si>
  <si>
    <t>346188999925</t>
  </si>
  <si>
    <t>Matta Dharma Rao</t>
  </si>
  <si>
    <t>Shift timings problem</t>
  </si>
  <si>
    <t>552/4, Railway officers Quarters, New entrance secunderabad railway station, Bhoiguda, Secunderabd,Hyderabad, Telangana-500003.</t>
  </si>
  <si>
    <t>Dr.J Suneeth</t>
  </si>
  <si>
    <t>Osmania Medical College, Hyderabad </t>
  </si>
  <si>
    <t>Gandhi medical college, Hyderabad</t>
  </si>
  <si>
    <t>required long leaves</t>
  </si>
  <si>
    <t>6-3-1090/1/o/102 legend tulips Apartment , Somajiguda, near katriya hotel, somajiguda, Erramanzil,. Hyderabad, telangana- 500082</t>
  </si>
  <si>
    <t>4021/A/347148856/00/000</t>
  </si>
  <si>
    <t>D1118023</t>
  </si>
  <si>
    <t>Dr.Dorna Prashanth</t>
  </si>
  <si>
    <t>Basic USG, Tiffa,Guided Procedures, Basic CT ,  X Ray,Plain Radiography, IVP, RGU, MCUG, Barium Swallow, Barium Enema, HSG</t>
  </si>
  <si>
    <t>Mamata Medical college,Khammam,Telangana--2014</t>
  </si>
  <si>
    <t>TSMC/FMR/00547</t>
  </si>
  <si>
    <t>6301151908, 9391263697</t>
  </si>
  <si>
    <t>prashanthdorna@gmail.com</t>
  </si>
  <si>
    <t>132001501974</t>
  </si>
  <si>
    <t>ICIC0001320</t>
  </si>
  <si>
    <t>COCPP4149B</t>
  </si>
  <si>
    <t>Better Opportunity</t>
  </si>
  <si>
    <t>5-107/4, Buddanagar Colony, Near Vijaya Hospital, Peerzadiguda, Boduppal, Hyderabad - 500092</t>
  </si>
  <si>
    <t>D1122274</t>
  </si>
  <si>
    <t>Dr.K Anusha </t>
  </si>
  <si>
    <t>Rajiv Gandhi Institute of Medical sciences, Karnataka</t>
  </si>
  <si>
    <t>Shimoga Institute of Medical Sciences</t>
  </si>
  <si>
    <t>TSMC/FMR/30521</t>
  </si>
  <si>
    <t>dr.anushakaranam23@gmail.com</t>
  </si>
  <si>
    <t>Corporation Bank</t>
  </si>
  <si>
    <t>2030552267</t>
  </si>
  <si>
    <t>CORP0000006</t>
  </si>
  <si>
    <t>BNWPA7397C</t>
  </si>
  <si>
    <t>Karanam Sundar Rao</t>
  </si>
  <si>
    <t>Personal reasons/abscond</t>
  </si>
  <si>
    <t>17-1-382/v/1/15, Vaishalinagar, Champapet, Amasguda, KV Rangareddy, saroornagar, Telangana-500079</t>
  </si>
  <si>
    <t>Dr.Ungarala Sai Sanjana</t>
  </si>
  <si>
    <t>X-Ray(Plain Radiography-Basic, Advanced, Mammography), USG(Basic, Doppler Studies, Thyroid/Scrotum USG, Breast USG, TIFFA, MSK USG, USG Guided FNAC, USG Guided Aspiration), CT(Basic), Special Procedures (IVP, RGU, MCUG, Barium Swallow, Barium Enema, HSG)</t>
  </si>
  <si>
    <t>Rajarajeswari Medical College</t>
  </si>
  <si>
    <t>TSMC/FMR/16613</t>
  </si>
  <si>
    <t>sanjuungarala@gmail.com</t>
  </si>
  <si>
    <t>NOLPS7475K</t>
  </si>
  <si>
    <t>Ungarala Venkat Rao</t>
  </si>
  <si>
    <t>8-2-11, Golla Bazar, Bhadrachalam, Khammam, Telangana- 507111</t>
  </si>
  <si>
    <t>D1120313</t>
  </si>
  <si>
    <t>Dr.Atchaya E</t>
  </si>
  <si>
    <t>Basic USG, Doppler Studies, Thyroid/Scrotum USG, Breast USG, MSK USG, USG Guided FNAC,  USG Guided Aspiration,  Basic CT, Chest/Abdomen/ Neck, 3DCT, CT Angiography, CT Guided Biopsy,  MRI MRCP /Abdomen / liver, MR Prostate / rectum  X Ray,Basic &amp; Advanced Plain Radiography, IVP,  RGU, MCUG , Barium Swallow, Barium Anema, HSG. Plain Radiography basic advance, Mammography.</t>
  </si>
  <si>
    <t>The Tamilnadu Dr. MGR Medical University, Chennai</t>
  </si>
  <si>
    <t>Apollo Hospital, Chennai Tamil Nadu</t>
  </si>
  <si>
    <t>TSMC/FMR/25936</t>
  </si>
  <si>
    <t>atchu5891@gmail.com</t>
  </si>
  <si>
    <t>7701557763</t>
  </si>
  <si>
    <t>ICIC0000077</t>
  </si>
  <si>
    <t>ABUPE6077E</t>
  </si>
  <si>
    <t>Elangovan</t>
  </si>
  <si>
    <t>C-302 S and P Living Spaces, Kamraj Salai, Ayanambakkam, Maduravoyal, Amballur Tiruvallur, Tamil Nadu - 600095</t>
  </si>
  <si>
    <t>D1121012</t>
  </si>
  <si>
    <t>Dr.Rabab Fatima</t>
  </si>
  <si>
    <t>TSMC/FMR/09637</t>
  </si>
  <si>
    <t>sabafatimadcms@gmail.com</t>
  </si>
  <si>
    <t>133810100037180</t>
  </si>
  <si>
    <t>UBIN0813389</t>
  </si>
  <si>
    <t>CFEPR7180F</t>
  </si>
  <si>
    <t>Mohammad Abdul Hasan Siddiqui</t>
  </si>
  <si>
    <t>22-1-875/5/A, Sultanpura, Dabeerpura, Saidabad, Hyderabd, Telangana-500024.</t>
  </si>
  <si>
    <t>V1101550</t>
  </si>
  <si>
    <t>Dr.Kiran Kumar Kondeti</t>
  </si>
  <si>
    <t>X-Ray (Plain Radiography-Basic,Advanced,Lower limb scanogram, whole spine X-Ray), USG ( Basic, Doppler Studies, Thyroid/Scrotum USG,MSK USG, USG Guided FNAC, USG Guided Aspiration), CT ( Basic, Chest/Abdomen/Neck, 3DCT, CT Angiography, CT guided biopsy), MRI(Basic, MSK studies-Knee/Shoulder,MSK Studies-Wrist/Ankle, MRI MRCP/Abdomen/Liver,), Special procedures (IVP,RGU,MCUG, Barium swallow, Barium Enema,HSG)</t>
  </si>
  <si>
    <t>APMC/FMR/89224</t>
  </si>
  <si>
    <t>kirankumarkondeti33@gmail.com</t>
  </si>
  <si>
    <t>HDFC BANK</t>
  </si>
  <si>
    <t>50100471414266</t>
  </si>
  <si>
    <t>COFPK4530L</t>
  </si>
  <si>
    <t>K Venkateswarlu</t>
  </si>
  <si>
    <t>notice issued</t>
  </si>
  <si>
    <t>Flat No.203, GV Mansion, Venu appartment street, 2nd Railway Gate, Gadwal, Jogulamba Gadwal, Telangana - 509125.</t>
  </si>
  <si>
    <t>D1121389</t>
  </si>
  <si>
    <t>Dr.Udayagiri Divya Sree</t>
  </si>
  <si>
    <t>APMC/FMR/85189</t>
  </si>
  <si>
    <t>drdivyasree282@gmail.com</t>
  </si>
  <si>
    <t>62465841104</t>
  </si>
  <si>
    <t>SBIN0001902</t>
  </si>
  <si>
    <t>CMUPD1065N</t>
  </si>
  <si>
    <t>Udayagiri Lakshmi Narasaiah</t>
  </si>
  <si>
    <t>43/71-3-1, Prakash Nagar, Cuddapah, Andhra Pradesh - 516001.</t>
  </si>
  <si>
    <t>D1121555</t>
  </si>
  <si>
    <t>Dr.S Pranay</t>
  </si>
  <si>
    <t>Kamineni Academy of Medical Sciences and Research centre</t>
  </si>
  <si>
    <t>TSMC/FMR/25586</t>
  </si>
  <si>
    <t>drpranayshettywarangale@gmail.com</t>
  </si>
  <si>
    <t>50100221977592</t>
  </si>
  <si>
    <t>HDFC0004154</t>
  </si>
  <si>
    <t>EGLPP2207P</t>
  </si>
  <si>
    <t>Shettywarangale Ramesh Babu</t>
  </si>
  <si>
    <t>Abroad planning</t>
  </si>
  <si>
    <t>H.No. 12-94/1, Plot No.218, Indira Nagar Colony, Near Mandal Primary school, Tellapur, Ramachandrapuram, Medak, Telangana-502032.</t>
  </si>
  <si>
    <t>X-Ray( Plain Radiography-Basic, Plain Radiography-Advanced, Lower limb sacnogram, Whole spine X-ray Mammography), Usg(Basic, Doppler Studies, Thyroid/Scrotum USG, Breast USG, TIFFA,USG Guided FNAC,USG Guided Aspiration), CT ( Basic, Chest/Abdomen/Neck, 3DCT, CT Angiography), MRI(Basic, MRI MRCP/Abdomen/Liver), Special Procedures (IVP, RGU, MCUG, Barium Swallow, Barium Enema, HSG)</t>
  </si>
  <si>
    <t>TSMC/FMR/10262</t>
  </si>
  <si>
    <t>33204506840</t>
  </si>
  <si>
    <t>SBIN0013150</t>
  </si>
  <si>
    <t>ADQPE1912J</t>
  </si>
  <si>
    <t>Raghuma Reddy Ennam</t>
  </si>
  <si>
    <t>Personal reasons/relieved early</t>
  </si>
  <si>
    <t>7-301/1, mbr nagar, ibrahimpatnam, KV Ranga Reddy, Telangana-501506.</t>
  </si>
  <si>
    <t>4021/A/367906576/00/000</t>
  </si>
  <si>
    <t>D1119434</t>
  </si>
  <si>
    <t>Dr.Pingle Prathyusha</t>
  </si>
  <si>
    <t>pingleprathyusha87@gmail.com</t>
  </si>
  <si>
    <t>19981930000713</t>
  </si>
  <si>
    <t>BYDPP3507P</t>
  </si>
  <si>
    <t>Asked for Long leave</t>
  </si>
  <si>
    <t>8-2-681/B/2/A/A, Road No. 12, Banjara Hills, Hyderabad, Telangana - 500034</t>
  </si>
  <si>
    <t>D1118685</t>
  </si>
  <si>
    <t>Dr.Deshaboina Sneha</t>
  </si>
  <si>
    <t>Dr. Pinnamaneni Siddhartha Institute of Medical Sciences and Research Foundation</t>
  </si>
  <si>
    <t>APMC/FMR/100609</t>
  </si>
  <si>
    <t>snehadeshaboina93@gmail.com</t>
  </si>
  <si>
    <t>SBIN0021165</t>
  </si>
  <si>
    <t>BZJPD1687H</t>
  </si>
  <si>
    <t>Flat No.301, Lakshmi Srinivasa Nilayam, Alluri Seetaramaraju Nagar, Hydernagar, Hyderabad - 500090, Telangana</t>
  </si>
  <si>
    <t>D1119439</t>
  </si>
  <si>
    <t>Dr.Nella Harshini</t>
  </si>
  <si>
    <t>APMC/FMR/76355</t>
  </si>
  <si>
    <t>dr.harshininella@gmail.com</t>
  </si>
  <si>
    <t>4173101001598</t>
  </si>
  <si>
    <t>CNRB0004173</t>
  </si>
  <si>
    <t>ASBPN3310M</t>
  </si>
  <si>
    <t>306320442540</t>
  </si>
  <si>
    <t>Thungabhadra Staff Quarters Flat No. 7, MGH Campus, Mamata Road, Mamata General Hospital, Khanapuram Haveli, Khammam, Telangana- 507002</t>
  </si>
  <si>
    <t>Single shift given (09 am to 05 pm)</t>
  </si>
  <si>
    <t>House No. 5/14, Gunja Halli, Raichur, Karnataka - 584140</t>
  </si>
  <si>
    <t>922010042362362</t>
  </si>
  <si>
    <t>UTIB0003175</t>
  </si>
  <si>
    <t>B-117, Armed Foreces Officers Co-operative Housing Society, Sainikpuri, Ranga Reddy, Hyderabad, Telangana - 500094</t>
  </si>
  <si>
    <t>D1121363</t>
  </si>
  <si>
    <t>Dr.Reesu V M K Chakravarthy</t>
  </si>
  <si>
    <t>APMC/FMR/85171</t>
  </si>
  <si>
    <t>rvmkrishnachakravarthychkr@gmail.com</t>
  </si>
  <si>
    <t xml:space="preserve">HDFC Bank </t>
  </si>
  <si>
    <t>50100202927829</t>
  </si>
  <si>
    <t>AXJPR2911H</t>
  </si>
  <si>
    <t>R Saibabu</t>
  </si>
  <si>
    <t>End of contract, Automated machines placed</t>
  </si>
  <si>
    <t>H No.16-3-239/2, Vasanth Nagar Colony, Ramachandrapuram, Medak, Telangana-502032.</t>
  </si>
  <si>
    <t>D1122170</t>
  </si>
  <si>
    <t>Dr.Sunil Kumar K</t>
  </si>
  <si>
    <t>X-Ray(Plain Radiography-Basic, Advanced), USG(Basic, Doppler Studies, Thyroid/Scrotum USG, Breast USG, MSK USG, USG Guided FNAC, USG Guided aspiration, USG guided Trucut biopsy), CT(Basic, Chest/Abdomen, 3DCT, CT Angiography, Coronary CT, Virtual Bronchoscopy, CT Perfusion, CT Guided Biopsy),  MRI (Basic, MSK Studies - Knee/Shoulder, MSK Studies- Wrist/Ankle, MR Defecography, MRI MRCP/Abdomen/Liver, MR Prostate/Rectum, MR Catigram, MRI Enterography)</t>
  </si>
  <si>
    <t>Regional Institute of Medical sciences</t>
  </si>
  <si>
    <t>drsunilkumark@yahoo.in</t>
  </si>
  <si>
    <t>023001508355</t>
  </si>
  <si>
    <t>ICIC0003170</t>
  </si>
  <si>
    <t>DGFPS0237B</t>
  </si>
  <si>
    <t>607795201412</t>
  </si>
  <si>
    <t>Halanaik Kiroji Naik</t>
  </si>
  <si>
    <t>H.#3000/39, 6th Main, Sami Vivekananda Ext., Devanagere, Devangere, Karnataka -577004.</t>
  </si>
  <si>
    <t>4021/A/379838469/00/000</t>
  </si>
  <si>
    <t>Dr. Romi Pophalikar</t>
  </si>
  <si>
    <t>D1117688</t>
  </si>
  <si>
    <t>Dr.Pyreddy Swathi</t>
  </si>
  <si>
    <t>Sri Venkateshwara Insitute of Medical Sciences - 2015</t>
  </si>
  <si>
    <t>doctorswathipyreddy@gmail.com</t>
  </si>
  <si>
    <t>50100102550609</t>
  </si>
  <si>
    <t>BURPS5403D</t>
  </si>
  <si>
    <t>559970075486</t>
  </si>
  <si>
    <t>Nageshwara Reddy P</t>
  </si>
  <si>
    <t>10-74/1, Balakrishnapuram, Mangalam, Tirupati, Andhra Pradesh-517507.</t>
  </si>
  <si>
    <t>D1121015</t>
  </si>
  <si>
    <t>Dr.Kyatham Madhulatha</t>
  </si>
  <si>
    <t>TSMC/FMR/06093</t>
  </si>
  <si>
    <t>madhulathakyatham39@gmail.com</t>
  </si>
  <si>
    <t>62299451473</t>
  </si>
  <si>
    <t>SBIN0020157</t>
  </si>
  <si>
    <t>EZTPK2999J</t>
  </si>
  <si>
    <t>339470994161</t>
  </si>
  <si>
    <t>Rajender</t>
  </si>
  <si>
    <t>1-438, Srinivasa colony, Mulugu, Telangana-506343.</t>
  </si>
  <si>
    <t>4021/A/328319805/00/000</t>
  </si>
  <si>
    <t>D1118523</t>
  </si>
  <si>
    <t>Dr.Abdur Rahaman</t>
  </si>
  <si>
    <t>Jorhat Medical College</t>
  </si>
  <si>
    <t>Smriti Sankaradeva University of health sciences</t>
  </si>
  <si>
    <t>TSMC/FMR/01042</t>
  </si>
  <si>
    <t>Abdurrahmandr079@gmail.com</t>
  </si>
  <si>
    <t>727101501037</t>
  </si>
  <si>
    <t>ICIC0007271</t>
  </si>
  <si>
    <t>AORPD6720P</t>
  </si>
  <si>
    <t>827115632695</t>
  </si>
  <si>
    <t>Policies/Leaves</t>
  </si>
  <si>
    <t>0503062724P105504235</t>
  </si>
  <si>
    <t>D1121404</t>
  </si>
  <si>
    <t>Dr.Subhankar Podder</t>
  </si>
  <si>
    <t>Bankura Sammilani Medical College &amp; Hospital, Bankura, West Bengal</t>
  </si>
  <si>
    <t>Yereven State Medical University, Yerevan, Republic of Armenia, European United</t>
  </si>
  <si>
    <t>FRCR,London</t>
  </si>
  <si>
    <t>MBBS,DMRT,MD,FRCR</t>
  </si>
  <si>
    <t>drsubhankarpoddar@gmail.com</t>
  </si>
  <si>
    <t>911010018148172</t>
  </si>
  <si>
    <t>UTIB0000084</t>
  </si>
  <si>
    <t>ATHPP2384G</t>
  </si>
  <si>
    <t>Parimal Podder</t>
  </si>
  <si>
    <t>32, Mohan Bagan Row, Shyambazar Mail SO, Shyambazar Mail, Kolkata, West Bengal-700004.</t>
  </si>
  <si>
    <t>D1121538</t>
  </si>
  <si>
    <t>Dr.V V Roshan Shetty</t>
  </si>
  <si>
    <t>X-Ray,CT Brain &amp; PNS, CT Angios, CT Screening, MRI Screening, MRI Brain &amp; Spine</t>
  </si>
  <si>
    <t>Mysore university</t>
  </si>
  <si>
    <t>Kuvempu University</t>
  </si>
  <si>
    <t>roshanvshetty@gmail.com</t>
  </si>
  <si>
    <t>54017686034</t>
  </si>
  <si>
    <t>SBIN0010368</t>
  </si>
  <si>
    <t>ABOPR2302K</t>
  </si>
  <si>
    <t>Viswanathashetty Roshanshetty</t>
  </si>
  <si>
    <t>No 1066 7th A Main, Koramangala 3rd Block, Banglore South, Koramangala, Bangalore, Karnataka-560034.</t>
  </si>
  <si>
    <t>4021/A/359635758/00/000</t>
  </si>
  <si>
    <t>D1121407</t>
  </si>
  <si>
    <t>Dr.Srijitha Ghosh Sen</t>
  </si>
  <si>
    <t>Kathmandu University</t>
  </si>
  <si>
    <t>National Board of Examinations</t>
  </si>
  <si>
    <t>srijita20@yahoo.com</t>
  </si>
  <si>
    <t>913010035387619</t>
  </si>
  <si>
    <t>AWXPS7673Q</t>
  </si>
  <si>
    <t>Samir Kumar Ghosh</t>
  </si>
  <si>
    <t>Not join</t>
  </si>
  <si>
    <t>BL 2 7 FR FL H, Tower 2 Kolkata, 54/10, Debendra Chandra Dey road, Tangra, Kolkata, West Bengal-700015.</t>
  </si>
  <si>
    <t>D1120334</t>
  </si>
  <si>
    <t>Dr.Bhakti Khisti</t>
  </si>
  <si>
    <t>Shree Bhagwan Homoepathic Medical College</t>
  </si>
  <si>
    <t>Certificate Course in Clinical Dietician from VLCC in year 2011</t>
  </si>
  <si>
    <t>BHMS MD</t>
  </si>
  <si>
    <t>Maharashata Council Of Homeopathy</t>
  </si>
  <si>
    <t>bhakti.khisti123@gmail.com</t>
  </si>
  <si>
    <t>union Bank of India</t>
  </si>
  <si>
    <t>344502010091194</t>
  </si>
  <si>
    <t>UBIN0534455</t>
  </si>
  <si>
    <t>AUGPA7734H</t>
  </si>
  <si>
    <t>Dhananjay Pandharinath Ashtikar</t>
  </si>
  <si>
    <t>survey no.2/4,bulding no j2,flat no 1003,phursungi,pune 412308</t>
  </si>
  <si>
    <t>V1101799</t>
  </si>
  <si>
    <t>Dr.Krishna Mohan Pottala</t>
  </si>
  <si>
    <t>Director - Radiology Services</t>
  </si>
  <si>
    <t>krishnapottala@gmail.com</t>
  </si>
  <si>
    <t>20710011013763</t>
  </si>
  <si>
    <t>AKAPP9023A</t>
  </si>
  <si>
    <t>244404978901</t>
  </si>
  <si>
    <t>P Vaman Rao</t>
  </si>
  <si>
    <t>Kukatpally Hyderabad Telangana-500011</t>
  </si>
  <si>
    <t>4161/375370683/00/000</t>
  </si>
  <si>
    <t>2902500100173200</t>
  </si>
  <si>
    <t>D1121409</t>
  </si>
  <si>
    <t>Dr.Ananya Mondal</t>
  </si>
  <si>
    <t>North Bengal Medical College and Hospital, Darjeeling</t>
  </si>
  <si>
    <t>Burdwan Medical College and Hospital,Burdwan</t>
  </si>
  <si>
    <t>9874867646/8918835729</t>
  </si>
  <si>
    <t>bunai007.am@gmail.com</t>
  </si>
  <si>
    <t>159874867646</t>
  </si>
  <si>
    <t>INDB0001036</t>
  </si>
  <si>
    <t>BNFPM3247J</t>
  </si>
  <si>
    <t>Bidhan Kumar Mondal</t>
  </si>
  <si>
    <t>3/4 Bamacharan Roy Road, Behala SO, Behala, Kolakata, West Bengal-700034.</t>
  </si>
  <si>
    <t>42202984083</t>
  </si>
  <si>
    <t>508581412165</t>
  </si>
  <si>
    <t xml:space="preserve">End of contract, unable to attend shift hrs </t>
  </si>
  <si>
    <t>D1122027</t>
  </si>
  <si>
    <t>Dr.Addepalli Chinmay Vivecananda</t>
  </si>
  <si>
    <t>Apollo Institute of Medical Sciences and Research,Hyderabad</t>
  </si>
  <si>
    <t>TSMC/FMR/35664</t>
  </si>
  <si>
    <t>chinmay.addepalli@gmail.com</t>
  </si>
  <si>
    <t>100193851486</t>
  </si>
  <si>
    <t>INDB0000004</t>
  </si>
  <si>
    <t>CAQPV0760C</t>
  </si>
  <si>
    <t>741819220699</t>
  </si>
  <si>
    <t>Sridhar Lakshman Addepalli</t>
  </si>
  <si>
    <t>shifting from Hyd</t>
  </si>
  <si>
    <t>Flat No-501, Balaji Residency, Madhapur Main Road, Madhapur, Hyderabad, Telangana-500081</t>
  </si>
  <si>
    <t>D1120314</t>
  </si>
  <si>
    <t>Dr.Dopallapudi Madhu silpa</t>
  </si>
  <si>
    <t>APMC/FMR/76716</t>
  </si>
  <si>
    <t>madhuesther06@gmail.com</t>
  </si>
  <si>
    <t>62322010000654</t>
  </si>
  <si>
    <t>UBIN0906239</t>
  </si>
  <si>
    <t>BUXPV4964J</t>
  </si>
  <si>
    <t>647580289391</t>
  </si>
  <si>
    <t>D Vidya Sagar</t>
  </si>
  <si>
    <t>4-4/1, Bhattiprolu, Guntur Andhra Pradesh - 522256</t>
  </si>
  <si>
    <t>D1122431</t>
  </si>
  <si>
    <t>Dr.Vandana Jahanvi</t>
  </si>
  <si>
    <t>X-Ray(Plain Radiography-Basic, Advanced, Mammography), USG(Basic, Doppler Studies, Thyroid/Scrotum USG, Breast USG,  MSK USG,USG Guided FNAC, USG Guided Aspiration), CT(Basic, Chest/Abdomen/ Neck, 3DCT, CT Angiography, Coronary CT, virtual Bronchoscopy), MRI(Basic, MSK Studies Knee/Shoulder, MSK Studies- Wrist/Ankle, MR Prostate/Rectum, MR Cartigram, MRI TM Joints, MRI MRCP/Abdomen/ Liver), Special Procedures (IVP, RGU, MCUG, Barium Swallow, Barium Enema, HSG)</t>
  </si>
  <si>
    <t>HN 25244</t>
  </si>
  <si>
    <t>vandana.jahanvi@gmail.com</t>
  </si>
  <si>
    <t>915010028742021</t>
  </si>
  <si>
    <t>ASAPJ0683N</t>
  </si>
  <si>
    <t>644396457366</t>
  </si>
  <si>
    <t>Abhay Kumar</t>
  </si>
  <si>
    <t>E-158, Sector 2, Near Rajendra Bhawan , HEC Colony dhurwa, Dhurwa, ranchi, Jharkhand - 834004.</t>
  </si>
  <si>
    <t>Dr.Ashwini Rajendra Gundawar</t>
  </si>
  <si>
    <t>Not joined</t>
  </si>
  <si>
    <t>Dr not joined</t>
  </si>
  <si>
    <t>HDFC bank</t>
  </si>
  <si>
    <t>D1121021</t>
  </si>
  <si>
    <t>Dr.Bitla Sai pooja</t>
  </si>
  <si>
    <t>X-Ray( Plain Radiography-Basic, Plain Radiography-Advanced, Lower Limb Scanogram,Mammography), Usg(Basic, Doppler Studies, Thyroid/Scrotum USG, Breast USG, TIFFA, MSK USG, USG Guided FNAC, USG Guided Aspiration, CT ( Basic, Chest/Abdomen/Neck,3DCT, CT Angiography, MRI(Basic), Special Procedures (IVP, RGU, MCUG, Barium Swallow, Barium Enema, HSG)</t>
  </si>
  <si>
    <t>TSMC/FMR/11962</t>
  </si>
  <si>
    <t>bsaipooja@gmail.com</t>
  </si>
  <si>
    <t>176410100081455</t>
  </si>
  <si>
    <t>EUBPB3372K</t>
  </si>
  <si>
    <t>661926507221</t>
  </si>
  <si>
    <t>Prabhakar Bitla</t>
  </si>
  <si>
    <t>4-123/12/B, Padmavathi Colony, Uppal, Ranga reddy, Telangana-500039.</t>
  </si>
  <si>
    <t xml:space="preserve">Doctor working at Habsiguda 8 hrs so 12hrs duty problem </t>
  </si>
  <si>
    <t>D1122428</t>
  </si>
  <si>
    <t>Dr.Thadiparthi Pujitha</t>
  </si>
  <si>
    <t>Abdominal Imaging - Fellowship</t>
  </si>
  <si>
    <t>APMC/FMR/109669</t>
  </si>
  <si>
    <t>pujitha.thadiparthi6297@gmail.com</t>
  </si>
  <si>
    <t>770001500684</t>
  </si>
  <si>
    <t>ICIC0007700</t>
  </si>
  <si>
    <t>EBRPP0261A</t>
  </si>
  <si>
    <t>936175363757</t>
  </si>
  <si>
    <t>Murali Venkateswara Rao Thadiparthi</t>
  </si>
  <si>
    <t>Fellowship joined and left</t>
  </si>
  <si>
    <t>1-455/1, Kotha Peta, Managalagiri, Guntur, Andhra Pradesh-522503.</t>
  </si>
  <si>
    <t>USG(Basic,TIFFA,MSK,Penile Doppler/TRUS, Guided Procedures), CT(Basic), X-Ray(Plain Radiography)</t>
  </si>
  <si>
    <t>Rajiv Gandhi University of Health Science, Karnataka</t>
  </si>
  <si>
    <t>Mamata Medical college,Khammam,Telangna</t>
  </si>
  <si>
    <t>62310885398</t>
  </si>
  <si>
    <t>908316470307</t>
  </si>
  <si>
    <t>Narsimha Reddy</t>
  </si>
  <si>
    <t>H.NO:-62, Doveton Bazar,  Bollarum, Alwal, Bolarum, Hyderabad, Telangana-500010.</t>
  </si>
  <si>
    <t>0502002723P116539407</t>
  </si>
  <si>
    <t>D1122180</t>
  </si>
  <si>
    <t>Dr.Chandan Manohar H C</t>
  </si>
  <si>
    <t>X-Ray (Plain Radiography- Basic, Advanced, Mammography), USG (Basic, Doppler Studies, Thyroid/Scrotum USG, Breast USG, TIFFA, MSK USG, USG Guided FNAC, USG Guided Aspiration), CT (Basic, Chest/ Abdomen/Neck, 3DCT, CT Angiography, Virtual Bronchoscopy), MRI (Basic, MSK Studies-Knee/Shoulder, MSK Studies - Wrist/Ankle, MRI MRCP/Abdomen/Liver), Special Procedures (IVP, RGU,MCUG,Barium Swallow, Barium Enema, HSG)</t>
  </si>
  <si>
    <t>Shadan Institute of Medical sciences and Research Institute</t>
  </si>
  <si>
    <t>drchandanm@gmail.com</t>
  </si>
  <si>
    <t>50100798856138</t>
  </si>
  <si>
    <t>HDFC0010378</t>
  </si>
  <si>
    <t>AVUPC9983B</t>
  </si>
  <si>
    <t>547436990918</t>
  </si>
  <si>
    <t>Halase Channe Gowda Chandrakanth</t>
  </si>
  <si>
    <t>Resign/Asked to leave early</t>
  </si>
  <si>
    <t>#22, Halase, Chickmagalur, Karnataka-577132.</t>
  </si>
  <si>
    <t>D1122447</t>
  </si>
  <si>
    <t>Dr.Kalla Mounica</t>
  </si>
  <si>
    <t>X-Ray(Plain Radiography- Basic, Advanced, Mammography), USG(Basic, Doppler Studies, Thyroid/Scrotum USG, Breast USG, TIFFA, MSK USG, USG Guided FNAC, USG Guided Aspiration), CT (Basic, Chest/Abdomen), Special Procedures (IVP, RGU, MCUG, Barium swallow, Barium Enema, HSG)</t>
  </si>
  <si>
    <t>TSMC/FMR/15268</t>
  </si>
  <si>
    <t>mounikalla@gmail.com</t>
  </si>
  <si>
    <t>753601500204</t>
  </si>
  <si>
    <t>DXPPK0893A</t>
  </si>
  <si>
    <t>505281282843</t>
  </si>
  <si>
    <t>Srinivasa Rao Kalla</t>
  </si>
  <si>
    <t>2 months leave</t>
  </si>
  <si>
    <t>9-7-50, Kaman Bazar, Khammam, Telangana - 507001</t>
  </si>
  <si>
    <t>4161/391760385/00/000</t>
  </si>
  <si>
    <t>08:00 AM to 10:00 AM</t>
  </si>
  <si>
    <t>02:30 PM to 20:30 PM</t>
  </si>
  <si>
    <t>not joined</t>
  </si>
  <si>
    <t>D1120764</t>
  </si>
  <si>
    <t>Dr.Vaka Manasa Reddy</t>
  </si>
  <si>
    <t>X-Ray (Plain Radiography-Basic,Advanced), Mammography, USG(Basic, Doppler Studies,Thyroid/Scrotum USG, Breast USG,TIFFA, MSK USG,TRUS, USG Guided FNAC,USG Guided Trucut biopsy, USG Guided Aspirations, Breast Biopsy, Trus guided biopsy), CT (Basic, Chest/Abdomen/Neck,3DCT,CT Angiography, Coronary CT, Virtual Bronchoscopy, CT guided biopsy), MRI(Basic, MSk Studies- Knee/Shoulder, MRI MRCP / Abdomen / Liver, MR Prostate/Rectum), Special Procedures (IVP,RGU,MCUG, Barium Swallow,HSG)</t>
  </si>
  <si>
    <t>SV Medical College</t>
  </si>
  <si>
    <t>APMC/FMR/105282</t>
  </si>
  <si>
    <t>manu41919@gmail.com</t>
  </si>
  <si>
    <t>39533477070</t>
  </si>
  <si>
    <t>AWYPV8010F</t>
  </si>
  <si>
    <t>857165666081</t>
  </si>
  <si>
    <t>V Madhusudan Reddy</t>
  </si>
  <si>
    <t>Resign, personal reasons</t>
  </si>
  <si>
    <t>Flat No:- 305, Okavalley appaerment, magunta Layout, Pichireddy kalyana manadapam backside, Nellore, Andhra Pradesh - 524003.</t>
  </si>
  <si>
    <t>Left, maternity</t>
  </si>
  <si>
    <t>PES Medical College, Kuppam</t>
  </si>
  <si>
    <t>#N/A</t>
  </si>
  <si>
    <t>9-511,Hussenapuram Street,Peapully,Peapally,Peapully, Kurnool, Peapally,Andhra Pradesh,518221</t>
  </si>
  <si>
    <t>Dr.Hemanth sai G</t>
  </si>
  <si>
    <t>D1118698</t>
  </si>
  <si>
    <t>Dr.Bhaskar Narayan Chaudhuri</t>
  </si>
  <si>
    <t>Any 1 hour</t>
  </si>
  <si>
    <t>Kolakta University</t>
  </si>
  <si>
    <t>9830176551, 9874466551</t>
  </si>
  <si>
    <t>bhaskarnchau@gmail.com</t>
  </si>
  <si>
    <t>911010064022336</t>
  </si>
  <si>
    <t>UTIB0001143</t>
  </si>
  <si>
    <t>ACPPC0041E</t>
  </si>
  <si>
    <t>850637931181</t>
  </si>
  <si>
    <t>102 KK Majumder Road, Santoshpur, West Bengal - 700075</t>
  </si>
  <si>
    <t>Dr.Ballikonda Sai Kiran</t>
  </si>
  <si>
    <t>571016310004744</t>
  </si>
  <si>
    <t>560263133243</t>
  </si>
  <si>
    <t>Automated machines installed</t>
  </si>
  <si>
    <t>1-19-166/2, Road No. 7, Joshi Nagar, West Venkatapuram, Secunderabad, Telangana - 500015</t>
  </si>
  <si>
    <t>D1119727</t>
  </si>
  <si>
    <t>Dr.Kapaganti Vamsi Krishna</t>
  </si>
  <si>
    <t>TSMC/FMR/30732</t>
  </si>
  <si>
    <t>kapaganti.vamsikrishna@gmail.com</t>
  </si>
  <si>
    <t>33138608123</t>
  </si>
  <si>
    <t>SBIN0016569</t>
  </si>
  <si>
    <t>DGLPK8304P</t>
  </si>
  <si>
    <t>630765562444</t>
  </si>
  <si>
    <t>fellowship resigned and left with 1month notice</t>
  </si>
  <si>
    <t>312/A Sector-9, Ukkunagaram CWC-2, Steel Plant, Pedagantyada, Visakhapatnam, Andhra Pradesh - 530032</t>
  </si>
  <si>
    <t xml:space="preserve">Osmania Medical College </t>
  </si>
  <si>
    <t>APMSC/FMR/93640</t>
  </si>
  <si>
    <t>D1120517</t>
  </si>
  <si>
    <t>Dr.Gyaneshwari Gopal Krishna Raikar</t>
  </si>
  <si>
    <t>APMC/FMR/90528</t>
  </si>
  <si>
    <t>gyaneshwari.raikar@gmail.com</t>
  </si>
  <si>
    <t>81051674006</t>
  </si>
  <si>
    <t>BVNPR5114B</t>
  </si>
  <si>
    <t>302747634456</t>
  </si>
  <si>
    <t>Gopalakrishna Subbarao Raikar</t>
  </si>
  <si>
    <t>Irregular / Replacement / 2 months notice served</t>
  </si>
  <si>
    <t>Flat No:602,Eden-A,Casa Paradiso, Sanath Nagar, SanathnAGAR, Hyderabad Telanagana,-500018</t>
  </si>
  <si>
    <t>Converted to full time in bowenpally</t>
  </si>
  <si>
    <t>D1122439</t>
  </si>
  <si>
    <t>Dr.Sujith Kumar Samudrala</t>
  </si>
  <si>
    <t>X-Ray(Plain Radiography-Basic, Advanced), USG(Basic, Doppler Studies, Thyroid/Scrotum USG, Breast USG, TIFFA), CT(Basic)</t>
  </si>
  <si>
    <t>Dr DY.Patil Medical College hospital &amp; research center, Pune</t>
  </si>
  <si>
    <t>APMC/FMR/94069</t>
  </si>
  <si>
    <t>docsujithsam@gmail.com</t>
  </si>
  <si>
    <t>019210100095388</t>
  </si>
  <si>
    <t>UBIN0817856</t>
  </si>
  <si>
    <t>GHEPS6568A</t>
  </si>
  <si>
    <t>824764508120</t>
  </si>
  <si>
    <t>Prakash Samudrala</t>
  </si>
  <si>
    <t>na</t>
  </si>
  <si>
    <t>8-2-103/17P,18/2/1, 2nf Floor, Guptha Towers, Shakti NagarRoad No.11, OPP ARC Sai Brindavan Appartments, Hasthinapuram, Chintalakunta, K V Rangareddy, Telangana - 500074.</t>
  </si>
  <si>
    <t>4161/392115486/00/000</t>
  </si>
  <si>
    <t>D1119146</t>
  </si>
  <si>
    <t>Dr.Samudrala Rahul Chandra Sagar</t>
  </si>
  <si>
    <t>X-Ray (Plain Radiography-Basic,Advanced,Mammography), USG ( Basic, Doppler Studies, Thyroid/Scrotum USG, Breast USG, TIFFA, MSK USG, TRUS, USG Guided FNAC, USG guided Truct Biopsy, USG Guided Aspiration, Breast Biopsy, TRUS guided Biopsy), CT ( Basic, Chest/Abdomen/Neck, 3DCT, CT Angiography, CT guided biopsy), MRI(Basic, MSK studies-Knee/Shoulder,MSK Studies-Wrist/Ankle, MRI MRCP/Abdomen/Liver, MR Prostate/Rectum, Special procedures (IVP,RGU,MCUG, Barium swallow, Barium Enema,HSG)</t>
  </si>
  <si>
    <t>Yat-Sen University,China</t>
  </si>
  <si>
    <t>APMC/FMR/83829</t>
  </si>
  <si>
    <t>rahulchandra200788@gmail.com</t>
  </si>
  <si>
    <t>50100226756827</t>
  </si>
  <si>
    <t>HDFC0002014</t>
  </si>
  <si>
    <t>CRDPS7460J</t>
  </si>
  <si>
    <t>316607082377</t>
  </si>
  <si>
    <t>Samudrala Vidya Sagar</t>
  </si>
  <si>
    <t>5-9-12/1, Flat No.4H, Smart residency, Birla Mandir, Saifabad, Khairatabad, Hyderabad, Telangana-500004.</t>
  </si>
  <si>
    <t>D1122026</t>
  </si>
  <si>
    <t>Dr.Mamatha Gade</t>
  </si>
  <si>
    <t>X-Ray (Plain Radiography -  Basic, Advanced, Mammography), USG ( Basic, Doppler Studies, Thyroid / Scrotum USG, Breast USG, TIFFA), Special Procedures (IVP, RGU, MCUG, Barium Swallow, Barium Enema, HSG)</t>
  </si>
  <si>
    <t>Kamineni Institue of Medical Sciences</t>
  </si>
  <si>
    <t>APMC/FMR/77180</t>
  </si>
  <si>
    <t>mamathakgade@gmail.com</t>
  </si>
  <si>
    <t>922010028269023</t>
  </si>
  <si>
    <t>UTIB0004263</t>
  </si>
  <si>
    <t>BHGPG0490L</t>
  </si>
  <si>
    <t>404767838701</t>
  </si>
  <si>
    <t>Srinivas Konda</t>
  </si>
  <si>
    <t>Personal reasons (working as full time in another place timings not adjusting)</t>
  </si>
  <si>
    <t>01-076/AS/B-L/702, Flat No.L-702, Aparna Serenity, Harsha Hospital Lane, Behind ST Anns High School, Petbasheerabad, Suchitra Junction, Medchal-Malkajgiri, Telangana-500067.</t>
  </si>
  <si>
    <t>chandana211194@gmail.com</t>
  </si>
  <si>
    <t>572810110006367</t>
  </si>
  <si>
    <t>795646158485</t>
  </si>
  <si>
    <t>Achuthanandam Tirunagiri</t>
  </si>
  <si>
    <t>Flat No.111, Sri Kaleswari Residency, KVR Colony, Near Honda Show Room, Mydukur Road, Proddatur, YSR District, Andhra Pradesh - 516360</t>
  </si>
  <si>
    <t>D1122177</t>
  </si>
  <si>
    <t>Dr.Jajjala Kranthi Kumar</t>
  </si>
  <si>
    <t>X-Ray(Plain Radiography-Basic, Advanced, Mammography), USG(Basic, Doppler Studies, Thyroid/Scrotum USG, Breast USG, TIFFA, MSK USG, USG Guided FNAC), CT(Basic, Chest/Abdomen), Special Procedures (IVP, RGU, MCUG, Barium Swallow, Barium Enema, HSG)</t>
  </si>
  <si>
    <t>SVS Institute of Medical Sciences</t>
  </si>
  <si>
    <t>Maharaja's Institute of Medical Sciences</t>
  </si>
  <si>
    <t>TSMC/FMR/09228</t>
  </si>
  <si>
    <t>kranthiku22@gmail.com</t>
  </si>
  <si>
    <t>0888104000148610</t>
  </si>
  <si>
    <t>IBKL0000888</t>
  </si>
  <si>
    <t>BQXPJ7786A</t>
  </si>
  <si>
    <t>811775724282</t>
  </si>
  <si>
    <t>Jajjala Laxman</t>
  </si>
  <si>
    <t>Senior Residency at AIIMS</t>
  </si>
  <si>
    <t>1-5-511/4/1, Surya Nagar, Old Alwal, Secunderabad, Telangana - 500010</t>
  </si>
  <si>
    <t>V1101824</t>
  </si>
  <si>
    <t>Dr.T Umashankar</t>
  </si>
  <si>
    <t>APMC/FMR/84359</t>
  </si>
  <si>
    <t>9177629000 , 8919918633</t>
  </si>
  <si>
    <t>tallamuma@rediffmail.com</t>
  </si>
  <si>
    <t>3171140046741</t>
  </si>
  <si>
    <t>AGKPT8232D</t>
  </si>
  <si>
    <t>939731648145</t>
  </si>
  <si>
    <t>Subbarayudu</t>
  </si>
  <si>
    <t>1-9-1113/24/B Dayanand nagar,Near Kattamaisamma temple.Vidyanagar.Hyderabad,Ambernagar,Telangan,500044</t>
  </si>
  <si>
    <t>Dr.Meka Lakshmi Vineela</t>
  </si>
  <si>
    <t>X-Ray (Regular,Mammography), USG(Basic,TIFFA, Fetal Echo,MSK,Penile Doppler/Trus,Guided procedures), Special Procedures (IVP,RGU,MCGU, Barium Swallow, Barium Enema, HSG)</t>
  </si>
  <si>
    <t>Bharati Vidyapeeth's Medical College, Pune</t>
  </si>
  <si>
    <t>TSMC/FMR/15623</t>
  </si>
  <si>
    <t>vini.lucky5@gmail.com</t>
  </si>
  <si>
    <t>Contract Closure, separation due to issues</t>
  </si>
  <si>
    <t>D.No:- 7-1-644/12/23, Flat No: 101, Saradha Residency, Near ESI, Sundaranagar Colony, Ameerpet, Hyderabad, Telangana-500038.</t>
  </si>
  <si>
    <t>D1113268</t>
  </si>
  <si>
    <t>Dr.Harshini Aachi</t>
  </si>
  <si>
    <t>X-Ray ( Plain Radiography- Basic, Advanced,Mammography), USG (Basic, Doppler Studies, Thyroid/Scrotum USG, Breast USG, TIFFA, Foetal Echo, USG Guided FNAC, USG Guided Aspiration), CT (Basic,Chest/Abdomen/Neck, 3DCT, CT Angiography, Virtual Bronchoscopy), MRI (Basic, MSK Studies-Knee/Shoulder, MRI MRCP/Abdomen/ Liver, MR Prostate/Rectum), Special Procedures (RGU, MCUG, HSG)</t>
  </si>
  <si>
    <t>Care Hospitals, Banjara Hills, Hyderabad</t>
  </si>
  <si>
    <t>TSMC/FMR/03474</t>
  </si>
  <si>
    <t>harshiniaachi@gmail.com</t>
  </si>
  <si>
    <t>0845101024421</t>
  </si>
  <si>
    <t>CNRB0000845</t>
  </si>
  <si>
    <t>BBTPA2554A</t>
  </si>
  <si>
    <t>722095060491</t>
  </si>
  <si>
    <t>Mohan Aachi</t>
  </si>
  <si>
    <t>10-3-169, ST Johns Road, Opp to Keyes High School, Secunderabad, Hyderabad, Telangana-500025.</t>
  </si>
  <si>
    <t>4161/387507570/00/000</t>
  </si>
  <si>
    <t>D1122438</t>
  </si>
  <si>
    <t>Dr.Chenna Pravallika</t>
  </si>
  <si>
    <t>X-Ray(Plain Radiography-Basic, Advanced), USG (Basic, Doppler Studies, Thyroid/Scrotum  USG, Breast USG,MSK USG, USG Guided FNAC, USG Guided Aspiration), Special Procedures (RGU, MCUG, Barium Swallow)</t>
  </si>
  <si>
    <t>MNR Medical College and Hospital</t>
  </si>
  <si>
    <t>TSMC/FMR/12978</t>
  </si>
  <si>
    <t>chenna.pravallika7@gmail.com</t>
  </si>
  <si>
    <t>111222010000737</t>
  </si>
  <si>
    <t>UBIN0911127</t>
  </si>
  <si>
    <t>GRLPP6494P</t>
  </si>
  <si>
    <t>437010298378</t>
  </si>
  <si>
    <t>Chenna Umapathi</t>
  </si>
  <si>
    <t>Asked to leave/Resign</t>
  </si>
  <si>
    <t>10-30/5, Pothireddy Pally Road No 2, Vidya Nagar Colony, Pothireddipalle, Medak , Andra Pradesh - 502295.</t>
  </si>
  <si>
    <t>Dr.Manohar Chavvakula</t>
  </si>
  <si>
    <t>D1120524</t>
  </si>
  <si>
    <t>Dr.Saleha Begum</t>
  </si>
  <si>
    <t>Osmania Medical College </t>
  </si>
  <si>
    <t>APMC/FMR/87815</t>
  </si>
  <si>
    <t>9866869237 / 9346785261</t>
  </si>
  <si>
    <t>drsaleha2023@gmail.com</t>
  </si>
  <si>
    <t>62068026917</t>
  </si>
  <si>
    <t>SBIN0005893</t>
  </si>
  <si>
    <t>HCUPS7684P</t>
  </si>
  <si>
    <t>801078879259</t>
  </si>
  <si>
    <t>Mohammed Raheemuddin</t>
  </si>
  <si>
    <t>11-6-658, Nampally, Red Hills, Khairatabad, Hyderabad, Telangana-500004.</t>
  </si>
  <si>
    <t>Dr.Shweta Tulsiani</t>
  </si>
  <si>
    <t>Uttar Pradesh Medical Council</t>
  </si>
  <si>
    <t>shweta.tulsiani@gmail.com</t>
  </si>
  <si>
    <t>ALSPT3642E</t>
  </si>
  <si>
    <t>609385858653</t>
  </si>
  <si>
    <t>Anil Kumar Tulsiani</t>
  </si>
  <si>
    <t>13/1/ Punjabi Colony, Near Sindhu Vidya Mandir, Alopibag, Allahabad, Uttar Pradesh - 211006</t>
  </si>
  <si>
    <t>4021/A/324280617/01/000</t>
  </si>
  <si>
    <t>Dr.Muthoju Pavani</t>
  </si>
  <si>
    <t>D1121402</t>
  </si>
  <si>
    <t>Dr.Shaik Alima Parveen</t>
  </si>
  <si>
    <t>TSMC/FMR/35284</t>
  </si>
  <si>
    <t>shaikparveenmbbs@gmail.com</t>
  </si>
  <si>
    <t>50100275476325</t>
  </si>
  <si>
    <t>HDFC0001243</t>
  </si>
  <si>
    <t>GKIPS2679F</t>
  </si>
  <si>
    <t>856431176244</t>
  </si>
  <si>
    <t>Shaik Ismail</t>
  </si>
  <si>
    <t>D No-5-48/3/25, Flat No. 502, 4th Floor, Sudha residency, Santosh Nagar, Kothapalem, Gopalapatnam, Visakhapatnam, Andhra Pradesh-530027.</t>
  </si>
  <si>
    <t>D1121872</t>
  </si>
  <si>
    <t>Dr.Neha Tyagi</t>
  </si>
  <si>
    <t>X-Ray(Plain Radiography- Basic, Advanced, Mammography), USG (Basic, Doppler Studies, Thyroid/Scrotum, Breast USG, TIFFA, MSK USG, USG Guided FNAC, USG Guided Aspiration) CT (Basic, Chest/Abdomen/ Neck, 3 DCT, CT Angiography) MRI(Basic, MSK Studies -Knee/Shoulder, MSK Studies-Wrist/Ankle, MRI MRCP/Abdomen/Liver, MR Prostate/Rectum, MRI Breast) Special Procedures (IVP,RGU,MCUG,Barium Swallow, Barium Enema,HSG)</t>
  </si>
  <si>
    <t>Govt. Medical College, Surat</t>
  </si>
  <si>
    <t>HN27499</t>
  </si>
  <si>
    <t>nehatyagi3043@gmail.com</t>
  </si>
  <si>
    <t>22760100016958</t>
  </si>
  <si>
    <t>FDRL0002276</t>
  </si>
  <si>
    <t>APPPT2497E</t>
  </si>
  <si>
    <t>258760566348</t>
  </si>
  <si>
    <t>Tapesh Tyagi</t>
  </si>
  <si>
    <t>Najafgarh Rewlakhanpur, Najafgarh, Delhi-110043.</t>
  </si>
  <si>
    <t>D1118828</t>
  </si>
  <si>
    <t>Dr.K Vasundhara</t>
  </si>
  <si>
    <t>kaipavasu2k4@gmail.com</t>
  </si>
  <si>
    <t>137910100047965</t>
  </si>
  <si>
    <t>AMQPV6265J</t>
  </si>
  <si>
    <t>398252078257</t>
  </si>
  <si>
    <t>Medical college promotion</t>
  </si>
  <si>
    <t xml:space="preserve">H.No – 46/89-3-2, Lakshmi Ganeshnagar, Kurnool, AP – 518002
</t>
  </si>
  <si>
    <t>0515042723P105141878</t>
  </si>
  <si>
    <t>D1119142</t>
  </si>
  <si>
    <t>Dr.S Lavanya</t>
  </si>
  <si>
    <t>Nazims Institute of Medical Sciences</t>
  </si>
  <si>
    <t>lavanyasangati@gmail.com</t>
  </si>
  <si>
    <t>107910100039294</t>
  </si>
  <si>
    <t>UBIN0802930</t>
  </si>
  <si>
    <t>AIAPL0944J</t>
  </si>
  <si>
    <t>744004199544</t>
  </si>
  <si>
    <t>Exam preparations</t>
  </si>
  <si>
    <t>45-231-306, Ashok Nagar,Kurnool, VTV-Kurnool, Andhra Pradesh-518002</t>
  </si>
  <si>
    <t>D1122615</t>
  </si>
  <si>
    <t>Dr.Kommuru Suhas</t>
  </si>
  <si>
    <t>X-Ray (Plain Radiography - Basic, Advanced), Whole Spine X-Ray, Mammography, USG (Basic, Doppler Studies, Thyroid/ Scrotum USG, Breast USG, TIFFA, MSK USG, Penile Doppler, TRUS, USG Guided FNAC, USG Guided Trucut Biopsy, USG Guided Aspiration, Breast Biopsy), CT (Basic, Chest/abdomen /Neck, 3DCT, CT Angiography, Virtual Bronchoscopy), MRI( Basic, MSK Studies- Knee/Shoulder, MSK Studies-Wrist/Ankle,MRI MRCP /Abdomen/Liver,MR Prostate/Rectum, MRI Breast, MRI TM Joints, MRI Enterography) Special Procedures (IVP, RGU, MCUG, Barium Swallow, Barium Enema,HSG)</t>
  </si>
  <si>
    <t>TSMC/FMR/08601</t>
  </si>
  <si>
    <t>kommurusuhas@gmail.com</t>
  </si>
  <si>
    <t>39231153717</t>
  </si>
  <si>
    <t>SBIN0021269</t>
  </si>
  <si>
    <t>EBFPK4469F</t>
  </si>
  <si>
    <t>239232565219</t>
  </si>
  <si>
    <t>Sudhakar Kommuru</t>
  </si>
  <si>
    <t>Higher studies (DM seat allotted)</t>
  </si>
  <si>
    <t>1-20-454, Venkata Sai Nagar Colony, Near Last Bus Stop, West Venkatapuram, Secunderabad, Rangareddi, Telangana - 500015.</t>
  </si>
  <si>
    <t>D1116789</t>
  </si>
  <si>
    <t>Dr.Thatikonda Anusha</t>
  </si>
  <si>
    <t>Basic USG, Tiffa, Guided Procedures, Basic CT, Basic MRI, Xray, IVP, RGU, MCGU, Barium Swallow, Barium Enema, HSG</t>
  </si>
  <si>
    <t xml:space="preserve">GSL Medical College, Rajahmundry, AP </t>
  </si>
  <si>
    <t>Andhra Medical College, Vizag (King George Hospital)</t>
  </si>
  <si>
    <t>APMC/FMR/ 86098</t>
  </si>
  <si>
    <t>anuthatikond08@gmail.com</t>
  </si>
  <si>
    <t>37590202147</t>
  </si>
  <si>
    <t>BZNPA2016H</t>
  </si>
  <si>
    <t>410804238416</t>
  </si>
  <si>
    <t>Thatikonda Bhumeshwar</t>
  </si>
  <si>
    <t>Hno:6-8-43,Street/Road/Lane:Dubba,Area/Locality/Sector:Nizambad, Village/Town/City:Nizambad,P.O:Nizamabada,Telangana 503001</t>
  </si>
  <si>
    <t>D1119138</t>
  </si>
  <si>
    <t>Dr.Mohammed Faisal Mohiuddin</t>
  </si>
  <si>
    <t>09:00 to 15:00</t>
  </si>
  <si>
    <t>19:00 to 21:00</t>
  </si>
  <si>
    <t>Fathima Institute of Medical Sciences</t>
  </si>
  <si>
    <t>TSMC/FMR/05373</t>
  </si>
  <si>
    <t>faisalmedico@gmail.com</t>
  </si>
  <si>
    <t>30547722498</t>
  </si>
  <si>
    <t>BYUPM6849N</t>
  </si>
  <si>
    <t>629047253443</t>
  </si>
  <si>
    <t>Govt. Asst professor job</t>
  </si>
  <si>
    <t>3-4-692/1, New Raipura, Hanamkonda, D H Suthoon, Warangal, Telangana - 506011</t>
  </si>
  <si>
    <t>Dr.Yadala Aswini</t>
  </si>
  <si>
    <t>X-Ray (Plain Radiography - Basic, Advanced), Mammography, USG (Basic, Doppler Studies, Thyroid/ Scrotum USG, Breast USG, TIFFA, Penile Doppler, USG Guided FNAC, USG Guided Aspiration), CT (Basic, Chest/Abdomen/Neck,3DCT, CT Angiography), MRI (Basic, MSK Studies-Knee/Shoulder, MRI MRCP/Abdomen/Liver), Special Procedures (IVP, RGU, MCUG, Barium Swallow, Barium Enema, HSG)</t>
  </si>
  <si>
    <t>aswiniyadala.ay@gmail.com</t>
  </si>
  <si>
    <t>34305966169</t>
  </si>
  <si>
    <t>SBIN0003187</t>
  </si>
  <si>
    <t>942512058320</t>
  </si>
  <si>
    <t>Yadala Yerraiah</t>
  </si>
  <si>
    <t>6-12-9a/2, K B Layout, Tirupati(Urban), Chittoor, Andhra Pradesh-517501.</t>
  </si>
  <si>
    <t>D1119708</t>
  </si>
  <si>
    <t>Dr.Kavarthapu Harish Kumar</t>
  </si>
  <si>
    <t>B.M Patil Medical college hospital and research center</t>
  </si>
  <si>
    <t>APMC/FMR/104477</t>
  </si>
  <si>
    <t>kharish258@gmail.com</t>
  </si>
  <si>
    <t>32522301167</t>
  </si>
  <si>
    <t>SBIN0001163</t>
  </si>
  <si>
    <t>CQHPK7735F</t>
  </si>
  <si>
    <t>698185842583</t>
  </si>
  <si>
    <t>Expecting Hike - offered Incharge position</t>
  </si>
  <si>
    <t>27-1-823, Kakumanuvaari Street, 5th Main Road, Balaji Nagar, Nellore, Andhra Pradesh - 524002</t>
  </si>
  <si>
    <t>Dr.Mohammed Abrar</t>
  </si>
  <si>
    <t>TSMC/FMR/34493</t>
  </si>
  <si>
    <t>omer.abrar92@gmail.com</t>
  </si>
  <si>
    <t>DCMPA4452D</t>
  </si>
  <si>
    <t>369327246404</t>
  </si>
  <si>
    <t>Mohammed Rahmatullah</t>
  </si>
  <si>
    <t>20-4-551/1, Opp Khilwath palace, Khilwath, Charminar, Hyderabad, Telangana-500002.</t>
  </si>
  <si>
    <t>D1122436</t>
  </si>
  <si>
    <t>Dr.Baddam Greeshma</t>
  </si>
  <si>
    <t>TSMC/FMR/13597</t>
  </si>
  <si>
    <t>9849997654 / 9666167717</t>
  </si>
  <si>
    <t>bgreeshmareddy97@gmail.com</t>
  </si>
  <si>
    <t>20243247975</t>
  </si>
  <si>
    <t>DHNPG2962J</t>
  </si>
  <si>
    <t>421146432787</t>
  </si>
  <si>
    <t>Baddam Madhusudhan Reddy</t>
  </si>
  <si>
    <t>2-100030 Vijetha Green City, Near Government School, Theegalaguttapally, Karimnagar, Telangana - 505001.</t>
  </si>
  <si>
    <t>4161/392975710/00/000</t>
  </si>
  <si>
    <t>D1119008</t>
  </si>
  <si>
    <t>Dr.Apoorva Reddy Davu</t>
  </si>
  <si>
    <t>Basic USG, X Ray</t>
  </si>
  <si>
    <t>TSMC/FMR/12241</t>
  </si>
  <si>
    <t>davuapoorva25@gmail.com</t>
  </si>
  <si>
    <t>64179474200</t>
  </si>
  <si>
    <t>SBIN0040462</t>
  </si>
  <si>
    <t>BZXPD7360P</t>
  </si>
  <si>
    <t>255911648506</t>
  </si>
  <si>
    <t>3-9-240,Flat No-102,Padmavathi Residency, Indrapuri Colony, Maruthi Nursing Home, West Marredpally, Secunderabad-500026.</t>
  </si>
  <si>
    <t>D1122468</t>
  </si>
  <si>
    <t>Dr.Samineni Nandini</t>
  </si>
  <si>
    <t>X-Ray (Plain Radiography - Basic, Advanced), Mammography, USG (Basic, Doppler Studies, Thyroid/ Scrotum USG, Breast USG, TIFFA,USG Guided FNAC,USG Guided Aspiration), CT (Basic), Special Procedures (IVP, RGU, MCUG, Barium Swallow, Barium Enema, HSG)</t>
  </si>
  <si>
    <t>JSS Medical College, Mysore</t>
  </si>
  <si>
    <t>Sri Siddhartha Institute of Medical Sciences, Devanagere</t>
  </si>
  <si>
    <t>TSMC/FMR/36642</t>
  </si>
  <si>
    <t>samineni.nandini99@gmail.com</t>
  </si>
  <si>
    <t>37929187821</t>
  </si>
  <si>
    <t>SBIN0021534</t>
  </si>
  <si>
    <t>FGUPS5539F</t>
  </si>
  <si>
    <t>701024432384</t>
  </si>
  <si>
    <t>Naresh Samineni</t>
  </si>
  <si>
    <t>Full time offer at other place</t>
  </si>
  <si>
    <t>4-75, Thammara Banda Palem, Kodad Mandalam, Kodad, Telangana - 508206.</t>
  </si>
  <si>
    <t>D1115779</t>
  </si>
  <si>
    <t>Dr.Kummari Chandra Kala</t>
  </si>
  <si>
    <t>Sidhartha Medical College</t>
  </si>
  <si>
    <t>kala111213@gmail.com</t>
  </si>
  <si>
    <t>148610100089271</t>
  </si>
  <si>
    <t>UBIN0814865</t>
  </si>
  <si>
    <t>CZHPK1057R</t>
  </si>
  <si>
    <t>824117323266</t>
  </si>
  <si>
    <t>Peddaiah Kummari</t>
  </si>
  <si>
    <t>TSMC/FMR/25770</t>
  </si>
  <si>
    <t>007601013725</t>
  </si>
  <si>
    <t>AFFPC4529N</t>
  </si>
  <si>
    <t>65376337314</t>
  </si>
  <si>
    <t>Priti Pal Pandey</t>
  </si>
  <si>
    <t>Plot No- 117, Flat.No-5, Road No.71, Nava Niman Nagar, jubilee Hills, Behind Bharatiya Vidya Bhawan, Shaikpet, Jubilee Hills, Hyderabad, Telangana-500033.</t>
  </si>
  <si>
    <t>ICICI Lambard</t>
  </si>
  <si>
    <t>4161/372749877/00/000</t>
  </si>
  <si>
    <t>Reddi Sekhara Reddy Dami Reddy</t>
  </si>
  <si>
    <t>4021/A/368836807/00/000</t>
  </si>
  <si>
    <t>TSMC/FMR/02056</t>
  </si>
  <si>
    <t>99999869181818</t>
  </si>
  <si>
    <t>HDFC0000545</t>
  </si>
  <si>
    <t>ANYPN0424A</t>
  </si>
  <si>
    <t>472407543631</t>
  </si>
  <si>
    <t>Ashok Rao Nayaneni</t>
  </si>
  <si>
    <t>H NO 5-4-22, Sri Nilayam, Gayathri Nagar, Near BJP office Road, Kukatpally, Ranga Reddy, Hyderabad, Telangana-500072.</t>
  </si>
  <si>
    <t>61190036250400000076</t>
  </si>
  <si>
    <t>Dr.C Divya Teja</t>
  </si>
  <si>
    <t>07:15 AM to 08:15 AM</t>
  </si>
  <si>
    <t>06:00 PM to 08:00 PM</t>
  </si>
  <si>
    <t>APMC/FMR/92214</t>
  </si>
  <si>
    <t>divyatejachimme@gmail.com</t>
  </si>
  <si>
    <t>BHFPC2790E</t>
  </si>
  <si>
    <t>718939463906</t>
  </si>
  <si>
    <t>Vijayarayalu Chimme</t>
  </si>
  <si>
    <t>87-902, Telicom Nagar, Kalluru, Kurnool, Andhra Pradesh - 518003.</t>
  </si>
  <si>
    <t>TSMC/FMR/41571</t>
  </si>
  <si>
    <t>917010048293820</t>
  </si>
  <si>
    <t>UTIB0002785</t>
  </si>
  <si>
    <t>AUJPH3068G</t>
  </si>
  <si>
    <t>441365833438</t>
  </si>
  <si>
    <t>Kalyan Halder</t>
  </si>
  <si>
    <t>6/2A, NATAJI NAGAR Regent Estate Kolkata West Bengal - 700092.</t>
  </si>
  <si>
    <t xml:space="preserve"> 4161/379072622/00/000</t>
  </si>
  <si>
    <t>V1101813</t>
  </si>
  <si>
    <t>Dr.Shaik Rizwana</t>
  </si>
  <si>
    <t>Bapuji Dental College and Hospital</t>
  </si>
  <si>
    <t>Panineeya Institute of Dental Sciences and Research</t>
  </si>
  <si>
    <t>BDS, MDS</t>
  </si>
  <si>
    <t>A4971</t>
  </si>
  <si>
    <t>drrizwanask@yahoo.co.in</t>
  </si>
  <si>
    <t>20103582834</t>
  </si>
  <si>
    <t>BAOPS4338E</t>
  </si>
  <si>
    <t>988604516236</t>
  </si>
  <si>
    <t>Nabisaheb Yadiki</t>
  </si>
  <si>
    <t>S2-C-65, Sachivalayam Nagar, Vanasthalipuram, K V Rangareddy, Telangana -500070.</t>
  </si>
  <si>
    <t>Dr.Peddi Uday Kumar</t>
  </si>
  <si>
    <t>Bharathi Vidyapeeth Deemed University Medical College and Hospital</t>
  </si>
  <si>
    <t>TSMC/FMR/38293</t>
  </si>
  <si>
    <t>udaykumarpeddi8@gmail.com</t>
  </si>
  <si>
    <t>CSDPP6955L</t>
  </si>
  <si>
    <t>285369562986</t>
  </si>
  <si>
    <t>Somaiah Peddi</t>
  </si>
  <si>
    <t>6-2-82/B, Jammibanda Bazar, Khammam, Telangana-507001.</t>
  </si>
  <si>
    <t>Dr.Anil Kumar Kamishetty</t>
  </si>
  <si>
    <t>anil.kamisetty5868@gmail.com</t>
  </si>
  <si>
    <t>860641654677</t>
  </si>
  <si>
    <t>Kamishetty Srinivasulu</t>
  </si>
  <si>
    <t>3-105, Main Road, Anil Traders, Achampet, Mahabubnagar, Telangana-509375</t>
  </si>
  <si>
    <t>Santhosh Nagar</t>
  </si>
  <si>
    <t>Dr. Erukkambattu Jayashankar</t>
  </si>
  <si>
    <t>MBBS, MD-Pathology</t>
  </si>
  <si>
    <t>jayashankarpath@gmail.com</t>
  </si>
  <si>
    <t>20473570018</t>
  </si>
  <si>
    <t>AANPE7633C</t>
  </si>
  <si>
    <t>785560127746</t>
  </si>
  <si>
    <t>Appadorai Erukkambattu</t>
  </si>
  <si>
    <t>H.No:3-7-62/3/9B/ER/2, Plot No:7, Seven Hills Colony, behind Southend Park, Hayathnagar, K.V. Rangareddy, Telangana-500068</t>
  </si>
  <si>
    <t>Dr. Madhu Kumar Vengala</t>
  </si>
  <si>
    <t>Postgraduate Institute of Medical Education and Research</t>
  </si>
  <si>
    <t>APMC/FMR/75122</t>
  </si>
  <si>
    <t>madhukumarvengala@gmail.com</t>
  </si>
  <si>
    <t>20133834221</t>
  </si>
  <si>
    <t>APYPV8003M</t>
  </si>
  <si>
    <t>384734562900</t>
  </si>
  <si>
    <t>Siddaiah Vengala</t>
  </si>
  <si>
    <t>H.No:19-13-103/308, Padmavathi Nilayam Apartments, Narayanapuram, Padmavathi Kalyanamandapaalu backside, Tiruchanur Road, Tirupati (Urban), Chittoor, Andhra Pradesh-517501</t>
  </si>
  <si>
    <t>Dr. Ramanna Kol Lavanya</t>
  </si>
  <si>
    <t>722934563168</t>
  </si>
  <si>
    <t>Ramanna Kol Laxman</t>
  </si>
  <si>
    <t>H.No:2-103/1, Kummari Basthi, Old Alwal, Near Sai Baba Temple, Alwal, Secunderabad, Hyderabad, Telangana-500010</t>
  </si>
  <si>
    <t>Dr. Srirekha P</t>
  </si>
  <si>
    <t>PES Institute of Medical Sciences and Research</t>
  </si>
  <si>
    <t>dr.rekha84@gmail.com</t>
  </si>
  <si>
    <t>CYCPS9380K</t>
  </si>
  <si>
    <t>839923000281</t>
  </si>
  <si>
    <t>Mitapalya Arjuna Prasad Varma</t>
  </si>
  <si>
    <t>Plot No:504, Pranavsai Residency, Chankyapuri Colony, Joharapuram road, Kurnool, Andhra Pradesh-518002</t>
  </si>
  <si>
    <t>257932869006</t>
  </si>
  <si>
    <t>Ravi Nethi</t>
  </si>
  <si>
    <t>2B-F2400, Beverly Hills Lodha Bellezza, KPHB Colony, Kukatpally PO, Kukatpally, Medchal-Malkajgiri District, Telangana-500072</t>
  </si>
  <si>
    <t>HN 22831</t>
  </si>
  <si>
    <t>Hdfc Bank</t>
  </si>
  <si>
    <t>50100006765779</t>
  </si>
  <si>
    <t>HDFC0000116</t>
  </si>
  <si>
    <t>BCNPA0198P</t>
  </si>
  <si>
    <t>635874102229</t>
  </si>
  <si>
    <t>Ashok Dixit</t>
  </si>
  <si>
    <t>H.No:39, Near Children Memorial School, Raghbir Marg, Patiala, Punjab-147001</t>
  </si>
  <si>
    <t>Dr. Mohd Afroz Haneef</t>
  </si>
  <si>
    <t>TSMC/FMR/08712</t>
  </si>
  <si>
    <t>drafrozhaneef@gmail.com</t>
  </si>
  <si>
    <t>APSPH6420C</t>
  </si>
  <si>
    <t>810246735099</t>
  </si>
  <si>
    <t>Mohd Haneef</t>
  </si>
  <si>
    <t>H.No:11-4-642, Flat No:302, AS Enclave, Opp to PTI Building, AC Guards, Khairatabad, Hyderabad, Telangana-500004</t>
  </si>
  <si>
    <t>PH-Kalyani Nagar - 619</t>
  </si>
  <si>
    <t>Kasba Kol-168</t>
  </si>
  <si>
    <t>Khammam-173</t>
  </si>
  <si>
    <t>Puppalaguda - 100</t>
  </si>
  <si>
    <t>Deepthi Srinagar - 7</t>
  </si>
  <si>
    <t>Chandanagar - 32</t>
  </si>
  <si>
    <t>Somajiguda - 29</t>
  </si>
  <si>
    <t>Kushaiguda - 11</t>
  </si>
  <si>
    <t>Madina - 22</t>
  </si>
  <si>
    <t>Kismathpur - 114</t>
  </si>
  <si>
    <t>PH-Hadapsar - 603</t>
  </si>
  <si>
    <t>PH-Aundh - 606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</si>
</sst>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F400]h:mm:ss\ AM/PM"/>
    <numFmt numFmtId="165" formatCode="_ * #,##0_ ;_ * \-#,##0_ ;_ * &quot;-&quot;??_ ;_ @_ "/>
    <numFmt numFmtId="166" formatCode="[$-F800]dddd\,\ mmmm\ dd\,\ yyyy"/>
    <numFmt numFmtId="167" formatCode="[$-409]d/mmm/yy;@"/>
    <numFmt numFmtId="168" formatCode="d\-mmm\-yyyy;@"/>
    <numFmt numFmtId="169" formatCode="[$-409]d\-mmm\-yy;@"/>
    <numFmt numFmtId="170" formatCode="0;[Red]0"/>
    <numFmt numFmtId="171" formatCode="dd/mmm/yyyy"/>
  </numFmts>
  <fonts count="25"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u/>
      <sz val="11"/>
      <color theme="10"/>
      <name val="Calibri"/>
      <family val="2"/>
      <scheme val="minor"/>
    </font>
    <font>
      <sz val="11"/>
      <name val="Calibri"/>
      <family val="2"/>
      <scheme val="minor"/>
    </font>
    <font>
      <sz val="11"/>
      <color rgb="FF000000"/>
      <name val="Calibri"/>
      <family val="2"/>
      <scheme val="minor"/>
    </font>
    <font>
      <b/>
      <sz val="11"/>
      <name val="Calibri"/>
      <family val="2"/>
      <scheme val="minor"/>
    </font>
    <font>
      <sz val="12"/>
      <color rgb="FF000000"/>
      <name val="Calibri"/>
      <family val="2"/>
      <scheme val="minor"/>
    </font>
    <font>
      <b/>
      <sz val="11"/>
      <color theme="1"/>
      <name val="Calibri"/>
      <family val="2"/>
      <scheme val="minor"/>
    </font>
    <font>
      <u/>
      <sz val="11"/>
      <name val="Calibri"/>
      <family val="2"/>
      <scheme val="minor"/>
    </font>
    <font>
      <u/>
      <sz val="11"/>
      <color rgb="FFFF0000"/>
      <name val="Calibri"/>
      <family val="2"/>
      <scheme val="minor"/>
    </font>
    <font>
      <b/>
      <sz val="8"/>
      <color rgb="FF000000"/>
      <name val="Arial"/>
      <family val="2"/>
    </font>
    <font>
      <b/>
      <sz val="11"/>
      <color rgb="FFFF0000"/>
      <name val="Calibri"/>
      <family val="2"/>
      <scheme val="minor"/>
    </font>
    <font>
      <sz val="12"/>
      <color rgb="FFFF0000"/>
      <name val="Calibri"/>
      <family val="2"/>
      <scheme val="minor"/>
    </font>
    <font>
      <sz val="11"/>
      <color theme="9" tint="-0.499984740745262"/>
      <name val="Calibri"/>
      <family val="2"/>
      <scheme val="minor"/>
    </font>
    <font>
      <sz val="11"/>
      <color rgb="FF212529"/>
      <name val="Calibri"/>
      <family val="2"/>
      <scheme val="minor"/>
    </font>
    <font>
      <sz val="7"/>
      <color rgb="FF212529"/>
      <name val="Calibri"/>
      <family val="2"/>
      <scheme val="minor"/>
    </font>
    <font>
      <b/>
      <u/>
      <sz val="11"/>
      <name val="Calibri"/>
      <family val="2"/>
      <scheme val="minor"/>
    </font>
    <font>
      <u/>
      <sz val="12"/>
      <color rgb="FF000000"/>
      <name val="Calibri"/>
      <family val="2"/>
      <scheme val="minor"/>
    </font>
    <font>
      <sz val="10"/>
      <name val="Calibri"/>
      <family val="2"/>
      <scheme val="minor"/>
    </font>
    <font>
      <b/>
      <sz val="9"/>
      <color indexed="81"/>
      <name val="Tahoma"/>
      <family val="2"/>
    </font>
    <font>
      <sz val="9"/>
      <color indexed="81"/>
      <name val="Tahoma"/>
      <family val="2"/>
    </font>
    <font>
      <sz val="10"/>
      <color indexed="8"/>
      <name val="Arial"/>
      <family val="2"/>
    </font>
    <font>
      <sz val="11"/>
      <color indexed="8"/>
      <name val="Calibri"/>
      <family val="2"/>
    </font>
  </fonts>
  <fills count="12">
    <fill>
      <patternFill patternType="none"/>
    </fill>
    <fill>
      <patternFill patternType="gray125"/>
    </fill>
    <fill>
      <patternFill patternType="solid">
        <fgColor rgb="FF7030A0"/>
        <bgColor indexed="64"/>
      </patternFill>
    </fill>
    <fill>
      <patternFill patternType="solid">
        <fgColor rgb="FFFFFFFF"/>
        <bgColor rgb="FF000000"/>
      </patternFill>
    </fill>
    <fill>
      <patternFill patternType="solid">
        <fgColor theme="4" tint="0.79998168889431442"/>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0" fontId="4" fillId="0" borderId="0" applyNumberFormat="0" applyFill="0" applyBorder="0" applyAlignment="0" applyProtection="0"/>
    <xf numFmtId="166" fontId="1" fillId="0" borderId="0"/>
    <xf numFmtId="0" fontId="1" fillId="0" borderId="0"/>
    <xf numFmtId="166"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166" fontId="4" fillId="0" borderId="0" applyNumberFormat="0" applyFill="0" applyBorder="0" applyAlignment="0" applyProtection="0"/>
    <xf numFmtId="0" fontId="23" fillId="0" borderId="0"/>
  </cellStyleXfs>
  <cellXfs count="596">
    <xf numFmtId="0" fontId="0" fillId="0" borderId="0" xfId="0"/>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right" vertical="center"/>
    </xf>
    <xf numFmtId="0" fontId="2" fillId="2" borderId="1" xfId="0" applyFont="1" applyFill="1" applyBorder="1" applyAlignment="1">
      <alignment horizontal="center" vertical="center"/>
    </xf>
    <xf numFmtId="0" fontId="2" fillId="2" borderId="1" xfId="0" applyNumberFormat="1" applyFont="1" applyFill="1" applyBorder="1" applyAlignment="1">
      <alignment horizontal="left" vertical="center"/>
    </xf>
    <xf numFmtId="164" fontId="2" fillId="2" borderId="1" xfId="0" applyNumberFormat="1" applyFont="1" applyFill="1"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horizontal="left" vertical="center"/>
    </xf>
    <xf numFmtId="0" fontId="2" fillId="2" borderId="1" xfId="0" applyNumberFormat="1" applyFont="1" applyFill="1" applyBorder="1" applyAlignment="1">
      <alignment vertical="center"/>
    </xf>
    <xf numFmtId="0" fontId="5" fillId="0"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right" vertical="center"/>
    </xf>
    <xf numFmtId="0" fontId="0" fillId="0" borderId="1" xfId="0" applyFont="1" applyBorder="1" applyAlignment="1">
      <alignment horizontal="center"/>
    </xf>
    <xf numFmtId="0" fontId="5" fillId="0" borderId="1" xfId="0" applyNumberFormat="1" applyFont="1" applyFill="1" applyBorder="1" applyAlignment="1">
      <alignment horizontal="left" vertical="center"/>
    </xf>
    <xf numFmtId="0" fontId="0" fillId="0" borderId="1" xfId="0" applyFont="1" applyBorder="1" applyAlignment="1">
      <alignment horizontal="left" vertical="center"/>
    </xf>
    <xf numFmtId="0" fontId="0" fillId="0" borderId="1" xfId="0" applyNumberFormat="1" applyFont="1" applyBorder="1" applyAlignment="1">
      <alignment horizontal="center" vertical="center"/>
    </xf>
    <xf numFmtId="21" fontId="0" fillId="0" borderId="1" xfId="0" applyNumberFormat="1" applyFont="1" applyFill="1" applyBorder="1" applyAlignment="1">
      <alignment horizontal="center"/>
    </xf>
    <xf numFmtId="21" fontId="0" fillId="0" borderId="1" xfId="0" applyNumberFormat="1" applyFont="1" applyBorder="1" applyAlignment="1">
      <alignment horizontal="center"/>
    </xf>
    <xf numFmtId="21" fontId="6" fillId="0" borderId="1" xfId="0" applyNumberFormat="1" applyFont="1" applyFill="1" applyBorder="1" applyAlignment="1">
      <alignment horizontal="center"/>
    </xf>
    <xf numFmtId="0" fontId="0" fillId="0" borderId="1" xfId="0" applyFont="1" applyBorder="1" applyAlignment="1">
      <alignment horizontal="right"/>
    </xf>
    <xf numFmtId="0" fontId="0" fillId="0" borderId="1" xfId="0" applyFont="1" applyBorder="1" applyAlignment="1">
      <alignment vertical="center"/>
    </xf>
    <xf numFmtId="0" fontId="0" fillId="0" borderId="1" xfId="0" applyFont="1" applyBorder="1" applyAlignment="1"/>
    <xf numFmtId="0" fontId="5" fillId="0" borderId="1" xfId="0" applyNumberFormat="1" applyFont="1" applyFill="1" applyBorder="1" applyAlignment="1">
      <alignment vertical="center"/>
    </xf>
    <xf numFmtId="0" fontId="0" fillId="0" borderId="1" xfId="0" applyFont="1" applyBorder="1" applyAlignment="1">
      <alignment horizontal="center" vertical="center"/>
    </xf>
    <xf numFmtId="0" fontId="5" fillId="0" borderId="1" xfId="0" applyNumberFormat="1" applyFont="1" applyBorder="1" applyAlignment="1">
      <alignment horizontal="center" vertical="center"/>
    </xf>
    <xf numFmtId="0" fontId="0" fillId="0" borderId="1" xfId="0" applyFont="1" applyFill="1" applyBorder="1" applyAlignment="1">
      <alignment horizontal="center"/>
    </xf>
    <xf numFmtId="0" fontId="0" fillId="0" borderId="1" xfId="0" applyFont="1" applyFill="1" applyBorder="1" applyAlignment="1">
      <alignment horizontal="center" vertical="center"/>
    </xf>
    <xf numFmtId="0" fontId="0" fillId="0" borderId="1" xfId="0" applyFont="1" applyFill="1" applyBorder="1" applyAlignment="1">
      <alignment horizontal="left"/>
    </xf>
    <xf numFmtId="0" fontId="0" fillId="0" borderId="1" xfId="0" applyFont="1" applyFill="1" applyBorder="1" applyAlignment="1">
      <alignment vertical="center"/>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xf>
    <xf numFmtId="0" fontId="0" fillId="0" borderId="1" xfId="0" applyNumberFormat="1" applyFont="1" applyFill="1" applyBorder="1" applyAlignment="1">
      <alignment horizontal="right"/>
    </xf>
    <xf numFmtId="0" fontId="0" fillId="0" borderId="1" xfId="0" applyFont="1" applyFill="1" applyBorder="1" applyAlignment="1"/>
    <xf numFmtId="0" fontId="0" fillId="0" borderId="1" xfId="0" applyFont="1" applyFill="1" applyBorder="1" applyAlignment="1">
      <alignment horizontal="left" vertical="center"/>
    </xf>
    <xf numFmtId="0" fontId="5" fillId="0" borderId="1" xfId="0" applyFont="1" applyFill="1" applyBorder="1" applyAlignment="1">
      <alignment vertical="center"/>
    </xf>
    <xf numFmtId="0" fontId="0" fillId="0" borderId="1" xfId="0" applyNumberFormat="1" applyFont="1" applyFill="1" applyBorder="1" applyAlignment="1">
      <alignment horizontal="center" vertical="center"/>
    </xf>
    <xf numFmtId="0" fontId="0" fillId="0" borderId="1" xfId="0" applyFont="1" applyFill="1" applyBorder="1" applyAlignment="1">
      <alignment horizontal="right"/>
    </xf>
    <xf numFmtId="0" fontId="5" fillId="0" borderId="1" xfId="0" applyFont="1" applyBorder="1" applyAlignment="1">
      <alignment vertical="center"/>
    </xf>
    <xf numFmtId="0" fontId="5" fillId="0" borderId="1" xfId="0" applyFont="1" applyFill="1" applyBorder="1" applyAlignment="1">
      <alignment horizontal="left"/>
    </xf>
    <xf numFmtId="0" fontId="5" fillId="0" borderId="1" xfId="0" applyFont="1" applyFill="1" applyBorder="1" applyAlignment="1">
      <alignment horizontal="center"/>
    </xf>
    <xf numFmtId="0" fontId="5" fillId="0" borderId="1" xfId="0" applyFont="1" applyFill="1" applyBorder="1" applyAlignment="1">
      <alignment horizontal="right"/>
    </xf>
    <xf numFmtId="21" fontId="5" fillId="0" borderId="1" xfId="0" applyNumberFormat="1" applyFont="1" applyFill="1" applyBorder="1" applyAlignment="1">
      <alignment horizontal="center"/>
    </xf>
    <xf numFmtId="0" fontId="5" fillId="0" borderId="1" xfId="0" applyFont="1" applyFill="1" applyBorder="1" applyAlignment="1"/>
    <xf numFmtId="1" fontId="5" fillId="0" borderId="1" xfId="0" applyNumberFormat="1" applyFont="1" applyFill="1" applyBorder="1" applyAlignment="1">
      <alignment horizontal="center"/>
    </xf>
    <xf numFmtId="0" fontId="6" fillId="0" borderId="1" xfId="0" applyFont="1" applyFill="1" applyBorder="1" applyAlignment="1">
      <alignment horizontal="left"/>
    </xf>
    <xf numFmtId="0" fontId="3" fillId="4" borderId="1" xfId="0" applyFont="1" applyFill="1" applyBorder="1" applyAlignment="1">
      <alignment horizontal="center"/>
    </xf>
    <xf numFmtId="0" fontId="3" fillId="4" borderId="1" xfId="0" applyFont="1" applyFill="1" applyBorder="1" applyAlignment="1">
      <alignment horizontal="right"/>
    </xf>
    <xf numFmtId="0" fontId="3" fillId="4" borderId="1" xfId="0" applyNumberFormat="1" applyFont="1" applyFill="1" applyBorder="1" applyAlignment="1">
      <alignment horizontal="left" vertical="center"/>
    </xf>
    <xf numFmtId="0" fontId="3" fillId="4" borderId="1" xfId="0" applyFont="1" applyFill="1" applyBorder="1" applyAlignment="1">
      <alignment horizontal="left"/>
    </xf>
    <xf numFmtId="21" fontId="3" fillId="4" borderId="1" xfId="0" applyNumberFormat="1" applyFont="1" applyFill="1" applyBorder="1" applyAlignment="1">
      <alignment horizontal="center"/>
    </xf>
    <xf numFmtId="0" fontId="3" fillId="4" borderId="1" xfId="0" applyFont="1" applyFill="1" applyBorder="1" applyAlignment="1">
      <alignment vertical="center"/>
    </xf>
    <xf numFmtId="0" fontId="3" fillId="4" borderId="1" xfId="0" applyNumberFormat="1" applyFont="1" applyFill="1" applyBorder="1" applyAlignment="1">
      <alignment vertical="center"/>
    </xf>
    <xf numFmtId="0" fontId="3" fillId="4" borderId="1" xfId="0" applyFont="1" applyFill="1" applyBorder="1" applyAlignment="1"/>
    <xf numFmtId="0" fontId="3" fillId="4" borderId="1" xfId="0" applyFont="1" applyFill="1" applyBorder="1" applyAlignment="1">
      <alignment horizontal="center" vertical="center"/>
    </xf>
    <xf numFmtId="0" fontId="3" fillId="4" borderId="1" xfId="0" applyNumberFormat="1" applyFont="1" applyFill="1" applyBorder="1" applyAlignment="1">
      <alignment horizontal="center" vertical="center"/>
    </xf>
    <xf numFmtId="0" fontId="3" fillId="4" borderId="1" xfId="0" applyFont="1" applyFill="1" applyBorder="1" applyAlignment="1">
      <alignment horizontal="left" vertical="center"/>
    </xf>
    <xf numFmtId="165" fontId="5" fillId="0" borderId="1" xfId="1" applyNumberFormat="1" applyFont="1" applyFill="1" applyBorder="1" applyAlignment="1">
      <alignment horizontal="center" vertical="center"/>
    </xf>
    <xf numFmtId="166" fontId="5" fillId="0" borderId="1" xfId="3" applyFont="1" applyFill="1" applyBorder="1" applyAlignment="1"/>
    <xf numFmtId="0" fontId="5" fillId="0" borderId="1" xfId="4" applyFont="1" applyFill="1" applyBorder="1" applyAlignment="1">
      <alignment horizontal="left" vertical="center"/>
    </xf>
    <xf numFmtId="166" fontId="0" fillId="0" borderId="1" xfId="3" applyFont="1" applyBorder="1" applyAlignment="1">
      <alignment horizontal="left" vertical="center"/>
    </xf>
    <xf numFmtId="0" fontId="5" fillId="0" borderId="1" xfId="3" applyNumberFormat="1" applyFont="1" applyFill="1" applyBorder="1" applyAlignment="1">
      <alignment horizontal="center" vertical="center"/>
    </xf>
    <xf numFmtId="166" fontId="5" fillId="0" borderId="1" xfId="3" applyFont="1" applyFill="1" applyBorder="1" applyAlignment="1">
      <alignment horizontal="center" vertical="center"/>
    </xf>
    <xf numFmtId="166" fontId="5" fillId="0" borderId="1" xfId="3" applyFont="1" applyFill="1" applyBorder="1" applyAlignment="1">
      <alignment horizontal="left" vertical="center"/>
    </xf>
    <xf numFmtId="0" fontId="5" fillId="0" borderId="1" xfId="4" applyFont="1" applyFill="1" applyBorder="1" applyAlignment="1">
      <alignment horizontal="center" vertical="center"/>
    </xf>
    <xf numFmtId="0" fontId="5" fillId="0" borderId="1" xfId="0" applyNumberFormat="1" applyFont="1" applyFill="1" applyBorder="1" applyAlignment="1">
      <alignment horizontal="right" vertical="center"/>
    </xf>
    <xf numFmtId="164" fontId="5" fillId="0" borderId="1" xfId="0" applyNumberFormat="1" applyFont="1" applyFill="1" applyBorder="1" applyAlignment="1">
      <alignment horizontal="center" vertical="center"/>
    </xf>
    <xf numFmtId="0" fontId="0" fillId="0" borderId="1" xfId="0" applyBorder="1"/>
    <xf numFmtId="164" fontId="5" fillId="0" borderId="1" xfId="0" quotePrefix="1" applyNumberFormat="1" applyFont="1" applyFill="1" applyBorder="1" applyAlignment="1">
      <alignment horizontal="center" vertical="center"/>
    </xf>
    <xf numFmtId="49" fontId="5" fillId="0" borderId="1" xfId="0" applyNumberFormat="1" applyFont="1" applyFill="1" applyBorder="1" applyAlignment="1">
      <alignment horizontal="left" vertical="center"/>
    </xf>
    <xf numFmtId="0" fontId="0" fillId="0" borderId="1" xfId="0" applyFont="1" applyBorder="1" applyAlignment="1">
      <alignment horizontal="left"/>
    </xf>
    <xf numFmtId="0" fontId="5" fillId="0" borderId="1" xfId="0" applyNumberFormat="1" applyFont="1" applyBorder="1" applyAlignment="1">
      <alignment horizontal="right" vertical="center"/>
    </xf>
    <xf numFmtId="0" fontId="5" fillId="0" borderId="1" xfId="0" applyFont="1" applyBorder="1" applyAlignment="1">
      <alignment horizontal="center" vertical="center"/>
    </xf>
    <xf numFmtId="0"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5" fillId="0" borderId="1" xfId="0" applyNumberFormat="1" applyFont="1" applyBorder="1" applyAlignment="1">
      <alignment horizontal="left" vertical="center"/>
    </xf>
    <xf numFmtId="164" fontId="3" fillId="4" borderId="1" xfId="0" applyNumberFormat="1" applyFont="1" applyFill="1" applyBorder="1" applyAlignment="1">
      <alignment horizontal="center" vertical="center"/>
    </xf>
    <xf numFmtId="0" fontId="3" fillId="4" borderId="1" xfId="0" applyNumberFormat="1" applyFont="1" applyFill="1" applyBorder="1" applyAlignment="1">
      <alignment horizontal="right" vertical="center"/>
    </xf>
    <xf numFmtId="0" fontId="5" fillId="0" borderId="1" xfId="4" applyNumberFormat="1" applyFont="1" applyFill="1" applyBorder="1" applyAlignment="1">
      <alignment horizontal="center" vertical="center"/>
    </xf>
    <xf numFmtId="0" fontId="5" fillId="0" borderId="1" xfId="0" applyNumberFormat="1" applyFont="1" applyFill="1" applyBorder="1" applyAlignment="1">
      <alignment horizontal="right"/>
    </xf>
    <xf numFmtId="0" fontId="5" fillId="0" borderId="1" xfId="4" applyNumberFormat="1" applyFont="1" applyFill="1" applyBorder="1" applyAlignment="1">
      <alignment horizontal="right" vertical="center"/>
    </xf>
    <xf numFmtId="20" fontId="5" fillId="0" borderId="1" xfId="0" applyNumberFormat="1" applyFont="1" applyFill="1" applyBorder="1" applyAlignment="1">
      <alignment horizontal="center"/>
    </xf>
    <xf numFmtId="0" fontId="5" fillId="5" borderId="1" xfId="0" applyNumberFormat="1" applyFont="1" applyFill="1" applyBorder="1" applyAlignment="1">
      <alignment horizontal="left" vertical="center"/>
    </xf>
    <xf numFmtId="0" fontId="5" fillId="5" borderId="1" xfId="0" applyFont="1" applyFill="1" applyBorder="1" applyAlignment="1">
      <alignment horizontal="left" vertical="center"/>
    </xf>
    <xf numFmtId="164" fontId="5" fillId="0" borderId="1" xfId="0" applyNumberFormat="1" applyFont="1" applyBorder="1" applyAlignment="1">
      <alignment horizontal="center"/>
    </xf>
    <xf numFmtId="0" fontId="5" fillId="0" borderId="1" xfId="0" applyNumberFormat="1" applyFont="1" applyFill="1" applyBorder="1" applyAlignment="1">
      <alignment horizontal="left"/>
    </xf>
    <xf numFmtId="0" fontId="5" fillId="0" borderId="1" xfId="0" applyNumberFormat="1" applyFont="1" applyFill="1" applyBorder="1" applyAlignment="1">
      <alignment horizontal="center"/>
    </xf>
    <xf numFmtId="0" fontId="5" fillId="0" borderId="1" xfId="0" applyNumberFormat="1" applyFont="1" applyBorder="1" applyAlignment="1">
      <alignment horizontal="left"/>
    </xf>
    <xf numFmtId="0" fontId="5" fillId="0" borderId="1" xfId="0" applyFont="1" applyBorder="1" applyAlignment="1"/>
    <xf numFmtId="164" fontId="3" fillId="4" borderId="1" xfId="0" quotePrefix="1" applyNumberFormat="1" applyFont="1" applyFill="1" applyBorder="1" applyAlignment="1">
      <alignment horizontal="center" vertical="center"/>
    </xf>
    <xf numFmtId="0" fontId="5" fillId="0" borderId="1" xfId="0" applyFont="1" applyBorder="1" applyAlignment="1">
      <alignment horizontal="left"/>
    </xf>
    <xf numFmtId="0" fontId="5" fillId="0" borderId="1" xfId="0" applyFont="1" applyBorder="1" applyAlignment="1">
      <alignment horizontal="center"/>
    </xf>
    <xf numFmtId="0" fontId="5" fillId="0" borderId="1" xfId="0" applyNumberFormat="1" applyFont="1" applyBorder="1" applyAlignment="1">
      <alignment horizontal="center"/>
    </xf>
    <xf numFmtId="164" fontId="5" fillId="0" borderId="1" xfId="0" quotePrefix="1" applyNumberFormat="1" applyFont="1" applyBorder="1" applyAlignment="1">
      <alignment horizontal="center"/>
    </xf>
    <xf numFmtId="164" fontId="5" fillId="0" borderId="1" xfId="0" quotePrefix="1" applyNumberFormat="1" applyFont="1" applyBorder="1" applyAlignment="1">
      <alignment horizontal="center" vertical="center"/>
    </xf>
    <xf numFmtId="0" fontId="5" fillId="0" borderId="1" xfId="3" applyNumberFormat="1" applyFont="1" applyFill="1" applyBorder="1" applyAlignment="1">
      <alignment horizontal="right" vertical="center"/>
    </xf>
    <xf numFmtId="166" fontId="5" fillId="0" borderId="1" xfId="3" applyFont="1" applyFill="1" applyBorder="1" applyAlignment="1">
      <alignment horizontal="left"/>
    </xf>
    <xf numFmtId="164" fontId="5" fillId="0" borderId="1" xfId="3" applyNumberFormat="1" applyFont="1" applyFill="1" applyBorder="1" applyAlignment="1">
      <alignment horizontal="center" vertical="center"/>
    </xf>
    <xf numFmtId="0" fontId="5" fillId="0" borderId="1" xfId="3" applyNumberFormat="1" applyFont="1" applyFill="1" applyBorder="1" applyAlignment="1">
      <alignment horizontal="left" vertical="center"/>
    </xf>
    <xf numFmtId="166" fontId="5" fillId="0" borderId="1" xfId="3" applyFont="1" applyFill="1" applyBorder="1" applyAlignment="1">
      <alignment vertical="center"/>
    </xf>
    <xf numFmtId="21" fontId="3" fillId="4" borderId="1" xfId="0" applyNumberFormat="1" applyFont="1" applyFill="1" applyBorder="1" applyAlignment="1">
      <alignment horizontal="center" vertical="center"/>
    </xf>
    <xf numFmtId="21" fontId="5" fillId="0" borderId="1" xfId="0" applyNumberFormat="1" applyFont="1" applyBorder="1" applyAlignment="1">
      <alignment horizontal="center" vertical="center"/>
    </xf>
    <xf numFmtId="21" fontId="5" fillId="0" borderId="1" xfId="0" applyNumberFormat="1" applyFont="1" applyFill="1" applyBorder="1" applyAlignment="1">
      <alignment horizontal="center" vertical="center"/>
    </xf>
    <xf numFmtId="0" fontId="5" fillId="0" borderId="1" xfId="0" quotePrefix="1" applyNumberFormat="1" applyFont="1" applyFill="1" applyBorder="1" applyAlignment="1">
      <alignment horizontal="center" vertical="center"/>
    </xf>
    <xf numFmtId="0" fontId="5" fillId="0" borderId="1" xfId="0" quotePrefix="1" applyNumberFormat="1" applyFont="1" applyBorder="1" applyAlignment="1">
      <alignment horizontal="center" vertical="center"/>
    </xf>
    <xf numFmtId="0" fontId="5" fillId="0" borderId="1" xfId="4" applyNumberFormat="1" applyFont="1" applyBorder="1" applyAlignment="1">
      <alignment horizontal="right" vertical="center"/>
    </xf>
    <xf numFmtId="0" fontId="5" fillId="0" borderId="1" xfId="4" applyFont="1" applyBorder="1" applyAlignment="1">
      <alignment horizontal="center" vertical="center"/>
    </xf>
    <xf numFmtId="0" fontId="5" fillId="0" borderId="1" xfId="4" applyFont="1" applyBorder="1" applyAlignment="1">
      <alignment horizontal="left" vertical="center"/>
    </xf>
    <xf numFmtId="0" fontId="5" fillId="0" borderId="1" xfId="4" applyNumberFormat="1" applyFont="1" applyBorder="1" applyAlignment="1">
      <alignment horizontal="center" vertical="center"/>
    </xf>
    <xf numFmtId="0" fontId="3" fillId="4" borderId="1" xfId="4" applyFont="1" applyFill="1" applyBorder="1" applyAlignment="1">
      <alignment vertical="center"/>
    </xf>
    <xf numFmtId="0" fontId="3" fillId="4" borderId="1" xfId="4" applyFont="1" applyFill="1" applyBorder="1" applyAlignment="1">
      <alignment horizontal="center" vertical="center"/>
    </xf>
    <xf numFmtId="0" fontId="3" fillId="4" borderId="1" xfId="4" applyNumberFormat="1" applyFont="1" applyFill="1" applyBorder="1" applyAlignment="1">
      <alignment horizontal="center" vertical="center"/>
    </xf>
    <xf numFmtId="0" fontId="3" fillId="4" borderId="1" xfId="4" applyFont="1" applyFill="1" applyBorder="1" applyAlignment="1">
      <alignment horizontal="left" vertical="center"/>
    </xf>
    <xf numFmtId="0" fontId="0" fillId="0" borderId="1" xfId="0" applyNumberFormat="1" applyFont="1" applyFill="1" applyBorder="1" applyAlignment="1">
      <alignment horizontal="right" vertical="center"/>
    </xf>
    <xf numFmtId="164" fontId="0" fillId="0" borderId="1" xfId="0" applyNumberFormat="1" applyFont="1" applyFill="1" applyBorder="1" applyAlignment="1">
      <alignment horizontal="center" vertical="center"/>
    </xf>
    <xf numFmtId="0" fontId="0" fillId="0" borderId="1" xfId="0" applyNumberFormat="1" applyFont="1" applyFill="1" applyBorder="1" applyAlignment="1">
      <alignment horizontal="left" vertical="center"/>
    </xf>
    <xf numFmtId="0" fontId="7" fillId="0" borderId="1" xfId="0" applyFont="1" applyFill="1" applyBorder="1" applyAlignment="1">
      <alignment horizontal="center" vertical="center"/>
    </xf>
    <xf numFmtId="0" fontId="6" fillId="0" borderId="1" xfId="0" applyNumberFormat="1" applyFont="1" applyFill="1" applyBorder="1" applyAlignment="1">
      <alignment horizontal="right" vertical="center"/>
    </xf>
    <xf numFmtId="164" fontId="0" fillId="0" borderId="1" xfId="0" applyNumberFormat="1" applyFont="1" applyBorder="1" applyAlignment="1">
      <alignment horizontal="center" vertical="center"/>
    </xf>
    <xf numFmtId="166" fontId="6" fillId="0" borderId="1" xfId="3" applyFont="1" applyFill="1" applyBorder="1" applyAlignment="1">
      <alignment horizontal="left"/>
    </xf>
    <xf numFmtId="0" fontId="5" fillId="0" borderId="1" xfId="4" applyFont="1" applyFill="1" applyBorder="1" applyAlignment="1">
      <alignment horizontal="center"/>
    </xf>
    <xf numFmtId="164" fontId="5" fillId="0" borderId="1" xfId="0" applyNumberFormat="1" applyFont="1" applyFill="1" applyBorder="1" applyAlignment="1">
      <alignment horizontal="center"/>
    </xf>
    <xf numFmtId="164" fontId="5" fillId="0" borderId="1" xfId="0" quotePrefix="1" applyNumberFormat="1" applyFont="1" applyFill="1" applyBorder="1" applyAlignment="1">
      <alignment horizontal="center"/>
    </xf>
    <xf numFmtId="0" fontId="5" fillId="0" borderId="1" xfId="4" applyFont="1" applyBorder="1" applyAlignment="1">
      <alignment horizontal="left"/>
    </xf>
    <xf numFmtId="0" fontId="5" fillId="0" borderId="1" xfId="4" applyFont="1" applyFill="1" applyBorder="1" applyAlignment="1">
      <alignment horizontal="left"/>
    </xf>
    <xf numFmtId="0" fontId="5" fillId="0" borderId="1" xfId="4" applyNumberFormat="1" applyFont="1" applyFill="1" applyBorder="1" applyAlignment="1">
      <alignment horizontal="center"/>
    </xf>
    <xf numFmtId="0" fontId="0" fillId="0" borderId="1" xfId="3" applyNumberFormat="1" applyFont="1" applyBorder="1" applyAlignment="1">
      <alignment horizontal="left"/>
    </xf>
    <xf numFmtId="0" fontId="5" fillId="0" borderId="1" xfId="0" applyNumberFormat="1" applyFont="1" applyFill="1" applyBorder="1" applyAlignment="1"/>
    <xf numFmtId="0" fontId="0" fillId="0" borderId="1" xfId="3" applyNumberFormat="1" applyFont="1" applyFill="1" applyBorder="1"/>
    <xf numFmtId="0" fontId="0" fillId="0" borderId="1" xfId="3" applyNumberFormat="1" applyFont="1" applyFill="1" applyBorder="1" applyAlignment="1">
      <alignment horizontal="left"/>
    </xf>
    <xf numFmtId="0" fontId="1" fillId="0" borderId="1" xfId="3" applyNumberFormat="1" applyFont="1" applyFill="1" applyBorder="1" applyAlignment="1">
      <alignment vertical="center"/>
    </xf>
    <xf numFmtId="0" fontId="1" fillId="0" borderId="1" xfId="3" applyNumberFormat="1" applyFont="1" applyFill="1" applyBorder="1" applyAlignment="1">
      <alignment horizontal="left" vertical="center"/>
    </xf>
    <xf numFmtId="166" fontId="1" fillId="0" borderId="1" xfId="3" applyFont="1" applyFill="1" applyBorder="1" applyAlignment="1">
      <alignment vertical="center"/>
    </xf>
    <xf numFmtId="166" fontId="1" fillId="0" borderId="1" xfId="3" applyFont="1" applyBorder="1" applyAlignment="1">
      <alignment horizontal="left" vertical="center"/>
    </xf>
    <xf numFmtId="0" fontId="0" fillId="0" borderId="1" xfId="3" applyNumberFormat="1" applyFont="1" applyFill="1" applyBorder="1" applyAlignment="1">
      <alignment horizontal="left" vertical="center"/>
    </xf>
    <xf numFmtId="166" fontId="0" fillId="0" borderId="1" xfId="3" applyFont="1" applyFill="1" applyBorder="1" applyAlignment="1">
      <alignment horizontal="left" vertical="center"/>
    </xf>
    <xf numFmtId="0" fontId="0" fillId="0" borderId="1" xfId="3" applyNumberFormat="1" applyFont="1" applyFill="1" applyBorder="1" applyAlignment="1">
      <alignment vertical="center"/>
    </xf>
    <xf numFmtId="0" fontId="8" fillId="0" borderId="1" xfId="0" applyFont="1" applyBorder="1"/>
    <xf numFmtId="0" fontId="5" fillId="0" borderId="1" xfId="3" applyNumberFormat="1" applyFont="1" applyFill="1" applyBorder="1" applyAlignment="1">
      <alignment horizontal="center"/>
    </xf>
    <xf numFmtId="0" fontId="5" fillId="0" borderId="1" xfId="3" applyNumberFormat="1" applyFont="1" applyFill="1" applyBorder="1" applyAlignment="1">
      <alignment horizontal="left"/>
    </xf>
    <xf numFmtId="21" fontId="5" fillId="0" borderId="1" xfId="3" applyNumberFormat="1" applyFont="1" applyFill="1" applyBorder="1" applyAlignment="1">
      <alignment horizontal="center" vertical="center"/>
    </xf>
    <xf numFmtId="166" fontId="0" fillId="0" borderId="1" xfId="3" applyFont="1" applyBorder="1" applyAlignment="1">
      <alignment horizontal="left" vertical="center" wrapText="1"/>
    </xf>
    <xf numFmtId="0" fontId="5" fillId="0" borderId="1" xfId="3" applyNumberFormat="1" applyFont="1" applyFill="1" applyBorder="1" applyAlignment="1">
      <alignment vertical="center"/>
    </xf>
    <xf numFmtId="166" fontId="1" fillId="0" borderId="1" xfId="3" applyFont="1" applyFill="1" applyBorder="1" applyAlignment="1">
      <alignment horizontal="left" vertical="center" wrapText="1"/>
    </xf>
    <xf numFmtId="166" fontId="5" fillId="0" borderId="1" xfId="3" applyFont="1" applyBorder="1" applyAlignment="1">
      <alignment horizontal="left" vertical="center"/>
    </xf>
    <xf numFmtId="0" fontId="0" fillId="0" borderId="1" xfId="3" applyNumberFormat="1" applyFont="1" applyBorder="1" applyAlignment="1">
      <alignment horizontal="left" vertical="center"/>
    </xf>
    <xf numFmtId="166" fontId="0" fillId="0" borderId="1" xfId="3" applyFont="1" applyFill="1" applyBorder="1" applyAlignment="1">
      <alignment horizontal="left"/>
    </xf>
    <xf numFmtId="166" fontId="5" fillId="0" borderId="1" xfId="3" applyFont="1" applyBorder="1" applyAlignment="1">
      <alignment horizontal="left"/>
    </xf>
    <xf numFmtId="15"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NumberFormat="1" applyFont="1" applyFill="1" applyBorder="1" applyAlignment="1">
      <alignment horizontal="left" vertical="center" wrapText="1"/>
    </xf>
    <xf numFmtId="14"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14" fontId="2" fillId="2" borderId="1" xfId="0" applyNumberFormat="1" applyFont="1" applyFill="1" applyBorder="1" applyAlignment="1">
      <alignment horizontal="center" vertical="center" wrapText="1"/>
    </xf>
    <xf numFmtId="167" fontId="2" fillId="2" borderId="1" xfId="0" applyNumberFormat="1" applyFont="1" applyFill="1" applyBorder="1" applyAlignment="1">
      <alignment horizontal="left" vertical="center"/>
    </xf>
    <xf numFmtId="1" fontId="2" fillId="2" borderId="1" xfId="0" applyNumberFormat="1" applyFont="1" applyFill="1" applyBorder="1" applyAlignment="1">
      <alignment vertical="center"/>
    </xf>
    <xf numFmtId="167" fontId="2" fillId="2" borderId="1" xfId="0" applyNumberFormat="1" applyFont="1" applyFill="1" applyBorder="1" applyAlignment="1">
      <alignment horizontal="center" vertical="center"/>
    </xf>
    <xf numFmtId="15"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5" fontId="5" fillId="0" borderId="1" xfId="0" applyNumberFormat="1" applyFont="1" applyFill="1" applyBorder="1" applyAlignment="1">
      <alignment horizontal="center" vertical="center"/>
    </xf>
    <xf numFmtId="0" fontId="4" fillId="6" borderId="1" xfId="6" applyFont="1" applyFill="1" applyBorder="1" applyAlignment="1">
      <alignment vertical="center"/>
    </xf>
    <xf numFmtId="1" fontId="0" fillId="0" borderId="1" xfId="0" quotePrefix="1" applyNumberFormat="1" applyFont="1" applyBorder="1" applyAlignment="1">
      <alignment horizontal="center" vertical="center"/>
    </xf>
    <xf numFmtId="0" fontId="0" fillId="0" borderId="1" xfId="0" quotePrefix="1" applyFont="1" applyBorder="1" applyAlignment="1">
      <alignment horizontal="center" vertical="center"/>
    </xf>
    <xf numFmtId="14" fontId="0" fillId="0" borderId="1" xfId="0" applyNumberFormat="1" applyFont="1" applyBorder="1" applyAlignment="1"/>
    <xf numFmtId="14" fontId="0" fillId="0" borderId="1" xfId="0" applyNumberFormat="1" applyFont="1" applyBorder="1" applyAlignment="1">
      <alignment horizontal="center"/>
    </xf>
    <xf numFmtId="0" fontId="6" fillId="0" borderId="1" xfId="0" applyFont="1" applyFill="1" applyBorder="1" applyAlignment="1">
      <alignment horizontal="center"/>
    </xf>
    <xf numFmtId="0" fontId="6" fillId="0" borderId="1" xfId="0" applyFont="1" applyFill="1" applyBorder="1" applyAlignment="1"/>
    <xf numFmtId="15" fontId="0" fillId="0" borderId="1" xfId="0" applyNumberFormat="1" applyFont="1" applyFill="1" applyBorder="1" applyAlignment="1">
      <alignment horizontal="center"/>
    </xf>
    <xf numFmtId="0" fontId="0" fillId="0" borderId="1" xfId="0" applyFill="1" applyBorder="1" applyAlignment="1">
      <alignment horizontal="left"/>
    </xf>
    <xf numFmtId="14" fontId="0" fillId="0" borderId="1" xfId="0" applyNumberFormat="1" applyFont="1" applyFill="1" applyBorder="1" applyAlignment="1">
      <alignment horizontal="center"/>
    </xf>
    <xf numFmtId="0" fontId="4" fillId="0" borderId="1" xfId="2" applyFont="1" applyFill="1" applyBorder="1" applyAlignment="1">
      <alignment vertical="center"/>
    </xf>
    <xf numFmtId="0" fontId="0" fillId="0" borderId="1" xfId="0" quotePrefix="1" applyFont="1" applyFill="1" applyBorder="1" applyAlignment="1">
      <alignment horizontal="center"/>
    </xf>
    <xf numFmtId="1" fontId="5" fillId="0" borderId="1" xfId="0" quotePrefix="1" applyNumberFormat="1" applyFont="1" applyFill="1" applyBorder="1" applyAlignment="1">
      <alignment horizontal="center" vertical="center"/>
    </xf>
    <xf numFmtId="14" fontId="0" fillId="0" borderId="1" xfId="0" applyNumberFormat="1" applyFont="1" applyFill="1" applyBorder="1" applyAlignment="1"/>
    <xf numFmtId="15" fontId="0" fillId="0" borderId="1" xfId="0" applyNumberFormat="1" applyFont="1" applyBorder="1" applyAlignment="1">
      <alignment horizontal="center"/>
    </xf>
    <xf numFmtId="49" fontId="5" fillId="0" borderId="1" xfId="3" quotePrefix="1" applyNumberFormat="1" applyFont="1" applyFill="1" applyBorder="1" applyAlignment="1">
      <alignment horizontal="center" vertical="center"/>
    </xf>
    <xf numFmtId="0" fontId="0" fillId="0" borderId="1" xfId="0" quotePrefix="1" applyFont="1" applyBorder="1" applyAlignment="1">
      <alignment horizontal="center"/>
    </xf>
    <xf numFmtId="0" fontId="0" fillId="0" borderId="1" xfId="0" quotePrefix="1" applyFont="1" applyBorder="1" applyAlignment="1"/>
    <xf numFmtId="1" fontId="0" fillId="0" borderId="1" xfId="0" applyNumberFormat="1" applyFont="1" applyBorder="1" applyAlignment="1">
      <alignment horizontal="center"/>
    </xf>
    <xf numFmtId="166" fontId="5" fillId="0" borderId="1" xfId="3" applyFont="1" applyFill="1" applyBorder="1" applyAlignment="1">
      <alignment horizontal="center"/>
    </xf>
    <xf numFmtId="14" fontId="5" fillId="0" borderId="1" xfId="0" applyNumberFormat="1" applyFont="1" applyFill="1" applyBorder="1" applyAlignment="1">
      <alignment horizontal="center"/>
    </xf>
    <xf numFmtId="15" fontId="5" fillId="0" borderId="1" xfId="0" applyNumberFormat="1" applyFont="1" applyFill="1" applyBorder="1" applyAlignment="1">
      <alignment horizontal="center"/>
    </xf>
    <xf numFmtId="1" fontId="0" fillId="0" borderId="1" xfId="0" applyNumberFormat="1" applyFont="1" applyFill="1" applyBorder="1" applyAlignment="1">
      <alignment horizontal="center"/>
    </xf>
    <xf numFmtId="0" fontId="0" fillId="0" borderId="1" xfId="0" applyBorder="1" applyAlignment="1">
      <alignment horizontal="left"/>
    </xf>
    <xf numFmtId="0" fontId="0" fillId="0" borderId="1" xfId="0" quotePrefix="1" applyFont="1" applyFill="1" applyBorder="1" applyAlignment="1"/>
    <xf numFmtId="14" fontId="0" fillId="0" borderId="1" xfId="0" applyNumberFormat="1" applyBorder="1" applyAlignment="1">
      <alignment horizontal="center"/>
    </xf>
    <xf numFmtId="0" fontId="0" fillId="0" borderId="1" xfId="0" quotePrefix="1" applyFont="1" applyFill="1" applyBorder="1" applyAlignment="1">
      <alignment horizontal="left"/>
    </xf>
    <xf numFmtId="14" fontId="0" fillId="7" borderId="1" xfId="0" applyNumberFormat="1" applyFont="1" applyFill="1" applyBorder="1" applyAlignment="1">
      <alignment horizontal="center"/>
    </xf>
    <xf numFmtId="1" fontId="5" fillId="0" borderId="1" xfId="0" applyNumberFormat="1" applyFont="1" applyFill="1" applyBorder="1" applyAlignment="1">
      <alignment horizontal="left"/>
    </xf>
    <xf numFmtId="15" fontId="3" fillId="0" borderId="1" xfId="0" applyNumberFormat="1" applyFont="1" applyFill="1" applyBorder="1" applyAlignment="1">
      <alignment horizontal="center"/>
    </xf>
    <xf numFmtId="0" fontId="0" fillId="0" borderId="1" xfId="0" applyFont="1" applyBorder="1"/>
    <xf numFmtId="14" fontId="0" fillId="0" borderId="1" xfId="0" quotePrefix="1" applyNumberFormat="1" applyFont="1" applyFill="1" applyBorder="1" applyAlignment="1"/>
    <xf numFmtId="1" fontId="0" fillId="0" borderId="1" xfId="0" applyNumberFormat="1" applyFont="1" applyFill="1" applyBorder="1" applyAlignment="1"/>
    <xf numFmtId="15" fontId="3" fillId="4" borderId="1" xfId="0" applyNumberFormat="1" applyFont="1" applyFill="1" applyBorder="1" applyAlignment="1">
      <alignment horizontal="center"/>
    </xf>
    <xf numFmtId="14" fontId="3" fillId="4" borderId="1" xfId="0" applyNumberFormat="1" applyFont="1" applyFill="1" applyBorder="1" applyAlignment="1">
      <alignment horizontal="center"/>
    </xf>
    <xf numFmtId="0" fontId="3" fillId="4" borderId="1" xfId="0" applyNumberFormat="1" applyFont="1" applyFill="1" applyBorder="1" applyAlignment="1">
      <alignment horizontal="center"/>
    </xf>
    <xf numFmtId="49" fontId="3" fillId="4" borderId="1" xfId="0" applyNumberFormat="1" applyFont="1" applyFill="1" applyBorder="1" applyAlignment="1">
      <alignment horizontal="center" vertical="center"/>
    </xf>
    <xf numFmtId="14" fontId="3" fillId="4" borderId="1" xfId="0" applyNumberFormat="1" applyFont="1" applyFill="1" applyBorder="1" applyAlignment="1">
      <alignment horizontal="center" vertical="center"/>
    </xf>
    <xf numFmtId="1" fontId="3" fillId="4" borderId="1" xfId="0" applyNumberFormat="1" applyFont="1" applyFill="1" applyBorder="1" applyAlignment="1"/>
    <xf numFmtId="1" fontId="3" fillId="4" borderId="1" xfId="0" applyNumberFormat="1" applyFont="1" applyFill="1" applyBorder="1" applyAlignment="1">
      <alignment horizontal="center"/>
    </xf>
    <xf numFmtId="0" fontId="3" fillId="4" borderId="1" xfId="0" applyFont="1" applyFill="1" applyBorder="1"/>
    <xf numFmtId="0" fontId="3" fillId="4" borderId="1" xfId="0" quotePrefix="1" applyFont="1" applyFill="1" applyBorder="1" applyAlignment="1"/>
    <xf numFmtId="49" fontId="5" fillId="0" borderId="1" xfId="0" quotePrefix="1" applyNumberFormat="1" applyFont="1" applyFill="1" applyBorder="1" applyAlignment="1">
      <alignment horizontal="center"/>
    </xf>
    <xf numFmtId="49" fontId="5" fillId="0" borderId="1" xfId="0" applyNumberFormat="1" applyFont="1" applyFill="1" applyBorder="1" applyAlignment="1">
      <alignment horizontal="center"/>
    </xf>
    <xf numFmtId="15" fontId="5" fillId="0" borderId="1" xfId="3" applyNumberFormat="1" applyFont="1" applyFill="1" applyBorder="1" applyAlignment="1">
      <alignment horizontal="center"/>
    </xf>
    <xf numFmtId="0" fontId="10" fillId="0" borderId="1" xfId="2" applyFont="1" applyFill="1" applyBorder="1" applyAlignment="1"/>
    <xf numFmtId="2" fontId="5" fillId="0" borderId="1" xfId="0" quotePrefix="1" applyNumberFormat="1" applyFont="1" applyFill="1" applyBorder="1" applyAlignment="1">
      <alignment horizontal="center" vertical="center"/>
    </xf>
    <xf numFmtId="1" fontId="5"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11" fillId="4" borderId="1" xfId="2" applyFont="1" applyFill="1" applyBorder="1" applyAlignment="1"/>
    <xf numFmtId="2" fontId="3" fillId="4" borderId="1" xfId="0" quotePrefix="1"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0" fontId="11" fillId="4" borderId="1" xfId="2" applyFont="1" applyFill="1" applyBorder="1" applyAlignment="1">
      <alignment vertical="center"/>
    </xf>
    <xf numFmtId="0" fontId="3" fillId="4" borderId="1" xfId="0" quotePrefix="1" applyFont="1" applyFill="1" applyBorder="1" applyAlignment="1">
      <alignment horizontal="center"/>
    </xf>
    <xf numFmtId="0" fontId="4" fillId="0" borderId="1" xfId="2" applyFont="1" applyBorder="1" applyAlignment="1">
      <alignment vertical="center"/>
    </xf>
    <xf numFmtId="0" fontId="0" fillId="0" borderId="1" xfId="0" applyNumberFormat="1" applyFont="1" applyBorder="1" applyAlignment="1">
      <alignment horizontal="left" vertical="center"/>
    </xf>
    <xf numFmtId="166" fontId="4" fillId="0" borderId="1" xfId="6" applyNumberFormat="1" applyBorder="1" applyAlignment="1">
      <alignment horizontal="left" vertical="center"/>
    </xf>
    <xf numFmtId="168" fontId="5" fillId="0" borderId="1" xfId="0" applyNumberFormat="1" applyFont="1" applyFill="1" applyBorder="1" applyAlignment="1">
      <alignment horizontal="center" vertical="center"/>
    </xf>
    <xf numFmtId="0" fontId="5" fillId="0" borderId="1" xfId="1"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5" fillId="0" borderId="1" xfId="0" quotePrefix="1" applyNumberFormat="1" applyFont="1" applyFill="1" applyBorder="1" applyAlignment="1">
      <alignment vertical="center"/>
    </xf>
    <xf numFmtId="167" fontId="5" fillId="0" borderId="1" xfId="0" applyNumberFormat="1" applyFont="1" applyFill="1" applyBorder="1" applyAlignment="1">
      <alignment horizontal="center" vertical="center"/>
    </xf>
    <xf numFmtId="0" fontId="10" fillId="0" borderId="1" xfId="6" applyFont="1" applyFill="1" applyBorder="1" applyAlignment="1">
      <alignment vertical="center"/>
    </xf>
    <xf numFmtId="0" fontId="7" fillId="0" borderId="1" xfId="1" applyNumberFormat="1" applyFont="1" applyFill="1" applyBorder="1" applyAlignment="1">
      <alignment horizontal="center" vertical="center"/>
    </xf>
    <xf numFmtId="0" fontId="5" fillId="0" borderId="1" xfId="0" quotePrefix="1" applyFont="1" applyFill="1" applyBorder="1" applyAlignment="1"/>
    <xf numFmtId="0" fontId="10" fillId="0" borderId="1" xfId="2" applyFont="1" applyFill="1" applyBorder="1" applyAlignment="1">
      <alignment vertical="center"/>
    </xf>
    <xf numFmtId="0" fontId="5" fillId="8" borderId="1" xfId="0" applyNumberFormat="1" applyFont="1" applyFill="1" applyBorder="1" applyAlignment="1">
      <alignment horizontal="left" vertical="center"/>
    </xf>
    <xf numFmtId="0" fontId="5" fillId="8" borderId="1" xfId="0" applyFont="1" applyFill="1" applyBorder="1" applyAlignment="1">
      <alignment vertical="center"/>
    </xf>
    <xf numFmtId="49" fontId="5" fillId="0" borderId="1" xfId="0" quotePrefix="1" applyNumberFormat="1" applyFont="1" applyFill="1" applyBorder="1" applyAlignment="1">
      <alignment horizontal="center" vertical="center"/>
    </xf>
    <xf numFmtId="14" fontId="0" fillId="0" borderId="1" xfId="0" applyNumberFormat="1" applyBorder="1"/>
    <xf numFmtId="0" fontId="5" fillId="0" borderId="1" xfId="0" quotePrefix="1" applyNumberFormat="1" applyFont="1" applyFill="1" applyBorder="1" applyAlignment="1">
      <alignment horizontal="left" vertical="center"/>
    </xf>
    <xf numFmtId="0" fontId="5" fillId="0" borderId="1" xfId="0" quotePrefix="1" applyFont="1" applyFill="1" applyBorder="1" applyAlignment="1">
      <alignment vertical="center"/>
    </xf>
    <xf numFmtId="15" fontId="0" fillId="0" borderId="1" xfId="0" applyNumberFormat="1" applyBorder="1" applyAlignment="1">
      <alignment horizontal="center"/>
    </xf>
    <xf numFmtId="0" fontId="12" fillId="0" borderId="1" xfId="0" applyFont="1" applyBorder="1"/>
    <xf numFmtId="0" fontId="10" fillId="0" borderId="1" xfId="6" applyFont="1" applyFill="1" applyBorder="1" applyAlignment="1">
      <alignment horizontal="left" vertical="center"/>
    </xf>
    <xf numFmtId="15" fontId="5" fillId="7" borderId="1" xfId="0" applyNumberFormat="1" applyFont="1" applyFill="1" applyBorder="1" applyAlignment="1">
      <alignment horizontal="center" vertical="center"/>
    </xf>
    <xf numFmtId="15" fontId="3" fillId="4" borderId="1" xfId="0" applyNumberFormat="1" applyFont="1" applyFill="1" applyBorder="1" applyAlignment="1">
      <alignment horizontal="center" vertical="center"/>
    </xf>
    <xf numFmtId="0" fontId="3" fillId="4" borderId="1" xfId="1" applyNumberFormat="1" applyFont="1" applyFill="1" applyBorder="1" applyAlignment="1">
      <alignment horizontal="center" vertical="center"/>
    </xf>
    <xf numFmtId="0" fontId="11" fillId="4" borderId="1" xfId="6" applyFont="1" applyFill="1" applyBorder="1" applyAlignment="1">
      <alignment vertical="center"/>
    </xf>
    <xf numFmtId="0" fontId="3" fillId="4" borderId="1" xfId="0" quotePrefix="1" applyNumberFormat="1" applyFont="1" applyFill="1" applyBorder="1" applyAlignment="1">
      <alignment vertical="center"/>
    </xf>
    <xf numFmtId="167" fontId="3" fillId="4" borderId="1" xfId="0" applyNumberFormat="1" applyFont="1" applyFill="1" applyBorder="1" applyAlignment="1">
      <alignment horizontal="center" vertical="center"/>
    </xf>
    <xf numFmtId="0" fontId="5" fillId="8" borderId="1" xfId="0" applyNumberFormat="1" applyFont="1" applyFill="1" applyBorder="1" applyAlignment="1">
      <alignment vertical="center"/>
    </xf>
    <xf numFmtId="14" fontId="5" fillId="8" borderId="1" xfId="0" applyNumberFormat="1" applyFont="1" applyFill="1" applyBorder="1" applyAlignment="1">
      <alignment horizontal="center" vertical="center"/>
    </xf>
    <xf numFmtId="15" fontId="5" fillId="0" borderId="1" xfId="0" applyNumberFormat="1" applyFont="1" applyFill="1" applyBorder="1" applyAlignment="1">
      <alignment horizontal="left" vertical="center"/>
    </xf>
    <xf numFmtId="15" fontId="5" fillId="0" borderId="1" xfId="4" applyNumberFormat="1" applyFont="1" applyBorder="1" applyAlignment="1">
      <alignment horizontal="center" vertical="center"/>
    </xf>
    <xf numFmtId="15" fontId="5" fillId="0" borderId="1" xfId="0" applyNumberFormat="1" applyFont="1" applyBorder="1" applyAlignment="1">
      <alignment horizontal="center" vertical="center"/>
    </xf>
    <xf numFmtId="0" fontId="10" fillId="0" borderId="1" xfId="6" applyNumberFormat="1" applyFont="1" applyBorder="1" applyAlignment="1">
      <alignment vertical="center"/>
    </xf>
    <xf numFmtId="49"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1" fontId="5" fillId="0" borderId="1" xfId="0" quotePrefix="1" applyNumberFormat="1" applyFont="1" applyBorder="1" applyAlignment="1">
      <alignment horizontal="left" vertical="center"/>
    </xf>
    <xf numFmtId="167" fontId="5" fillId="0" borderId="1" xfId="0" applyNumberFormat="1" applyFont="1" applyBorder="1" applyAlignment="1">
      <alignment horizontal="center" vertical="center"/>
    </xf>
    <xf numFmtId="0" fontId="5" fillId="8" borderId="1" xfId="0" applyFont="1" applyFill="1" applyBorder="1" applyAlignment="1">
      <alignment horizontal="left" vertical="center"/>
    </xf>
    <xf numFmtId="0" fontId="5" fillId="0" borderId="1" xfId="1" applyNumberFormat="1" applyFont="1" applyBorder="1" applyAlignment="1">
      <alignment horizontal="left" vertical="center"/>
    </xf>
    <xf numFmtId="0" fontId="10" fillId="0" borderId="1" xfId="6" applyFont="1" applyBorder="1" applyAlignment="1">
      <alignment vertical="center"/>
    </xf>
    <xf numFmtId="49" fontId="5" fillId="0" borderId="1" xfId="0" quotePrefix="1" applyNumberFormat="1" applyFont="1" applyBorder="1" applyAlignment="1">
      <alignment horizontal="center" vertical="center"/>
    </xf>
    <xf numFmtId="0" fontId="5" fillId="8" borderId="1" xfId="0" quotePrefix="1" applyNumberFormat="1" applyFont="1" applyFill="1" applyBorder="1" applyAlignment="1">
      <alignment horizontal="left" vertical="center"/>
    </xf>
    <xf numFmtId="15" fontId="5" fillId="0" borderId="1" xfId="4" applyNumberFormat="1" applyFont="1" applyFill="1" applyBorder="1" applyAlignment="1">
      <alignment horizontal="center" vertical="center"/>
    </xf>
    <xf numFmtId="0" fontId="11" fillId="4" borderId="1" xfId="6" applyFont="1" applyFill="1" applyBorder="1" applyAlignment="1">
      <alignment horizontal="left" vertical="center"/>
    </xf>
    <xf numFmtId="0" fontId="4" fillId="0" borderId="1" xfId="6" applyFill="1" applyBorder="1" applyAlignment="1">
      <alignment vertical="center"/>
    </xf>
    <xf numFmtId="14" fontId="5" fillId="0" borderId="1" xfId="0" quotePrefix="1" applyNumberFormat="1" applyFont="1" applyFill="1" applyBorder="1" applyAlignment="1">
      <alignment vertical="center"/>
    </xf>
    <xf numFmtId="3" fontId="5" fillId="0" borderId="1" xfId="1" applyNumberFormat="1" applyFont="1" applyFill="1" applyBorder="1" applyAlignment="1">
      <alignment horizontal="center"/>
    </xf>
    <xf numFmtId="0" fontId="5" fillId="0" borderId="1" xfId="1" applyNumberFormat="1" applyFont="1" applyFill="1" applyBorder="1" applyAlignment="1">
      <alignment horizontal="center"/>
    </xf>
    <xf numFmtId="0" fontId="10" fillId="0" borderId="1" xfId="6" applyFont="1" applyFill="1" applyBorder="1" applyAlignment="1"/>
    <xf numFmtId="167" fontId="5" fillId="0" borderId="1" xfId="0" applyNumberFormat="1" applyFont="1" applyFill="1" applyBorder="1" applyAlignment="1">
      <alignment horizontal="center"/>
    </xf>
    <xf numFmtId="0" fontId="7" fillId="0" borderId="1" xfId="0" applyNumberFormat="1" applyFont="1" applyFill="1" applyBorder="1" applyAlignment="1">
      <alignment vertical="center"/>
    </xf>
    <xf numFmtId="14" fontId="5" fillId="0" borderId="1" xfId="0" applyNumberFormat="1" applyFont="1" applyFill="1" applyBorder="1" applyAlignment="1">
      <alignment vertical="center"/>
    </xf>
    <xf numFmtId="14" fontId="5" fillId="0" borderId="1" xfId="0" quotePrefix="1" applyNumberFormat="1" applyFont="1" applyFill="1" applyBorder="1" applyAlignment="1">
      <alignment horizontal="center" vertical="center"/>
    </xf>
    <xf numFmtId="0" fontId="13" fillId="4" borderId="1" xfId="0" applyNumberFormat="1" applyFont="1" applyFill="1" applyBorder="1" applyAlignment="1">
      <alignment vertical="center"/>
    </xf>
    <xf numFmtId="0" fontId="13" fillId="4" borderId="1" xfId="0" applyNumberFormat="1" applyFont="1" applyFill="1" applyBorder="1" applyAlignment="1">
      <alignment horizontal="center" vertical="center"/>
    </xf>
    <xf numFmtId="0" fontId="5" fillId="0" borderId="1" xfId="4" applyFont="1" applyFill="1" applyBorder="1" applyAlignment="1">
      <alignment vertical="center"/>
    </xf>
    <xf numFmtId="0" fontId="10" fillId="0" borderId="1" xfId="6" applyNumberFormat="1" applyFont="1" applyFill="1" applyBorder="1" applyAlignment="1">
      <alignment vertical="center"/>
    </xf>
    <xf numFmtId="14" fontId="5" fillId="0" borderId="1" xfId="4" applyNumberFormat="1" applyFont="1" applyFill="1" applyBorder="1" applyAlignment="1">
      <alignment horizontal="center" vertical="center"/>
    </xf>
    <xf numFmtId="0" fontId="0" fillId="0" borderId="1" xfId="0" quotePrefix="1" applyBorder="1"/>
    <xf numFmtId="169" fontId="5" fillId="0" borderId="1" xfId="0" applyNumberFormat="1" applyFont="1" applyFill="1" applyBorder="1" applyAlignment="1">
      <alignment vertical="center"/>
    </xf>
    <xf numFmtId="0" fontId="5" fillId="0" borderId="1" xfId="2" applyNumberFormat="1" applyFont="1" applyFill="1" applyBorder="1" applyAlignment="1">
      <alignment horizontal="center" vertical="center"/>
    </xf>
    <xf numFmtId="0" fontId="5" fillId="9" borderId="1" xfId="0" applyFont="1" applyFill="1" applyBorder="1" applyAlignment="1">
      <alignment vertical="center"/>
    </xf>
    <xf numFmtId="0" fontId="5" fillId="0" borderId="1" xfId="0" quotePrefix="1" applyFont="1" applyFill="1" applyBorder="1" applyAlignment="1">
      <alignment horizontal="left"/>
    </xf>
    <xf numFmtId="0" fontId="5" fillId="0" borderId="1" xfId="1" applyNumberFormat="1" applyFont="1" applyBorder="1" applyAlignment="1">
      <alignment horizontal="center" vertical="center"/>
    </xf>
    <xf numFmtId="0" fontId="5" fillId="0" borderId="1" xfId="0" quotePrefix="1" applyNumberFormat="1" applyFont="1" applyBorder="1" applyAlignment="1">
      <alignment horizontal="left" vertical="center"/>
    </xf>
    <xf numFmtId="0" fontId="0" fillId="0" borderId="1" xfId="0" applyBorder="1" applyAlignment="1">
      <alignment horizontal="center"/>
    </xf>
    <xf numFmtId="15" fontId="0" fillId="0" borderId="1" xfId="0" applyNumberFormat="1" applyBorder="1"/>
    <xf numFmtId="169" fontId="5" fillId="0" borderId="1" xfId="0" applyNumberFormat="1" applyFont="1" applyBorder="1" applyAlignment="1">
      <alignment vertical="center"/>
    </xf>
    <xf numFmtId="0" fontId="5" fillId="5" borderId="1" xfId="0" applyNumberFormat="1" applyFont="1" applyFill="1" applyBorder="1" applyAlignment="1">
      <alignment horizontal="center" vertical="center"/>
    </xf>
    <xf numFmtId="0" fontId="5" fillId="0" borderId="1" xfId="0" quotePrefix="1" applyNumberFormat="1" applyFont="1" applyBorder="1" applyAlignment="1">
      <alignment vertical="center"/>
    </xf>
    <xf numFmtId="0" fontId="10" fillId="0" borderId="1" xfId="0" applyNumberFormat="1" applyFont="1" applyBorder="1" applyAlignment="1">
      <alignment vertical="center"/>
    </xf>
    <xf numFmtId="14" fontId="5" fillId="0" borderId="1" xfId="0" applyNumberFormat="1" applyFont="1" applyBorder="1" applyAlignment="1">
      <alignment horizontal="center"/>
    </xf>
    <xf numFmtId="0" fontId="10" fillId="5" borderId="1" xfId="6" applyNumberFormat="1" applyFont="1" applyFill="1" applyBorder="1" applyAlignment="1">
      <alignment vertical="center"/>
    </xf>
    <xf numFmtId="15" fontId="5" fillId="0" borderId="1" xfId="0" applyNumberFormat="1" applyFont="1" applyBorder="1" applyAlignment="1">
      <alignment horizontal="center"/>
    </xf>
    <xf numFmtId="0" fontId="4" fillId="0" borderId="1" xfId="6" applyNumberFormat="1" applyFill="1" applyBorder="1" applyAlignment="1">
      <alignment vertical="center"/>
    </xf>
    <xf numFmtId="0" fontId="5" fillId="5" borderId="1" xfId="0" applyNumberFormat="1" applyFont="1" applyFill="1" applyBorder="1" applyAlignment="1">
      <alignment horizontal="center"/>
    </xf>
    <xf numFmtId="0" fontId="10" fillId="0" borderId="1" xfId="6" applyNumberFormat="1" applyFont="1" applyFill="1" applyBorder="1" applyAlignment="1"/>
    <xf numFmtId="0" fontId="3" fillId="4" borderId="1" xfId="0" applyNumberFormat="1" applyFont="1" applyFill="1" applyBorder="1" applyAlignment="1"/>
    <xf numFmtId="0" fontId="3" fillId="4" borderId="1" xfId="0" applyNumberFormat="1" applyFont="1" applyFill="1" applyBorder="1" applyAlignment="1">
      <alignment horizontal="left"/>
    </xf>
    <xf numFmtId="0" fontId="11" fillId="4" borderId="1" xfId="6" applyNumberFormat="1" applyFont="1" applyFill="1" applyBorder="1" applyAlignment="1"/>
    <xf numFmtId="0" fontId="10" fillId="0" borderId="1" xfId="6" applyNumberFormat="1" applyFont="1" applyFill="1" applyBorder="1" applyAlignment="1">
      <alignment horizontal="left"/>
    </xf>
    <xf numFmtId="0" fontId="5" fillId="0" borderId="1" xfId="0" applyNumberFormat="1" applyFont="1" applyBorder="1" applyAlignment="1"/>
    <xf numFmtId="15" fontId="5" fillId="0" borderId="1" xfId="4" applyNumberFormat="1" applyFont="1" applyBorder="1" applyAlignment="1">
      <alignment horizontal="center"/>
    </xf>
    <xf numFmtId="167" fontId="5" fillId="0" borderId="1" xfId="0" applyNumberFormat="1" applyFont="1" applyBorder="1" applyAlignment="1">
      <alignment horizontal="center"/>
    </xf>
    <xf numFmtId="15" fontId="3" fillId="4" borderId="1" xfId="4" applyNumberFormat="1" applyFont="1" applyFill="1" applyBorder="1" applyAlignment="1">
      <alignment horizontal="center"/>
    </xf>
    <xf numFmtId="0" fontId="11" fillId="4" borderId="1" xfId="6" applyNumberFormat="1" applyFont="1" applyFill="1" applyBorder="1" applyAlignment="1">
      <alignment horizontal="left"/>
    </xf>
    <xf numFmtId="0" fontId="10" fillId="0" borderId="1" xfId="6" applyNumberFormat="1" applyFont="1" applyFill="1" applyBorder="1" applyAlignment="1">
      <alignment horizontal="left" vertical="center"/>
    </xf>
    <xf numFmtId="15" fontId="3" fillId="4" borderId="1" xfId="4" applyNumberFormat="1" applyFont="1" applyFill="1" applyBorder="1" applyAlignment="1">
      <alignment horizontal="center" vertical="center"/>
    </xf>
    <xf numFmtId="1" fontId="5" fillId="0" borderId="1" xfId="1" applyNumberFormat="1" applyFont="1" applyFill="1" applyBorder="1" applyAlignment="1">
      <alignment horizontal="center" vertical="center"/>
    </xf>
    <xf numFmtId="49" fontId="5" fillId="0" borderId="1" xfId="0" applyNumberFormat="1" applyFont="1" applyBorder="1" applyAlignment="1">
      <alignment vertical="center"/>
    </xf>
    <xf numFmtId="15"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0" fontId="3" fillId="0" borderId="1" xfId="0" applyNumberFormat="1" applyFont="1" applyBorder="1" applyAlignment="1">
      <alignment horizontal="right" vertical="center"/>
    </xf>
    <xf numFmtId="0" fontId="3" fillId="0" borderId="1" xfId="0" applyFont="1" applyBorder="1" applyAlignment="1">
      <alignment horizontal="center" vertical="center"/>
    </xf>
    <xf numFmtId="0" fontId="3" fillId="0" borderId="1" xfId="0" applyNumberFormat="1" applyFont="1" applyFill="1" applyBorder="1" applyAlignment="1">
      <alignment horizontal="left" vertical="center"/>
    </xf>
    <xf numFmtId="0" fontId="3" fillId="0" borderId="1" xfId="0" applyNumberFormat="1" applyFont="1" applyBorder="1" applyAlignment="1">
      <alignment vertical="center"/>
    </xf>
    <xf numFmtId="21"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64" fontId="3" fillId="0" borderId="1" xfId="0" quotePrefix="1" applyNumberFormat="1"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left" vertical="center"/>
    </xf>
    <xf numFmtId="0" fontId="3" fillId="0" borderId="1" xfId="0" applyNumberFormat="1" applyFont="1" applyFill="1" applyBorder="1" applyAlignment="1">
      <alignment vertical="center"/>
    </xf>
    <xf numFmtId="0" fontId="3" fillId="0" borderId="1" xfId="0" applyFont="1" applyFill="1" applyBorder="1" applyAlignment="1">
      <alignment vertical="center"/>
    </xf>
    <xf numFmtId="15" fontId="3" fillId="0" borderId="1" xfId="4" applyNumberFormat="1" applyFont="1" applyBorder="1" applyAlignment="1">
      <alignment horizontal="center" vertical="center"/>
    </xf>
    <xf numFmtId="0" fontId="3" fillId="0" borderId="1" xfId="1" applyNumberFormat="1" applyFont="1" applyBorder="1" applyAlignment="1">
      <alignment horizontal="left" vertical="center"/>
    </xf>
    <xf numFmtId="0" fontId="11" fillId="0" borderId="1" xfId="6" applyFont="1" applyBorder="1" applyAlignment="1">
      <alignment vertical="center"/>
    </xf>
    <xf numFmtId="49" fontId="3" fillId="0" borderId="1" xfId="0" quotePrefix="1" applyNumberFormat="1" applyFont="1" applyBorder="1" applyAlignment="1">
      <alignment horizontal="center" vertical="center"/>
    </xf>
    <xf numFmtId="49"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167" fontId="3" fillId="0" borderId="1" xfId="0" applyNumberFormat="1" applyFont="1" applyBorder="1" applyAlignment="1">
      <alignment horizontal="center" vertical="center"/>
    </xf>
    <xf numFmtId="0" fontId="3" fillId="0" borderId="1" xfId="0" applyNumberFormat="1" applyFont="1" applyBorder="1" applyAlignment="1">
      <alignment horizontal="left" vertical="center"/>
    </xf>
    <xf numFmtId="0" fontId="3" fillId="0" borderId="1" xfId="0" applyFont="1" applyFill="1" applyBorder="1" applyAlignment="1">
      <alignment horizontal="left" vertical="center"/>
    </xf>
    <xf numFmtId="0" fontId="3" fillId="0" borderId="1" xfId="0" applyFont="1" applyBorder="1" applyAlignment="1"/>
    <xf numFmtId="0" fontId="10" fillId="0" borderId="1" xfId="6" applyFont="1" applyBorder="1" applyAlignment="1">
      <alignment horizontal="left" vertical="center"/>
    </xf>
    <xf numFmtId="0" fontId="10" fillId="0" borderId="1" xfId="2" applyFont="1" applyBorder="1" applyAlignment="1">
      <alignment vertical="center"/>
    </xf>
    <xf numFmtId="14" fontId="5" fillId="0" borderId="1" xfId="0" applyNumberFormat="1" applyFont="1" applyBorder="1" applyAlignment="1">
      <alignment vertical="center"/>
    </xf>
    <xf numFmtId="0" fontId="5" fillId="0" borderId="1" xfId="1" applyNumberFormat="1" applyFont="1" applyFill="1" applyBorder="1" applyAlignment="1">
      <alignment horizontal="left" vertical="center"/>
    </xf>
    <xf numFmtId="14" fontId="5" fillId="0" borderId="1" xfId="0" quotePrefix="1" applyNumberFormat="1" applyFont="1" applyBorder="1" applyAlignment="1">
      <alignment vertical="center"/>
    </xf>
    <xf numFmtId="15" fontId="5" fillId="10" borderId="1" xfId="4" applyNumberFormat="1" applyFont="1" applyFill="1" applyBorder="1" applyAlignment="1">
      <alignment horizontal="center" vertical="center"/>
    </xf>
    <xf numFmtId="166" fontId="10" fillId="0" borderId="1" xfId="5" applyFont="1" applyFill="1" applyBorder="1" applyAlignment="1">
      <alignment horizontal="left" vertical="center"/>
    </xf>
    <xf numFmtId="49" fontId="5" fillId="0" borderId="1" xfId="3" applyNumberFormat="1" applyFont="1" applyFill="1" applyBorder="1" applyAlignment="1">
      <alignment horizontal="center" vertical="center"/>
    </xf>
    <xf numFmtId="14" fontId="5" fillId="0" borderId="1" xfId="3" applyNumberFormat="1" applyFont="1" applyFill="1" applyBorder="1" applyAlignment="1">
      <alignment horizontal="center" vertical="center"/>
    </xf>
    <xf numFmtId="0" fontId="5" fillId="0" borderId="1" xfId="3" quotePrefix="1" applyNumberFormat="1" applyFont="1" applyFill="1" applyBorder="1" applyAlignment="1">
      <alignment vertical="center"/>
    </xf>
    <xf numFmtId="0" fontId="5" fillId="0" borderId="1" xfId="4" applyNumberFormat="1" applyFont="1" applyBorder="1" applyAlignment="1">
      <alignment horizontal="center"/>
    </xf>
    <xf numFmtId="1" fontId="5" fillId="0" borderId="1" xfId="1" applyNumberFormat="1" applyFont="1" applyBorder="1" applyAlignment="1">
      <alignment horizontal="center"/>
    </xf>
    <xf numFmtId="0" fontId="10" fillId="0" borderId="1" xfId="6" applyFont="1" applyBorder="1" applyAlignment="1"/>
    <xf numFmtId="49" fontId="5" fillId="0" borderId="1" xfId="0" quotePrefix="1" applyNumberFormat="1" applyFont="1" applyBorder="1" applyAlignment="1">
      <alignment horizontal="center"/>
    </xf>
    <xf numFmtId="49" fontId="5" fillId="0" borderId="1" xfId="0" applyNumberFormat="1" applyFont="1" applyBorder="1" applyAlignment="1">
      <alignment horizontal="center"/>
    </xf>
    <xf numFmtId="49" fontId="5" fillId="0" borderId="1" xfId="0" applyNumberFormat="1" applyFont="1" applyBorder="1" applyAlignment="1"/>
    <xf numFmtId="0" fontId="10" fillId="5" borderId="1" xfId="6" applyNumberFormat="1" applyFont="1" applyFill="1" applyBorder="1" applyAlignment="1">
      <alignment horizontal="left"/>
    </xf>
    <xf numFmtId="0" fontId="3" fillId="4" borderId="1" xfId="1" applyNumberFormat="1" applyFont="1" applyFill="1" applyBorder="1" applyAlignment="1">
      <alignment horizontal="left" vertical="center"/>
    </xf>
    <xf numFmtId="0" fontId="11" fillId="4" borderId="1" xfId="6" applyFont="1" applyFill="1" applyBorder="1" applyAlignment="1">
      <alignment horizontal="left"/>
    </xf>
    <xf numFmtId="0" fontId="5" fillId="0" borderId="1" xfId="4" applyFont="1" applyBorder="1" applyAlignment="1">
      <alignment vertical="center"/>
    </xf>
    <xf numFmtId="14" fontId="5" fillId="0" borderId="1" xfId="4" applyNumberFormat="1" applyFont="1" applyBorder="1" applyAlignment="1">
      <alignment horizontal="center" vertical="center"/>
    </xf>
    <xf numFmtId="14" fontId="3" fillId="4" borderId="1" xfId="4" applyNumberFormat="1" applyFont="1" applyFill="1" applyBorder="1" applyAlignment="1">
      <alignment horizontal="center" vertical="center"/>
    </xf>
    <xf numFmtId="49" fontId="3" fillId="4" borderId="1" xfId="0" quotePrefix="1" applyNumberFormat="1" applyFont="1" applyFill="1" applyBorder="1" applyAlignment="1">
      <alignment horizontal="center" vertical="center"/>
    </xf>
    <xf numFmtId="1" fontId="5" fillId="0" borderId="1" xfId="0" quotePrefix="1" applyNumberFormat="1" applyFont="1" applyBorder="1" applyAlignment="1">
      <alignment vertical="center"/>
    </xf>
    <xf numFmtId="0" fontId="10" fillId="0" borderId="1" xfId="6" applyFont="1" applyFill="1" applyBorder="1" applyAlignment="1">
      <alignment horizontal="left"/>
    </xf>
    <xf numFmtId="167" fontId="0" fillId="0" borderId="1" xfId="0" applyNumberFormat="1" applyFont="1" applyFill="1" applyBorder="1" applyAlignment="1">
      <alignment horizontal="center" vertical="center"/>
    </xf>
    <xf numFmtId="0" fontId="3"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0" fontId="3" fillId="10" borderId="1" xfId="0" applyNumberFormat="1" applyFont="1" applyFill="1" applyBorder="1" applyAlignment="1">
      <alignment horizontal="right" vertical="center"/>
    </xf>
    <xf numFmtId="0" fontId="3" fillId="10" borderId="1" xfId="0" applyNumberFormat="1" applyFont="1" applyFill="1" applyBorder="1" applyAlignment="1">
      <alignment horizontal="left" vertical="center"/>
    </xf>
    <xf numFmtId="0" fontId="3" fillId="10" borderId="1" xfId="0" applyFont="1" applyFill="1" applyBorder="1" applyAlignment="1">
      <alignment horizontal="left" vertical="center"/>
    </xf>
    <xf numFmtId="164" fontId="3" fillId="10" borderId="1" xfId="0" quotePrefix="1" applyNumberFormat="1" applyFont="1" applyFill="1" applyBorder="1" applyAlignment="1">
      <alignment horizontal="center" vertical="center"/>
    </xf>
    <xf numFmtId="164" fontId="3" fillId="10" borderId="1" xfId="0" applyNumberFormat="1" applyFont="1" applyFill="1" applyBorder="1" applyAlignment="1">
      <alignment horizontal="center" vertical="center"/>
    </xf>
    <xf numFmtId="0" fontId="3" fillId="10" borderId="1" xfId="0" applyFont="1" applyFill="1" applyBorder="1" applyAlignment="1">
      <alignment vertical="center"/>
    </xf>
    <xf numFmtId="0" fontId="3" fillId="10" borderId="1" xfId="4" applyFont="1" applyFill="1" applyBorder="1" applyAlignment="1">
      <alignment horizontal="left" vertical="center"/>
    </xf>
    <xf numFmtId="0" fontId="3" fillId="10" borderId="1" xfId="0" applyNumberFormat="1" applyFont="1" applyFill="1" applyBorder="1" applyAlignment="1">
      <alignment vertical="center"/>
    </xf>
    <xf numFmtId="15" fontId="3" fillId="10" borderId="1" xfId="0" applyNumberFormat="1" applyFont="1" applyFill="1" applyBorder="1" applyAlignment="1">
      <alignment horizontal="center" vertical="center"/>
    </xf>
    <xf numFmtId="0" fontId="3" fillId="10" borderId="1" xfId="4" applyFont="1" applyFill="1" applyBorder="1" applyAlignment="1">
      <alignment horizontal="center" vertical="center"/>
    </xf>
    <xf numFmtId="0" fontId="4" fillId="10" borderId="1" xfId="6" applyFill="1" applyBorder="1" applyAlignment="1">
      <alignment horizontal="left" vertical="center"/>
    </xf>
    <xf numFmtId="0" fontId="3" fillId="10" borderId="1" xfId="0" applyFont="1" applyFill="1" applyBorder="1" applyAlignment="1">
      <alignment horizontal="left"/>
    </xf>
    <xf numFmtId="49" fontId="3" fillId="10" borderId="1" xfId="0" applyNumberFormat="1" applyFont="1" applyFill="1" applyBorder="1" applyAlignment="1">
      <alignment horizontal="center" vertical="center"/>
    </xf>
    <xf numFmtId="14" fontId="3" fillId="10" borderId="1" xfId="0" applyNumberFormat="1" applyFont="1" applyFill="1" applyBorder="1" applyAlignment="1">
      <alignment horizontal="center" vertical="center"/>
    </xf>
    <xf numFmtId="0" fontId="3" fillId="10" borderId="1" xfId="0" quotePrefix="1" applyNumberFormat="1" applyFont="1" applyFill="1" applyBorder="1" applyAlignment="1">
      <alignment vertical="center"/>
    </xf>
    <xf numFmtId="14" fontId="3" fillId="10" borderId="1" xfId="0" applyNumberFormat="1" applyFont="1" applyFill="1" applyBorder="1" applyAlignment="1">
      <alignment horizontal="center"/>
    </xf>
    <xf numFmtId="167" fontId="3" fillId="10" borderId="1" xfId="0" applyNumberFormat="1" applyFont="1" applyFill="1" applyBorder="1" applyAlignment="1">
      <alignment horizontal="center" vertical="center"/>
    </xf>
    <xf numFmtId="0" fontId="0" fillId="10" borderId="1" xfId="0" applyFont="1" applyFill="1" applyBorder="1" applyAlignment="1"/>
    <xf numFmtId="0" fontId="3" fillId="4" borderId="1" xfId="0" quotePrefix="1" applyFont="1" applyFill="1" applyBorder="1"/>
    <xf numFmtId="0" fontId="0" fillId="0" borderId="1" xfId="0" quotePrefix="1" applyFont="1" applyBorder="1" applyAlignment="1">
      <alignment horizontal="left"/>
    </xf>
    <xf numFmtId="0" fontId="3" fillId="0" borderId="1" xfId="0" applyFont="1" applyFill="1" applyBorder="1" applyAlignment="1">
      <alignment horizontal="center" vertical="center"/>
    </xf>
    <xf numFmtId="0" fontId="3" fillId="0" borderId="1" xfId="0" applyNumberFormat="1" applyFont="1" applyFill="1" applyBorder="1" applyAlignment="1">
      <alignment horizontal="right" vertical="center"/>
    </xf>
    <xf numFmtId="164" fontId="3" fillId="0" borderId="1" xfId="0" applyNumberFormat="1" applyFont="1" applyFill="1" applyBorder="1" applyAlignment="1">
      <alignment horizontal="center" vertical="center"/>
    </xf>
    <xf numFmtId="164" fontId="3" fillId="0" borderId="1" xfId="0" quotePrefix="1" applyNumberFormat="1" applyFont="1" applyFill="1" applyBorder="1" applyAlignment="1">
      <alignment horizontal="center" vertical="center"/>
    </xf>
    <xf numFmtId="49" fontId="3" fillId="0"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14" fontId="3" fillId="0" borderId="1" xfId="0" applyNumberFormat="1" applyFont="1" applyFill="1" applyBorder="1" applyAlignment="1">
      <alignment horizontal="left" vertical="center"/>
    </xf>
    <xf numFmtId="167" fontId="3" fillId="0" borderId="1" xfId="0" applyNumberFormat="1" applyFont="1" applyFill="1" applyBorder="1" applyAlignment="1">
      <alignment horizontal="center" vertical="center"/>
    </xf>
    <xf numFmtId="0" fontId="4" fillId="4" borderId="1" xfId="6" applyFill="1" applyBorder="1" applyAlignment="1">
      <alignment vertical="center"/>
    </xf>
    <xf numFmtId="0" fontId="4" fillId="0" borderId="1" xfId="6" applyFont="1" applyFill="1" applyBorder="1" applyAlignment="1">
      <alignment vertical="center"/>
    </xf>
    <xf numFmtId="49" fontId="0" fillId="0" borderId="1" xfId="0" quotePrefix="1"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0" fontId="0" fillId="0" borderId="1" xfId="0" quotePrefix="1" applyNumberFormat="1" applyFont="1" applyFill="1" applyBorder="1" applyAlignment="1">
      <alignment vertical="center"/>
    </xf>
    <xf numFmtId="0" fontId="0" fillId="0" borderId="1" xfId="0" applyNumberFormat="1" applyFont="1" applyFill="1" applyBorder="1" applyAlignment="1">
      <alignment vertical="center"/>
    </xf>
    <xf numFmtId="0" fontId="6" fillId="5" borderId="1" xfId="0" applyNumberFormat="1" applyFont="1" applyFill="1" applyBorder="1" applyAlignment="1">
      <alignment horizontal="right" vertical="center"/>
    </xf>
    <xf numFmtId="49" fontId="0" fillId="0" borderId="1" xfId="0" quotePrefix="1" applyNumberFormat="1" applyFont="1" applyBorder="1" applyAlignment="1">
      <alignment horizontal="center" vertical="center"/>
    </xf>
    <xf numFmtId="1" fontId="5" fillId="0" borderId="1" xfId="0" applyNumberFormat="1" applyFont="1" applyBorder="1" applyAlignment="1">
      <alignment horizontal="center" vertical="center"/>
    </xf>
    <xf numFmtId="0" fontId="0" fillId="0" borderId="1" xfId="0" applyNumberFormat="1" applyFont="1" applyBorder="1" applyAlignment="1">
      <alignment vertical="center"/>
    </xf>
    <xf numFmtId="167" fontId="0" fillId="0" borderId="1" xfId="0" applyNumberFormat="1" applyFont="1" applyBorder="1" applyAlignment="1">
      <alignment horizontal="center" vertical="center"/>
    </xf>
    <xf numFmtId="0" fontId="4" fillId="0" borderId="1" xfId="2" applyFont="1" applyBorder="1" applyAlignment="1">
      <alignment horizontal="left" vertical="center"/>
    </xf>
    <xf numFmtId="49" fontId="0" fillId="0" borderId="1" xfId="0" applyNumberFormat="1" applyFont="1" applyBorder="1" applyAlignment="1">
      <alignment horizontal="center" vertical="center"/>
    </xf>
    <xf numFmtId="1" fontId="5" fillId="0" borderId="1" xfId="0" quotePrefix="1" applyNumberFormat="1" applyFont="1" applyBorder="1" applyAlignment="1">
      <alignment horizontal="center" vertical="center"/>
    </xf>
    <xf numFmtId="0" fontId="7" fillId="0" borderId="1" xfId="0" applyFont="1" applyFill="1" applyBorder="1" applyAlignment="1">
      <alignment vertical="center"/>
    </xf>
    <xf numFmtId="0" fontId="7" fillId="0" borderId="1" xfId="0" applyNumberFormat="1" applyFont="1" applyFill="1" applyBorder="1" applyAlignment="1">
      <alignment horizontal="center" vertical="center"/>
    </xf>
    <xf numFmtId="0" fontId="9" fillId="0" borderId="1" xfId="0" quotePrefix="1" applyNumberFormat="1" applyFont="1" applyFill="1" applyBorder="1" applyAlignment="1">
      <alignment vertical="center"/>
    </xf>
    <xf numFmtId="14" fontId="9" fillId="0" borderId="1" xfId="0" applyNumberFormat="1" applyFont="1" applyFill="1" applyBorder="1" applyAlignment="1">
      <alignment horizontal="center" vertical="center"/>
    </xf>
    <xf numFmtId="167"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left" vertical="center"/>
    </xf>
    <xf numFmtId="0" fontId="0" fillId="0" borderId="1" xfId="1" applyNumberFormat="1" applyFont="1" applyFill="1" applyBorder="1" applyAlignment="1">
      <alignment horizontal="left" vertical="center"/>
    </xf>
    <xf numFmtId="0" fontId="4" fillId="0" borderId="1" xfId="6" applyFont="1" applyFill="1" applyBorder="1" applyAlignment="1">
      <alignment horizontal="left" vertical="center"/>
    </xf>
    <xf numFmtId="0" fontId="0" fillId="0" borderId="1" xfId="0" quotePrefix="1" applyFont="1" applyFill="1" applyBorder="1" applyAlignment="1">
      <alignment vertical="center"/>
    </xf>
    <xf numFmtId="0" fontId="0" fillId="0" borderId="1" xfId="1" applyNumberFormat="1" applyFont="1" applyBorder="1" applyAlignment="1">
      <alignment horizontal="left" vertical="center"/>
    </xf>
    <xf numFmtId="0" fontId="4" fillId="0" borderId="1" xfId="6" applyFont="1" applyBorder="1" applyAlignment="1">
      <alignment vertical="center"/>
    </xf>
    <xf numFmtId="0" fontId="5" fillId="0" borderId="1" xfId="6" applyNumberFormat="1" applyFont="1" applyFill="1" applyBorder="1" applyAlignment="1">
      <alignment horizontal="center" vertical="center"/>
    </xf>
    <xf numFmtId="0" fontId="4" fillId="0" borderId="1" xfId="6" applyNumberFormat="1" applyFont="1" applyFill="1" applyBorder="1" applyAlignment="1">
      <alignment horizontal="left" vertical="center"/>
    </xf>
    <xf numFmtId="0" fontId="3" fillId="0" borderId="1" xfId="0" applyFont="1" applyFill="1" applyBorder="1" applyAlignment="1"/>
    <xf numFmtId="0" fontId="3" fillId="0" borderId="1" xfId="1" applyNumberFormat="1" applyFont="1" applyFill="1" applyBorder="1" applyAlignment="1">
      <alignment horizontal="left" vertical="center"/>
    </xf>
    <xf numFmtId="0" fontId="14" fillId="0" borderId="1" xfId="0" applyFont="1" applyFill="1" applyBorder="1" applyAlignment="1">
      <alignment horizontal="center"/>
    </xf>
    <xf numFmtId="0" fontId="14" fillId="0" borderId="1" xfId="0" applyFont="1" applyFill="1" applyBorder="1"/>
    <xf numFmtId="49" fontId="3" fillId="0" borderId="1" xfId="0" quotePrefix="1" applyNumberFormat="1" applyFont="1" applyFill="1" applyBorder="1" applyAlignment="1">
      <alignment horizontal="center" vertical="center"/>
    </xf>
    <xf numFmtId="1" fontId="3" fillId="0" borderId="1" xfId="0" quotePrefix="1" applyNumberFormat="1" applyFont="1" applyFill="1" applyBorder="1" applyAlignment="1">
      <alignment horizontal="center" vertical="center"/>
    </xf>
    <xf numFmtId="14" fontId="5" fillId="7" borderId="1" xfId="4" applyNumberFormat="1" applyFont="1" applyFill="1" applyBorder="1" applyAlignment="1">
      <alignment horizontal="center" vertical="center"/>
    </xf>
    <xf numFmtId="0" fontId="5" fillId="0" borderId="1" xfId="5" applyNumberFormat="1" applyFont="1" applyFill="1" applyBorder="1" applyAlignment="1">
      <alignment horizontal="center" vertical="center"/>
    </xf>
    <xf numFmtId="0" fontId="5" fillId="0" borderId="1" xfId="0" quotePrefix="1" applyFont="1" applyFill="1" applyBorder="1" applyAlignment="1">
      <alignment horizontal="center" vertical="center"/>
    </xf>
    <xf numFmtId="15" fontId="5" fillId="0" borderId="1" xfId="4" applyNumberFormat="1" applyFont="1" applyFill="1" applyBorder="1" applyAlignment="1">
      <alignment horizontal="center"/>
    </xf>
    <xf numFmtId="14" fontId="5" fillId="0" borderId="1" xfId="4" applyNumberFormat="1" applyFont="1" applyFill="1" applyBorder="1" applyAlignment="1">
      <alignment horizontal="center"/>
    </xf>
    <xf numFmtId="0" fontId="4" fillId="0" borderId="1" xfId="6" applyNumberFormat="1" applyFont="1" applyBorder="1" applyAlignment="1">
      <alignment horizontal="center"/>
    </xf>
    <xf numFmtId="0" fontId="4" fillId="0" borderId="1" xfId="6" applyNumberFormat="1" applyFont="1" applyBorder="1" applyAlignment="1">
      <alignment horizontal="left"/>
    </xf>
    <xf numFmtId="0" fontId="5" fillId="0" borderId="1" xfId="0" quotePrefix="1" applyFont="1" applyFill="1" applyBorder="1" applyAlignment="1">
      <alignment horizontal="center"/>
    </xf>
    <xf numFmtId="0" fontId="4" fillId="0" borderId="1" xfId="6" applyNumberFormat="1" applyFont="1" applyFill="1" applyBorder="1" applyAlignment="1">
      <alignment horizontal="left"/>
    </xf>
    <xf numFmtId="0" fontId="5" fillId="0" borderId="1" xfId="0" quotePrefix="1" applyNumberFormat="1" applyFont="1" applyFill="1" applyBorder="1" applyAlignment="1">
      <alignment horizontal="center"/>
    </xf>
    <xf numFmtId="0" fontId="8" fillId="0" borderId="1" xfId="0" applyFont="1" applyFill="1" applyBorder="1" applyAlignment="1">
      <alignment horizontal="center"/>
    </xf>
    <xf numFmtId="0" fontId="8" fillId="0" borderId="1" xfId="0" applyFont="1" applyFill="1" applyBorder="1"/>
    <xf numFmtId="0" fontId="5" fillId="0" borderId="1" xfId="0" quotePrefix="1" applyFont="1" applyFill="1" applyBorder="1" applyAlignment="1">
      <alignment horizontal="left" vertical="center"/>
    </xf>
    <xf numFmtId="0" fontId="0" fillId="0" borderId="1" xfId="0" quotePrefix="1" applyFont="1" applyFill="1" applyBorder="1" applyAlignment="1">
      <alignment horizontal="center" vertical="center"/>
    </xf>
    <xf numFmtId="166" fontId="0" fillId="0" borderId="1" xfId="3" applyFont="1" applyFill="1" applyBorder="1" applyAlignment="1">
      <alignment vertical="center"/>
    </xf>
    <xf numFmtId="0" fontId="4" fillId="0" borderId="1" xfId="6" applyNumberFormat="1" applyFill="1" applyBorder="1" applyAlignment="1">
      <alignment horizontal="left" vertical="center"/>
    </xf>
    <xf numFmtId="0" fontId="1" fillId="0" borderId="1" xfId="1" applyNumberFormat="1" applyFont="1" applyBorder="1" applyAlignment="1">
      <alignment horizontal="left" vertical="center"/>
    </xf>
    <xf numFmtId="166" fontId="4" fillId="0" borderId="1" xfId="6" applyNumberFormat="1" applyFont="1" applyBorder="1" applyAlignment="1">
      <alignment vertical="center"/>
    </xf>
    <xf numFmtId="0" fontId="0" fillId="0" borderId="1" xfId="0" applyFill="1" applyBorder="1"/>
    <xf numFmtId="0" fontId="0" fillId="0" borderId="1" xfId="0" applyFill="1" applyBorder="1" applyAlignment="1">
      <alignment horizontal="center"/>
    </xf>
    <xf numFmtId="0" fontId="4" fillId="0" borderId="1" xfId="6" applyFill="1" applyBorder="1"/>
    <xf numFmtId="0" fontId="15" fillId="0" borderId="1" xfId="3" applyNumberFormat="1" applyFont="1" applyFill="1" applyBorder="1" applyAlignment="1">
      <alignment horizontal="right"/>
    </xf>
    <xf numFmtId="0" fontId="6" fillId="0" borderId="1" xfId="0" applyFont="1" applyFill="1" applyBorder="1" applyAlignment="1">
      <alignment horizontal="left" vertical="center"/>
    </xf>
    <xf numFmtId="21" fontId="5" fillId="0" borderId="1" xfId="3" quotePrefix="1" applyNumberFormat="1" applyFont="1" applyFill="1" applyBorder="1" applyAlignment="1">
      <alignment horizontal="center" vertical="center"/>
    </xf>
    <xf numFmtId="0" fontId="6" fillId="5" borderId="1" xfId="0" applyFont="1" applyFill="1" applyBorder="1" applyAlignment="1">
      <alignment horizontal="left" vertical="center"/>
    </xf>
    <xf numFmtId="0" fontId="16" fillId="0" borderId="1" xfId="0" applyFont="1" applyBorder="1" applyAlignment="1"/>
    <xf numFmtId="15" fontId="5" fillId="0" borderId="1" xfId="3" applyNumberFormat="1" applyFont="1" applyFill="1" applyBorder="1" applyAlignment="1">
      <alignment horizontal="center" vertical="center"/>
    </xf>
    <xf numFmtId="0" fontId="15" fillId="0" borderId="1" xfId="0" applyNumberFormat="1" applyFont="1" applyFill="1" applyBorder="1" applyAlignment="1">
      <alignment horizontal="right" vertical="center"/>
    </xf>
    <xf numFmtId="0" fontId="6" fillId="0" borderId="1" xfId="0" applyNumberFormat="1" applyFont="1" applyFill="1" applyBorder="1" applyAlignment="1">
      <alignment horizontal="left" vertical="center"/>
    </xf>
    <xf numFmtId="0" fontId="15" fillId="0" borderId="1" xfId="0" applyFont="1" applyFill="1" applyBorder="1" applyAlignment="1">
      <alignment horizontal="right" vertical="center"/>
    </xf>
    <xf numFmtId="0" fontId="17" fillId="0" borderId="1" xfId="0" applyFont="1" applyBorder="1" applyAlignment="1"/>
    <xf numFmtId="168" fontId="5" fillId="0" borderId="1" xfId="3" applyNumberFormat="1" applyFont="1" applyFill="1" applyBorder="1" applyAlignment="1">
      <alignment horizontal="center" vertical="center"/>
    </xf>
    <xf numFmtId="166" fontId="10" fillId="0" borderId="1" xfId="5" applyFont="1" applyFill="1" applyBorder="1" applyAlignment="1">
      <alignment vertical="center"/>
    </xf>
    <xf numFmtId="167" fontId="5" fillId="0" borderId="1" xfId="3" applyNumberFormat="1" applyFont="1" applyFill="1" applyBorder="1" applyAlignment="1">
      <alignment horizontal="center" vertical="center"/>
    </xf>
    <xf numFmtId="0" fontId="7" fillId="0" borderId="1" xfId="0" applyFont="1" applyFill="1" applyBorder="1" applyAlignment="1">
      <alignment horizontal="center"/>
    </xf>
    <xf numFmtId="0" fontId="7" fillId="0" borderId="1" xfId="0" applyFont="1" applyFill="1" applyBorder="1" applyAlignment="1">
      <alignment horizontal="left"/>
    </xf>
    <xf numFmtId="15" fontId="7" fillId="0" borderId="1" xfId="0" applyNumberFormat="1" applyFont="1" applyFill="1" applyBorder="1" applyAlignment="1">
      <alignment horizontal="center" vertical="center"/>
    </xf>
    <xf numFmtId="1" fontId="5" fillId="0" borderId="1" xfId="3" applyNumberFormat="1" applyFont="1" applyFill="1" applyBorder="1" applyAlignment="1">
      <alignment horizontal="right"/>
    </xf>
    <xf numFmtId="21" fontId="5" fillId="0" borderId="1" xfId="3" applyNumberFormat="1" applyFont="1" applyFill="1" applyBorder="1" applyAlignment="1">
      <alignment horizontal="center"/>
    </xf>
    <xf numFmtId="0" fontId="5" fillId="0" borderId="1" xfId="3" applyNumberFormat="1" applyFont="1" applyFill="1" applyBorder="1" applyAlignment="1">
      <alignment horizontal="right"/>
    </xf>
    <xf numFmtId="167" fontId="5" fillId="0" borderId="1" xfId="3" applyNumberFormat="1" applyFont="1" applyFill="1" applyBorder="1" applyAlignment="1">
      <alignment horizontal="center"/>
    </xf>
    <xf numFmtId="14" fontId="5" fillId="0" borderId="1" xfId="3" applyNumberFormat="1" applyFont="1" applyFill="1" applyBorder="1" applyAlignment="1">
      <alignment horizontal="center"/>
    </xf>
    <xf numFmtId="0" fontId="5" fillId="0" borderId="1" xfId="3" applyNumberFormat="1" applyFont="1" applyFill="1" applyBorder="1" applyAlignment="1"/>
    <xf numFmtId="49" fontId="5" fillId="0" borderId="1" xfId="3" applyNumberFormat="1" applyFont="1" applyFill="1" applyBorder="1" applyAlignment="1">
      <alignment horizontal="center"/>
    </xf>
    <xf numFmtId="1" fontId="5" fillId="0" borderId="1" xfId="3" applyNumberFormat="1" applyFont="1" applyFill="1" applyBorder="1" applyAlignment="1">
      <alignment horizontal="center"/>
    </xf>
    <xf numFmtId="167" fontId="5" fillId="0" borderId="1" xfId="3" applyNumberFormat="1" applyFont="1" applyFill="1" applyBorder="1" applyAlignment="1">
      <alignment horizontal="left"/>
    </xf>
    <xf numFmtId="166" fontId="5" fillId="7" borderId="1" xfId="3" applyFont="1" applyFill="1" applyBorder="1" applyAlignment="1"/>
    <xf numFmtId="0" fontId="10" fillId="0" borderId="1" xfId="5" applyNumberFormat="1" applyFont="1" applyFill="1" applyBorder="1" applyAlignment="1">
      <alignment horizontal="left"/>
    </xf>
    <xf numFmtId="21" fontId="5" fillId="0" borderId="1" xfId="3" applyNumberFormat="1" applyFont="1" applyFill="1" applyBorder="1" applyAlignment="1">
      <alignment horizontal="center" vertical="top"/>
    </xf>
    <xf numFmtId="21" fontId="5" fillId="0" borderId="1" xfId="3" quotePrefix="1" applyNumberFormat="1" applyFont="1" applyFill="1" applyBorder="1" applyAlignment="1">
      <alignment horizontal="center"/>
    </xf>
    <xf numFmtId="166" fontId="5" fillId="0" borderId="1" xfId="3" applyFont="1" applyFill="1" applyBorder="1" applyAlignment="1">
      <alignment horizontal="left" vertical="top"/>
    </xf>
    <xf numFmtId="168" fontId="5" fillId="0" borderId="1" xfId="3" applyNumberFormat="1" applyFont="1" applyFill="1" applyBorder="1" applyAlignment="1">
      <alignment horizontal="center"/>
    </xf>
    <xf numFmtId="1" fontId="5" fillId="0" borderId="1" xfId="1" applyNumberFormat="1" applyFont="1" applyFill="1" applyBorder="1" applyAlignment="1">
      <alignment horizontal="center"/>
    </xf>
    <xf numFmtId="166" fontId="10" fillId="0" borderId="1" xfId="5" applyFont="1" applyFill="1" applyBorder="1" applyAlignment="1">
      <alignment horizontal="left"/>
    </xf>
    <xf numFmtId="166" fontId="5" fillId="0" borderId="1" xfId="3" quotePrefix="1" applyFont="1" applyFill="1" applyBorder="1" applyAlignment="1">
      <alignment horizontal="left"/>
    </xf>
    <xf numFmtId="1" fontId="5" fillId="0" borderId="1" xfId="3" quotePrefix="1" applyNumberFormat="1" applyFont="1" applyFill="1" applyBorder="1" applyAlignment="1">
      <alignment horizontal="center"/>
    </xf>
    <xf numFmtId="1" fontId="5" fillId="0" borderId="1" xfId="3" applyNumberFormat="1" applyFont="1" applyFill="1" applyBorder="1" applyAlignment="1">
      <alignment horizontal="center" vertical="top"/>
    </xf>
    <xf numFmtId="15" fontId="5" fillId="0" borderId="1" xfId="3" quotePrefix="1" applyNumberFormat="1" applyFont="1" applyFill="1" applyBorder="1" applyAlignment="1">
      <alignment horizontal="center" vertical="center"/>
    </xf>
    <xf numFmtId="167" fontId="5" fillId="0" borderId="1" xfId="3" applyNumberFormat="1" applyFont="1" applyFill="1" applyBorder="1" applyAlignment="1">
      <alignment horizontal="left" vertical="top"/>
    </xf>
    <xf numFmtId="20" fontId="5" fillId="0" borderId="1" xfId="3" applyNumberFormat="1" applyFont="1" applyFill="1" applyBorder="1" applyAlignment="1">
      <alignment horizontal="center" vertical="center"/>
    </xf>
    <xf numFmtId="14" fontId="5" fillId="0" borderId="1" xfId="3" applyNumberFormat="1" applyFont="1" applyFill="1" applyBorder="1" applyAlignment="1">
      <alignment horizontal="center" vertical="top"/>
    </xf>
    <xf numFmtId="166" fontId="5" fillId="0" borderId="1" xfId="3" quotePrefix="1" applyFont="1" applyFill="1" applyBorder="1" applyAlignment="1">
      <alignment horizontal="center"/>
    </xf>
    <xf numFmtId="170" fontId="5" fillId="0" borderId="1" xfId="3" applyNumberFormat="1" applyFont="1" applyFill="1" applyBorder="1" applyAlignment="1">
      <alignment horizontal="center"/>
    </xf>
    <xf numFmtId="49" fontId="5" fillId="0" borderId="1" xfId="3" applyNumberFormat="1" applyFont="1" applyFill="1" applyBorder="1" applyAlignment="1">
      <alignment horizontal="left"/>
    </xf>
    <xf numFmtId="168" fontId="5" fillId="0" borderId="1" xfId="3" applyNumberFormat="1" applyFont="1" applyFill="1" applyBorder="1" applyAlignment="1">
      <alignment horizontal="left"/>
    </xf>
    <xf numFmtId="14" fontId="5" fillId="0" borderId="1" xfId="3" applyNumberFormat="1" applyFont="1" applyFill="1" applyBorder="1" applyAlignment="1">
      <alignment horizontal="left"/>
    </xf>
    <xf numFmtId="49" fontId="5" fillId="0" borderId="1" xfId="3" applyNumberFormat="1" applyFont="1" applyFill="1" applyBorder="1" applyAlignment="1"/>
    <xf numFmtId="15" fontId="5" fillId="0" borderId="1" xfId="3" applyNumberFormat="1" applyFont="1" applyFill="1" applyBorder="1" applyAlignment="1"/>
    <xf numFmtId="0" fontId="10" fillId="0" borderId="1" xfId="5" applyNumberFormat="1" applyFont="1" applyFill="1" applyBorder="1" applyAlignment="1">
      <alignment horizontal="center"/>
    </xf>
    <xf numFmtId="21" fontId="5" fillId="0" borderId="1" xfId="3" applyNumberFormat="1" applyFont="1" applyFill="1" applyBorder="1" applyAlignment="1"/>
    <xf numFmtId="167" fontId="5" fillId="0" borderId="1" xfId="3" applyNumberFormat="1" applyFont="1" applyFill="1" applyBorder="1" applyAlignment="1"/>
    <xf numFmtId="49" fontId="5" fillId="0" borderId="1" xfId="3" quotePrefix="1" applyNumberFormat="1" applyFont="1" applyFill="1" applyBorder="1" applyAlignment="1">
      <alignment horizontal="center"/>
    </xf>
    <xf numFmtId="0" fontId="10" fillId="0" borderId="1" xfId="5" applyNumberFormat="1" applyFont="1" applyFill="1" applyBorder="1" applyAlignment="1">
      <alignment horizontal="center" vertical="center"/>
    </xf>
    <xf numFmtId="1" fontId="5" fillId="0" borderId="1" xfId="3" applyNumberFormat="1" applyFont="1" applyFill="1" applyBorder="1" applyAlignment="1">
      <alignment horizontal="center" vertical="center"/>
    </xf>
    <xf numFmtId="21" fontId="5" fillId="0" borderId="1" xfId="3" applyNumberFormat="1" applyFont="1" applyFill="1" applyBorder="1" applyAlignment="1">
      <alignment horizontal="left"/>
    </xf>
    <xf numFmtId="0" fontId="5" fillId="0" borderId="1" xfId="3" quotePrefix="1" applyNumberFormat="1" applyFont="1" applyFill="1" applyBorder="1" applyAlignment="1">
      <alignment horizontal="left"/>
    </xf>
    <xf numFmtId="167" fontId="5" fillId="0" borderId="1" xfId="3" quotePrefix="1" applyNumberFormat="1" applyFont="1" applyFill="1" applyBorder="1" applyAlignment="1">
      <alignment vertical="center"/>
    </xf>
    <xf numFmtId="0" fontId="5" fillId="0" borderId="1" xfId="3" quotePrefix="1" applyNumberFormat="1" applyFont="1" applyFill="1" applyBorder="1" applyAlignment="1">
      <alignment horizontal="center"/>
    </xf>
    <xf numFmtId="15" fontId="5" fillId="0" borderId="1" xfId="3" applyNumberFormat="1" applyFont="1" applyFill="1" applyBorder="1" applyAlignment="1">
      <alignment horizontal="left"/>
    </xf>
    <xf numFmtId="1" fontId="5" fillId="0" borderId="1" xfId="3" applyNumberFormat="1" applyFont="1" applyFill="1" applyBorder="1" applyAlignment="1">
      <alignment horizontal="right" vertical="center"/>
    </xf>
    <xf numFmtId="166" fontId="5" fillId="0" borderId="1" xfId="3" quotePrefix="1" applyFont="1" applyFill="1" applyBorder="1" applyAlignment="1">
      <alignment horizontal="left" vertical="center"/>
    </xf>
    <xf numFmtId="1" fontId="5" fillId="0" borderId="1" xfId="3" quotePrefix="1" applyNumberFormat="1" applyFont="1" applyFill="1" applyBorder="1" applyAlignment="1">
      <alignment horizontal="center" vertical="center"/>
    </xf>
    <xf numFmtId="167" fontId="5" fillId="0" borderId="1" xfId="3" applyNumberFormat="1" applyFont="1" applyFill="1" applyBorder="1" applyAlignment="1">
      <alignment horizontal="left" vertical="center"/>
    </xf>
    <xf numFmtId="170" fontId="5" fillId="0" borderId="1" xfId="3" quotePrefix="1" applyNumberFormat="1" applyFont="1" applyFill="1" applyBorder="1" applyAlignment="1">
      <alignment horizontal="center"/>
    </xf>
    <xf numFmtId="21" fontId="5" fillId="0" borderId="1" xfId="0" quotePrefix="1" applyNumberFormat="1" applyFont="1" applyFill="1" applyBorder="1" applyAlignment="1">
      <alignment horizontal="center"/>
    </xf>
    <xf numFmtId="15" fontId="5" fillId="0" borderId="1" xfId="0" applyNumberFormat="1" applyFont="1" applyFill="1" applyBorder="1" applyAlignment="1">
      <alignment horizontal="left"/>
    </xf>
    <xf numFmtId="14" fontId="5" fillId="0" borderId="1" xfId="0" applyNumberFormat="1" applyFont="1" applyFill="1" applyBorder="1" applyAlignment="1">
      <alignment horizontal="left"/>
    </xf>
    <xf numFmtId="168" fontId="5" fillId="0" borderId="1" xfId="0" applyNumberFormat="1" applyFont="1" applyFill="1" applyBorder="1" applyAlignment="1">
      <alignment horizontal="center"/>
    </xf>
    <xf numFmtId="170" fontId="5" fillId="0" borderId="1" xfId="0" applyNumberFormat="1" applyFont="1" applyFill="1" applyBorder="1" applyAlignment="1">
      <alignment horizontal="center"/>
    </xf>
    <xf numFmtId="167" fontId="5" fillId="0" borderId="1" xfId="0" applyNumberFormat="1" applyFont="1" applyFill="1" applyBorder="1" applyAlignment="1">
      <alignment horizontal="left"/>
    </xf>
    <xf numFmtId="0" fontId="10" fillId="0" borderId="1" xfId="2" applyFont="1" applyFill="1" applyBorder="1" applyAlignment="1">
      <alignment horizontal="left" vertical="center"/>
    </xf>
    <xf numFmtId="166" fontId="5" fillId="0" borderId="1" xfId="3" applyNumberFormat="1" applyFont="1" applyFill="1" applyBorder="1" applyAlignment="1">
      <alignment horizontal="left"/>
    </xf>
    <xf numFmtId="20" fontId="5" fillId="0" borderId="1" xfId="3" applyNumberFormat="1" applyFont="1" applyFill="1" applyBorder="1" applyAlignment="1"/>
    <xf numFmtId="20" fontId="5" fillId="0" borderId="1" xfId="3" applyNumberFormat="1" applyFont="1" applyFill="1" applyBorder="1" applyAlignment="1">
      <alignment horizontal="center"/>
    </xf>
    <xf numFmtId="14" fontId="5" fillId="0" borderId="1" xfId="3" quotePrefix="1" applyNumberFormat="1" applyFont="1" applyFill="1" applyBorder="1" applyAlignment="1">
      <alignment horizontal="center" vertical="center"/>
    </xf>
    <xf numFmtId="171" fontId="5" fillId="0" borderId="1" xfId="3" applyNumberFormat="1" applyFont="1" applyFill="1" applyBorder="1" applyAlignment="1">
      <alignment horizontal="center" vertical="center"/>
    </xf>
    <xf numFmtId="14" fontId="5" fillId="0" borderId="1" xfId="3" quotePrefix="1" applyNumberFormat="1" applyFont="1" applyFill="1" applyBorder="1" applyAlignment="1">
      <alignment horizontal="center"/>
    </xf>
    <xf numFmtId="15" fontId="5" fillId="0" borderId="1" xfId="3" quotePrefix="1" applyNumberFormat="1" applyFont="1" applyFill="1" applyBorder="1" applyAlignment="1">
      <alignment horizontal="center"/>
    </xf>
    <xf numFmtId="167" fontId="5" fillId="0" borderId="1" xfId="3" applyNumberFormat="1" applyFont="1" applyFill="1" applyBorder="1" applyAlignment="1">
      <alignment horizontal="center" vertical="top"/>
    </xf>
    <xf numFmtId="167" fontId="5" fillId="0" borderId="1" xfId="3" applyNumberFormat="1" applyFont="1" applyFill="1" applyBorder="1" applyAlignment="1">
      <alignment vertical="top"/>
    </xf>
    <xf numFmtId="166" fontId="7" fillId="0" borderId="1" xfId="3" applyFont="1" applyFill="1" applyBorder="1" applyAlignment="1">
      <alignment horizontal="center"/>
    </xf>
    <xf numFmtId="1" fontId="7" fillId="0" borderId="1" xfId="3" applyNumberFormat="1" applyFont="1" applyFill="1" applyBorder="1" applyAlignment="1">
      <alignment horizontal="right"/>
    </xf>
    <xf numFmtId="166" fontId="7" fillId="0" borderId="1" xfId="3" applyFont="1" applyFill="1" applyBorder="1" applyAlignment="1">
      <alignment horizontal="left"/>
    </xf>
    <xf numFmtId="0" fontId="7" fillId="0" borderId="1" xfId="3" applyNumberFormat="1" applyFont="1" applyFill="1" applyBorder="1" applyAlignment="1">
      <alignment horizontal="center"/>
    </xf>
    <xf numFmtId="21" fontId="7" fillId="0" borderId="1" xfId="3" quotePrefix="1" applyNumberFormat="1" applyFont="1" applyFill="1" applyBorder="1" applyAlignment="1">
      <alignment horizontal="center"/>
    </xf>
    <xf numFmtId="21" fontId="7" fillId="0" borderId="1" xfId="3" applyNumberFormat="1" applyFont="1" applyFill="1" applyBorder="1" applyAlignment="1">
      <alignment horizontal="center"/>
    </xf>
    <xf numFmtId="0" fontId="7" fillId="0" borderId="1" xfId="3" applyNumberFormat="1" applyFont="1" applyFill="1" applyBorder="1" applyAlignment="1"/>
    <xf numFmtId="166" fontId="7" fillId="0" borderId="1" xfId="3" applyFont="1" applyFill="1" applyBorder="1" applyAlignment="1"/>
    <xf numFmtId="15" fontId="7" fillId="0" borderId="1" xfId="3" applyNumberFormat="1" applyFont="1" applyFill="1" applyBorder="1" applyAlignment="1">
      <alignment horizontal="center"/>
    </xf>
    <xf numFmtId="14" fontId="7" fillId="0" borderId="1" xfId="3" applyNumberFormat="1" applyFont="1" applyFill="1" applyBorder="1" applyAlignment="1">
      <alignment horizontal="center"/>
    </xf>
    <xf numFmtId="0" fontId="7" fillId="0" borderId="1" xfId="3" applyNumberFormat="1" applyFont="1" applyFill="1" applyBorder="1" applyAlignment="1">
      <alignment horizontal="left"/>
    </xf>
    <xf numFmtId="168" fontId="7" fillId="0" borderId="1" xfId="3" applyNumberFormat="1" applyFont="1" applyFill="1" applyBorder="1" applyAlignment="1">
      <alignment horizontal="center"/>
    </xf>
    <xf numFmtId="1" fontId="7" fillId="0" borderId="1" xfId="1" applyNumberFormat="1" applyFont="1" applyFill="1" applyBorder="1" applyAlignment="1">
      <alignment horizontal="center"/>
    </xf>
    <xf numFmtId="166" fontId="18" fillId="0" borderId="1" xfId="5" applyFont="1" applyFill="1" applyBorder="1" applyAlignment="1">
      <alignment horizontal="left"/>
    </xf>
    <xf numFmtId="170" fontId="7" fillId="0" borderId="1" xfId="3" applyNumberFormat="1" applyFont="1" applyFill="1" applyBorder="1" applyAlignment="1">
      <alignment horizontal="center"/>
    </xf>
    <xf numFmtId="1" fontId="7" fillId="0" borderId="1" xfId="3" applyNumberFormat="1" applyFont="1" applyFill="1" applyBorder="1" applyAlignment="1">
      <alignment horizontal="center"/>
    </xf>
    <xf numFmtId="49" fontId="7" fillId="0" borderId="1" xfId="3" applyNumberFormat="1" applyFont="1" applyFill="1" applyBorder="1" applyAlignment="1">
      <alignment horizontal="left"/>
    </xf>
    <xf numFmtId="20" fontId="7" fillId="0" borderId="1" xfId="3" applyNumberFormat="1" applyFont="1" applyFill="1" applyBorder="1" applyAlignment="1">
      <alignment horizontal="center" vertical="center"/>
    </xf>
    <xf numFmtId="166" fontId="7" fillId="7" borderId="1" xfId="3" applyFont="1" applyFill="1" applyBorder="1" applyAlignment="1"/>
    <xf numFmtId="49" fontId="5" fillId="0" borderId="1" xfId="3" applyNumberFormat="1" applyFont="1" applyFill="1" applyBorder="1" applyAlignment="1">
      <alignment horizontal="left" vertical="center"/>
    </xf>
    <xf numFmtId="0" fontId="10" fillId="0" borderId="1" xfId="5" applyNumberFormat="1" applyFont="1" applyFill="1" applyBorder="1" applyAlignment="1">
      <alignment horizontal="left" vertical="center"/>
    </xf>
    <xf numFmtId="167" fontId="5" fillId="0" borderId="1" xfId="3" applyNumberFormat="1" applyFont="1" applyFill="1" applyBorder="1" applyAlignment="1">
      <alignment vertical="center"/>
    </xf>
    <xf numFmtId="15" fontId="5" fillId="0" borderId="1" xfId="3" applyNumberFormat="1" applyFont="1" applyFill="1" applyBorder="1" applyAlignment="1">
      <alignment horizontal="center" vertical="top"/>
    </xf>
    <xf numFmtId="14" fontId="5" fillId="0" borderId="1" xfId="7" applyNumberFormat="1" applyFont="1" applyFill="1" applyBorder="1" applyAlignment="1">
      <alignment horizontal="center"/>
    </xf>
    <xf numFmtId="3" fontId="5" fillId="0" borderId="1" xfId="1" applyNumberFormat="1" applyFont="1" applyFill="1" applyBorder="1" applyAlignment="1">
      <alignment horizontal="center" vertical="center"/>
    </xf>
    <xf numFmtId="14" fontId="5" fillId="0" borderId="1" xfId="8" applyNumberFormat="1" applyFont="1" applyFill="1" applyBorder="1" applyAlignment="1">
      <alignment horizontal="center"/>
    </xf>
    <xf numFmtId="14" fontId="5" fillId="0" borderId="1" xfId="0" applyNumberFormat="1" applyFont="1" applyFill="1" applyBorder="1" applyAlignment="1"/>
    <xf numFmtId="0" fontId="10" fillId="0" borderId="1" xfId="2" applyNumberFormat="1" applyFont="1" applyFill="1" applyBorder="1" applyAlignment="1">
      <alignment horizontal="left" vertical="center"/>
    </xf>
    <xf numFmtId="21" fontId="5" fillId="0" borderId="1" xfId="1" applyNumberFormat="1" applyFont="1" applyFill="1" applyBorder="1" applyAlignment="1">
      <alignment horizontal="center" vertical="center"/>
    </xf>
    <xf numFmtId="14" fontId="5" fillId="0" borderId="1" xfId="4" applyNumberFormat="1" applyFont="1" applyFill="1" applyBorder="1" applyAlignment="1">
      <alignment vertical="center"/>
    </xf>
    <xf numFmtId="0" fontId="5" fillId="0" borderId="1" xfId="4" applyFont="1" applyFill="1" applyBorder="1" applyAlignment="1">
      <alignment horizontal="right" vertical="center"/>
    </xf>
    <xf numFmtId="14" fontId="5" fillId="0" borderId="1" xfId="3" applyNumberFormat="1" applyFont="1" applyFill="1" applyBorder="1" applyAlignment="1">
      <alignment vertical="center"/>
    </xf>
    <xf numFmtId="166" fontId="10" fillId="0" borderId="1" xfId="9" applyFont="1" applyFill="1" applyBorder="1" applyAlignment="1">
      <alignment horizontal="left" vertical="center"/>
    </xf>
    <xf numFmtId="2" fontId="5" fillId="0" borderId="1" xfId="3" applyNumberFormat="1" applyFont="1" applyFill="1" applyBorder="1" applyAlignment="1">
      <alignment horizontal="center" vertical="center"/>
    </xf>
    <xf numFmtId="164" fontId="5" fillId="0" borderId="1" xfId="3" quotePrefix="1" applyNumberFormat="1" applyFont="1" applyFill="1" applyBorder="1" applyAlignment="1">
      <alignment horizontal="center" vertical="center"/>
    </xf>
    <xf numFmtId="15" fontId="5" fillId="0" borderId="1" xfId="4" applyNumberFormat="1" applyFont="1" applyFill="1" applyBorder="1" applyAlignment="1">
      <alignment vertical="center"/>
    </xf>
    <xf numFmtId="14" fontId="5" fillId="0" borderId="1" xfId="4" applyNumberFormat="1" applyFont="1" applyFill="1" applyBorder="1" applyAlignment="1">
      <alignment horizontal="left" vertical="center"/>
    </xf>
    <xf numFmtId="166" fontId="10" fillId="0" borderId="1" xfId="5" applyFont="1" applyFill="1" applyBorder="1" applyAlignment="1">
      <alignment horizontal="center" vertical="center"/>
    </xf>
    <xf numFmtId="14" fontId="5" fillId="0" borderId="1" xfId="3" applyNumberFormat="1" applyFont="1" applyFill="1" applyBorder="1" applyAlignment="1">
      <alignment horizontal="left" vertical="center"/>
    </xf>
    <xf numFmtId="0" fontId="5" fillId="0" borderId="1" xfId="3" quotePrefix="1" applyNumberFormat="1" applyFont="1" applyFill="1" applyBorder="1" applyAlignment="1"/>
    <xf numFmtId="166" fontId="4" fillId="0" borderId="1" xfId="6" applyNumberFormat="1" applyFont="1" applyFill="1" applyBorder="1" applyAlignment="1">
      <alignment horizontal="left" vertical="center"/>
    </xf>
    <xf numFmtId="0" fontId="0" fillId="0" borderId="1" xfId="0" applyFill="1" applyBorder="1" applyAlignment="1">
      <alignment vertical="center"/>
    </xf>
    <xf numFmtId="14" fontId="0" fillId="0" borderId="1" xfId="0" applyNumberFormat="1" applyFill="1" applyBorder="1" applyAlignment="1">
      <alignment vertical="center"/>
    </xf>
    <xf numFmtId="166" fontId="4" fillId="0" borderId="1" xfId="6" applyNumberFormat="1" applyFill="1" applyBorder="1" applyAlignment="1">
      <alignment horizontal="left" vertical="center"/>
    </xf>
    <xf numFmtId="0" fontId="0" fillId="0" borderId="1" xfId="0" applyBorder="1" applyAlignment="1">
      <alignment vertical="center"/>
    </xf>
    <xf numFmtId="15" fontId="0" fillId="0" borderId="1" xfId="0" applyNumberFormat="1" applyBorder="1" applyAlignment="1">
      <alignment vertical="center"/>
    </xf>
    <xf numFmtId="0" fontId="0" fillId="0" borderId="1" xfId="0" applyBorder="1" applyAlignment="1">
      <alignment horizontal="center" vertical="center"/>
    </xf>
    <xf numFmtId="0" fontId="4" fillId="0" borderId="1" xfId="6" applyBorder="1" applyAlignment="1">
      <alignment vertical="center"/>
    </xf>
    <xf numFmtId="0" fontId="0" fillId="0" borderId="1" xfId="0" quotePrefix="1" applyBorder="1" applyAlignment="1">
      <alignment horizont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19" fillId="0" borderId="1" xfId="0" applyFont="1" applyBorder="1" applyAlignment="1">
      <alignment horizontal="left" vertical="center"/>
    </xf>
    <xf numFmtId="0" fontId="4" fillId="0" borderId="1" xfId="6" applyBorder="1" applyAlignment="1">
      <alignment horizontal="left" vertical="center"/>
    </xf>
    <xf numFmtId="0" fontId="1" fillId="0" borderId="1" xfId="3" applyNumberFormat="1" applyBorder="1" applyAlignment="1">
      <alignment horizontal="center"/>
    </xf>
    <xf numFmtId="0" fontId="4" fillId="0" borderId="1" xfId="5" applyNumberFormat="1" applyBorder="1" applyAlignment="1">
      <alignment horizontal="left" wrapText="1"/>
    </xf>
    <xf numFmtId="0" fontId="0" fillId="0" borderId="1" xfId="1" applyNumberFormat="1" applyFont="1" applyFill="1" applyBorder="1" applyAlignment="1">
      <alignment horizontal="left"/>
    </xf>
    <xf numFmtId="0" fontId="5" fillId="0" borderId="1" xfId="6" applyNumberFormat="1" applyFont="1" applyFill="1" applyBorder="1" applyAlignment="1">
      <alignment horizontal="center"/>
    </xf>
    <xf numFmtId="0" fontId="4" fillId="0" borderId="1" xfId="6" applyNumberFormat="1" applyFill="1" applyBorder="1" applyAlignment="1">
      <alignment horizontal="left"/>
    </xf>
    <xf numFmtId="0" fontId="0" fillId="0" borderId="1" xfId="0" applyFill="1" applyBorder="1" applyAlignment="1"/>
    <xf numFmtId="166" fontId="4" fillId="0" borderId="1" xfId="6" applyNumberFormat="1" applyFill="1" applyBorder="1" applyAlignment="1">
      <alignment horizontal="left"/>
    </xf>
    <xf numFmtId="0" fontId="0" fillId="0" borderId="1" xfId="0" applyBorder="1" applyAlignment="1"/>
    <xf numFmtId="15" fontId="0" fillId="0" borderId="1" xfId="0" applyNumberFormat="1" applyBorder="1" applyAlignment="1"/>
    <xf numFmtId="0" fontId="4" fillId="0" borderId="1" xfId="6" applyBorder="1" applyAlignment="1">
      <alignment horizontal="left"/>
    </xf>
    <xf numFmtId="166" fontId="1" fillId="0" borderId="1" xfId="3" applyBorder="1"/>
    <xf numFmtId="0" fontId="1" fillId="0" borderId="1" xfId="3" applyNumberFormat="1" applyBorder="1" applyAlignment="1">
      <alignment horizontal="center" vertical="center"/>
    </xf>
    <xf numFmtId="0" fontId="4" fillId="0" borderId="1" xfId="5" applyNumberFormat="1" applyBorder="1" applyAlignment="1">
      <alignment horizontal="left" vertical="center" wrapText="1"/>
    </xf>
    <xf numFmtId="0" fontId="20" fillId="0" borderId="1" xfId="3" applyNumberFormat="1" applyFont="1" applyBorder="1" applyAlignment="1">
      <alignment horizontal="left"/>
    </xf>
    <xf numFmtId="0" fontId="24" fillId="0" borderId="1" xfId="10" applyFont="1" applyFill="1" applyBorder="1" applyAlignment="1"/>
    <xf numFmtId="0" fontId="0" fillId="6" borderId="1" xfId="0" applyFont="1" applyFill="1" applyBorder="1" applyAlignment="1">
      <alignment vertical="center"/>
    </xf>
    <xf numFmtId="1" fontId="0" fillId="6" borderId="1" xfId="0" quotePrefix="1" applyNumberFormat="1" applyFont="1" applyFill="1" applyBorder="1" applyAlignment="1">
      <alignment horizontal="center" vertical="center"/>
    </xf>
    <xf numFmtId="0" fontId="0" fillId="6" borderId="1" xfId="0" applyFont="1" applyFill="1" applyBorder="1" applyAlignment="1">
      <alignment horizontal="center" vertical="center"/>
    </xf>
    <xf numFmtId="0" fontId="6" fillId="5" borderId="1" xfId="3" applyNumberFormat="1" applyFont="1" applyFill="1" applyBorder="1" applyAlignment="1">
      <alignment horizontal="left" wrapText="1"/>
    </xf>
    <xf numFmtId="166" fontId="5" fillId="11" borderId="1" xfId="3" applyFont="1" applyFill="1" applyBorder="1" applyAlignment="1"/>
    <xf numFmtId="0" fontId="5" fillId="11" borderId="1" xfId="0" applyFont="1" applyFill="1" applyBorder="1" applyAlignment="1">
      <alignment horizontal="left" vertical="center"/>
    </xf>
    <xf numFmtId="0" fontId="3" fillId="11" borderId="1" xfId="0" applyFont="1" applyFill="1" applyBorder="1" applyAlignment="1">
      <alignment horizontal="left" vertical="center"/>
    </xf>
    <xf numFmtId="166" fontId="7" fillId="11" borderId="1" xfId="3" applyFont="1" applyFill="1" applyBorder="1" applyAlignment="1"/>
  </cellXfs>
  <cellStyles count="11">
    <cellStyle name="Comma" xfId="1" builtinId="3"/>
    <cellStyle name="Hyperlink" xfId="6" builtinId="8"/>
    <cellStyle name="Hyperlink 2" xfId="5" xr:uid="{A489D702-319A-4477-91B7-2692ED88A5E4}"/>
    <cellStyle name="Hyperlink 2 2" xfId="9" xr:uid="{B8773628-F08A-40B3-8649-0545BFF54950}"/>
    <cellStyle name="Hyperlink 3" xfId="2" xr:uid="{5E4A367B-4F0E-4459-A9B1-23B1575CB534}"/>
    <cellStyle name="Normal" xfId="0" builtinId="0"/>
    <cellStyle name="Normal 10" xfId="8" xr:uid="{4ED3B5F1-B6D0-4891-9EC4-D457743D977B}"/>
    <cellStyle name="Normal 11" xfId="7" xr:uid="{3DE712AF-F0A6-4046-89FE-59DBB493AA67}"/>
    <cellStyle name="Normal 2" xfId="3" xr:uid="{B4C8CE00-A4F3-4095-A00A-F806810637E2}"/>
    <cellStyle name="Normal 3" xfId="4" xr:uid="{38815D6C-28F1-42F5-B781-169F193134D5}"/>
    <cellStyle name="Normal_Sheet1" xfId="10" xr:uid="{9CD7AED9-A7B7-4E2B-A078-258B42D49C18}"/>
  </cellStyles>
  <dxfs count="5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20DRIVE%20DATA/Paysheets/2025-26/October-2025/Lab%20OT%20Oct-25%20working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20DRIVE%20DATA/June-25/Onroll%20Lab%20Doctors%20Da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R.DATA%205-11-2025/D%20DRIVE%20DATA/Master/Final%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
          <cell r="B1" t="str">
            <v>Consultant ID</v>
          </cell>
          <cell r="C1" t="str">
            <v>Consultant Name</v>
          </cell>
          <cell r="D1" t="str">
            <v>Gender</v>
          </cell>
          <cell r="E1" t="str">
            <v>Branch</v>
          </cell>
          <cell r="F1" t="str">
            <v>Total Hours</v>
          </cell>
          <cell r="G1" t="str">
            <v>Professional Fee per month</v>
          </cell>
          <cell r="H1" t="str">
            <v>Department</v>
          </cell>
          <cell r="I1" t="str">
            <v xml:space="preserve">MBBS - Year of Passing </v>
          </cell>
          <cell r="J1" t="str">
            <v>MBBS College</v>
          </cell>
          <cell r="K1" t="str">
            <v xml:space="preserve">PG - Year of Passing </v>
          </cell>
          <cell r="L1" t="str">
            <v>PG College</v>
          </cell>
        </row>
        <row r="2">
          <cell r="B2">
            <v>104150</v>
          </cell>
          <cell r="C2" t="str">
            <v>Dr.Asima Mubeen Quadri</v>
          </cell>
          <cell r="D2" t="str">
            <v>Female</v>
          </cell>
          <cell r="E2" t="str">
            <v>Himayatnagar</v>
          </cell>
          <cell r="F2">
            <v>9</v>
          </cell>
          <cell r="G2">
            <v>195364</v>
          </cell>
          <cell r="H2" t="str">
            <v>Pathology</v>
          </cell>
          <cell r="I2">
            <v>1997</v>
          </cell>
          <cell r="J2" t="str">
            <v>University Of Health Sciences</v>
          </cell>
          <cell r="K2">
            <v>2003</v>
          </cell>
          <cell r="L2" t="str">
            <v>Kakatiya Medical College ( Warangal)</v>
          </cell>
        </row>
        <row r="3">
          <cell r="B3">
            <v>104061</v>
          </cell>
          <cell r="C3" t="str">
            <v>Dr.Jnankumar Chaudhuri</v>
          </cell>
          <cell r="D3" t="str">
            <v>Male</v>
          </cell>
          <cell r="E3" t="str">
            <v>Himayatnagar</v>
          </cell>
          <cell r="F3">
            <v>9</v>
          </cell>
          <cell r="G3">
            <v>385504</v>
          </cell>
          <cell r="H3" t="str">
            <v>Biochemistry</v>
          </cell>
          <cell r="I3">
            <v>1996</v>
          </cell>
          <cell r="J3" t="str">
            <v>Sambalpur University (Odisha)</v>
          </cell>
          <cell r="K3">
            <v>2003</v>
          </cell>
          <cell r="L3" t="str">
            <v>VSS Medical College</v>
          </cell>
        </row>
        <row r="4">
          <cell r="B4">
            <v>100984</v>
          </cell>
          <cell r="C4" t="str">
            <v>Dr.Geeta R Jahagirdar</v>
          </cell>
          <cell r="D4" t="str">
            <v>Female</v>
          </cell>
          <cell r="E4" t="str">
            <v>Himayatnagar</v>
          </cell>
          <cell r="F4">
            <v>9</v>
          </cell>
          <cell r="G4">
            <v>209281</v>
          </cell>
          <cell r="H4" t="str">
            <v>Lab Services</v>
          </cell>
          <cell r="I4">
            <v>1997</v>
          </cell>
          <cell r="J4" t="str">
            <v>Al-Ameen Medical College(Bijapur)</v>
          </cell>
          <cell r="K4">
            <v>2005</v>
          </cell>
          <cell r="L4" t="str">
            <v>Mahadevappa Rampure Medical College &amp; research Centre(Karnataka)</v>
          </cell>
        </row>
        <row r="5">
          <cell r="B5">
            <v>110279</v>
          </cell>
          <cell r="C5" t="str">
            <v>Dr.Ramesh Kinha</v>
          </cell>
          <cell r="D5" t="str">
            <v>Male</v>
          </cell>
          <cell r="E5" t="str">
            <v>Himayatnagar</v>
          </cell>
          <cell r="F5">
            <v>9</v>
          </cell>
          <cell r="G5">
            <v>625000</v>
          </cell>
          <cell r="H5" t="str">
            <v>Director - Lab Services</v>
          </cell>
          <cell r="I5">
            <v>2001</v>
          </cell>
          <cell r="J5" t="str">
            <v>Nagpur University</v>
          </cell>
          <cell r="K5">
            <v>2007</v>
          </cell>
          <cell r="L5" t="str">
            <v>Mumbai University</v>
          </cell>
        </row>
        <row r="6">
          <cell r="B6">
            <v>110310</v>
          </cell>
          <cell r="C6" t="str">
            <v>Dr.Kumpati Madhavi Latha</v>
          </cell>
          <cell r="D6" t="str">
            <v>Female</v>
          </cell>
          <cell r="E6" t="str">
            <v>Himayatnagar</v>
          </cell>
          <cell r="F6">
            <v>9</v>
          </cell>
          <cell r="G6">
            <v>255000</v>
          </cell>
          <cell r="H6" t="str">
            <v>Microbiology</v>
          </cell>
          <cell r="I6">
            <v>2002</v>
          </cell>
          <cell r="J6" t="str">
            <v>NTR University Of Health Sciences</v>
          </cell>
          <cell r="K6">
            <v>2009</v>
          </cell>
          <cell r="L6" t="str">
            <v>Dr NTR University Of Heallth Sciences</v>
          </cell>
        </row>
        <row r="7">
          <cell r="B7">
            <v>104001</v>
          </cell>
          <cell r="C7" t="str">
            <v>Dr.Syed Ghouse Ali Hatim .</v>
          </cell>
          <cell r="D7" t="str">
            <v>Male</v>
          </cell>
          <cell r="E7" t="str">
            <v>Himayatnagar</v>
          </cell>
          <cell r="F7">
            <v>9</v>
          </cell>
          <cell r="G7">
            <v>224498</v>
          </cell>
          <cell r="H7" t="str">
            <v>Biochemistry</v>
          </cell>
          <cell r="I7">
            <v>2007</v>
          </cell>
          <cell r="J7" t="str">
            <v>NTR University Of Health Sciences</v>
          </cell>
          <cell r="K7">
            <v>2013</v>
          </cell>
          <cell r="L7" t="str">
            <v>Osmania Medical College(Hyderabad)</v>
          </cell>
        </row>
        <row r="8">
          <cell r="B8">
            <v>103341</v>
          </cell>
          <cell r="C8" t="str">
            <v>Dr.Taposhi Das</v>
          </cell>
          <cell r="D8" t="str">
            <v>Female</v>
          </cell>
          <cell r="E8" t="str">
            <v>Himayatnagar</v>
          </cell>
          <cell r="F8">
            <v>9</v>
          </cell>
          <cell r="G8">
            <v>223388</v>
          </cell>
          <cell r="H8" t="str">
            <v>Pathology</v>
          </cell>
          <cell r="I8">
            <v>2007</v>
          </cell>
          <cell r="J8" t="str">
            <v>Government Medical College(Akola)</v>
          </cell>
          <cell r="K8">
            <v>2014</v>
          </cell>
          <cell r="L8" t="str">
            <v>Government Medical College(Patiala)</v>
          </cell>
        </row>
        <row r="9">
          <cell r="B9">
            <v>104708</v>
          </cell>
          <cell r="C9" t="str">
            <v>Dr.S Yamini</v>
          </cell>
          <cell r="D9" t="str">
            <v>Female</v>
          </cell>
          <cell r="E9" t="str">
            <v>Himayatnagar</v>
          </cell>
          <cell r="F9">
            <v>9</v>
          </cell>
          <cell r="G9">
            <v>141784</v>
          </cell>
          <cell r="H9" t="str">
            <v>Microbiology</v>
          </cell>
          <cell r="I9">
            <v>2001</v>
          </cell>
          <cell r="J9" t="str">
            <v>Kuvempu University</v>
          </cell>
          <cell r="K9">
            <v>2015</v>
          </cell>
          <cell r="L9" t="str">
            <v>Chalmeda Anand Rao Institute Of Medical Sciences(Karimnagar)</v>
          </cell>
        </row>
        <row r="10">
          <cell r="B10">
            <v>105470</v>
          </cell>
          <cell r="C10" t="str">
            <v>Dr.Sudhir Babu Karri</v>
          </cell>
          <cell r="D10" t="str">
            <v>Male</v>
          </cell>
          <cell r="E10" t="str">
            <v>Dwarakanagar - 6</v>
          </cell>
          <cell r="F10">
            <v>9</v>
          </cell>
          <cell r="G10">
            <v>225397</v>
          </cell>
          <cell r="H10" t="str">
            <v>Pathology</v>
          </cell>
          <cell r="I10">
            <v>2009</v>
          </cell>
          <cell r="J10" t="str">
            <v>Guntur Medical college</v>
          </cell>
          <cell r="K10">
            <v>2015</v>
          </cell>
          <cell r="L10" t="str">
            <v xml:space="preserve">Nizams Institute Of Medical Sciences </v>
          </cell>
        </row>
        <row r="11">
          <cell r="B11">
            <v>105720</v>
          </cell>
          <cell r="C11" t="str">
            <v>Mrs.Shankari M</v>
          </cell>
          <cell r="D11" t="str">
            <v>Female</v>
          </cell>
          <cell r="E11" t="str">
            <v>Himayatnagar</v>
          </cell>
          <cell r="F11">
            <v>9</v>
          </cell>
          <cell r="G11">
            <v>160000</v>
          </cell>
          <cell r="H11" t="str">
            <v>Molecular Pathology</v>
          </cell>
          <cell r="I11">
            <v>2009</v>
          </cell>
          <cell r="J11" t="str">
            <v>Kakatiya Medical College(Warangal)</v>
          </cell>
          <cell r="K11">
            <v>2017</v>
          </cell>
          <cell r="L11" t="str">
            <v>Osmania Medical College(Hyderabad)</v>
          </cell>
        </row>
        <row r="12">
          <cell r="B12">
            <v>109017</v>
          </cell>
          <cell r="C12" t="str">
            <v>Dr.Sripathi Panditharadhyula Naga Praphulla</v>
          </cell>
          <cell r="D12" t="str">
            <v>Female</v>
          </cell>
          <cell r="E12" t="str">
            <v>Habsiguda - 17</v>
          </cell>
          <cell r="F12">
            <v>9</v>
          </cell>
          <cell r="G12">
            <v>161589</v>
          </cell>
          <cell r="H12" t="str">
            <v>Histopathology</v>
          </cell>
          <cell r="I12">
            <v>2010</v>
          </cell>
          <cell r="J12" t="str">
            <v>Jiamusi University(China)</v>
          </cell>
          <cell r="K12">
            <v>2017</v>
          </cell>
          <cell r="L12" t="str">
            <v>GSL Medical College(Rajahmundry)</v>
          </cell>
        </row>
        <row r="13">
          <cell r="B13">
            <v>110242</v>
          </cell>
          <cell r="C13" t="str">
            <v>Dr.Mahankali Krishna Jyothi</v>
          </cell>
          <cell r="D13" t="str">
            <v>Female</v>
          </cell>
          <cell r="E13" t="str">
            <v>Himayatnagar</v>
          </cell>
          <cell r="F13">
            <v>9</v>
          </cell>
          <cell r="G13">
            <v>140000</v>
          </cell>
          <cell r="H13" t="str">
            <v>Microbiology</v>
          </cell>
          <cell r="I13">
            <v>2006</v>
          </cell>
          <cell r="J13" t="str">
            <v>NTR University Of Health Sciences</v>
          </cell>
          <cell r="K13">
            <v>2023</v>
          </cell>
          <cell r="L13" t="str">
            <v>Guntur Medical College</v>
          </cell>
        </row>
        <row r="14">
          <cell r="B14">
            <v>110765</v>
          </cell>
          <cell r="C14" t="str">
            <v>Dr.Sai Aditya Garikipati</v>
          </cell>
          <cell r="D14" t="str">
            <v>Male</v>
          </cell>
          <cell r="E14" t="str">
            <v>Himayatnagar</v>
          </cell>
          <cell r="F14">
            <v>9</v>
          </cell>
          <cell r="G14">
            <v>130000</v>
          </cell>
          <cell r="H14" t="str">
            <v>Pathology</v>
          </cell>
          <cell r="I14">
            <v>2013</v>
          </cell>
          <cell r="J14" t="str">
            <v>Pondicherry University</v>
          </cell>
          <cell r="K14">
            <v>2025</v>
          </cell>
          <cell r="L14" t="str">
            <v>Armed Forces Medical College(Pune)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it"/>
      <sheetName val="Master"/>
      <sheetName val="Intro"/>
      <sheetName val="Formats"/>
      <sheetName val="Other Information"/>
      <sheetName val="Sheet1"/>
    </sheetNames>
    <sheetDataSet>
      <sheetData sheetId="0"/>
      <sheetData sheetId="1">
        <row r="393">
          <cell r="M393" t="str">
            <v>Habsiguda - 17</v>
          </cell>
          <cell r="N393" t="str">
            <v>NA</v>
          </cell>
          <cell r="O393" t="str">
            <v>Histopathology</v>
          </cell>
          <cell r="P393" t="str">
            <v>Doctor</v>
          </cell>
          <cell r="Q393" t="str">
            <v>Dr Ramesh Kinha</v>
          </cell>
          <cell r="R393">
            <v>45148</v>
          </cell>
          <cell r="S393" t="str">
            <v>NA</v>
          </cell>
          <cell r="T393" t="str">
            <v>NA</v>
          </cell>
          <cell r="U393" t="str">
            <v>NA</v>
          </cell>
          <cell r="V393">
            <v>2010</v>
          </cell>
          <cell r="W393" t="str">
            <v>Jiamusi University(China)</v>
          </cell>
          <cell r="X393">
            <v>2017</v>
          </cell>
          <cell r="Y393" t="str">
            <v>GSL Medical College(Rajahmundry)</v>
          </cell>
          <cell r="Z393" t="str">
            <v>NA</v>
          </cell>
          <cell r="AF393" t="str">
            <v>7660860008</v>
          </cell>
          <cell r="AG393" t="str">
            <v>sp.praphulla@gmail.com</v>
          </cell>
          <cell r="AL393" t="str">
            <v>894861823012</v>
          </cell>
          <cell r="AM393" t="str">
            <v>Jada Dhanvanthari</v>
          </cell>
          <cell r="AX393" t="str">
            <v>FEMALE</v>
          </cell>
          <cell r="AY393" t="str">
            <v>Full Time</v>
          </cell>
          <cell r="AZ393">
            <v>9</v>
          </cell>
          <cell r="BA393" t="str">
            <v>Habsiguda - 17</v>
          </cell>
        </row>
        <row r="394">
          <cell r="M394" t="str">
            <v>Himayatnagar</v>
          </cell>
          <cell r="N394" t="str">
            <v>NA</v>
          </cell>
          <cell r="O394" t="str">
            <v>Microbiology</v>
          </cell>
          <cell r="P394" t="str">
            <v>Doctor</v>
          </cell>
          <cell r="Q394" t="str">
            <v>Dr Ramesh Kinha</v>
          </cell>
          <cell r="R394">
            <v>45548</v>
          </cell>
          <cell r="S394" t="str">
            <v>NA</v>
          </cell>
          <cell r="T394" t="str">
            <v>NA</v>
          </cell>
          <cell r="U394" t="str">
            <v>NA</v>
          </cell>
          <cell r="V394">
            <v>2006</v>
          </cell>
          <cell r="W394" t="str">
            <v>NTR University Of Health Sciences</v>
          </cell>
          <cell r="X394">
            <v>2023</v>
          </cell>
          <cell r="Y394" t="str">
            <v>Guntur Medical College</v>
          </cell>
          <cell r="Z394" t="str">
            <v>NA</v>
          </cell>
          <cell r="AF394" t="str">
            <v>8125408876</v>
          </cell>
          <cell r="AG394" t="str">
            <v>krishnajyothi111@gmail.com</v>
          </cell>
          <cell r="AK394" t="str">
            <v>BZXPM8500Q</v>
          </cell>
          <cell r="AL394" t="str">
            <v>755401715631</v>
          </cell>
          <cell r="AM394" t="str">
            <v>G.Sreedhar</v>
          </cell>
          <cell r="AX394" t="str">
            <v>FEMALE</v>
          </cell>
          <cell r="AY394" t="str">
            <v>Full Time</v>
          </cell>
          <cell r="AZ394">
            <v>9</v>
          </cell>
          <cell r="BA394" t="str">
            <v>Himayatnagar</v>
          </cell>
        </row>
        <row r="395">
          <cell r="M395" t="str">
            <v>Himayatnagar</v>
          </cell>
          <cell r="N395" t="str">
            <v>NA</v>
          </cell>
          <cell r="O395" t="str">
            <v>Pathology</v>
          </cell>
          <cell r="P395" t="str">
            <v>Senior Doctor</v>
          </cell>
          <cell r="Q395" t="str">
            <v>Dr Ramesh Kinha</v>
          </cell>
          <cell r="R395">
            <v>45726</v>
          </cell>
          <cell r="S395" t="str">
            <v>NA</v>
          </cell>
          <cell r="T395" t="str">
            <v>NA</v>
          </cell>
          <cell r="U395" t="str">
            <v>NA</v>
          </cell>
          <cell r="V395">
            <v>2013</v>
          </cell>
          <cell r="W395" t="str">
            <v>Pondicherry University</v>
          </cell>
          <cell r="X395">
            <v>2025</v>
          </cell>
          <cell r="Y395" t="str">
            <v>Armed Forces Medical College(Pune)</v>
          </cell>
          <cell r="Z395" t="str">
            <v>NA</v>
          </cell>
          <cell r="AF395" t="str">
            <v>9493029999</v>
          </cell>
          <cell r="AG395" t="str">
            <v>dr.saiaditya@gmail.com</v>
          </cell>
          <cell r="AK395" t="str">
            <v>DFYPS1959N</v>
          </cell>
          <cell r="AL395" t="str">
            <v>577308985800</v>
          </cell>
          <cell r="AM395" t="str">
            <v>Samba Siva Rao</v>
          </cell>
          <cell r="AX395" t="str">
            <v>MALE</v>
          </cell>
          <cell r="AY395" t="str">
            <v>Full Time</v>
          </cell>
          <cell r="AZ395">
            <v>9</v>
          </cell>
          <cell r="BA395" t="str">
            <v>Himayatnagar</v>
          </cell>
        </row>
        <row r="396">
          <cell r="M396" t="str">
            <v>Dwarakanagar - 6</v>
          </cell>
          <cell r="N396" t="str">
            <v>N/A</v>
          </cell>
          <cell r="O396" t="str">
            <v>Biochemistry</v>
          </cell>
          <cell r="P396" t="str">
            <v>Consultant Biochemist</v>
          </cell>
          <cell r="Q396" t="str">
            <v>Dr.Sudhir Babu Karri</v>
          </cell>
          <cell r="R396">
            <v>45092</v>
          </cell>
          <cell r="S396">
            <v>45823</v>
          </cell>
          <cell r="T396">
            <v>46552</v>
          </cell>
          <cell r="U396">
            <v>46553</v>
          </cell>
          <cell r="V396">
            <v>2016</v>
          </cell>
          <cell r="W396" t="str">
            <v>Andhra Medical College</v>
          </cell>
          <cell r="X396">
            <v>2022</v>
          </cell>
          <cell r="Y396" t="str">
            <v>Nizam Institute of Medical Science</v>
          </cell>
          <cell r="Z396" t="str">
            <v>N/A</v>
          </cell>
          <cell r="AA396" t="str">
            <v>MBBS, MD Biochemistry</v>
          </cell>
          <cell r="AB396" t="str">
            <v>APMC/FMR/99684</v>
          </cell>
          <cell r="AC396" t="str">
            <v>Andhra Pradesh Medical Council</v>
          </cell>
          <cell r="AD396">
            <v>45090</v>
          </cell>
          <cell r="AE396">
            <v>46916</v>
          </cell>
          <cell r="AF396" t="str">
            <v>8330928681, 9491946283</v>
          </cell>
          <cell r="AG396" t="str">
            <v>d.sabitha67@gmail.com</v>
          </cell>
          <cell r="AH396" t="str">
            <v>Bank of Baroda</v>
          </cell>
          <cell r="AI396" t="str">
            <v>58470100012423</v>
          </cell>
          <cell r="AJ396" t="str">
            <v>BARB0SURYAP</v>
          </cell>
          <cell r="AK396" t="str">
            <v>CFLPD1856B</v>
          </cell>
          <cell r="AL396" t="str">
            <v>247634130379</v>
          </cell>
          <cell r="AM396" t="str">
            <v>Ananda Rao Dunna</v>
          </cell>
          <cell r="AN396">
            <v>45913</v>
          </cell>
          <cell r="AO396" t="str">
            <v>NA</v>
          </cell>
          <cell r="AP396" t="str">
            <v xml:space="preserve">Maternity </v>
          </cell>
          <cell r="AQ396" t="str">
            <v>D No: 40-27-21, Pettengel Pet, Opp Bhashyam School, Benz Circle, Vijayawada, Krishna District, Andhra Pradesh - 520008.</v>
          </cell>
          <cell r="AR396">
            <v>32</v>
          </cell>
          <cell r="AW396">
            <v>34180</v>
          </cell>
          <cell r="AX396" t="str">
            <v>Female</v>
          </cell>
          <cell r="AY396" t="str">
            <v>Part Time</v>
          </cell>
          <cell r="AZ396">
            <v>3</v>
          </cell>
          <cell r="BA396" t="str">
            <v>Visakhapatnam Cluster</v>
          </cell>
        </row>
        <row r="397">
          <cell r="M397" t="str">
            <v>Himayatnagar</v>
          </cell>
          <cell r="N397" t="str">
            <v>N/A</v>
          </cell>
          <cell r="O397" t="str">
            <v>Nuclear Medicine</v>
          </cell>
          <cell r="P397" t="str">
            <v>Director Nuclear Medicine</v>
          </cell>
          <cell r="Q397" t="str">
            <v>Ms. Suprita Reddy</v>
          </cell>
          <cell r="R397">
            <v>45103</v>
          </cell>
          <cell r="S397">
            <v>45834</v>
          </cell>
          <cell r="T397">
            <v>46563</v>
          </cell>
          <cell r="U397">
            <v>46564</v>
          </cell>
          <cell r="V397">
            <v>2004</v>
          </cell>
          <cell r="W397" t="str">
            <v>SMS Medical College</v>
          </cell>
          <cell r="X397">
            <v>2008</v>
          </cell>
          <cell r="Y397" t="str">
            <v>Institute of Nuclear Medicine</v>
          </cell>
          <cell r="Z397" t="str">
            <v>N/A</v>
          </cell>
          <cell r="AA397" t="str">
            <v>MBBS, DRM</v>
          </cell>
          <cell r="AB397" t="str">
            <v>TSMC/FMR/06774</v>
          </cell>
          <cell r="AC397" t="str">
            <v>Telangana State Medical Council</v>
          </cell>
          <cell r="AD397">
            <v>45372</v>
          </cell>
          <cell r="AE397">
            <v>47197</v>
          </cell>
          <cell r="AF397">
            <v>8008855001</v>
          </cell>
          <cell r="AG397" t="str">
            <v>docanujjain@gmail.com</v>
          </cell>
          <cell r="AH397" t="str">
            <v>HDFC Bank</v>
          </cell>
          <cell r="AI397" t="str">
            <v>5121930001500</v>
          </cell>
          <cell r="AJ397" t="str">
            <v>HDFC0000512</v>
          </cell>
          <cell r="AK397" t="str">
            <v>AHPPJ1567P</v>
          </cell>
          <cell r="AL397" t="str">
            <v>617719829898</v>
          </cell>
          <cell r="AM397" t="str">
            <v>Trilok Chand Jain</v>
          </cell>
          <cell r="AN397">
            <v>45925</v>
          </cell>
          <cell r="AO397" t="str">
            <v>Communicated</v>
          </cell>
          <cell r="AP397" t="str">
            <v xml:space="preserve">Moving to UK </v>
          </cell>
          <cell r="AR397">
            <v>45</v>
          </cell>
          <cell r="AW397">
            <v>29297</v>
          </cell>
          <cell r="AX397" t="str">
            <v>Male</v>
          </cell>
          <cell r="AY397" t="str">
            <v>Part Time</v>
          </cell>
          <cell r="AZ397">
            <v>7</v>
          </cell>
          <cell r="BA397" t="str">
            <v>Himayathnagar Cluster</v>
          </cell>
        </row>
        <row r="398">
          <cell r="M398" t="str">
            <v>Ramji Nagar - 106</v>
          </cell>
          <cell r="N398" t="str">
            <v>X-Ray (Plain Radiography-Basic,Advanced), Mammography, USG(Basic, Doppler Studies,Thyroid/Scrotum USG, Breast USG,TIFFA, USG Guided FNAC, USG guided Aspiration), CT (Basic, Chest/Abdomen,3DCT,CT Angiography, Coronary CT), MRI(Basic, MSk Studies- Knee/Shoulder, MRI MRCP/Abdomen/Liver, MR Prostate/Rectum), Special Procedures (RGU,MCUG, Barium Swallow, Barium Enema, HSG)</v>
          </cell>
          <cell r="O398" t="str">
            <v>Radiology</v>
          </cell>
          <cell r="P398" t="str">
            <v>Consultant Radiologist</v>
          </cell>
          <cell r="Q398" t="str">
            <v>Dr.Vijayanand</v>
          </cell>
          <cell r="R398">
            <v>45505</v>
          </cell>
          <cell r="S398">
            <v>45537</v>
          </cell>
          <cell r="T398">
            <v>46234</v>
          </cell>
          <cell r="U398">
            <v>46235</v>
          </cell>
          <cell r="V398">
            <v>2018</v>
          </cell>
          <cell r="W398" t="str">
            <v>Narayana Medical College</v>
          </cell>
          <cell r="X398">
            <v>2023</v>
          </cell>
          <cell r="Y398" t="str">
            <v>Narayana Medical College</v>
          </cell>
          <cell r="Z398" t="str">
            <v>NA</v>
          </cell>
          <cell r="AA398" t="str">
            <v>MBBS, MD Radio Diagnosis</v>
          </cell>
          <cell r="AB398" t="str">
            <v>APMC/FMR/104145</v>
          </cell>
          <cell r="AC398" t="str">
            <v>Andhra Pradesh Medical Council</v>
          </cell>
          <cell r="AD398">
            <v>45327</v>
          </cell>
          <cell r="AE398">
            <v>47153</v>
          </cell>
          <cell r="AF398">
            <v>8019479719</v>
          </cell>
          <cell r="AG398" t="str">
            <v>b.bharathreddy6033@gmail.com</v>
          </cell>
          <cell r="AH398" t="str">
            <v>HDFC Bank</v>
          </cell>
          <cell r="AI398" t="str">
            <v>50100652445516</v>
          </cell>
          <cell r="AJ398" t="str">
            <v>HDFC0004802</v>
          </cell>
          <cell r="AK398" t="str">
            <v>DJWPB1234D</v>
          </cell>
          <cell r="AL398" t="str">
            <v>775403915617</v>
          </cell>
          <cell r="AM398" t="str">
            <v>Bonamukkala Srinivas Reddy</v>
          </cell>
          <cell r="AN398">
            <v>45930</v>
          </cell>
          <cell r="AO398">
            <v>45869</v>
          </cell>
          <cell r="AP398" t="str">
            <v>Relocating</v>
          </cell>
          <cell r="AQ398" t="str">
            <v>28/3/396, Lakshmi nagar, Mypadu road, Kissan nagar centre, Nawabpeta, Nellore, Andhra Pradesh-524002.</v>
          </cell>
          <cell r="AR398">
            <v>30</v>
          </cell>
          <cell r="AS398" t="str">
            <v>THE NEW INDIA ASSURANCE CO. LTD</v>
          </cell>
          <cell r="AT398" t="str">
            <v>IRDAN190P0082100001</v>
          </cell>
          <cell r="AU398">
            <v>45514</v>
          </cell>
          <cell r="AV398">
            <v>45878</v>
          </cell>
          <cell r="AW398">
            <v>34938</v>
          </cell>
          <cell r="AX398" t="str">
            <v>Male</v>
          </cell>
          <cell r="AY398" t="str">
            <v>Full Time</v>
          </cell>
          <cell r="AZ398">
            <v>8</v>
          </cell>
          <cell r="BA398" t="str">
            <v>Tirupati Cluster</v>
          </cell>
        </row>
        <row r="399">
          <cell r="M399" t="str">
            <v>Habsiguda - 17</v>
          </cell>
          <cell r="N399" t="str">
            <v>NA</v>
          </cell>
          <cell r="O399" t="str">
            <v>Biochemistry</v>
          </cell>
          <cell r="P399" t="str">
            <v>Consultant Biochemist</v>
          </cell>
          <cell r="Q399" t="str">
            <v>Dr.Ramesh Kinha</v>
          </cell>
          <cell r="R399">
            <v>45589</v>
          </cell>
          <cell r="S399">
            <v>45589</v>
          </cell>
          <cell r="T399">
            <v>46318</v>
          </cell>
          <cell r="U399">
            <v>46319</v>
          </cell>
          <cell r="V399">
            <v>2007</v>
          </cell>
          <cell r="W399" t="str">
            <v>SVS Medical College</v>
          </cell>
          <cell r="X399">
            <v>2013</v>
          </cell>
          <cell r="Y399" t="str">
            <v>Osmania Medical College and Hospital</v>
          </cell>
          <cell r="Z399" t="str">
            <v>NA</v>
          </cell>
          <cell r="AA399" t="str">
            <v>MBBS, MD - Biochemistry</v>
          </cell>
          <cell r="AB399">
            <v>60608</v>
          </cell>
          <cell r="AC399" t="str">
            <v>Telangana State Medical Council</v>
          </cell>
          <cell r="AD399">
            <v>44141</v>
          </cell>
          <cell r="AE399">
            <v>45966</v>
          </cell>
          <cell r="AF399">
            <v>9908971331</v>
          </cell>
          <cell r="AG399" t="str">
            <v>anilgunde17@gmail.com</v>
          </cell>
          <cell r="AH399" t="str">
            <v>HDFC Bank</v>
          </cell>
          <cell r="AI399" t="str">
            <v>50100228030178</v>
          </cell>
          <cell r="AJ399" t="str">
            <v>HDFC0001634</v>
          </cell>
          <cell r="AK399" t="str">
            <v>BHSPG2517A</v>
          </cell>
          <cell r="AL399" t="str">
            <v>439134490326</v>
          </cell>
          <cell r="AM399" t="str">
            <v>Rama Swamy Gunde</v>
          </cell>
          <cell r="AN399">
            <v>45903</v>
          </cell>
          <cell r="AO399">
            <v>45842</v>
          </cell>
          <cell r="AP399" t="str">
            <v>Personal reasons</v>
          </cell>
          <cell r="AQ399" t="str">
            <v>H.No-4-61, Gattepally Village, Sultanabad Mandal, Near Govt School, Gattepalle, Karimnagar, Telangana- 505185.</v>
          </cell>
          <cell r="AR399">
            <v>42</v>
          </cell>
          <cell r="AW399">
            <v>30483</v>
          </cell>
          <cell r="AX399" t="str">
            <v>Male</v>
          </cell>
          <cell r="AY399" t="str">
            <v>Part Time</v>
          </cell>
          <cell r="AZ399">
            <v>4</v>
          </cell>
          <cell r="BA399" t="str">
            <v>A.S. Rao Nagar Cluster</v>
          </cell>
        </row>
        <row r="400">
          <cell r="M400" t="str">
            <v>Himayatnagar</v>
          </cell>
          <cell r="N400" t="str">
            <v>NA</v>
          </cell>
          <cell r="O400" t="str">
            <v>Histopathology</v>
          </cell>
          <cell r="P400" t="str">
            <v>Consultant Histopathologist</v>
          </cell>
          <cell r="Q400" t="str">
            <v>Dr.Ramesh Kinha</v>
          </cell>
          <cell r="R400">
            <v>45614</v>
          </cell>
          <cell r="S400">
            <v>45614</v>
          </cell>
          <cell r="T400">
            <v>46343</v>
          </cell>
          <cell r="U400">
            <v>46344</v>
          </cell>
          <cell r="V400">
            <v>2014</v>
          </cell>
          <cell r="W400" t="str">
            <v>MGM Medical College Indore</v>
          </cell>
          <cell r="X400">
            <v>2022</v>
          </cell>
          <cell r="Y400" t="str">
            <v>Mahatma Gandhi Memorial Medical College, Indore</v>
          </cell>
          <cell r="Z400" t="str">
            <v>NA</v>
          </cell>
          <cell r="AA400" t="str">
            <v>MBBS, MD Pathology</v>
          </cell>
          <cell r="AB400" t="str">
            <v>TSMC/FMR/35252</v>
          </cell>
          <cell r="AC400" t="str">
            <v>Telangana State Medical Council</v>
          </cell>
          <cell r="AD400">
            <v>45617</v>
          </cell>
          <cell r="AE400">
            <v>47442</v>
          </cell>
          <cell r="AF400">
            <v>9713949759</v>
          </cell>
          <cell r="AG400" t="str">
            <v>kunder.rohini@gmail.com</v>
          </cell>
          <cell r="AH400" t="str">
            <v>State Bank of India</v>
          </cell>
          <cell r="AI400" t="str">
            <v>30930781720</v>
          </cell>
          <cell r="AJ400" t="str">
            <v>SBIN0017720</v>
          </cell>
          <cell r="AK400" t="str">
            <v>DYLPK2190D</v>
          </cell>
          <cell r="AL400" t="str">
            <v>656519490967</v>
          </cell>
          <cell r="AM400" t="str">
            <v>Bhaskar Govind Kunder</v>
          </cell>
          <cell r="AN400">
            <v>45924</v>
          </cell>
          <cell r="AO400">
            <v>45863</v>
          </cell>
          <cell r="AP400" t="str">
            <v>Relocating</v>
          </cell>
          <cell r="AQ400" t="str">
            <v>2-57-258, Vaibhav Nagar Post, Sector C , Indore, Madhya Pradesh - 452016.</v>
          </cell>
          <cell r="AR400">
            <v>36</v>
          </cell>
          <cell r="AW400">
            <v>32652</v>
          </cell>
          <cell r="AX400" t="str">
            <v>Female</v>
          </cell>
          <cell r="AY400" t="str">
            <v>Full Time</v>
          </cell>
          <cell r="AZ400">
            <v>8</v>
          </cell>
          <cell r="BA400" t="str">
            <v>Himayathnagar Cluster</v>
          </cell>
        </row>
        <row r="401">
          <cell r="M401" t="str">
            <v>Kompally - 65</v>
          </cell>
          <cell r="N401" t="str">
            <v>NA</v>
          </cell>
          <cell r="O401" t="str">
            <v>Physician Services</v>
          </cell>
          <cell r="P401" t="str">
            <v>Consultant Physician</v>
          </cell>
          <cell r="Q401" t="str">
            <v>NA</v>
          </cell>
          <cell r="R401">
            <v>45652</v>
          </cell>
          <cell r="S401">
            <v>45652</v>
          </cell>
          <cell r="T401">
            <v>46381</v>
          </cell>
          <cell r="U401">
            <v>46382</v>
          </cell>
          <cell r="V401">
            <v>2023</v>
          </cell>
          <cell r="W401" t="str">
            <v>RVM Institute of Medical Sciences and Research Centre</v>
          </cell>
          <cell r="X401" t="str">
            <v>NA</v>
          </cell>
          <cell r="Y401" t="str">
            <v>NA</v>
          </cell>
          <cell r="Z401" t="str">
            <v>NA</v>
          </cell>
          <cell r="AA401" t="str">
            <v>MBBS</v>
          </cell>
          <cell r="AB401" t="str">
            <v>TSMC/FMR/35343</v>
          </cell>
          <cell r="AC401" t="str">
            <v>Telangana State Medical Council</v>
          </cell>
          <cell r="AD401">
            <v>45626</v>
          </cell>
          <cell r="AE401">
            <v>47451</v>
          </cell>
          <cell r="AF401">
            <v>7659984388</v>
          </cell>
          <cell r="AG401" t="str">
            <v>rahulpodishetti126@gmail.com</v>
          </cell>
          <cell r="AH401" t="str">
            <v>IndusInd Bank</v>
          </cell>
          <cell r="AI401" t="str">
            <v>159169164388</v>
          </cell>
          <cell r="AJ401" t="str">
            <v>INDB0000329</v>
          </cell>
          <cell r="AK401" t="str">
            <v>FRVPP8925C</v>
          </cell>
          <cell r="AL401" t="str">
            <v>909425340242</v>
          </cell>
          <cell r="AM401" t="str">
            <v>Chandra Shiekhar Padishetti</v>
          </cell>
          <cell r="AN401">
            <v>45880</v>
          </cell>
          <cell r="AO401" t="str">
            <v>NA</v>
          </cell>
          <cell r="AP401" t="str">
            <v>Accident</v>
          </cell>
          <cell r="AQ401" t="str">
            <v>1-5-1084/255, Mangapuram Colony, Road No 6, Phase 2, Old Alwal, Hyderabad, Telangana - 500010.</v>
          </cell>
          <cell r="AR401">
            <v>25</v>
          </cell>
          <cell r="AW401">
            <v>36643</v>
          </cell>
          <cell r="AX401" t="str">
            <v>Male</v>
          </cell>
          <cell r="AY401" t="str">
            <v>Part Time</v>
          </cell>
          <cell r="AZ401">
            <v>2</v>
          </cell>
          <cell r="BA401" t="str">
            <v>Secunderabad Cluster</v>
          </cell>
        </row>
        <row r="402">
          <cell r="M402" t="str">
            <v>Habsiguda - 17</v>
          </cell>
          <cell r="N402" t="str">
            <v>NA</v>
          </cell>
          <cell r="O402" t="str">
            <v>Physician Services</v>
          </cell>
          <cell r="P402" t="str">
            <v>Consultant Physician</v>
          </cell>
          <cell r="Q402" t="str">
            <v>NA</v>
          </cell>
          <cell r="R402">
            <v>45684</v>
          </cell>
          <cell r="S402">
            <v>45684</v>
          </cell>
          <cell r="T402">
            <v>46413</v>
          </cell>
          <cell r="U402">
            <v>46414</v>
          </cell>
          <cell r="V402">
            <v>1988</v>
          </cell>
          <cell r="W402" t="str">
            <v>Andhra Medical College</v>
          </cell>
          <cell r="X402" t="str">
            <v>NA</v>
          </cell>
          <cell r="Y402" t="str">
            <v>NA</v>
          </cell>
          <cell r="Z402" t="str">
            <v>NA</v>
          </cell>
          <cell r="AA402" t="str">
            <v>MBBS</v>
          </cell>
          <cell r="AB402" t="str">
            <v>APMC19484</v>
          </cell>
          <cell r="AC402" t="str">
            <v>Telangana State Medical Council</v>
          </cell>
          <cell r="AD402">
            <v>44459</v>
          </cell>
          <cell r="AE402">
            <v>46284</v>
          </cell>
          <cell r="AF402">
            <v>9676883581</v>
          </cell>
          <cell r="AG402" t="str">
            <v>sampathiraov@gmail.com</v>
          </cell>
          <cell r="AH402" t="str">
            <v>HDFC Bank</v>
          </cell>
          <cell r="AI402" t="str">
            <v>50100538557034</v>
          </cell>
          <cell r="AJ402" t="str">
            <v>HDFC0005633</v>
          </cell>
          <cell r="AK402" t="str">
            <v>AWAPN6691E</v>
          </cell>
          <cell r="AL402" t="str">
            <v>674864384886</v>
          </cell>
          <cell r="AM402" t="str">
            <v>Sampath Rao Dhilleswara Rao</v>
          </cell>
          <cell r="AN402">
            <v>45901</v>
          </cell>
          <cell r="AO402">
            <v>45908</v>
          </cell>
          <cell r="AP402" t="str">
            <v>Health Issues</v>
          </cell>
          <cell r="AQ402" t="str">
            <v>3-125-87/31, Sri Laxmi Nagar Colony, Ghatkesar Mandal, Near Ganesh mandapam, Boduppal, K V Rangareddy, Telangana - 500092.</v>
          </cell>
          <cell r="AR402">
            <v>62</v>
          </cell>
          <cell r="AW402">
            <v>23121</v>
          </cell>
          <cell r="AX402" t="str">
            <v>Male</v>
          </cell>
          <cell r="AY402" t="str">
            <v>Part Time</v>
          </cell>
          <cell r="AZ402">
            <v>1</v>
          </cell>
          <cell r="BA402" t="str">
            <v>A.S. Rao Nagar Cluster</v>
          </cell>
        </row>
        <row r="403">
          <cell r="M403" t="str">
            <v>Nizampet HT line-143</v>
          </cell>
          <cell r="N403" t="str">
            <v>X-Ray (Plain Radiography- Basic, Advanced), USG (Basic, Doppler Studies, Thyroid/Scrotum USG), Special Procedures (IVP, RGU,MCUG,Barium Swallow, Barium Enema, HSG)</v>
          </cell>
          <cell r="O403" t="str">
            <v>Radiology</v>
          </cell>
          <cell r="P403" t="str">
            <v>Consultant Radiologist</v>
          </cell>
          <cell r="Q403" t="str">
            <v>Dr.Vijayanand</v>
          </cell>
          <cell r="R403">
            <v>45754</v>
          </cell>
          <cell r="S403">
            <v>45754</v>
          </cell>
          <cell r="T403">
            <v>46483</v>
          </cell>
          <cell r="U403">
            <v>46484</v>
          </cell>
          <cell r="V403">
            <v>2018</v>
          </cell>
          <cell r="W403" t="str">
            <v>Malla Reddy Institute of Medical Sciences</v>
          </cell>
          <cell r="X403">
            <v>2025</v>
          </cell>
          <cell r="Y403" t="str">
            <v>MGM Medical College, Aurangabad</v>
          </cell>
          <cell r="Z403" t="str">
            <v>NA</v>
          </cell>
          <cell r="AA403" t="str">
            <v>MBBS, MD Radio diagnosis</v>
          </cell>
          <cell r="AB403" t="str">
            <v>TSMC/FMR/13371</v>
          </cell>
          <cell r="AC403" t="str">
            <v>Telangana State Medical Council</v>
          </cell>
          <cell r="AD403">
            <v>45734</v>
          </cell>
          <cell r="AE403">
            <v>47559</v>
          </cell>
          <cell r="AF403">
            <v>7386857420</v>
          </cell>
          <cell r="AG403" t="str">
            <v>manumounika003@gmail.com</v>
          </cell>
          <cell r="AH403" t="str">
            <v>IDBI Bank</v>
          </cell>
          <cell r="AI403" t="str">
            <v>0076104000803441</v>
          </cell>
          <cell r="AJ403" t="str">
            <v>IBKL0000076</v>
          </cell>
          <cell r="AK403" t="str">
            <v>FCVPS2370M</v>
          </cell>
          <cell r="AL403" t="str">
            <v>472298552969</v>
          </cell>
          <cell r="AM403" t="str">
            <v>Tatareddy Sathi</v>
          </cell>
          <cell r="AN403">
            <v>45927</v>
          </cell>
          <cell r="AO403">
            <v>45867</v>
          </cell>
          <cell r="AP403" t="str">
            <v>Fellowship</v>
          </cell>
          <cell r="AQ403" t="str">
            <v>1-137, Gandhi Bomma Street, Anaparhty Mandalam, Anaparthy, East Godavari, Telangana-533342.</v>
          </cell>
          <cell r="AR403">
            <v>30</v>
          </cell>
          <cell r="AW403">
            <v>34839</v>
          </cell>
          <cell r="AX403" t="str">
            <v>Female</v>
          </cell>
          <cell r="AY403" t="str">
            <v>Part Time</v>
          </cell>
          <cell r="AZ403">
            <v>4</v>
          </cell>
          <cell r="BA403" t="str">
            <v>Kukatpally Cluster</v>
          </cell>
        </row>
        <row r="404">
          <cell r="M404" t="str">
            <v>Shamshabad-2 -113</v>
          </cell>
          <cell r="N404" t="str">
            <v>X-Ray (Plain Radiography- Basic, Advanced), USG (Basic, Doppler Studies, Thyroid/Scrotum USG, Breast USG, TIFFA, USG Guided FNAC), CT(Basic)</v>
          </cell>
          <cell r="O404" t="str">
            <v>Radiology</v>
          </cell>
          <cell r="P404" t="str">
            <v>Consultant Radiologist</v>
          </cell>
          <cell r="Q404" t="str">
            <v>Dr.Vijayanand</v>
          </cell>
          <cell r="R404">
            <v>45761</v>
          </cell>
          <cell r="S404">
            <v>45761</v>
          </cell>
          <cell r="T404">
            <v>46490</v>
          </cell>
          <cell r="U404">
            <v>46491</v>
          </cell>
          <cell r="V404">
            <v>2019</v>
          </cell>
          <cell r="W404" t="str">
            <v>Alluri Sita Ramaraju Academy of Medical Sciences</v>
          </cell>
          <cell r="X404">
            <v>2025</v>
          </cell>
          <cell r="Y404" t="str">
            <v>Mediciti Institute of Medical Sciences</v>
          </cell>
          <cell r="Z404" t="str">
            <v>NA</v>
          </cell>
          <cell r="AA404" t="str">
            <v>MBBS, MD Radio diagnosis</v>
          </cell>
          <cell r="AB404" t="str">
            <v>TSMC/FMR/25311</v>
          </cell>
          <cell r="AC404" t="str">
            <v>Telangana State Medical Council</v>
          </cell>
          <cell r="AD404">
            <v>45751</v>
          </cell>
          <cell r="AE404">
            <v>47576</v>
          </cell>
          <cell r="AF404">
            <v>9908405399</v>
          </cell>
          <cell r="AG404" t="str">
            <v>ananya.katikineni73@gmail.com</v>
          </cell>
          <cell r="AH404" t="str">
            <v>Kotak Mahindra Bank</v>
          </cell>
          <cell r="AI404" t="str">
            <v>8113167085</v>
          </cell>
          <cell r="AJ404" t="str">
            <v>KKBK0007461</v>
          </cell>
          <cell r="AK404" t="str">
            <v>EGOPK0286G</v>
          </cell>
          <cell r="AL404" t="str">
            <v>592207735640</v>
          </cell>
          <cell r="AM404" t="str">
            <v>Ramesh Katikineni</v>
          </cell>
          <cell r="AN404">
            <v>45930</v>
          </cell>
          <cell r="AO404" t="str">
            <v>NA</v>
          </cell>
          <cell r="AP404" t="str">
            <v>Health Issues</v>
          </cell>
          <cell r="AQ404" t="str">
            <v>Villa No-40, Lisa Grove, Kokapet Raod, Opp to Jayanheri Park, Financial District, Kokapet, KV Rangareddy, Telangana-500075</v>
          </cell>
          <cell r="AR404">
            <v>28</v>
          </cell>
          <cell r="AW404">
            <v>35407</v>
          </cell>
          <cell r="AX404" t="str">
            <v>Female</v>
          </cell>
          <cell r="AY404" t="str">
            <v>Part Time</v>
          </cell>
          <cell r="AZ404">
            <v>5</v>
          </cell>
          <cell r="BA404" t="str">
            <v>Tolichowki Cluster</v>
          </cell>
        </row>
        <row r="405">
          <cell r="M405" t="str">
            <v>NR Pet 1-Krnl - 80</v>
          </cell>
          <cell r="N405" t="str">
            <v>NA</v>
          </cell>
          <cell r="O405" t="str">
            <v>Pathology</v>
          </cell>
          <cell r="P405" t="str">
            <v>Consultant Pathologist</v>
          </cell>
          <cell r="Q405" t="str">
            <v>Dr.Ramesh Kinha</v>
          </cell>
          <cell r="R405">
            <v>45761</v>
          </cell>
          <cell r="S405">
            <v>45761</v>
          </cell>
          <cell r="T405">
            <v>46490</v>
          </cell>
          <cell r="U405">
            <v>46491</v>
          </cell>
          <cell r="V405">
            <v>2016</v>
          </cell>
          <cell r="W405" t="str">
            <v>Kurnool Medical College</v>
          </cell>
          <cell r="X405">
            <v>2024</v>
          </cell>
          <cell r="Y405" t="str">
            <v>Viswabharathi Medical College</v>
          </cell>
          <cell r="Z405" t="str">
            <v>NA</v>
          </cell>
          <cell r="AA405" t="str">
            <v>MBBS, MD Pathology</v>
          </cell>
          <cell r="AB405" t="str">
            <v>APMC/FMR/100018</v>
          </cell>
          <cell r="AC405" t="str">
            <v>Andhra Pradesh Medical Council</v>
          </cell>
          <cell r="AD405">
            <v>45749</v>
          </cell>
          <cell r="AE405">
            <v>47574</v>
          </cell>
          <cell r="AF405">
            <v>7382960283</v>
          </cell>
          <cell r="AG405" t="str">
            <v>raga.lahari.ammu@gmail.com</v>
          </cell>
          <cell r="AH405" t="str">
            <v>State Bank of India</v>
          </cell>
          <cell r="AI405" t="str">
            <v>20103841267</v>
          </cell>
          <cell r="AJ405" t="str">
            <v>SBIN0000887</v>
          </cell>
          <cell r="AK405" t="str">
            <v>BBRPN0055M</v>
          </cell>
          <cell r="AL405" t="str">
            <v>699540597446</v>
          </cell>
          <cell r="AM405" t="str">
            <v>Bhaskaraiah Nindali</v>
          </cell>
          <cell r="AN405">
            <v>45916</v>
          </cell>
          <cell r="AO405" t="str">
            <v>NA</v>
          </cell>
          <cell r="AP405" t="str">
            <v>Asked to leave (Irregular)</v>
          </cell>
          <cell r="AQ405" t="str">
            <v>28/5/56/282, Kisan Nagar, Mypadu Road, Municipal Corporation Elementary school, Stine housepet, Nellore, Andhra Pradesh - 524002.</v>
          </cell>
          <cell r="AR405">
            <v>32</v>
          </cell>
          <cell r="AW405">
            <v>34200</v>
          </cell>
          <cell r="AX405" t="str">
            <v>Female</v>
          </cell>
          <cell r="AY405" t="str">
            <v>Full Time</v>
          </cell>
          <cell r="AZ405">
            <v>8</v>
          </cell>
          <cell r="BA405" t="str">
            <v>Kurnool Cluster</v>
          </cell>
        </row>
        <row r="406">
          <cell r="M406" t="str">
            <v>LBNagar - 87</v>
          </cell>
          <cell r="N406" t="str">
            <v>X-Ray (Basic, Advanced), USG ( Basic, Doppler Studies, Thyroid /Scrotum USG, Breast USG, TIFFA, MSK USG, USG Guided FNAC), CT ( Basic, Chest/Abdomen/Neck, 3DCT, CT Angiography), MRI (Basic, MSK Studies -Knee), Special Procedures (IVP, RGU, MCUG, Barium Swallow, Barium Enema, HSG)</v>
          </cell>
          <cell r="O406" t="str">
            <v>Radiology</v>
          </cell>
          <cell r="P406" t="str">
            <v>Consultant Radiologist</v>
          </cell>
          <cell r="Q406" t="str">
            <v>Dr.Vijayanand</v>
          </cell>
          <cell r="R406">
            <v>45789</v>
          </cell>
          <cell r="S406">
            <v>45789</v>
          </cell>
          <cell r="T406">
            <v>46518</v>
          </cell>
          <cell r="U406">
            <v>46519</v>
          </cell>
          <cell r="V406">
            <v>2013</v>
          </cell>
          <cell r="W406" t="str">
            <v>PES Institute of Medical Sciences &amp; Research</v>
          </cell>
          <cell r="X406">
            <v>2018</v>
          </cell>
          <cell r="Y406" t="str">
            <v>Narayana Medical College, Nellore</v>
          </cell>
          <cell r="Z406" t="str">
            <v>NA</v>
          </cell>
          <cell r="AA406" t="str">
            <v>MBBS, MD Radio Diagnosis</v>
          </cell>
          <cell r="AB406" t="str">
            <v>APMC/FMR/86708</v>
          </cell>
          <cell r="AC406" t="str">
            <v>Telangana State Medical Council</v>
          </cell>
          <cell r="AD406">
            <v>44599</v>
          </cell>
          <cell r="AE406">
            <v>46424</v>
          </cell>
          <cell r="AF406">
            <v>8008416988</v>
          </cell>
          <cell r="AG406" t="str">
            <v>vamshikiranmedico@gmail.com</v>
          </cell>
          <cell r="AH406" t="str">
            <v xml:space="preserve">DBS Bank </v>
          </cell>
          <cell r="AI406" t="str">
            <v>8971010000000620</v>
          </cell>
          <cell r="AJ406" t="str">
            <v>DBSS0IN0971</v>
          </cell>
          <cell r="AK406" t="str">
            <v>AZBPD6972G</v>
          </cell>
          <cell r="AL406" t="str">
            <v>282698079382</v>
          </cell>
          <cell r="AM406" t="str">
            <v>Gopal Diddi</v>
          </cell>
          <cell r="AN406">
            <v>45930</v>
          </cell>
          <cell r="AO406">
            <v>45930</v>
          </cell>
          <cell r="AP406" t="str">
            <v>Better offer</v>
          </cell>
          <cell r="AQ406" t="str">
            <v>Flat No. 302, 3rd Floor, Sri Satya sai Homes, Road No-4, Near Aruna Hospital, Chandrapuri Colony, LB Nagar, KV Rangareddy, Telangana - 500024</v>
          </cell>
          <cell r="AR406">
            <v>34</v>
          </cell>
          <cell r="AS406" t="str">
            <v>ICICI Lombard</v>
          </cell>
          <cell r="AT406" t="str">
            <v>4021/A/379865803/00/000</v>
          </cell>
          <cell r="AU406">
            <v>45696</v>
          </cell>
          <cell r="AV406">
            <v>46060</v>
          </cell>
          <cell r="AW406">
            <v>33296</v>
          </cell>
          <cell r="AX406" t="str">
            <v>Male</v>
          </cell>
          <cell r="AY406" t="str">
            <v>Part Time</v>
          </cell>
          <cell r="AZ406">
            <v>1.5</v>
          </cell>
          <cell r="BA406" t="str">
            <v>Dilshuknagar Cluster</v>
          </cell>
        </row>
        <row r="407">
          <cell r="M407" t="str">
            <v>Barasat-Kol-153</v>
          </cell>
          <cell r="N407" t="str">
            <v>Basic USG, Tiffa, MSK, Penile Doppler/TRUS,  Guided Procedures, Basic CT, All Angios,Virtual Endoscopy, CT Perfusion, CT Enteroclysis, Guided Procedures, Basic MRI,Fetal MR, MR Prostate, MR Neurography, X Ray, Plain Radiology, Mammography, IVP, RGU, MCGU, Barium Swallow, Barium Anema, HSG</v>
          </cell>
          <cell r="O407" t="str">
            <v>Radiology</v>
          </cell>
          <cell r="P407" t="str">
            <v>Consultant Radiologist</v>
          </cell>
          <cell r="Q407" t="str">
            <v>Dr.Vijayanand</v>
          </cell>
          <cell r="R407">
            <v>45792</v>
          </cell>
          <cell r="S407">
            <v>45792</v>
          </cell>
          <cell r="T407">
            <v>46521</v>
          </cell>
          <cell r="U407">
            <v>46522</v>
          </cell>
          <cell r="V407">
            <v>2005</v>
          </cell>
          <cell r="W407" t="str">
            <v>R . G Kar Medical college</v>
          </cell>
          <cell r="X407">
            <v>2018</v>
          </cell>
          <cell r="Y407" t="str">
            <v>PGMIER, Chandigarh</v>
          </cell>
          <cell r="Z407" t="str">
            <v>NA</v>
          </cell>
          <cell r="AA407" t="str">
            <v>MBBS, MD Radio Diagnosis</v>
          </cell>
          <cell r="AB407">
            <v>60333</v>
          </cell>
          <cell r="AC407" t="str">
            <v>West Bengal Medical Council</v>
          </cell>
          <cell r="AD407">
            <v>38338</v>
          </cell>
          <cell r="AE407">
            <v>55153</v>
          </cell>
          <cell r="AF407">
            <v>9498382561</v>
          </cell>
          <cell r="AG407" t="str">
            <v>raktimmukherjee80@gmail.com</v>
          </cell>
          <cell r="AH407" t="str">
            <v>Indian Bank</v>
          </cell>
          <cell r="AI407" t="str">
            <v>20576367000</v>
          </cell>
          <cell r="AJ407" t="str">
            <v>IDIB000B832</v>
          </cell>
          <cell r="AK407" t="str">
            <v>AQPPM5057N</v>
          </cell>
          <cell r="AL407" t="str">
            <v>768330044182</v>
          </cell>
          <cell r="AM407" t="str">
            <v>Ashutosh Mukherjee</v>
          </cell>
          <cell r="AN407">
            <v>45914</v>
          </cell>
          <cell r="AO407" t="str">
            <v>NA</v>
          </cell>
          <cell r="AP407" t="str">
            <v>Model changed to Case Base</v>
          </cell>
          <cell r="AQ407" t="str">
            <v>BL-7, FR-4th, FL-E, BH/26, M B Road, Birati Smart Bazar, Birati, North dumdum, Noth 24 Parganas, west Bengal - 700051.</v>
          </cell>
          <cell r="AR407">
            <v>45</v>
          </cell>
          <cell r="AW407">
            <v>29313</v>
          </cell>
          <cell r="AX407" t="str">
            <v>Male</v>
          </cell>
          <cell r="AY407" t="str">
            <v>Part Time</v>
          </cell>
          <cell r="AZ407">
            <v>3</v>
          </cell>
          <cell r="BA407" t="str">
            <v>Kolkata Cluster</v>
          </cell>
        </row>
        <row r="408">
          <cell r="M408" t="str">
            <v>Chandrayangutta - 71</v>
          </cell>
          <cell r="N408" t="str">
            <v>X-Ray (Plain Radiography,Mammography-with USG screening), USG (Basic, Doppler Studies, Thyroid/Scrotum USG, Brest USG, USG Guided FNAC) CT( Basic, Chest/Abdomen/Neck, 3DCT, CT Angiography), MRI (Basic), Special Procedures (IVP, RGU,MCUG, Barium Swallow, Barium Enema, HSG)</v>
          </cell>
          <cell r="O408" t="str">
            <v>Radiology</v>
          </cell>
          <cell r="P408" t="str">
            <v>Consultant Radiologist</v>
          </cell>
          <cell r="Q408" t="str">
            <v>Dr.Vijayanand</v>
          </cell>
          <cell r="R408">
            <v>45793</v>
          </cell>
          <cell r="S408">
            <v>45793</v>
          </cell>
          <cell r="T408">
            <v>46522</v>
          </cell>
          <cell r="U408">
            <v>46523</v>
          </cell>
          <cell r="V408">
            <v>2019</v>
          </cell>
          <cell r="W408" t="str">
            <v>Gandhi Medical College</v>
          </cell>
          <cell r="X408">
            <v>2024</v>
          </cell>
          <cell r="Y408" t="str">
            <v>Yashoda Hospitals</v>
          </cell>
          <cell r="Z408" t="str">
            <v>NA</v>
          </cell>
          <cell r="AA408" t="str">
            <v>MBBS, DNB Radio diagnosis</v>
          </cell>
          <cell r="AB408" t="str">
            <v>TSMC/FMR/13395</v>
          </cell>
          <cell r="AC408" t="str">
            <v>Telangana State Medical Council</v>
          </cell>
          <cell r="AD408">
            <v>45845</v>
          </cell>
          <cell r="AE408">
            <v>47670</v>
          </cell>
          <cell r="AF408">
            <v>9000586939</v>
          </cell>
          <cell r="AG408" t="str">
            <v>kotlaharshitha03@gmail.com</v>
          </cell>
          <cell r="AH408" t="str">
            <v>HDFC Bank</v>
          </cell>
          <cell r="AI408" t="str">
            <v>50100502854499</v>
          </cell>
          <cell r="AJ408" t="str">
            <v>HDFC0000512</v>
          </cell>
          <cell r="AK408" t="str">
            <v>AXDPH3083J</v>
          </cell>
          <cell r="AL408" t="str">
            <v>815367208788</v>
          </cell>
          <cell r="AM408" t="str">
            <v>Kotla Dharma Reddy</v>
          </cell>
          <cell r="AN408">
            <v>45915</v>
          </cell>
          <cell r="AO408">
            <v>45907</v>
          </cell>
          <cell r="AP408" t="str">
            <v>Relocating to bangalore</v>
          </cell>
          <cell r="AQ408" t="str">
            <v>2-2-1150/1, Tilak Nagar, New Nallakunta, Hyderabad, Telangana - 500044.</v>
          </cell>
          <cell r="AR408">
            <v>28</v>
          </cell>
          <cell r="AW408">
            <v>35402</v>
          </cell>
          <cell r="AX408" t="str">
            <v>Female</v>
          </cell>
          <cell r="AY408" t="str">
            <v>Full Time</v>
          </cell>
          <cell r="AZ408">
            <v>8</v>
          </cell>
          <cell r="BA408" t="str">
            <v>Santosh Nagar Cluster</v>
          </cell>
        </row>
        <row r="409">
          <cell r="M409" t="str">
            <v>Balapur - 63</v>
          </cell>
          <cell r="N409" t="str">
            <v>X-Ray (Plain Radiography - Basic, Advanced), Mammography, USG (Basic, Doppler Studies, Thyroid/ Scrotum USG, Breast USG, TIFFA, MSK USG, USG Guided FNAC, USG Guided Aspiration), CT (Basic, Chest/Abdomen,CT KUB), Special Procedures (IVP, RGU, MCUG, Barium Swallow, Barium Enema, HSG)</v>
          </cell>
          <cell r="O409" t="str">
            <v>Radiology</v>
          </cell>
          <cell r="P409" t="str">
            <v>Consultant Radiologist</v>
          </cell>
          <cell r="Q409" t="str">
            <v>Dr.Vijayanand</v>
          </cell>
          <cell r="R409">
            <v>45812</v>
          </cell>
          <cell r="S409">
            <v>45812</v>
          </cell>
          <cell r="T409">
            <v>46541</v>
          </cell>
          <cell r="U409">
            <v>46542</v>
          </cell>
          <cell r="V409">
            <v>2020</v>
          </cell>
          <cell r="W409" t="str">
            <v>Narayana Medical College</v>
          </cell>
          <cell r="X409">
            <v>2025</v>
          </cell>
          <cell r="Y409" t="str">
            <v>Mamata Medical College</v>
          </cell>
          <cell r="Z409" t="str">
            <v>NA</v>
          </cell>
          <cell r="AA409" t="str">
            <v>MBBS, MD Radio Diagnosis</v>
          </cell>
          <cell r="AB409" t="str">
            <v>TSMC/FMR/20125</v>
          </cell>
          <cell r="AC409" t="str">
            <v>Telangana State Medical Council</v>
          </cell>
          <cell r="AD409">
            <v>45801</v>
          </cell>
          <cell r="AE409">
            <v>47626</v>
          </cell>
          <cell r="AF409">
            <v>7036843575</v>
          </cell>
          <cell r="AG409" t="str">
            <v>meghanakareddy17@gmail.com</v>
          </cell>
          <cell r="AH409" t="str">
            <v>State Bank of India</v>
          </cell>
          <cell r="AI409" t="str">
            <v>62466870042</v>
          </cell>
          <cell r="AJ409" t="str">
            <v>SBIN0021227</v>
          </cell>
          <cell r="AK409" t="str">
            <v>EYIPR1334C</v>
          </cell>
          <cell r="AL409" t="str">
            <v>997081726949</v>
          </cell>
          <cell r="AM409" t="str">
            <v>Kareddy Ravinder Reddy</v>
          </cell>
          <cell r="AN409">
            <v>45930</v>
          </cell>
          <cell r="AO409">
            <v>45926</v>
          </cell>
          <cell r="AP409" t="str">
            <v>Fetal Medicine and relocating to Banglore</v>
          </cell>
          <cell r="AQ409" t="str">
            <v>Plot No-15, Krishna nagar, opp Reddy girls hostel, bhageeratha colony, Mahbubnagar, Telangana - 509001.</v>
          </cell>
          <cell r="AR409">
            <v>27</v>
          </cell>
          <cell r="AS409" t="str">
            <v>The New India Assurance Co Ltd</v>
          </cell>
          <cell r="AU409">
            <v>45812</v>
          </cell>
          <cell r="AV409">
            <v>46176</v>
          </cell>
          <cell r="AW409">
            <v>35871</v>
          </cell>
          <cell r="AX409" t="str">
            <v>Female</v>
          </cell>
          <cell r="AY409" t="str">
            <v>Part Time</v>
          </cell>
          <cell r="AZ409">
            <v>2</v>
          </cell>
          <cell r="BA409" t="str">
            <v>Santosh Nagar Cluster</v>
          </cell>
        </row>
        <row r="410">
          <cell r="M410" t="str">
            <v>Hayathnagar-150</v>
          </cell>
          <cell r="N410" t="str">
            <v>X-Ray (Plain Radiography - Basic, Advanced), Mammography, USG (Basic, Doppler Studies, Thyroid/ Scrotum USG, Breast USG, TIFFA,MSK USG, USG Guided FNAC,USG Guided Aspiration), CT (Basic,Chest/Abdomen,3DCT,CT Angiography), Special Procedures (RGU, MCUG, Barium Swallow, Barium Enema, HSG)</v>
          </cell>
          <cell r="O410" t="str">
            <v>Radiology</v>
          </cell>
          <cell r="P410" t="str">
            <v>Consultant Radiologist</v>
          </cell>
          <cell r="Q410" t="str">
            <v>Dr.Vijayanand</v>
          </cell>
          <cell r="R410">
            <v>45817</v>
          </cell>
          <cell r="S410">
            <v>45817</v>
          </cell>
          <cell r="T410">
            <v>46546</v>
          </cell>
          <cell r="U410">
            <v>46547</v>
          </cell>
          <cell r="V410">
            <v>2018</v>
          </cell>
          <cell r="W410" t="str">
            <v>Rajiv Gandhi Institute of Medical Sciences</v>
          </cell>
          <cell r="X410">
            <v>2025</v>
          </cell>
          <cell r="Y410" t="str">
            <v>Mamatha Medical College</v>
          </cell>
          <cell r="Z410" t="str">
            <v>NA</v>
          </cell>
          <cell r="AA410" t="str">
            <v>MBBS, MD Radio Diagnosis</v>
          </cell>
          <cell r="AB410" t="str">
            <v>TSMC/FMR/10130</v>
          </cell>
          <cell r="AC410" t="str">
            <v>Telangana State Medical Council</v>
          </cell>
          <cell r="AD410">
            <v>45801</v>
          </cell>
          <cell r="AE410">
            <v>47596</v>
          </cell>
          <cell r="AF410">
            <v>7989870991</v>
          </cell>
          <cell r="AG410" t="str">
            <v>gayathririmsdr@gmail.com</v>
          </cell>
          <cell r="AH410" t="str">
            <v>State Bank of India</v>
          </cell>
          <cell r="AI410" t="str">
            <v>62444270153</v>
          </cell>
          <cell r="AJ410" t="str">
            <v>SBIN0007167</v>
          </cell>
          <cell r="AK410" t="str">
            <v>FBMPD0619C</v>
          </cell>
          <cell r="AL410" t="str">
            <v>402600137908</v>
          </cell>
          <cell r="AM410" t="str">
            <v>Dundigalla Suresh</v>
          </cell>
          <cell r="AN410">
            <v>45926</v>
          </cell>
          <cell r="AO410">
            <v>45925</v>
          </cell>
          <cell r="AP410" t="str">
            <v>Health Issues</v>
          </cell>
          <cell r="AQ410" t="str">
            <v>House No.2-5-72/203, Nakkalagutta, Near Water Tank, Hanamakonda, Warangal, Telangana - 506001</v>
          </cell>
          <cell r="AR410">
            <v>30</v>
          </cell>
          <cell r="AW410">
            <v>34786</v>
          </cell>
          <cell r="AX410" t="str">
            <v>Female</v>
          </cell>
          <cell r="AY410" t="str">
            <v>Part Time</v>
          </cell>
          <cell r="AZ410">
            <v>2</v>
          </cell>
          <cell r="BA410" t="str">
            <v>Dilshuknagar Cluster</v>
          </cell>
        </row>
        <row r="411">
          <cell r="M411" t="str">
            <v>Uppal - 69</v>
          </cell>
          <cell r="N411" t="str">
            <v>X-Ray (Plain Radiography - Basic, Advanced), Mammography, USG (Basic, Doppler Studies, Thyroid/ Scrotum USG, Breast USG, TIFFA,MSK USG, USG Guided FNAC,USG Guided Aspiration), CT (Basic,Chest/Abdomen), Special Procedures (IVP,RGU, MCUG, Barium Swallow, Barium Enema, HSG)</v>
          </cell>
          <cell r="O411" t="str">
            <v>Radiology</v>
          </cell>
          <cell r="P411" t="str">
            <v>Consultant Radiologist</v>
          </cell>
          <cell r="Q411" t="str">
            <v>Dr.Vijayanand</v>
          </cell>
          <cell r="R411">
            <v>45817</v>
          </cell>
          <cell r="S411">
            <v>45817</v>
          </cell>
          <cell r="T411">
            <v>46546</v>
          </cell>
          <cell r="U411">
            <v>46547</v>
          </cell>
          <cell r="V411">
            <v>2019</v>
          </cell>
          <cell r="W411" t="str">
            <v>Rajiv Gandhi institute of Medical Sciences, Adilabad</v>
          </cell>
          <cell r="X411">
            <v>2025</v>
          </cell>
          <cell r="Y411" t="str">
            <v>Prathima Institute of Medical Sciences</v>
          </cell>
          <cell r="Z411" t="str">
            <v>NA</v>
          </cell>
          <cell r="AA411" t="str">
            <v>MBBS, MD Radio Diagnosis</v>
          </cell>
          <cell r="AB411" t="str">
            <v>TSMC/FMR/09922</v>
          </cell>
          <cell r="AC411" t="str">
            <v>Telangana State Medical Council</v>
          </cell>
          <cell r="AD411">
            <v>45758</v>
          </cell>
          <cell r="AE411">
            <v>47583</v>
          </cell>
          <cell r="AF411" t="str">
            <v>8886581213 / 7780388600</v>
          </cell>
          <cell r="AG411" t="str">
            <v>rasagnya.adepu@gmail.com</v>
          </cell>
          <cell r="AH411" t="str">
            <v>State Bank of India</v>
          </cell>
          <cell r="AI411" t="str">
            <v>35544978673</v>
          </cell>
          <cell r="AJ411" t="str">
            <v>SBIN0020149</v>
          </cell>
          <cell r="AK411" t="str">
            <v>BUCPA5041G</v>
          </cell>
          <cell r="AL411" t="str">
            <v>501653675134</v>
          </cell>
          <cell r="AM411" t="str">
            <v>Ravi Kumar adepu</v>
          </cell>
          <cell r="AN411">
            <v>45930</v>
          </cell>
          <cell r="AO411">
            <v>45924</v>
          </cell>
          <cell r="AP411" t="str">
            <v>Working at Gandhi, Timings problem</v>
          </cell>
          <cell r="AQ411" t="str">
            <v>House No.13-4-44, Mattewada, MGM Road, Warangal, Telangana-506002.</v>
          </cell>
          <cell r="AR411">
            <v>30</v>
          </cell>
          <cell r="AW411">
            <v>34972</v>
          </cell>
          <cell r="AX411" t="str">
            <v>Female</v>
          </cell>
          <cell r="AY411" t="str">
            <v>Part Time</v>
          </cell>
          <cell r="AZ411">
            <v>3</v>
          </cell>
          <cell r="BA411" t="str">
            <v>Dilshuknagar Cluster</v>
          </cell>
        </row>
        <row r="412">
          <cell r="M412" t="str">
            <v>LBNagar - 87</v>
          </cell>
          <cell r="N412" t="str">
            <v>X-Ray (Plain Radiography - Basic, Advanced), Lower Limb scanogram, Whole Spine X-Ray, Mammography with USG Screening, USG (Basic, Doppler Studies, Thyroid/ Scrotum USG, Breast USG, TIFFA, USG Guided FNAC, USG Guided Aspiration, Breast Biopsy), CT (Basic, Chest/abdomen/Neck, CT Angiography, CT Guided Biopsy ), MRI( Basic, MRI MRCP/ Abdomen/Liver, Special Procedures (IVP, RGU, MCUG, Barium Swallow, Barium Enema, HSG)</v>
          </cell>
          <cell r="O412" t="str">
            <v>Radiology</v>
          </cell>
          <cell r="P412" t="str">
            <v>Consultant Radiologist</v>
          </cell>
          <cell r="Q412" t="str">
            <v>Dr.Vijayanand</v>
          </cell>
          <cell r="R412">
            <v>45824</v>
          </cell>
          <cell r="S412">
            <v>45824</v>
          </cell>
          <cell r="T412">
            <v>46553</v>
          </cell>
          <cell r="U412">
            <v>46554</v>
          </cell>
          <cell r="V412">
            <v>2018</v>
          </cell>
          <cell r="W412" t="str">
            <v>Mallareddy Medical Collge for Women</v>
          </cell>
          <cell r="X412">
            <v>2023</v>
          </cell>
          <cell r="Y412" t="str">
            <v xml:space="preserve">Kamineni Academy of Medical Sciences and Research center </v>
          </cell>
          <cell r="Z412" t="str">
            <v>NA</v>
          </cell>
          <cell r="AA412" t="str">
            <v>MBBS, MD Radio Diagnosis</v>
          </cell>
          <cell r="AB412" t="str">
            <v>TSMC/FMR/09107</v>
          </cell>
          <cell r="AC412" t="str">
            <v>Telangana State Medical Council</v>
          </cell>
          <cell r="AD412">
            <v>45547</v>
          </cell>
          <cell r="AE412">
            <v>47372</v>
          </cell>
          <cell r="AF412">
            <v>9848660060</v>
          </cell>
          <cell r="AG412" t="str">
            <v>dhatri.kallala@gmail.com</v>
          </cell>
          <cell r="AH412" t="str">
            <v>State Bank of India</v>
          </cell>
          <cell r="AI412" t="str">
            <v>32850361642</v>
          </cell>
          <cell r="AJ412" t="str">
            <v>SBIN0021461</v>
          </cell>
          <cell r="AK412" t="str">
            <v>GCLPK7202M</v>
          </cell>
          <cell r="AL412" t="str">
            <v>882375155982</v>
          </cell>
          <cell r="AM412" t="str">
            <v xml:space="preserve">Mahender Reddy Kallala </v>
          </cell>
          <cell r="AN412">
            <v>45930</v>
          </cell>
          <cell r="AO412">
            <v>45912</v>
          </cell>
          <cell r="AP412" t="str">
            <v>Fellowship</v>
          </cell>
          <cell r="AQ412" t="str">
            <v>17-1-391/V/86, Saraswathi Nagar, Saidabad, Hyderabad, Telangana - 500059.</v>
          </cell>
          <cell r="AR412">
            <v>29</v>
          </cell>
          <cell r="AS412" t="str">
            <v>ICICI Lombard</v>
          </cell>
          <cell r="AT412" t="str">
            <v>4021/A/359875691/00/000</v>
          </cell>
          <cell r="AU412">
            <v>45545</v>
          </cell>
          <cell r="AV412">
            <v>45909</v>
          </cell>
          <cell r="AW412">
            <v>35170</v>
          </cell>
          <cell r="AX412" t="str">
            <v>Female</v>
          </cell>
          <cell r="AY412" t="str">
            <v>Full Time</v>
          </cell>
          <cell r="AZ412">
            <v>8</v>
          </cell>
          <cell r="BA412" t="str">
            <v>Dilshuknagar Cluster</v>
          </cell>
        </row>
        <row r="413">
          <cell r="M413" t="str">
            <v>Madhapur-2 - 70</v>
          </cell>
          <cell r="N413" t="str">
            <v>X-Ray (Plain Radiography - Basic, Advanced), Mammography, USG (Basic, Doppler Studies, Thyroid/ Scrotum USG, Breast USG, TIFFA), CT (Basic, Chest/abdomen /Neck, CT Angiography)</v>
          </cell>
          <cell r="O413" t="str">
            <v>Radiology</v>
          </cell>
          <cell r="P413" t="str">
            <v>Consultant Radiologist</v>
          </cell>
          <cell r="Q413" t="str">
            <v>Dr.Vijayanand</v>
          </cell>
          <cell r="R413">
            <v>45831</v>
          </cell>
          <cell r="S413">
            <v>45831</v>
          </cell>
          <cell r="T413">
            <v>46560</v>
          </cell>
          <cell r="U413">
            <v>46561</v>
          </cell>
          <cell r="V413">
            <v>2019</v>
          </cell>
          <cell r="W413" t="str">
            <v>Santhiram Medical College</v>
          </cell>
          <cell r="X413">
            <v>2024</v>
          </cell>
          <cell r="Y413" t="str">
            <v>Tagore Medical College and Hospital</v>
          </cell>
          <cell r="Z413" t="str">
            <v>NA</v>
          </cell>
          <cell r="AA413" t="str">
            <v>MBBS, MD Radio Diagnosis</v>
          </cell>
          <cell r="AB413" t="str">
            <v>TSMC/FMR/36883</v>
          </cell>
          <cell r="AC413" t="str">
            <v>Telangana State Medical Council</v>
          </cell>
          <cell r="AD413">
            <v>45821</v>
          </cell>
          <cell r="AE413">
            <v>47646</v>
          </cell>
          <cell r="AF413">
            <v>8374465588</v>
          </cell>
          <cell r="AG413" t="str">
            <v>mounikavogu95@gmail.com</v>
          </cell>
          <cell r="AH413" t="str">
            <v>HDFC Bank</v>
          </cell>
          <cell r="AI413" t="str">
            <v>50100530726491</v>
          </cell>
          <cell r="AJ413" t="str">
            <v>HDFC0001871</v>
          </cell>
          <cell r="AK413" t="str">
            <v>BLJPV9430J</v>
          </cell>
          <cell r="AL413" t="str">
            <v>579291435142</v>
          </cell>
          <cell r="AM413" t="str">
            <v>Nageswararao Vogu</v>
          </cell>
          <cell r="AN413">
            <v>45930</v>
          </cell>
          <cell r="AO413" t="str">
            <v>NA</v>
          </cell>
          <cell r="AP413" t="str">
            <v>Attendance policies</v>
          </cell>
          <cell r="AQ413" t="str">
            <v>Madhura Nagar, Childrens Park, Dargamitta, Nellore, Andhra Pradesh - 524003.</v>
          </cell>
          <cell r="AR413">
            <v>30</v>
          </cell>
          <cell r="AW413">
            <v>34860</v>
          </cell>
          <cell r="AX413" t="str">
            <v>Female</v>
          </cell>
          <cell r="AY413" t="str">
            <v>Part Time</v>
          </cell>
          <cell r="AZ413">
            <v>3</v>
          </cell>
          <cell r="BA413" t="str">
            <v>Madhapur Cluster</v>
          </cell>
        </row>
        <row r="414">
          <cell r="M414" t="str">
            <v>Hayathnagar-150</v>
          </cell>
          <cell r="N414" t="str">
            <v>X-Ray (Plain Radiography - Basic, Advanced, Whole Spine X-Ray), MAmmography, USG (Basic, Doppler Studies, Thyroid/ Scrotum USG, Breast USG, TIFFA, MSK USG, Penile Doppler, USG Guided FNAC, USG Guided Aspiration), CT (Basic, Chest/Abdomen /Neck,3DCT), MRI( Basic, MSK Studies- Knee/Shoulder), Special Procedures (IVP, RGU, MCUG, Barium Swallow, Barium Enema,HSG)</v>
          </cell>
          <cell r="O414" t="str">
            <v>Radiology</v>
          </cell>
          <cell r="P414" t="str">
            <v>Consultant Radiologist</v>
          </cell>
          <cell r="Q414" t="str">
            <v>Dr.Vijayanand</v>
          </cell>
          <cell r="R414">
            <v>45841</v>
          </cell>
          <cell r="S414">
            <v>45841</v>
          </cell>
          <cell r="T414">
            <v>46570</v>
          </cell>
          <cell r="U414">
            <v>46571</v>
          </cell>
          <cell r="V414">
            <v>2016</v>
          </cell>
          <cell r="W414" t="str">
            <v>Osmania Medical College</v>
          </cell>
          <cell r="X414">
            <v>2022</v>
          </cell>
          <cell r="Y414" t="str">
            <v>Kakatiya Medical College</v>
          </cell>
          <cell r="Z414" t="str">
            <v>NA</v>
          </cell>
          <cell r="AA414" t="str">
            <v>MBBS, MD Radio Diagnosis</v>
          </cell>
          <cell r="AB414" t="str">
            <v>TSMC/FMR/03968</v>
          </cell>
          <cell r="AC414" t="str">
            <v>Telangana State Medical Council</v>
          </cell>
          <cell r="AD414">
            <v>44962</v>
          </cell>
          <cell r="AE414">
            <v>46787</v>
          </cell>
          <cell r="AF414">
            <v>9493039967</v>
          </cell>
          <cell r="AG414" t="str">
            <v>kowshikkanugula@gmail.com</v>
          </cell>
          <cell r="AH414" t="str">
            <v>State Bank of India</v>
          </cell>
          <cell r="AI414" t="str">
            <v>62188848444</v>
          </cell>
          <cell r="AJ414" t="str">
            <v>SBIN0020175</v>
          </cell>
          <cell r="AK414" t="str">
            <v>CAYPK6698G</v>
          </cell>
          <cell r="AL414" t="str">
            <v>467903263675</v>
          </cell>
          <cell r="AM414" t="str">
            <v>Kanugula Ashok Kumar</v>
          </cell>
          <cell r="AN414">
            <v>45902</v>
          </cell>
          <cell r="AO414">
            <v>45883</v>
          </cell>
          <cell r="AP414" t="str">
            <v>Father health problem</v>
          </cell>
          <cell r="AQ414" t="str">
            <v>6-3-1189/1, Savarkar Nagar, 3rd Lane, Nalgonda, Telangana - 508001.</v>
          </cell>
          <cell r="AR414">
            <v>31</v>
          </cell>
          <cell r="AS414" t="str">
            <v>ICICI Lombard</v>
          </cell>
          <cell r="AT414" t="str">
            <v>4161/376816113/00/000</v>
          </cell>
          <cell r="AU414">
            <v>45677</v>
          </cell>
          <cell r="AV414">
            <v>46771</v>
          </cell>
          <cell r="AW414">
            <v>34560</v>
          </cell>
          <cell r="AX414" t="str">
            <v>Male</v>
          </cell>
          <cell r="AY414" t="str">
            <v>Full Time</v>
          </cell>
          <cell r="AZ414">
            <v>8</v>
          </cell>
          <cell r="BA414" t="str">
            <v>Dilshuknagar Cluster</v>
          </cell>
        </row>
        <row r="415">
          <cell r="M415" t="str">
            <v>Boduppal - 45</v>
          </cell>
          <cell r="N415" t="str">
            <v>NA</v>
          </cell>
          <cell r="O415" t="str">
            <v>Physician Services</v>
          </cell>
          <cell r="P415" t="str">
            <v>Consultant Physician</v>
          </cell>
          <cell r="Q415" t="str">
            <v>NA</v>
          </cell>
          <cell r="R415">
            <v>45841</v>
          </cell>
          <cell r="S415">
            <v>45841</v>
          </cell>
          <cell r="T415">
            <v>46570</v>
          </cell>
          <cell r="U415">
            <v>46571</v>
          </cell>
          <cell r="V415">
            <v>1988</v>
          </cell>
          <cell r="W415" t="str">
            <v>Andhra Medical College</v>
          </cell>
          <cell r="X415" t="str">
            <v>NA</v>
          </cell>
          <cell r="Y415" t="str">
            <v>NA</v>
          </cell>
          <cell r="Z415" t="str">
            <v>NA</v>
          </cell>
          <cell r="AA415" t="str">
            <v>MBBS</v>
          </cell>
          <cell r="AB415" t="str">
            <v>APMC19484</v>
          </cell>
          <cell r="AC415" t="str">
            <v>Telangana State Medical Council</v>
          </cell>
          <cell r="AD415">
            <v>44459</v>
          </cell>
          <cell r="AE415">
            <v>46284</v>
          </cell>
          <cell r="AF415">
            <v>9676883581</v>
          </cell>
          <cell r="AG415" t="str">
            <v>sampathiraov@gmail.com</v>
          </cell>
          <cell r="AH415" t="str">
            <v>HDFC Bank</v>
          </cell>
          <cell r="AI415" t="str">
            <v>50100538557034</v>
          </cell>
          <cell r="AJ415" t="str">
            <v>HDFC0005633</v>
          </cell>
          <cell r="AK415" t="str">
            <v>AWAPN6691E</v>
          </cell>
          <cell r="AL415" t="str">
            <v>674864384886</v>
          </cell>
          <cell r="AM415" t="str">
            <v>Sampath Rao Dhilleswara Rao</v>
          </cell>
          <cell r="AN415">
            <v>45902</v>
          </cell>
          <cell r="AO415">
            <v>45908</v>
          </cell>
          <cell r="AP415" t="str">
            <v>Health Issues</v>
          </cell>
          <cell r="AQ415" t="str">
            <v>3-125-87/31, Sri Laxmi Nagar Colony, Ghatkesar Mandal, Near Ganesh mandapam, Boduppal, K V Rangareddy, Telangana - 500092.</v>
          </cell>
          <cell r="AR415">
            <v>62</v>
          </cell>
          <cell r="AW415">
            <v>23121</v>
          </cell>
          <cell r="AX415" t="str">
            <v>Male</v>
          </cell>
          <cell r="AY415" t="str">
            <v>Part Time</v>
          </cell>
          <cell r="AZ415">
            <v>1</v>
          </cell>
          <cell r="BA415" t="str">
            <v>Dilshuknagar Cluster</v>
          </cell>
        </row>
        <row r="416">
          <cell r="M416" t="str">
            <v>Kukatpally - 20</v>
          </cell>
          <cell r="O416" t="str">
            <v>Physician Services</v>
          </cell>
          <cell r="P416" t="str">
            <v>Consultant Physician</v>
          </cell>
          <cell r="R416">
            <v>40634</v>
          </cell>
          <cell r="S416">
            <v>44088</v>
          </cell>
          <cell r="T416">
            <v>44817</v>
          </cell>
          <cell r="U416">
            <v>44818</v>
          </cell>
          <cell r="AA416" t="str">
            <v>MBBS</v>
          </cell>
          <cell r="AB416" t="str">
            <v>HMC9227</v>
          </cell>
          <cell r="AC416" t="str">
            <v>Andhra Pradesh Medical Council</v>
          </cell>
          <cell r="AD416">
            <v>43909</v>
          </cell>
          <cell r="AE416">
            <v>45734</v>
          </cell>
          <cell r="AF416">
            <v>8125970427</v>
          </cell>
          <cell r="AG416" t="str">
            <v>madelavasanthkumar@gmail.com</v>
          </cell>
          <cell r="AH416" t="str">
            <v>Indian Overseas Bank</v>
          </cell>
          <cell r="AI416" t="str">
            <v>173001000000749</v>
          </cell>
          <cell r="AJ416" t="str">
            <v>IOBA0001730</v>
          </cell>
          <cell r="AK416" t="str">
            <v>AGVPM8558J</v>
          </cell>
          <cell r="AL416">
            <v>282383241335</v>
          </cell>
          <cell r="AM416" t="str">
            <v>Madela Ramakrishna</v>
          </cell>
          <cell r="AW416">
            <v>19860</v>
          </cell>
          <cell r="AX416" t="str">
            <v>Male</v>
          </cell>
          <cell r="AY416" t="str">
            <v>Part Time</v>
          </cell>
          <cell r="AZ416">
            <v>1</v>
          </cell>
          <cell r="BA416">
            <v>1</v>
          </cell>
        </row>
        <row r="417">
          <cell r="M417" t="str">
            <v>A S Rao Nagar - 18</v>
          </cell>
          <cell r="O417" t="str">
            <v>Radiology</v>
          </cell>
          <cell r="P417" t="str">
            <v>Consultant Radiologist</v>
          </cell>
          <cell r="Q417" t="str">
            <v>Dr L T Kishore</v>
          </cell>
          <cell r="R417">
            <v>43497</v>
          </cell>
          <cell r="S417">
            <v>43497</v>
          </cell>
          <cell r="T417">
            <v>44227</v>
          </cell>
          <cell r="U417">
            <v>44228</v>
          </cell>
          <cell r="W417" t="str">
            <v>Kurnool Medical College</v>
          </cell>
          <cell r="X417">
            <v>2003</v>
          </cell>
          <cell r="Y417">
            <v>0</v>
          </cell>
          <cell r="AA417" t="str">
            <v>MBBS, DMRD - Radio Diagnosis</v>
          </cell>
          <cell r="AB417">
            <v>46248</v>
          </cell>
          <cell r="AC417" t="str">
            <v>Andhra Pradesh Medical Council</v>
          </cell>
          <cell r="AF417">
            <v>9441417778</v>
          </cell>
          <cell r="AG417" t="str">
            <v>sudhir_bs@yahoo.co.uk</v>
          </cell>
          <cell r="AH417" t="str">
            <v>ICICI Bank</v>
          </cell>
          <cell r="AI417" t="str">
            <v>024401506100</v>
          </cell>
          <cell r="AJ417" t="str">
            <v>ICIC0000244</v>
          </cell>
          <cell r="AK417" t="str">
            <v>BEXPS1580R</v>
          </cell>
          <cell r="AM417" t="str">
            <v>Borelli Deva Prakash Raju</v>
          </cell>
          <cell r="AN417">
            <v>44713</v>
          </cell>
          <cell r="AO417">
            <v>44682</v>
          </cell>
          <cell r="AW417">
            <v>28497</v>
          </cell>
          <cell r="AX417" t="str">
            <v>Male</v>
          </cell>
          <cell r="AY417" t="str">
            <v>Part Time</v>
          </cell>
          <cell r="BA417">
            <v>0</v>
          </cell>
        </row>
        <row r="418">
          <cell r="M418" t="str">
            <v>A S Rao Nagar - 18</v>
          </cell>
          <cell r="O418" t="str">
            <v>Physician Services</v>
          </cell>
          <cell r="P418" t="str">
            <v>Consultant Physician</v>
          </cell>
          <cell r="R418">
            <v>41900</v>
          </cell>
          <cell r="S418">
            <v>44092</v>
          </cell>
          <cell r="T418">
            <v>44821</v>
          </cell>
          <cell r="U418">
            <v>44822</v>
          </cell>
          <cell r="AA418" t="str">
            <v>MBBS</v>
          </cell>
          <cell r="AB418">
            <v>65265</v>
          </cell>
          <cell r="AC418" t="str">
            <v>Telangana State Medical Council</v>
          </cell>
          <cell r="AD418">
            <v>42397</v>
          </cell>
          <cell r="AE418">
            <v>44223</v>
          </cell>
          <cell r="AF418">
            <v>9491104973</v>
          </cell>
          <cell r="AG418" t="str">
            <v>madhulikak88@yahoo.com</v>
          </cell>
          <cell r="AH418" t="str">
            <v>Andhra Bank</v>
          </cell>
          <cell r="AI418" t="str">
            <v>141910100095467</v>
          </cell>
          <cell r="AJ418" t="str">
            <v>ANDB0001419</v>
          </cell>
          <cell r="AK418" t="str">
            <v>DQRPK7504R</v>
          </cell>
          <cell r="AL418">
            <v>901765351356</v>
          </cell>
          <cell r="AM418" t="str">
            <v>Kothuru Jagadish</v>
          </cell>
          <cell r="AN418">
            <v>44302</v>
          </cell>
          <cell r="AW418">
            <v>31284</v>
          </cell>
          <cell r="AX418" t="str">
            <v>Female</v>
          </cell>
          <cell r="AY418" t="str">
            <v>Part Time</v>
          </cell>
          <cell r="AZ418">
            <v>1</v>
          </cell>
          <cell r="BA418">
            <v>0</v>
          </cell>
        </row>
        <row r="419">
          <cell r="M419" t="str">
            <v>Attapur - 34</v>
          </cell>
          <cell r="N419" t="str">
            <v>Basic USG, Doppler Studies, Thyroid/Scrotum USG, Breast USG, Tiffa, Foetal Echo, MSK USG, USG Guided FNAC, USG Guided Aspiration, Guided Procedures, Basic CT, Chest/Abdomen/Neck,  3DCT, X Ray, Plain Radiography, IVP, RGU, MCUG, Barium Swallow, Barium Anema, HSG.</v>
          </cell>
          <cell r="O419" t="str">
            <v>Radiology</v>
          </cell>
          <cell r="P419" t="str">
            <v>Consultant Radiologist</v>
          </cell>
          <cell r="Q419" t="str">
            <v>Dr.Krishna Mohan</v>
          </cell>
          <cell r="R419">
            <v>45355</v>
          </cell>
          <cell r="S419">
            <v>45355</v>
          </cell>
          <cell r="T419">
            <v>46084</v>
          </cell>
          <cell r="U419">
            <v>46085</v>
          </cell>
          <cell r="V419">
            <v>2015</v>
          </cell>
          <cell r="W419" t="str">
            <v>Bhaskar Medical COllege</v>
          </cell>
          <cell r="X419">
            <v>2022</v>
          </cell>
          <cell r="Y419" t="str">
            <v>Mediciti institute of Medical Sciences, Hyderabad</v>
          </cell>
          <cell r="Z419" t="str">
            <v>NA</v>
          </cell>
          <cell r="AA419" t="str">
            <v>MBBS,MD</v>
          </cell>
          <cell r="AB419" t="str">
            <v>APMC/FMR/92586</v>
          </cell>
          <cell r="AC419" t="str">
            <v>Telangana State Medical Council</v>
          </cell>
          <cell r="AD419">
            <v>45037</v>
          </cell>
          <cell r="AE419">
            <v>46863</v>
          </cell>
          <cell r="AF419">
            <v>9966214584</v>
          </cell>
          <cell r="AG419" t="str">
            <v>rohit_mylapally@yahoo.com</v>
          </cell>
          <cell r="AH419" t="str">
            <v>Union Bank of India</v>
          </cell>
          <cell r="AI419" t="str">
            <v>084010100071564</v>
          </cell>
          <cell r="AJ419" t="str">
            <v>UBIN0808351</v>
          </cell>
          <cell r="AK419" t="str">
            <v>CIRPR3919L</v>
          </cell>
          <cell r="AL419">
            <v>457203691347</v>
          </cell>
          <cell r="AN419">
            <v>45445</v>
          </cell>
          <cell r="AO419" t="str">
            <v>NA</v>
          </cell>
          <cell r="AP419" t="str">
            <v>Abscond</v>
          </cell>
          <cell r="AQ419" t="str">
            <v>10-3-218, Humayun Nagar, Asifnagar, Hyderabad, Telangana - 500028</v>
          </cell>
          <cell r="AS419" t="str">
            <v>10-3-218, Humayun Nagar, Asifnagar, Hyderabad, Telangana - 500028</v>
          </cell>
          <cell r="AU419">
            <v>0.70833333333333337</v>
          </cell>
          <cell r="AV419">
            <v>0.875</v>
          </cell>
          <cell r="AW419">
            <v>33348</v>
          </cell>
          <cell r="AX419" t="str">
            <v>Male</v>
          </cell>
          <cell r="AY419" t="str">
            <v>Part Time</v>
          </cell>
          <cell r="AZ419">
            <v>4</v>
          </cell>
          <cell r="BA419" t="str">
            <v>Tolichowki Cluster</v>
          </cell>
        </row>
        <row r="420">
          <cell r="M420" t="str">
            <v>Dilsukhnagar - 12</v>
          </cell>
          <cell r="N420" t="str">
            <v>CT &amp; MRI</v>
          </cell>
          <cell r="O420" t="str">
            <v>Radiology</v>
          </cell>
          <cell r="P420" t="str">
            <v>Consultant Radiologist</v>
          </cell>
          <cell r="Q420" t="str">
            <v>Dr. Krishna Mohan Pottala</v>
          </cell>
          <cell r="R420">
            <v>41981</v>
          </cell>
          <cell r="S420">
            <v>44805</v>
          </cell>
          <cell r="T420">
            <v>45535</v>
          </cell>
          <cell r="U420">
            <v>45536</v>
          </cell>
          <cell r="W420" t="str">
            <v>Sri Ramachandra Medical College</v>
          </cell>
          <cell r="X420">
            <v>1997</v>
          </cell>
          <cell r="Y420" t="str">
            <v>Post Graduate Institute of Medical Education and Research</v>
          </cell>
          <cell r="Z420" t="str">
            <v>NA</v>
          </cell>
          <cell r="AA420" t="str">
            <v>MBBS, MD - Radio Diagnosis</v>
          </cell>
          <cell r="AB420">
            <v>35316</v>
          </cell>
          <cell r="AC420" t="str">
            <v>Telangana State Medical Council</v>
          </cell>
          <cell r="AD420">
            <v>44278</v>
          </cell>
          <cell r="AE420">
            <v>46103</v>
          </cell>
          <cell r="AF420">
            <v>9849025321</v>
          </cell>
          <cell r="AG420" t="str">
            <v>nilohitasekhar@yahoo.com, nilohitasekhar@gmail.com</v>
          </cell>
          <cell r="AH420" t="str">
            <v>UCO BANK</v>
          </cell>
          <cell r="AI420" t="str">
            <v>17460100002139</v>
          </cell>
          <cell r="AJ420" t="str">
            <v>UCBA0001746</v>
          </cell>
          <cell r="AK420" t="str">
            <v>ABPPK4263P</v>
          </cell>
          <cell r="AL420">
            <v>0</v>
          </cell>
          <cell r="AM420" t="str">
            <v>Lakshmipathi Kattari</v>
          </cell>
          <cell r="AW420">
            <v>24822</v>
          </cell>
          <cell r="AX420" t="str">
            <v>Male</v>
          </cell>
          <cell r="AY420" t="str">
            <v>Part Time</v>
          </cell>
          <cell r="AZ420">
            <v>8</v>
          </cell>
          <cell r="BA420">
            <v>8</v>
          </cell>
        </row>
        <row r="421">
          <cell r="M421" t="str">
            <v>Gandhinagar - 79</v>
          </cell>
          <cell r="N421" t="str">
            <v>USG, Tiffa, Doppler, X ray reporting</v>
          </cell>
          <cell r="O421" t="str">
            <v>Radiology</v>
          </cell>
          <cell r="P421" t="str">
            <v>Consultant Radiologist</v>
          </cell>
          <cell r="Q421" t="str">
            <v>Dr L T Kishore</v>
          </cell>
          <cell r="R421">
            <v>41990</v>
          </cell>
          <cell r="S421">
            <v>44166</v>
          </cell>
          <cell r="T421">
            <v>44895</v>
          </cell>
          <cell r="U421">
            <v>44896</v>
          </cell>
          <cell r="AA421" t="str">
            <v>MBBS, DMRD - Radio Diagnosis</v>
          </cell>
          <cell r="AB421">
            <v>48101</v>
          </cell>
          <cell r="AC421" t="str">
            <v>Andhra Pradesh Medical Council</v>
          </cell>
          <cell r="AD421">
            <v>44225</v>
          </cell>
          <cell r="AE421">
            <v>46050</v>
          </cell>
          <cell r="AF421">
            <v>9963027099</v>
          </cell>
          <cell r="AG421" t="str">
            <v>siriradiology@gmail.com</v>
          </cell>
          <cell r="AH421" t="str">
            <v>SBI Bank</v>
          </cell>
          <cell r="AI421" t="str">
            <v>52197281954</v>
          </cell>
          <cell r="AJ421" t="str">
            <v>SBIN0021110</v>
          </cell>
          <cell r="AK421" t="str">
            <v>ALYPG8354N</v>
          </cell>
          <cell r="AL421">
            <v>947530840924</v>
          </cell>
          <cell r="AM421" t="str">
            <v>Gollamala Rama Prasad</v>
          </cell>
          <cell r="AN421">
            <v>44305</v>
          </cell>
          <cell r="AW421">
            <v>29051</v>
          </cell>
          <cell r="AX421" t="str">
            <v>Female</v>
          </cell>
          <cell r="AY421" t="str">
            <v>Part Time</v>
          </cell>
          <cell r="AZ421">
            <v>6</v>
          </cell>
          <cell r="BA421" t="str">
            <v>Himayathnagar Cluster</v>
          </cell>
        </row>
        <row r="422">
          <cell r="M422" t="str">
            <v>Vasavi Colony - 151</v>
          </cell>
          <cell r="N422" t="str">
            <v>Basic USG, Tiffa, MSK, Guided Procedures, Basic CT, Basic MRI, X Ray, Plain Radiology, IVP, RGU, MCGU, Barium Swallow, Barium Anema, HSG</v>
          </cell>
          <cell r="O422" t="str">
            <v>Radiology</v>
          </cell>
          <cell r="P422" t="str">
            <v>Consultant Radiologist</v>
          </cell>
          <cell r="Q422" t="str">
            <v>Dr.Krishna Mohan</v>
          </cell>
          <cell r="R422">
            <v>45264</v>
          </cell>
          <cell r="S422">
            <v>45264</v>
          </cell>
          <cell r="T422">
            <v>45994</v>
          </cell>
          <cell r="U422">
            <v>45995</v>
          </cell>
          <cell r="V422">
            <v>2015</v>
          </cell>
          <cell r="W422" t="str">
            <v>NTR University</v>
          </cell>
          <cell r="X422">
            <v>2021</v>
          </cell>
          <cell r="Y422" t="str">
            <v>All India Institute of Medical Sciences</v>
          </cell>
          <cell r="Z422" t="str">
            <v>NA</v>
          </cell>
          <cell r="AA422" t="str">
            <v>MBBS,MD</v>
          </cell>
          <cell r="AB422" t="str">
            <v>TSMC/FMR/00406</v>
          </cell>
          <cell r="AC422" t="str">
            <v>Telangana State Medical Council</v>
          </cell>
          <cell r="AD422">
            <v>45041</v>
          </cell>
          <cell r="AE422">
            <v>46867</v>
          </cell>
          <cell r="AF422">
            <v>8555974536</v>
          </cell>
          <cell r="AG422" t="str">
            <v>praveenraj.aiims@gmail.com</v>
          </cell>
          <cell r="AH422" t="str">
            <v>SBI Bank</v>
          </cell>
          <cell r="AI422" t="str">
            <v>30850979683</v>
          </cell>
          <cell r="AJ422" t="str">
            <v>SBIN0020184</v>
          </cell>
          <cell r="AK422" t="str">
            <v>CLVPP8961R</v>
          </cell>
          <cell r="AL422">
            <v>988582441116</v>
          </cell>
          <cell r="AN422">
            <v>45449</v>
          </cell>
          <cell r="AO422">
            <v>45334</v>
          </cell>
          <cell r="AP422" t="str">
            <v>Personal Reason</v>
          </cell>
          <cell r="AQ422" t="str">
            <v>4-83, Bhageeratha Colony, Mahabubnagar, Telangana - 509001</v>
          </cell>
          <cell r="AS422" t="str">
            <v>4-83, Bhageeratha Colony, Mahabubnagar, Telangana - 509001</v>
          </cell>
          <cell r="AU422">
            <v>0.35416666666666669</v>
          </cell>
          <cell r="AV422">
            <v>0.52083333333333337</v>
          </cell>
          <cell r="AW422">
            <v>33296</v>
          </cell>
          <cell r="AX422" t="str">
            <v>Male</v>
          </cell>
          <cell r="AY422" t="str">
            <v>Part Time</v>
          </cell>
          <cell r="AZ422">
            <v>4</v>
          </cell>
          <cell r="BA422" t="str">
            <v>Dilshuknagar Cluster</v>
          </cell>
        </row>
        <row r="423">
          <cell r="M423" t="str">
            <v>Vizag - 37</v>
          </cell>
          <cell r="N423" t="str">
            <v>CT &amp; MRI, USG, X-RAY,FNAC</v>
          </cell>
          <cell r="O423" t="str">
            <v>Radiology</v>
          </cell>
          <cell r="P423" t="str">
            <v>Consultant Radiologist</v>
          </cell>
          <cell r="Q423" t="str">
            <v>Dr. Krishna Mohan Pottala</v>
          </cell>
          <cell r="R423">
            <v>42258</v>
          </cell>
          <cell r="S423">
            <v>44287</v>
          </cell>
          <cell r="T423">
            <v>45016</v>
          </cell>
          <cell r="U423">
            <v>45017</v>
          </cell>
          <cell r="V423">
            <v>2011</v>
          </cell>
          <cell r="W423" t="str">
            <v>Zaporozhye State Medical University</v>
          </cell>
          <cell r="X423">
            <v>2014</v>
          </cell>
          <cell r="Y423" t="str">
            <v>Alluri Sitaram Raju Academy of Medical Science</v>
          </cell>
          <cell r="Z423" t="str">
            <v>NA</v>
          </cell>
          <cell r="AA423" t="str">
            <v>MBBS, DMRD - Radio Diagnosis</v>
          </cell>
          <cell r="AB423">
            <v>72812</v>
          </cell>
          <cell r="AC423" t="str">
            <v>Andhra Pradesh Medical Council</v>
          </cell>
          <cell r="AD423">
            <v>44372</v>
          </cell>
          <cell r="AE423">
            <v>46197</v>
          </cell>
          <cell r="AF423">
            <v>9182219698</v>
          </cell>
          <cell r="AG423" t="str">
            <v>naresh_v20@yahoo.co.in</v>
          </cell>
          <cell r="AH423" t="str">
            <v>Axis Bank</v>
          </cell>
          <cell r="AI423" t="str">
            <v>914010025629551</v>
          </cell>
          <cell r="AJ423" t="str">
            <v>UTIB0000554</v>
          </cell>
          <cell r="AK423" t="str">
            <v>ARHPV5921B</v>
          </cell>
          <cell r="AL423">
            <v>586079396729</v>
          </cell>
          <cell r="AM423" t="str">
            <v>Varre Yellaiah</v>
          </cell>
          <cell r="AW423">
            <v>31192</v>
          </cell>
          <cell r="AX423" t="str">
            <v>Male</v>
          </cell>
          <cell r="AY423" t="str">
            <v>Full Time</v>
          </cell>
          <cell r="AZ423">
            <v>8</v>
          </cell>
          <cell r="BA423">
            <v>8</v>
          </cell>
        </row>
        <row r="424">
          <cell r="M424" t="str">
            <v>Madinaguda - 112</v>
          </cell>
          <cell r="N424" t="str">
            <v>N/A</v>
          </cell>
          <cell r="O424" t="str">
            <v>Biochemistry</v>
          </cell>
          <cell r="P424" t="str">
            <v>Consultant Biochemist</v>
          </cell>
          <cell r="Q424" t="str">
            <v>Dr. Bikash Chowdhary</v>
          </cell>
          <cell r="R424">
            <v>45208</v>
          </cell>
          <cell r="S424">
            <v>45208</v>
          </cell>
          <cell r="T424">
            <v>45938</v>
          </cell>
          <cell r="U424">
            <v>45939</v>
          </cell>
          <cell r="V424">
            <v>2002</v>
          </cell>
          <cell r="W424" t="str">
            <v>Donetsk state medical University</v>
          </cell>
          <cell r="X424">
            <v>2022</v>
          </cell>
          <cell r="Y424" t="str">
            <v>Nizam Institute of Medical Science</v>
          </cell>
          <cell r="Z424" t="str">
            <v>NA</v>
          </cell>
          <cell r="AA424" t="str">
            <v>MBBS,MD</v>
          </cell>
          <cell r="AB424" t="str">
            <v>TSMC/FMR/08182</v>
          </cell>
          <cell r="AC424" t="str">
            <v>Telangana State Medical Council</v>
          </cell>
          <cell r="AD424">
            <v>45203</v>
          </cell>
          <cell r="AE424">
            <v>47029</v>
          </cell>
          <cell r="AF424">
            <v>9849652890</v>
          </cell>
          <cell r="AG424" t="str">
            <v>vkdsmu@gmail.com</v>
          </cell>
          <cell r="AH424" t="str">
            <v>Union Bank of India</v>
          </cell>
          <cell r="AI424" t="str">
            <v>107910100074844</v>
          </cell>
          <cell r="AJ424" t="str">
            <v>UBIN0810797</v>
          </cell>
          <cell r="AK424" t="str">
            <v>ALFPG6045D</v>
          </cell>
          <cell r="AL424">
            <v>809343888208</v>
          </cell>
          <cell r="AN424">
            <v>45451</v>
          </cell>
          <cell r="AO424">
            <v>45461</v>
          </cell>
          <cell r="AP424" t="str">
            <v>personal reasons</v>
          </cell>
          <cell r="AQ424" t="str">
            <v>15-31-S3/MMH/601,Manjeera Majectic Homes KPHB Colony, Near JNTU,Kukatpally,Hyderabad-500072</v>
          </cell>
          <cell r="AS424" t="str">
            <v>15-31-S3/MMH/601,Manjeera Majectic Homes KPHB Colony, Near JNTU,Kukatpally,Hyderabad-500072</v>
          </cell>
          <cell r="AU424">
            <v>0.33333333333333331</v>
          </cell>
          <cell r="AV424">
            <v>0.66666666666666663</v>
          </cell>
          <cell r="AW424">
            <v>26857</v>
          </cell>
          <cell r="AX424" t="str">
            <v>Male</v>
          </cell>
          <cell r="AY424" t="str">
            <v>Full Time</v>
          </cell>
          <cell r="AZ424">
            <v>8</v>
          </cell>
          <cell r="BA424" t="str">
            <v>Madhapur Cluster</v>
          </cell>
        </row>
        <row r="425">
          <cell r="M425" t="str">
            <v>Kurnool - 43</v>
          </cell>
          <cell r="N425" t="str">
            <v>Basic USG, Tiffa, Guided Procedures, Basic CT, X Ray, Plain Radiology, IVP, RGU, MCGU, Barium Swallow, Barium Anema, HSG</v>
          </cell>
          <cell r="O425" t="str">
            <v>Radiology</v>
          </cell>
          <cell r="P425" t="str">
            <v>Consultant Radiologist</v>
          </cell>
          <cell r="Q425" t="str">
            <v>Dr.Krishna Mohan</v>
          </cell>
          <cell r="R425">
            <v>45173</v>
          </cell>
          <cell r="S425">
            <v>45173</v>
          </cell>
          <cell r="T425">
            <v>45903</v>
          </cell>
          <cell r="U425">
            <v>45904</v>
          </cell>
          <cell r="V425">
            <v>2018</v>
          </cell>
          <cell r="W425" t="str">
            <v>Kurnool Medical College, Kurnool</v>
          </cell>
          <cell r="X425">
            <v>2023</v>
          </cell>
          <cell r="Y425" t="str">
            <v>Kurnool Medical College, Kurnool</v>
          </cell>
          <cell r="Z425" t="str">
            <v>NA</v>
          </cell>
          <cell r="AA425" t="str">
            <v>MBBS,MD</v>
          </cell>
          <cell r="AB425" t="str">
            <v>APMC/FMR/106593</v>
          </cell>
          <cell r="AC425" t="str">
            <v>Andhra Pradesh Medical Council</v>
          </cell>
          <cell r="AD425">
            <v>45168</v>
          </cell>
          <cell r="AE425">
            <v>46994</v>
          </cell>
          <cell r="AF425">
            <v>8309222316</v>
          </cell>
          <cell r="AG425" t="str">
            <v>drdeviniha97@gmail.com</v>
          </cell>
          <cell r="AH425" t="str">
            <v>SBI Bank</v>
          </cell>
          <cell r="AI425">
            <v>33140756824</v>
          </cell>
          <cell r="AJ425" t="str">
            <v>SBIN0012719</v>
          </cell>
          <cell r="AK425" t="str">
            <v>CSEPG6581L</v>
          </cell>
          <cell r="AL425">
            <v>848227087891</v>
          </cell>
          <cell r="AN425">
            <v>45453</v>
          </cell>
          <cell r="AO425">
            <v>45393</v>
          </cell>
          <cell r="AP425" t="str">
            <v>Personal Reason</v>
          </cell>
          <cell r="AQ425" t="str">
            <v>Flat No-216,B.K.Singh Towers,Near New Ayyappa Swamy Temple, Kurnool,Andhra Pradesh-518002</v>
          </cell>
          <cell r="AS425" t="str">
            <v>Flat No-216,B.K.Singh Towers,Near New Ayyappa Swamy Temple, Kurnool,Andhra Pradesh-518002</v>
          </cell>
          <cell r="AU425">
            <v>0.41666666666666669</v>
          </cell>
          <cell r="AV425">
            <v>0.70833333333333337</v>
          </cell>
          <cell r="AW425">
            <v>35220</v>
          </cell>
          <cell r="AX425" t="str">
            <v>Female</v>
          </cell>
          <cell r="AY425" t="str">
            <v>Full Time</v>
          </cell>
          <cell r="AZ425">
            <v>7</v>
          </cell>
          <cell r="BA425" t="str">
            <v>Kurnool Cluster</v>
          </cell>
        </row>
        <row r="426">
          <cell r="M426" t="str">
            <v>Himayatnagar</v>
          </cell>
          <cell r="O426" t="str">
            <v>Nuclear Medicine</v>
          </cell>
          <cell r="P426" t="str">
            <v>Head Nuclear Medicine</v>
          </cell>
          <cell r="R426">
            <v>40210</v>
          </cell>
          <cell r="S426">
            <v>44136</v>
          </cell>
          <cell r="T426">
            <v>44865</v>
          </cell>
          <cell r="U426">
            <v>44866</v>
          </cell>
          <cell r="W426" t="str">
            <v>SMS Medical College</v>
          </cell>
          <cell r="X426">
            <v>2008</v>
          </cell>
          <cell r="Y426" t="str">
            <v>Institute of Nuclear Medicine &amp; Allied Science</v>
          </cell>
          <cell r="AA426" t="str">
            <v>MBBS, Diploma in Radiation Medicine</v>
          </cell>
          <cell r="AB426" t="str">
            <v>TSMC/FMR/06774</v>
          </cell>
          <cell r="AC426" t="str">
            <v>Telangana State Medical Council</v>
          </cell>
          <cell r="AD426">
            <v>43361</v>
          </cell>
          <cell r="AE426">
            <v>45186</v>
          </cell>
          <cell r="AF426">
            <v>8008855001</v>
          </cell>
          <cell r="AG426" t="str">
            <v>docanujjain@gmail.com</v>
          </cell>
          <cell r="AH426" t="str">
            <v>HDFC Bank</v>
          </cell>
          <cell r="AI426" t="str">
            <v>05121930001500</v>
          </cell>
          <cell r="AJ426" t="str">
            <v>HDFC0000512</v>
          </cell>
          <cell r="AK426" t="str">
            <v>AHPPJ1567P</v>
          </cell>
          <cell r="AL426">
            <v>617719829898</v>
          </cell>
          <cell r="AM426" t="str">
            <v>Trilok Chand Jain</v>
          </cell>
          <cell r="AN426">
            <v>44865</v>
          </cell>
          <cell r="AO426">
            <v>44805</v>
          </cell>
          <cell r="AS426" t="e">
            <v>#REF!</v>
          </cell>
          <cell r="AW426">
            <v>29297</v>
          </cell>
          <cell r="AX426" t="str">
            <v>Male</v>
          </cell>
          <cell r="AY426" t="str">
            <v>Part Time</v>
          </cell>
          <cell r="AZ426">
            <v>8</v>
          </cell>
          <cell r="BA426">
            <v>8</v>
          </cell>
        </row>
        <row r="427">
          <cell r="N427" t="str">
            <v>CT &amp; MRI</v>
          </cell>
          <cell r="O427" t="str">
            <v>Radiology</v>
          </cell>
          <cell r="P427" t="str">
            <v>Consultant Radiologist</v>
          </cell>
          <cell r="Q427" t="str">
            <v>Dr L T Kishore</v>
          </cell>
          <cell r="AH427" t="str">
            <v>ICICI Bank</v>
          </cell>
          <cell r="AI427" t="str">
            <v>630501521975</v>
          </cell>
          <cell r="AJ427" t="str">
            <v>ICIC0006305</v>
          </cell>
          <cell r="AK427" t="str">
            <v>ACBPV0030G</v>
          </cell>
          <cell r="AN427">
            <v>44391</v>
          </cell>
          <cell r="AW427">
            <v>22754</v>
          </cell>
          <cell r="AX427" t="str">
            <v>Male</v>
          </cell>
        </row>
        <row r="428">
          <cell r="M428" t="str">
            <v>Sec II S D Road - 13</v>
          </cell>
          <cell r="N428" t="str">
            <v>USG, X-Ray, CT, MRI</v>
          </cell>
          <cell r="O428" t="str">
            <v>Radiology</v>
          </cell>
          <cell r="P428" t="str">
            <v>Consultant Radiologist</v>
          </cell>
          <cell r="Q428" t="str">
            <v>Dr. Krishna Mohan Pottala</v>
          </cell>
          <cell r="R428">
            <v>42754</v>
          </cell>
          <cell r="S428">
            <v>44927</v>
          </cell>
          <cell r="T428">
            <v>45657</v>
          </cell>
          <cell r="U428">
            <v>45658</v>
          </cell>
          <cell r="V428">
            <v>2010</v>
          </cell>
          <cell r="W428" t="str">
            <v>Osmania Medical College</v>
          </cell>
          <cell r="X428">
            <v>2015</v>
          </cell>
          <cell r="Y428" t="str">
            <v>Post Graduate Institute of Medical Education and Research</v>
          </cell>
          <cell r="Z428" t="str">
            <v>NA</v>
          </cell>
          <cell r="AA428" t="str">
            <v>MBBS, MD - Radio Diagnosis</v>
          </cell>
          <cell r="AB428" t="str">
            <v>071823</v>
          </cell>
          <cell r="AC428" t="str">
            <v>Telangana State Medical Council</v>
          </cell>
          <cell r="AD428">
            <v>43328</v>
          </cell>
          <cell r="AE428">
            <v>44789</v>
          </cell>
          <cell r="AF428">
            <v>9177845158</v>
          </cell>
          <cell r="AG428" t="str">
            <v>karthikr_omc@yahoo.com</v>
          </cell>
          <cell r="AH428" t="str">
            <v>Bank of India</v>
          </cell>
          <cell r="AI428" t="str">
            <v>862410110002471</v>
          </cell>
          <cell r="AJ428" t="str">
            <v>BKID0008624</v>
          </cell>
          <cell r="AK428" t="str">
            <v>BCOPR9336K</v>
          </cell>
          <cell r="AL428">
            <v>231186383475</v>
          </cell>
          <cell r="AM428" t="str">
            <v>R.V.L. Muralidhar</v>
          </cell>
          <cell r="AN428">
            <v>45079</v>
          </cell>
          <cell r="AW428">
            <v>32048</v>
          </cell>
          <cell r="AX428" t="str">
            <v>Male</v>
          </cell>
          <cell r="AY428" t="str">
            <v>Full Time</v>
          </cell>
          <cell r="AZ428">
            <v>8</v>
          </cell>
          <cell r="BA428">
            <v>8</v>
          </cell>
        </row>
        <row r="429">
          <cell r="M429" t="str">
            <v>Ameerpet - 14</v>
          </cell>
          <cell r="N429" t="str">
            <v>USG, X-RAY, MAMMOGRAPHY</v>
          </cell>
          <cell r="O429" t="str">
            <v>Radiology</v>
          </cell>
          <cell r="P429" t="str">
            <v>Consultant Radiologist</v>
          </cell>
          <cell r="Q429" t="str">
            <v>Dr L T Kishore</v>
          </cell>
          <cell r="R429">
            <v>42826</v>
          </cell>
          <cell r="S429">
            <v>43739</v>
          </cell>
          <cell r="T429">
            <v>44469</v>
          </cell>
          <cell r="U429">
            <v>44470</v>
          </cell>
          <cell r="AA429" t="str">
            <v>MBBS, DMRD</v>
          </cell>
          <cell r="AB429" t="str">
            <v>TSMC/FMR/08097</v>
          </cell>
          <cell r="AC429" t="str">
            <v>Telangana State Medical Council</v>
          </cell>
          <cell r="AD429">
            <v>43507</v>
          </cell>
          <cell r="AE429">
            <v>45332</v>
          </cell>
          <cell r="AF429">
            <v>9493226677</v>
          </cell>
          <cell r="AG429" t="str">
            <v>amitakr2010@gmail.com</v>
          </cell>
          <cell r="AH429" t="str">
            <v>SBI Bank</v>
          </cell>
          <cell r="AI429" t="str">
            <v>10421919465</v>
          </cell>
          <cell r="AJ429" t="str">
            <v>SBIN0002728</v>
          </cell>
          <cell r="AK429">
            <v>0</v>
          </cell>
          <cell r="AL429">
            <v>0</v>
          </cell>
          <cell r="AM429" t="str">
            <v>Lachhman Dass</v>
          </cell>
          <cell r="AN429">
            <v>44307</v>
          </cell>
          <cell r="AW429">
            <v>27261</v>
          </cell>
          <cell r="AX429" t="str">
            <v>Female</v>
          </cell>
          <cell r="AY429" t="str">
            <v>Part Time</v>
          </cell>
          <cell r="AZ429">
            <v>5</v>
          </cell>
          <cell r="BA429">
            <v>5</v>
          </cell>
        </row>
        <row r="430">
          <cell r="M430" t="str">
            <v>LBNagar - 87</v>
          </cell>
          <cell r="N430" t="str">
            <v>USG, XRAY</v>
          </cell>
          <cell r="O430" t="str">
            <v>Radiology</v>
          </cell>
          <cell r="P430" t="str">
            <v>Consultant Radiologist</v>
          </cell>
          <cell r="Q430" t="str">
            <v>Dr.Krishna Mohan</v>
          </cell>
          <cell r="R430">
            <v>43922</v>
          </cell>
          <cell r="S430">
            <v>45017</v>
          </cell>
          <cell r="T430">
            <v>45747</v>
          </cell>
          <cell r="U430">
            <v>45748</v>
          </cell>
          <cell r="V430">
            <v>2012</v>
          </cell>
          <cell r="W430" t="str">
            <v>KIMS</v>
          </cell>
          <cell r="X430" t="str">
            <v>DNB-2018</v>
          </cell>
          <cell r="Y430" t="str">
            <v>Kamineni Hospital, LB Nagar, Hyderabad</v>
          </cell>
          <cell r="Z430" t="str">
            <v>NA</v>
          </cell>
          <cell r="AA430" t="str">
            <v>MBBS, DNB - Radiodiagnosis</v>
          </cell>
          <cell r="AB430" t="str">
            <v>APMC/FMR/80708</v>
          </cell>
          <cell r="AC430" t="str">
            <v>Telangana State Medical Council</v>
          </cell>
          <cell r="AD430">
            <v>45172</v>
          </cell>
          <cell r="AE430">
            <v>46998</v>
          </cell>
          <cell r="AF430">
            <v>7661977627</v>
          </cell>
          <cell r="AG430" t="str">
            <v>keerthivadde@gmail.com</v>
          </cell>
          <cell r="AH430" t="str">
            <v>HDFC Bank</v>
          </cell>
          <cell r="AI430" t="str">
            <v>50100239089333</v>
          </cell>
          <cell r="AJ430" t="str">
            <v>HDFC0004146</v>
          </cell>
          <cell r="AK430" t="str">
            <v>ALJPV1692D</v>
          </cell>
          <cell r="AL430">
            <v>949509135798</v>
          </cell>
          <cell r="AM430" t="str">
            <v>Vade Narasimha Rao</v>
          </cell>
          <cell r="AN430">
            <v>45459</v>
          </cell>
          <cell r="AO430">
            <v>45399</v>
          </cell>
          <cell r="AP430" t="str">
            <v>Personal Growth</v>
          </cell>
          <cell r="AU430">
            <v>0.33333333333333331</v>
          </cell>
          <cell r="AV430">
            <v>0.66666666666666663</v>
          </cell>
          <cell r="AW430">
            <v>32786</v>
          </cell>
          <cell r="AX430" t="str">
            <v>Female</v>
          </cell>
          <cell r="AY430" t="str">
            <v>Full Time</v>
          </cell>
          <cell r="AZ430">
            <v>8</v>
          </cell>
          <cell r="BA430">
            <v>8</v>
          </cell>
        </row>
        <row r="431">
          <cell r="M431" t="str">
            <v>Attapur - 34</v>
          </cell>
          <cell r="N431" t="str">
            <v>USG, X Ray</v>
          </cell>
          <cell r="O431" t="str">
            <v>Radiology</v>
          </cell>
          <cell r="P431" t="str">
            <v>Consultant Radiologist</v>
          </cell>
          <cell r="Q431" t="str">
            <v>Dr. Krishna Mohan Pottala</v>
          </cell>
          <cell r="R431">
            <v>42947</v>
          </cell>
          <cell r="S431">
            <v>44440</v>
          </cell>
          <cell r="T431">
            <v>45169</v>
          </cell>
          <cell r="U431">
            <v>45170</v>
          </cell>
          <cell r="V431">
            <v>2009</v>
          </cell>
          <cell r="W431" t="str">
            <v>Andhra Medical College</v>
          </cell>
          <cell r="X431">
            <v>2011</v>
          </cell>
          <cell r="Y431" t="str">
            <v>Osmania Medical College</v>
          </cell>
          <cell r="Z431" t="str">
            <v>NA</v>
          </cell>
          <cell r="AA431" t="str">
            <v>MBBS, MD - Radio Diagnosis</v>
          </cell>
          <cell r="AB431">
            <v>68292</v>
          </cell>
          <cell r="AC431" t="str">
            <v>Telangana State Medical Council</v>
          </cell>
          <cell r="AD431">
            <v>42663</v>
          </cell>
          <cell r="AE431">
            <v>44488</v>
          </cell>
          <cell r="AF431">
            <v>9666676234</v>
          </cell>
          <cell r="AG431" t="str">
            <v>dranusha2004@gmail.com</v>
          </cell>
          <cell r="AH431" t="str">
            <v>HDFC Bank</v>
          </cell>
          <cell r="AI431" t="str">
            <v>50100072614813</v>
          </cell>
          <cell r="AJ431" t="str">
            <v>HDFC0001031</v>
          </cell>
          <cell r="AK431" t="str">
            <v>AKCPA2047H</v>
          </cell>
          <cell r="AL431">
            <v>895074864280</v>
          </cell>
          <cell r="AM431" t="str">
            <v>K Sivakumar</v>
          </cell>
          <cell r="AN431">
            <v>45068</v>
          </cell>
          <cell r="AW431">
            <v>31930</v>
          </cell>
          <cell r="AX431" t="str">
            <v>Female</v>
          </cell>
          <cell r="AY431" t="str">
            <v>Full Time</v>
          </cell>
          <cell r="AZ431">
            <v>8</v>
          </cell>
          <cell r="BA431">
            <v>4</v>
          </cell>
        </row>
        <row r="432">
          <cell r="M432" t="str">
            <v>Hanamkonda - 40</v>
          </cell>
          <cell r="O432" t="str">
            <v>Pathology</v>
          </cell>
          <cell r="P432" t="str">
            <v>Consultant Pathologist</v>
          </cell>
          <cell r="Q432" t="str">
            <v>Dr. Shashikanth</v>
          </cell>
          <cell r="R432">
            <v>42985</v>
          </cell>
          <cell r="S432">
            <v>44446</v>
          </cell>
          <cell r="T432">
            <v>45175</v>
          </cell>
          <cell r="U432">
            <v>45176</v>
          </cell>
          <cell r="V432">
            <v>1986</v>
          </cell>
          <cell r="W432" t="str">
            <v>Kakatiya Medical College</v>
          </cell>
          <cell r="X432">
            <v>2012</v>
          </cell>
          <cell r="Y432" t="str">
            <v>Chalmeda Anand Rao Institute of Medical Sciences</v>
          </cell>
          <cell r="Z432" t="str">
            <v>NA</v>
          </cell>
          <cell r="AA432" t="str">
            <v>MBBS, Dip Clinical Pathology, MD - Biochemistry</v>
          </cell>
          <cell r="AB432" t="str">
            <v>HMC12122</v>
          </cell>
          <cell r="AC432" t="str">
            <v>Telangana State Medical Council</v>
          </cell>
          <cell r="AD432">
            <v>43855</v>
          </cell>
          <cell r="AE432">
            <v>45315</v>
          </cell>
          <cell r="AF432">
            <v>9989291415</v>
          </cell>
          <cell r="AG432" t="str">
            <v>bhagavanreddy.kolan@gmail.com</v>
          </cell>
          <cell r="AH432" t="str">
            <v>Union Bank of India</v>
          </cell>
          <cell r="AI432" t="str">
            <v>088110011007451</v>
          </cell>
          <cell r="AJ432" t="str">
            <v>UBIN0808814</v>
          </cell>
          <cell r="AK432" t="str">
            <v>AEOPK0505Q</v>
          </cell>
          <cell r="AL432">
            <v>564169752027</v>
          </cell>
          <cell r="AM432" t="str">
            <v>K Raji Reddy</v>
          </cell>
          <cell r="AW432">
            <v>21535</v>
          </cell>
          <cell r="AX432" t="str">
            <v>Male</v>
          </cell>
          <cell r="AY432" t="str">
            <v>Part Time</v>
          </cell>
          <cell r="AZ432">
            <v>3</v>
          </cell>
          <cell r="BA432">
            <v>3</v>
          </cell>
        </row>
        <row r="433">
          <cell r="M433" t="str">
            <v>Himayatnagar</v>
          </cell>
          <cell r="N433" t="str">
            <v>X-Ray, Ultrasound, CT Scan, MRI, PET CT, USG Guided Procedures, CT Guided Procedures, Tunor Board Meetings</v>
          </cell>
          <cell r="O433" t="str">
            <v>Radiology</v>
          </cell>
          <cell r="P433" t="str">
            <v>Fellowship in MSK Radiology</v>
          </cell>
          <cell r="Q433" t="str">
            <v>Dr.Krishna Mohan</v>
          </cell>
          <cell r="R433">
            <v>45383</v>
          </cell>
          <cell r="S433">
            <v>45383</v>
          </cell>
          <cell r="T433">
            <v>45747</v>
          </cell>
          <cell r="U433">
            <v>45748</v>
          </cell>
          <cell r="V433">
            <v>2014</v>
          </cell>
          <cell r="W433" t="str">
            <v>Mahatma Gandhi institute of Medical Science</v>
          </cell>
          <cell r="X433">
            <v>2020</v>
          </cell>
          <cell r="Y433" t="str">
            <v>Byramjee Jeejeebhoy Medical College</v>
          </cell>
          <cell r="Z433" t="str">
            <v>NA</v>
          </cell>
          <cell r="AA433" t="str">
            <v>MBBS,MD</v>
          </cell>
          <cell r="AB433" t="str">
            <v>TSMC/FMR/30687</v>
          </cell>
          <cell r="AC433" t="str">
            <v>Telangana State Medical Council</v>
          </cell>
          <cell r="AD433">
            <v>45379</v>
          </cell>
          <cell r="AE433">
            <v>47204</v>
          </cell>
          <cell r="AF433">
            <v>8484995498</v>
          </cell>
          <cell r="AG433" t="str">
            <v>ghaidevyani@gmail.com</v>
          </cell>
          <cell r="AH433" t="str">
            <v>AXIS BANK</v>
          </cell>
          <cell r="AI433" t="str">
            <v>922010055500746</v>
          </cell>
          <cell r="AJ433" t="str">
            <v>UTIB0000348</v>
          </cell>
          <cell r="AK433" t="str">
            <v>AVBPG8919J</v>
          </cell>
          <cell r="AL433">
            <v>956418370490</v>
          </cell>
          <cell r="AN433">
            <v>45459</v>
          </cell>
          <cell r="AO433" t="str">
            <v>NA</v>
          </cell>
          <cell r="AP433" t="str">
            <v>continue</v>
          </cell>
          <cell r="AQ433" t="str">
            <v>B 53, Ground Floor, Sector 11, Near Milan  Vatika, Faridabad Sector 7, Faridabad, Haryana - 121006</v>
          </cell>
          <cell r="AS433" t="str">
            <v>B 53, Ground Floor, Sector 11, Near Milan  Vatika, Faridabad Sector 7, Faridabad, Haryana - 121006</v>
          </cell>
          <cell r="AU433">
            <v>0.375</v>
          </cell>
          <cell r="AV433">
            <v>0.70833333333333337</v>
          </cell>
          <cell r="AW433">
            <v>33724</v>
          </cell>
          <cell r="AX433" t="str">
            <v>Female</v>
          </cell>
          <cell r="AY433" t="str">
            <v>Full Time</v>
          </cell>
          <cell r="AZ433">
            <v>8</v>
          </cell>
          <cell r="BA433" t="str">
            <v>Himayathnagar Cluster</v>
          </cell>
        </row>
        <row r="434">
          <cell r="M434" t="str">
            <v>Yousufguda - 42</v>
          </cell>
          <cell r="O434" t="str">
            <v>Cardiology</v>
          </cell>
          <cell r="P434" t="str">
            <v>Consultant Cardiologist</v>
          </cell>
          <cell r="Z434">
            <v>0</v>
          </cell>
          <cell r="AE434">
            <v>9949364084</v>
          </cell>
          <cell r="AF434" t="str">
            <v>anandamuri@gmail.com</v>
          </cell>
          <cell r="AG434" t="str">
            <v>HDFC Bank</v>
          </cell>
          <cell r="AH434" t="str">
            <v>16391000004169</v>
          </cell>
          <cell r="AI434" t="str">
            <v>HDFC0001639</v>
          </cell>
          <cell r="AJ434" t="str">
            <v>AMMPN9466H</v>
          </cell>
          <cell r="AK434">
            <v>0</v>
          </cell>
          <cell r="AN434" t="str">
            <v>NA</v>
          </cell>
          <cell r="AW434">
            <v>29221</v>
          </cell>
          <cell r="AX434" t="str">
            <v>Male</v>
          </cell>
          <cell r="BA434" t="str">
            <v>Punjagutta Cluster</v>
          </cell>
        </row>
        <row r="435">
          <cell r="M435" t="str">
            <v>Kurnool - 43</v>
          </cell>
          <cell r="N435" t="str">
            <v>USG,</v>
          </cell>
          <cell r="O435" t="str">
            <v>Radiology</v>
          </cell>
          <cell r="P435" t="str">
            <v>Consultant Radiologist</v>
          </cell>
          <cell r="Q435" t="str">
            <v>Dr L T Kishore</v>
          </cell>
          <cell r="R435">
            <v>43185</v>
          </cell>
          <cell r="S435">
            <v>43916</v>
          </cell>
          <cell r="T435">
            <v>44645</v>
          </cell>
          <cell r="U435">
            <v>44646</v>
          </cell>
          <cell r="V435">
            <v>2008</v>
          </cell>
          <cell r="W435" t="str">
            <v>Guntur Medical College</v>
          </cell>
          <cell r="X435">
            <v>2014</v>
          </cell>
          <cell r="Y435" t="str">
            <v>PSIMS</v>
          </cell>
          <cell r="AA435" t="str">
            <v>MBBS, DMRD</v>
          </cell>
          <cell r="AB435">
            <v>62948</v>
          </cell>
          <cell r="AC435" t="str">
            <v>Andhra Pradesh Medical Council</v>
          </cell>
          <cell r="AD435">
            <v>43270</v>
          </cell>
          <cell r="AE435">
            <v>45095</v>
          </cell>
          <cell r="AF435">
            <v>8106023889</v>
          </cell>
          <cell r="AG435" t="str">
            <v>sandhyar.sunny@gmail.com</v>
          </cell>
          <cell r="AH435" t="str">
            <v>SBI Bank</v>
          </cell>
          <cell r="AI435" t="str">
            <v>20176646737</v>
          </cell>
          <cell r="AJ435" t="str">
            <v>SBIN0006305</v>
          </cell>
          <cell r="AK435" t="str">
            <v>BHCPR2297C</v>
          </cell>
          <cell r="AL435">
            <v>776014768841</v>
          </cell>
          <cell r="AM435" t="str">
            <v>R Udaya Bhaskar Rao</v>
          </cell>
          <cell r="AN435">
            <v>44479</v>
          </cell>
          <cell r="AW435">
            <v>30879</v>
          </cell>
          <cell r="AX435" t="str">
            <v>Female</v>
          </cell>
          <cell r="AY435" t="str">
            <v>Full Time</v>
          </cell>
          <cell r="AZ435">
            <v>8</v>
          </cell>
          <cell r="BA435">
            <v>7</v>
          </cell>
        </row>
        <row r="436">
          <cell r="M436" t="str">
            <v>Himayatnagar</v>
          </cell>
          <cell r="N436" t="str">
            <v>PET CT, Gamma Cammera</v>
          </cell>
          <cell r="O436" t="str">
            <v>Nuclear Medicine</v>
          </cell>
          <cell r="P436" t="str">
            <v>Consultant Nuclear Medicine</v>
          </cell>
          <cell r="Q436" t="str">
            <v>Dr. Krishna Mohan Pottala</v>
          </cell>
          <cell r="R436">
            <v>43271</v>
          </cell>
          <cell r="S436">
            <v>44774</v>
          </cell>
          <cell r="T436">
            <v>45504</v>
          </cell>
          <cell r="U436">
            <v>45505</v>
          </cell>
          <cell r="V436">
            <v>2002</v>
          </cell>
          <cell r="W436" t="str">
            <v>Sri Devaraj Urs Medical College</v>
          </cell>
          <cell r="X436">
            <v>2010</v>
          </cell>
          <cell r="Y436" t="str">
            <v>NIMS</v>
          </cell>
          <cell r="Z436" t="str">
            <v>NA</v>
          </cell>
          <cell r="AA436" t="str">
            <v>MBBS, DBB - Nuclear Medicine</v>
          </cell>
          <cell r="AB436">
            <v>50940</v>
          </cell>
          <cell r="AC436" t="str">
            <v>Telangana State Medical Council</v>
          </cell>
          <cell r="AD436">
            <v>43896</v>
          </cell>
          <cell r="AE436">
            <v>45721</v>
          </cell>
          <cell r="AF436">
            <v>9440385500</v>
          </cell>
          <cell r="AG436" t="str">
            <v>sbmurari@yahoo.com</v>
          </cell>
          <cell r="AH436" t="str">
            <v>SBI Bank</v>
          </cell>
          <cell r="AI436" t="str">
            <v>31948753457</v>
          </cell>
          <cell r="AJ436" t="str">
            <v>SBIN0012870</v>
          </cell>
          <cell r="AK436" t="str">
            <v>BBQPM8171E</v>
          </cell>
          <cell r="AL436">
            <v>454950405957</v>
          </cell>
          <cell r="AM436" t="str">
            <v>Lakshmi Narayana Murari</v>
          </cell>
          <cell r="AN436">
            <v>45121</v>
          </cell>
          <cell r="AO436" t="str">
            <v>NA</v>
          </cell>
          <cell r="AW436">
            <v>28520</v>
          </cell>
          <cell r="AX436" t="str">
            <v>Male</v>
          </cell>
          <cell r="AY436" t="str">
            <v>Full Time</v>
          </cell>
          <cell r="AZ436">
            <v>8</v>
          </cell>
          <cell r="BA436">
            <v>8</v>
          </cell>
        </row>
        <row r="437">
          <cell r="M437" t="str">
            <v>Dilsukhnagar - 12</v>
          </cell>
          <cell r="N437" t="str">
            <v>Hematology, Cytopathology, Clinical Pathology</v>
          </cell>
          <cell r="O437" t="str">
            <v>Pathology</v>
          </cell>
          <cell r="P437" t="str">
            <v>Senior Consultant Pathologist</v>
          </cell>
          <cell r="Q437" t="str">
            <v>Dr. Shashikanth</v>
          </cell>
          <cell r="R437">
            <v>43353</v>
          </cell>
          <cell r="S437">
            <v>44814</v>
          </cell>
          <cell r="T437">
            <v>45544</v>
          </cell>
          <cell r="U437">
            <v>45545</v>
          </cell>
          <cell r="V437">
            <v>1996</v>
          </cell>
          <cell r="W437" t="str">
            <v>Kakatiya Medical College</v>
          </cell>
          <cell r="X437">
            <v>2001</v>
          </cell>
          <cell r="Y437" t="str">
            <v>Gandhi Medical College</v>
          </cell>
          <cell r="Z437" t="str">
            <v>NA</v>
          </cell>
          <cell r="AA437" t="str">
            <v>MBBS, MD - Pathology</v>
          </cell>
          <cell r="AB437">
            <v>39618</v>
          </cell>
          <cell r="AC437" t="str">
            <v>Telangana State Medical Council</v>
          </cell>
          <cell r="AD437">
            <v>44231</v>
          </cell>
          <cell r="AE437">
            <v>46056</v>
          </cell>
          <cell r="AF437">
            <v>9949056850</v>
          </cell>
          <cell r="AG437" t="str">
            <v>pavanikiran71@yahoo.com</v>
          </cell>
          <cell r="AH437" t="str">
            <v>SBI Bank</v>
          </cell>
          <cell r="AI437" t="str">
            <v>52209152587</v>
          </cell>
          <cell r="AJ437" t="str">
            <v>SBIN0011746</v>
          </cell>
          <cell r="AK437" t="str">
            <v>AEYPV0741D</v>
          </cell>
          <cell r="AL437">
            <v>331437155278</v>
          </cell>
          <cell r="AM437" t="str">
            <v>Boddna Venkata Rao</v>
          </cell>
          <cell r="AN437">
            <v>45105</v>
          </cell>
          <cell r="AO437" t="str">
            <v>NA</v>
          </cell>
          <cell r="AS437" t="e">
            <v>#N/A</v>
          </cell>
          <cell r="AW437">
            <v>26232</v>
          </cell>
          <cell r="AX437" t="str">
            <v>Female</v>
          </cell>
          <cell r="AY437" t="str">
            <v>Full Time</v>
          </cell>
          <cell r="AZ437">
            <v>8</v>
          </cell>
          <cell r="BA437">
            <v>8</v>
          </cell>
        </row>
        <row r="438">
          <cell r="M438" t="str">
            <v>Shaikpet-127</v>
          </cell>
          <cell r="N438" t="str">
            <v>N/A</v>
          </cell>
          <cell r="O438" t="str">
            <v>Physician Services</v>
          </cell>
          <cell r="P438" t="str">
            <v>Consultant Physician</v>
          </cell>
          <cell r="Q438" t="str">
            <v>N/A</v>
          </cell>
          <cell r="R438">
            <v>45435</v>
          </cell>
          <cell r="S438">
            <v>45435</v>
          </cell>
          <cell r="T438">
            <v>46164</v>
          </cell>
          <cell r="U438">
            <v>46165</v>
          </cell>
          <cell r="V438">
            <v>2018</v>
          </cell>
          <cell r="W438" t="str">
            <v xml:space="preserve">VRK Women's Medical College </v>
          </cell>
          <cell r="X438" t="str">
            <v>NA</v>
          </cell>
          <cell r="Y438" t="str">
            <v>N/A</v>
          </cell>
          <cell r="Z438" t="str">
            <v>NA</v>
          </cell>
          <cell r="AA438" t="str">
            <v>MBBS</v>
          </cell>
          <cell r="AB438" t="str">
            <v>TSMC/PMR/23185</v>
          </cell>
          <cell r="AC438" t="str">
            <v>Telangana State Medical Council</v>
          </cell>
          <cell r="AD438">
            <v>45149</v>
          </cell>
          <cell r="AE438">
            <v>46975</v>
          </cell>
          <cell r="AF438">
            <v>8433951585</v>
          </cell>
          <cell r="AG438" t="str">
            <v>ramshakhan6028@gmail.com</v>
          </cell>
          <cell r="AH438" t="str">
            <v>ICICI Bank</v>
          </cell>
          <cell r="AI438" t="str">
            <v>125101504495</v>
          </cell>
          <cell r="AJ438" t="str">
            <v>ICIC0001251</v>
          </cell>
          <cell r="AK438" t="str">
            <v>LEJPK9618A</v>
          </cell>
          <cell r="AL438">
            <v>638949087942</v>
          </cell>
          <cell r="AN438">
            <v>45462</v>
          </cell>
          <cell r="AO438" t="str">
            <v>NA</v>
          </cell>
          <cell r="AP438" t="str">
            <v>Abscond</v>
          </cell>
          <cell r="AQ438" t="str">
            <v>A/105, ABC zohra aghadi Nagar, Andheri west, Mumbai, Maharashtra. 400061</v>
          </cell>
          <cell r="AS438" t="str">
            <v>A/105, ABC zohra aghadi Nagar, Andheri west, Mumbai, Maharashtra. 400061</v>
          </cell>
          <cell r="AW438">
            <v>36841</v>
          </cell>
          <cell r="AX438" t="str">
            <v>Female</v>
          </cell>
          <cell r="AY438" t="str">
            <v>Part Time</v>
          </cell>
          <cell r="AZ438">
            <v>1</v>
          </cell>
          <cell r="BA438" t="str">
            <v>Tolichowki Cluster</v>
          </cell>
        </row>
        <row r="439">
          <cell r="M439" t="str">
            <v>Kharkhana - 35</v>
          </cell>
          <cell r="N439" t="str">
            <v>USG, X-ray</v>
          </cell>
          <cell r="O439" t="str">
            <v>Radiology</v>
          </cell>
          <cell r="P439" t="str">
            <v>Consultant Radiologist</v>
          </cell>
          <cell r="Q439" t="str">
            <v>Dr L T Kishore</v>
          </cell>
          <cell r="R439">
            <v>43435</v>
          </cell>
          <cell r="S439">
            <v>44277</v>
          </cell>
          <cell r="T439">
            <v>45006</v>
          </cell>
          <cell r="U439">
            <v>45007</v>
          </cell>
          <cell r="AA439" t="str">
            <v>MBBS, MD - Radiodiagnosis</v>
          </cell>
          <cell r="AB439" t="str">
            <v>AMPC/FMR/83475</v>
          </cell>
          <cell r="AC439" t="str">
            <v>Telangana State Medical Council</v>
          </cell>
          <cell r="AD439">
            <v>43348</v>
          </cell>
          <cell r="AE439">
            <v>45173</v>
          </cell>
          <cell r="AF439">
            <v>9959546834</v>
          </cell>
          <cell r="AG439" t="str">
            <v>minilss15@gmail.com</v>
          </cell>
          <cell r="AH439" t="str">
            <v>ICICI Bank</v>
          </cell>
          <cell r="AI439" t="str">
            <v>131501501989</v>
          </cell>
          <cell r="AJ439" t="str">
            <v>ICIC0001315</v>
          </cell>
          <cell r="AK439" t="str">
            <v>BMNPP1754J</v>
          </cell>
          <cell r="AL439">
            <v>664862865826</v>
          </cell>
          <cell r="AM439" t="str">
            <v>P Narender</v>
          </cell>
          <cell r="AN439">
            <v>44262</v>
          </cell>
          <cell r="AW439">
            <v>32821</v>
          </cell>
          <cell r="AX439" t="str">
            <v>Male</v>
          </cell>
          <cell r="AY439" t="str">
            <v>Part Time</v>
          </cell>
          <cell r="AZ439">
            <v>2</v>
          </cell>
          <cell r="BA439">
            <v>2</v>
          </cell>
        </row>
        <row r="440">
          <cell r="M440" t="str">
            <v>NR Pet 1-Krnl - 80</v>
          </cell>
          <cell r="O440" t="str">
            <v>Microbiology</v>
          </cell>
          <cell r="P440" t="str">
            <v>Consultant Microbiologist</v>
          </cell>
          <cell r="Q440" t="str">
            <v>Dr Manisha</v>
          </cell>
          <cell r="R440">
            <v>43437</v>
          </cell>
          <cell r="S440">
            <v>44013</v>
          </cell>
          <cell r="T440">
            <v>44742</v>
          </cell>
          <cell r="U440">
            <v>44743</v>
          </cell>
          <cell r="V440">
            <v>2007</v>
          </cell>
          <cell r="W440" t="str">
            <v>KLE Institute Jawaharlal Nehru Medical college</v>
          </cell>
          <cell r="X440">
            <v>2012</v>
          </cell>
          <cell r="Y440" t="str">
            <v>Rangaraya Medical College</v>
          </cell>
          <cell r="AA440" t="str">
            <v>MBBS, MD - Microbiology</v>
          </cell>
          <cell r="AB440" t="str">
            <v>APMC/FMR/78902</v>
          </cell>
          <cell r="AC440" t="str">
            <v>Andhra Pradesh Medical Council</v>
          </cell>
          <cell r="AD440">
            <v>41339</v>
          </cell>
          <cell r="AE440">
            <v>43165</v>
          </cell>
          <cell r="AF440">
            <v>9030286811</v>
          </cell>
          <cell r="AG440" t="str">
            <v>akshathapraveen01@gmail.com</v>
          </cell>
          <cell r="AH440" t="str">
            <v>Karnataka Bank</v>
          </cell>
          <cell r="AI440" t="str">
            <v>4282500101534601</v>
          </cell>
          <cell r="AJ440" t="str">
            <v>KARB0000428</v>
          </cell>
          <cell r="AK440" t="str">
            <v>CDIPP8309N</v>
          </cell>
          <cell r="AL440">
            <v>607739322200</v>
          </cell>
          <cell r="AM440" t="str">
            <v>P Hanumantharayappa</v>
          </cell>
          <cell r="AN440">
            <v>44312</v>
          </cell>
          <cell r="AW440">
            <v>30134</v>
          </cell>
          <cell r="AX440" t="str">
            <v>Female</v>
          </cell>
          <cell r="AY440" t="str">
            <v>Part Time</v>
          </cell>
          <cell r="AZ440">
            <v>3</v>
          </cell>
          <cell r="BA440">
            <v>3</v>
          </cell>
        </row>
        <row r="441">
          <cell r="M441" t="str">
            <v>Dwarakanagar - 6</v>
          </cell>
          <cell r="O441" t="str">
            <v>Biochemistry</v>
          </cell>
          <cell r="P441" t="str">
            <v>Consultant Biochemist</v>
          </cell>
          <cell r="Q441" t="str">
            <v>Dr. Bikash Chowdhary</v>
          </cell>
          <cell r="R441">
            <v>43437</v>
          </cell>
          <cell r="S441">
            <v>44898</v>
          </cell>
          <cell r="T441">
            <v>45628</v>
          </cell>
          <cell r="U441">
            <v>45629</v>
          </cell>
          <cell r="V441">
            <v>2005</v>
          </cell>
          <cell r="W441" t="str">
            <v>Guntur Medical College</v>
          </cell>
          <cell r="X441">
            <v>2016</v>
          </cell>
          <cell r="Y441" t="str">
            <v>Andhra Medical College</v>
          </cell>
          <cell r="Z441" t="str">
            <v>NA</v>
          </cell>
          <cell r="AA441" t="str">
            <v>MBBS, MD - Biochemistry</v>
          </cell>
          <cell r="AB441">
            <v>54226</v>
          </cell>
          <cell r="AC441" t="str">
            <v>Andhra Pradesh Medical Council</v>
          </cell>
          <cell r="AD441">
            <v>43333</v>
          </cell>
          <cell r="AE441">
            <v>45159</v>
          </cell>
          <cell r="AF441">
            <v>9652458873</v>
          </cell>
          <cell r="AG441" t="str">
            <v>drdeeptikonala@gmail.com</v>
          </cell>
          <cell r="AH441" t="str">
            <v>SBI Bank</v>
          </cell>
          <cell r="AI441" t="str">
            <v>20181355649</v>
          </cell>
          <cell r="AJ441" t="str">
            <v>SBIN0008996</v>
          </cell>
          <cell r="AK441" t="str">
            <v>DPFPK9016F</v>
          </cell>
          <cell r="AL441">
            <v>537988692970</v>
          </cell>
          <cell r="AM441" t="str">
            <v>Konala Abraham</v>
          </cell>
          <cell r="AN441">
            <v>45045</v>
          </cell>
          <cell r="AW441">
            <v>30056</v>
          </cell>
          <cell r="AX441" t="str">
            <v>Female</v>
          </cell>
          <cell r="AY441" t="str">
            <v>Full Time</v>
          </cell>
          <cell r="AZ441">
            <v>5</v>
          </cell>
          <cell r="BA441">
            <v>5</v>
          </cell>
        </row>
        <row r="442">
          <cell r="M442" t="str">
            <v>Dilsukhnagar - 12</v>
          </cell>
          <cell r="O442" t="str">
            <v>Gastroenterology</v>
          </cell>
          <cell r="P442" t="str">
            <v>Consultant Gastroenterology</v>
          </cell>
          <cell r="R442">
            <v>43467</v>
          </cell>
          <cell r="S442">
            <v>43467</v>
          </cell>
          <cell r="T442">
            <v>44197</v>
          </cell>
          <cell r="U442">
            <v>44198</v>
          </cell>
          <cell r="AA442" t="str">
            <v>Kakatiya Medical College</v>
          </cell>
          <cell r="AB442">
            <v>69745</v>
          </cell>
          <cell r="AC442" t="str">
            <v>Andhra Pradesh Medical Council</v>
          </cell>
          <cell r="AD442">
            <v>40578</v>
          </cell>
          <cell r="AE442">
            <v>42404</v>
          </cell>
          <cell r="AF442">
            <v>9866530350</v>
          </cell>
          <cell r="AG442" t="str">
            <v>kogantiabhiram@gmail.com</v>
          </cell>
          <cell r="AH442" t="str">
            <v>SBI Bank</v>
          </cell>
          <cell r="AI442" t="str">
            <v>00000020310970772</v>
          </cell>
          <cell r="AJ442" t="str">
            <v>SBIN0004155</v>
          </cell>
          <cell r="AK442" t="str">
            <v>AORPK9638K</v>
          </cell>
          <cell r="AL442">
            <v>720550104062</v>
          </cell>
          <cell r="AN442">
            <v>44347</v>
          </cell>
          <cell r="AW442">
            <v>31777</v>
          </cell>
          <cell r="AX442" t="str">
            <v>Male</v>
          </cell>
          <cell r="AY442" t="str">
            <v>Part Time</v>
          </cell>
          <cell r="AZ442">
            <v>2</v>
          </cell>
          <cell r="BA442">
            <v>8</v>
          </cell>
        </row>
        <row r="443">
          <cell r="M443" t="str">
            <v>Himayatnagar</v>
          </cell>
          <cell r="O443" t="str">
            <v>Pathology</v>
          </cell>
          <cell r="P443" t="str">
            <v>Consultant Pathologist</v>
          </cell>
          <cell r="Q443" t="str">
            <v>Dr Shashikanth</v>
          </cell>
          <cell r="R443">
            <v>43476</v>
          </cell>
          <cell r="S443">
            <v>44207</v>
          </cell>
          <cell r="T443">
            <v>44936</v>
          </cell>
          <cell r="U443">
            <v>44937</v>
          </cell>
          <cell r="AA443" t="str">
            <v>MBBS, MD - Pathology</v>
          </cell>
          <cell r="AB443" t="str">
            <v>APMC/FMR/79037</v>
          </cell>
          <cell r="AC443" t="str">
            <v>Telangana State Medical Council</v>
          </cell>
          <cell r="AD443">
            <v>43470</v>
          </cell>
          <cell r="AE443">
            <v>45295</v>
          </cell>
          <cell r="AF443">
            <v>9849338483</v>
          </cell>
          <cell r="AG443" t="str">
            <v>syedmohdatif138@gmail.com</v>
          </cell>
          <cell r="AH443" t="str">
            <v>SBI Bank</v>
          </cell>
          <cell r="AI443" t="str">
            <v>00000052209869423</v>
          </cell>
          <cell r="AJ443" t="str">
            <v>SBIN0005095</v>
          </cell>
          <cell r="AK443" t="str">
            <v>AKQPA5421M</v>
          </cell>
          <cell r="AL443">
            <v>361923570517</v>
          </cell>
          <cell r="AM443" t="str">
            <v>Syed Ghouse Moinuddin</v>
          </cell>
          <cell r="AN443">
            <v>44347</v>
          </cell>
          <cell r="AW443">
            <v>31745</v>
          </cell>
          <cell r="AX443" t="str">
            <v>Male</v>
          </cell>
          <cell r="AY443" t="str">
            <v>Full Time</v>
          </cell>
          <cell r="AZ443">
            <v>8</v>
          </cell>
          <cell r="BA443">
            <v>8</v>
          </cell>
        </row>
        <row r="444">
          <cell r="M444" t="str">
            <v>Habsiguda - 17</v>
          </cell>
          <cell r="O444" t="str">
            <v>Pathology</v>
          </cell>
          <cell r="P444" t="str">
            <v>Consultant Pathologist</v>
          </cell>
          <cell r="Q444" t="str">
            <v>Dr Shashikanth</v>
          </cell>
          <cell r="R444">
            <v>43497</v>
          </cell>
          <cell r="S444">
            <v>44228</v>
          </cell>
          <cell r="T444">
            <v>44957</v>
          </cell>
          <cell r="V444">
            <v>2012</v>
          </cell>
          <cell r="W444" t="str">
            <v>Mamata Medical College</v>
          </cell>
          <cell r="X444">
            <v>2018</v>
          </cell>
          <cell r="Y444" t="str">
            <v>NRI Medical College</v>
          </cell>
          <cell r="AA444" t="str">
            <v>MBBS, MD - Pathology</v>
          </cell>
          <cell r="AB444" t="str">
            <v>APMC/FMR/80429</v>
          </cell>
          <cell r="AC444" t="str">
            <v>Telangana State Medical Council</v>
          </cell>
          <cell r="AD444">
            <v>43336</v>
          </cell>
          <cell r="AE444">
            <v>45162</v>
          </cell>
          <cell r="AF444">
            <v>7416695925</v>
          </cell>
          <cell r="AG444" t="str">
            <v>SALEEM17121990@GMAIL.COM</v>
          </cell>
          <cell r="AH444" t="str">
            <v>HDFC Bank</v>
          </cell>
          <cell r="AI444" t="str">
            <v>50100251105290</v>
          </cell>
          <cell r="AJ444" t="str">
            <v>HDFC0000218</v>
          </cell>
          <cell r="AK444" t="str">
            <v>EMCPS8442G</v>
          </cell>
          <cell r="AL444">
            <v>588020753876</v>
          </cell>
          <cell r="AM444" t="str">
            <v>Sheikh Khaja</v>
          </cell>
          <cell r="AN444">
            <v>44608</v>
          </cell>
          <cell r="AW444">
            <v>33224</v>
          </cell>
          <cell r="AX444" t="str">
            <v>Male</v>
          </cell>
          <cell r="AY444" t="str">
            <v>Part Time</v>
          </cell>
          <cell r="AZ444">
            <v>4</v>
          </cell>
          <cell r="BA444">
            <v>4</v>
          </cell>
        </row>
        <row r="445">
          <cell r="M445" t="str">
            <v>Himayatnagar</v>
          </cell>
          <cell r="O445" t="str">
            <v>Diabetology</v>
          </cell>
          <cell r="P445" t="str">
            <v>Consultant Diabetology</v>
          </cell>
          <cell r="R445">
            <v>43497</v>
          </cell>
          <cell r="S445">
            <v>43497</v>
          </cell>
          <cell r="T445">
            <v>44227</v>
          </cell>
          <cell r="U445">
            <v>44228</v>
          </cell>
          <cell r="AA445" t="str">
            <v>Shri B.M.Patil Medical College</v>
          </cell>
          <cell r="AB445">
            <v>58988</v>
          </cell>
          <cell r="AC445" t="str">
            <v>Karnataka Medical Council</v>
          </cell>
          <cell r="AD445">
            <v>36979</v>
          </cell>
          <cell r="AE445">
            <v>38805</v>
          </cell>
          <cell r="AG445" t="str">
            <v>docgiri_76@yahoo.com</v>
          </cell>
          <cell r="AH445" t="str">
            <v>Axis Bank</v>
          </cell>
          <cell r="AI445" t="str">
            <v>030010100165471</v>
          </cell>
          <cell r="AJ445" t="str">
            <v>UTIB0000030</v>
          </cell>
          <cell r="AK445" t="str">
            <v>ADOPK8052B</v>
          </cell>
          <cell r="AL445">
            <v>855415411236</v>
          </cell>
          <cell r="AW445">
            <v>28046</v>
          </cell>
          <cell r="AX445" t="str">
            <v>Male</v>
          </cell>
          <cell r="BA445">
            <v>8</v>
          </cell>
        </row>
        <row r="446">
          <cell r="M446" t="str">
            <v>LBNagar - 87</v>
          </cell>
          <cell r="N446" t="str">
            <v>CT, MRI.</v>
          </cell>
          <cell r="O446" t="str">
            <v>Radiology</v>
          </cell>
          <cell r="P446" t="str">
            <v>Consultant Radiologist</v>
          </cell>
          <cell r="Q446" t="str">
            <v>Dr L T Kishore</v>
          </cell>
          <cell r="R446">
            <v>43525</v>
          </cell>
          <cell r="S446">
            <v>43525</v>
          </cell>
          <cell r="T446">
            <v>44255</v>
          </cell>
          <cell r="U446">
            <v>44256</v>
          </cell>
          <cell r="AA446" t="str">
            <v>MBBS, MD - Radiodiagnosis</v>
          </cell>
          <cell r="AB446">
            <v>71632</v>
          </cell>
          <cell r="AC446" t="str">
            <v>Telangana State Medical Council</v>
          </cell>
          <cell r="AD446">
            <v>43516</v>
          </cell>
          <cell r="AE446">
            <v>45341</v>
          </cell>
          <cell r="AF446">
            <v>9885558272</v>
          </cell>
          <cell r="AG446" t="str">
            <v>venkatesh.gunreddy@gmail.com</v>
          </cell>
          <cell r="AH446" t="str">
            <v>ICICI Bank</v>
          </cell>
          <cell r="AI446" t="str">
            <v>024301522202</v>
          </cell>
          <cell r="AJ446" t="str">
            <v>ICIC0000243</v>
          </cell>
          <cell r="AK446" t="str">
            <v>BNNPG2677L</v>
          </cell>
          <cell r="AL446">
            <v>366927833840</v>
          </cell>
          <cell r="AM446" t="str">
            <v>G Anjireddy</v>
          </cell>
          <cell r="AN446">
            <v>44439</v>
          </cell>
          <cell r="AW446">
            <v>32093</v>
          </cell>
          <cell r="AX446" t="str">
            <v>Male</v>
          </cell>
          <cell r="AY446" t="str">
            <v>Full Time</v>
          </cell>
          <cell r="AZ446">
            <v>8</v>
          </cell>
          <cell r="BA446">
            <v>8</v>
          </cell>
        </row>
        <row r="447">
          <cell r="M447" t="str">
            <v>Yousufguda - 42</v>
          </cell>
          <cell r="N447" t="str">
            <v>USG, CT, X-RAY, MAMMOGRAPHY, FNAC (DOCTOR IN NOTICE PERIOD)</v>
          </cell>
          <cell r="O447" t="str">
            <v>Radiology</v>
          </cell>
          <cell r="P447" t="str">
            <v>Consultant Radiologist</v>
          </cell>
          <cell r="Q447" t="str">
            <v>Dr L T Kishore</v>
          </cell>
          <cell r="R447">
            <v>43571</v>
          </cell>
          <cell r="S447">
            <v>43997</v>
          </cell>
          <cell r="T447">
            <v>44726</v>
          </cell>
          <cell r="U447">
            <v>44727</v>
          </cell>
          <cell r="AA447" t="str">
            <v>MBBS, MD - Radiodiagnosis</v>
          </cell>
          <cell r="AB447">
            <v>69466</v>
          </cell>
          <cell r="AC447" t="str">
            <v>Andhra Pradesh Medical Council</v>
          </cell>
          <cell r="AD447">
            <v>42643</v>
          </cell>
          <cell r="AE447">
            <v>44468</v>
          </cell>
          <cell r="AF447">
            <v>9985077082</v>
          </cell>
          <cell r="AG447" t="str">
            <v>renukapasupala@gmail.com</v>
          </cell>
          <cell r="AH447" t="str">
            <v>Indian Overseas Bank</v>
          </cell>
          <cell r="AI447" t="str">
            <v>039201000021199</v>
          </cell>
          <cell r="AJ447" t="str">
            <v>IOBA0000392</v>
          </cell>
          <cell r="AK447" t="str">
            <v>BNOPD5269G</v>
          </cell>
          <cell r="AL447">
            <v>435856754146</v>
          </cell>
          <cell r="AM447" t="str">
            <v>Pasupala Jagadish</v>
          </cell>
          <cell r="AN447">
            <v>44315</v>
          </cell>
          <cell r="AW447">
            <v>31552</v>
          </cell>
          <cell r="AX447" t="str">
            <v>Female</v>
          </cell>
          <cell r="AY447" t="str">
            <v>Part Time</v>
          </cell>
          <cell r="AZ447">
            <v>6</v>
          </cell>
          <cell r="BA447" t="str">
            <v>Punjagutta Cluster</v>
          </cell>
        </row>
        <row r="448">
          <cell r="M448" t="str">
            <v>Kurnool - 43</v>
          </cell>
          <cell r="O448" t="str">
            <v>Biochemistry</v>
          </cell>
          <cell r="P448" t="str">
            <v>Consultant Biochemist</v>
          </cell>
          <cell r="Q448" t="str">
            <v>Dr. Bikash Chowdhary</v>
          </cell>
          <cell r="R448">
            <v>43591</v>
          </cell>
          <cell r="S448">
            <v>44348</v>
          </cell>
          <cell r="T448">
            <v>45077</v>
          </cell>
          <cell r="U448">
            <v>45078</v>
          </cell>
          <cell r="V448">
            <v>2010</v>
          </cell>
          <cell r="W448" t="str">
            <v>Government Medical College, Anantapur</v>
          </cell>
          <cell r="X448">
            <v>2017</v>
          </cell>
          <cell r="Y448" t="str">
            <v>Kurnool Medical College</v>
          </cell>
          <cell r="Z448" t="str">
            <v>NA</v>
          </cell>
          <cell r="AA448" t="str">
            <v>MBBS, MD - Biochemistry</v>
          </cell>
          <cell r="AB448">
            <v>72025</v>
          </cell>
          <cell r="AC448" t="str">
            <v>Andhra Pradesh Medical Council</v>
          </cell>
          <cell r="AD448">
            <v>43250</v>
          </cell>
          <cell r="AE448">
            <v>45075</v>
          </cell>
          <cell r="AF448">
            <v>9493187942</v>
          </cell>
          <cell r="AG448" t="str">
            <v>dramarnath1985@gmail.com</v>
          </cell>
          <cell r="AH448" t="str">
            <v>Union Bank of India</v>
          </cell>
          <cell r="AI448" t="str">
            <v>137910100057740</v>
          </cell>
          <cell r="AJ448" t="str">
            <v>UBIN0813796</v>
          </cell>
          <cell r="AK448" t="str">
            <v>CEHPK9121H</v>
          </cell>
          <cell r="AL448">
            <v>393697322855</v>
          </cell>
          <cell r="AM448" t="str">
            <v>Kombala Venkata Rami Reddy</v>
          </cell>
          <cell r="AW448">
            <v>31349</v>
          </cell>
          <cell r="AX448" t="str">
            <v>Male</v>
          </cell>
          <cell r="AY448" t="str">
            <v>Part Time</v>
          </cell>
          <cell r="AZ448">
            <v>4</v>
          </cell>
          <cell r="BA448">
            <v>7</v>
          </cell>
        </row>
        <row r="449">
          <cell r="M449" t="str">
            <v>Alwal - 44</v>
          </cell>
          <cell r="N449" t="str">
            <v>USG,</v>
          </cell>
          <cell r="O449" t="str">
            <v>Radiology</v>
          </cell>
          <cell r="P449" t="str">
            <v>Consultant Radiologist</v>
          </cell>
          <cell r="Q449" t="str">
            <v>Dr L T Kishore</v>
          </cell>
          <cell r="R449">
            <v>43591</v>
          </cell>
          <cell r="S449">
            <v>44256</v>
          </cell>
          <cell r="T449">
            <v>44985</v>
          </cell>
          <cell r="U449">
            <v>44986</v>
          </cell>
          <cell r="AA449" t="str">
            <v>MBBS, MD - Radiodiagnosis</v>
          </cell>
          <cell r="AB449" t="str">
            <v>APMC/FMR/82466</v>
          </cell>
          <cell r="AC449" t="str">
            <v>Telangana State Medical Council</v>
          </cell>
          <cell r="AD449">
            <v>43336</v>
          </cell>
          <cell r="AE449">
            <v>45161</v>
          </cell>
          <cell r="AF449">
            <v>8790757456</v>
          </cell>
          <cell r="AG449" t="str">
            <v>swapnareddy.aalla@gmail.com</v>
          </cell>
          <cell r="AH449" t="str">
            <v>HDFC Bank</v>
          </cell>
          <cell r="AI449" t="str">
            <v>50100285724093</v>
          </cell>
          <cell r="AJ449" t="str">
            <v>HDFC0004342</v>
          </cell>
          <cell r="AK449" t="str">
            <v>AZTPA9122D</v>
          </cell>
          <cell r="AL449">
            <v>746901085077</v>
          </cell>
          <cell r="AM449" t="str">
            <v>A Narsimha Reddy</v>
          </cell>
          <cell r="AN449">
            <v>44450</v>
          </cell>
          <cell r="AW449">
            <v>31594</v>
          </cell>
          <cell r="AX449" t="str">
            <v>Female</v>
          </cell>
          <cell r="AY449" t="str">
            <v>Full Time</v>
          </cell>
          <cell r="AZ449">
            <v>8</v>
          </cell>
          <cell r="BA449">
            <v>8</v>
          </cell>
        </row>
        <row r="450">
          <cell r="M450" t="str">
            <v>Vanasthalipuram - 33</v>
          </cell>
          <cell r="N450" t="str">
            <v>USG, XRAY.</v>
          </cell>
          <cell r="O450" t="str">
            <v>Radiology</v>
          </cell>
          <cell r="P450" t="str">
            <v>Consultant Radiologist</v>
          </cell>
          <cell r="Q450" t="str">
            <v>Dr L T Kishore</v>
          </cell>
          <cell r="R450">
            <v>43591</v>
          </cell>
          <cell r="S450">
            <v>44348</v>
          </cell>
          <cell r="T450">
            <v>45077</v>
          </cell>
          <cell r="U450">
            <v>45078</v>
          </cell>
          <cell r="V450">
            <v>2012</v>
          </cell>
          <cell r="W450" t="str">
            <v>Mamata Medical College</v>
          </cell>
          <cell r="X450">
            <v>2016</v>
          </cell>
          <cell r="Y450" t="str">
            <v>Kakatiya Medical College</v>
          </cell>
          <cell r="AA450" t="str">
            <v>MBBS, DMRD - Radio Diagnosis</v>
          </cell>
          <cell r="AB450" t="str">
            <v>APMC/FMR/81680</v>
          </cell>
          <cell r="AC450" t="str">
            <v>Telangana State Medical Council</v>
          </cell>
          <cell r="AD450">
            <v>43328</v>
          </cell>
          <cell r="AE450">
            <v>45153</v>
          </cell>
          <cell r="AF450">
            <v>8885840668</v>
          </cell>
          <cell r="AG450" t="str">
            <v>masukpraveenkumar@gmail.com</v>
          </cell>
          <cell r="AH450" t="str">
            <v>ICICI Bank</v>
          </cell>
          <cell r="AI450" t="str">
            <v>279801504884</v>
          </cell>
          <cell r="AJ450" t="str">
            <v>ICIC0002798</v>
          </cell>
          <cell r="AK450" t="str">
            <v>DGHPM0289P</v>
          </cell>
          <cell r="AL450">
            <v>363250717209</v>
          </cell>
          <cell r="AM450" t="str">
            <v>M Samuel</v>
          </cell>
          <cell r="AN450">
            <v>44701</v>
          </cell>
          <cell r="AO450">
            <v>44641</v>
          </cell>
          <cell r="AW450">
            <v>32558</v>
          </cell>
          <cell r="AX450" t="str">
            <v>Male</v>
          </cell>
          <cell r="AY450" t="str">
            <v>Full Time</v>
          </cell>
          <cell r="AZ450">
            <v>8</v>
          </cell>
          <cell r="BA450">
            <v>8</v>
          </cell>
        </row>
        <row r="451">
          <cell r="M451" t="str">
            <v>Kurnool - 43</v>
          </cell>
          <cell r="N451" t="str">
            <v>N/A</v>
          </cell>
          <cell r="O451" t="str">
            <v>Pathology</v>
          </cell>
          <cell r="P451" t="str">
            <v>Consultant Pathologist</v>
          </cell>
          <cell r="Q451" t="str">
            <v>Dr. PTS. Shashikanth</v>
          </cell>
          <cell r="R451">
            <v>45383</v>
          </cell>
          <cell r="S451">
            <v>45383</v>
          </cell>
          <cell r="T451">
            <v>46112</v>
          </cell>
          <cell r="U451">
            <v>46113</v>
          </cell>
          <cell r="V451">
            <v>2009</v>
          </cell>
          <cell r="W451" t="str">
            <v>Rangaraya Medical College</v>
          </cell>
          <cell r="X451">
            <v>2022</v>
          </cell>
          <cell r="Y451" t="str">
            <v>GSL Medical College</v>
          </cell>
          <cell r="Z451" t="str">
            <v>NA</v>
          </cell>
          <cell r="AA451" t="str">
            <v>MBBS,MD</v>
          </cell>
          <cell r="AB451">
            <v>64351</v>
          </cell>
          <cell r="AC451" t="str">
            <v>Andhra Pradesh Medical Council</v>
          </cell>
          <cell r="AD451">
            <v>44593</v>
          </cell>
          <cell r="AE451">
            <v>46418</v>
          </cell>
          <cell r="AF451">
            <v>9492568543</v>
          </cell>
          <cell r="AG451" t="str">
            <v>sekharchandrat007@gmail.com</v>
          </cell>
          <cell r="AH451" t="str">
            <v>Bank of Baroda</v>
          </cell>
          <cell r="AI451" t="str">
            <v>81200100005460</v>
          </cell>
          <cell r="AJ451" t="str">
            <v>BARB0VJPENC</v>
          </cell>
          <cell r="AK451" t="str">
            <v>CXYPK6680F</v>
          </cell>
          <cell r="AL451">
            <v>968531604494</v>
          </cell>
          <cell r="AN451">
            <v>45467</v>
          </cell>
          <cell r="AO451">
            <v>45453</v>
          </cell>
          <cell r="AP451" t="str">
            <v>personal reason</v>
          </cell>
          <cell r="AQ451" t="str">
            <v>2-3/1, BC Colony, Brahmanakotkur, Kurnool, Andhra Pradesh - 518432</v>
          </cell>
          <cell r="AS451" t="str">
            <v>2-3/1, BC Colony, Brahmanakotkur, Kurnool, Andhra Pradesh - 518432</v>
          </cell>
          <cell r="AU451">
            <v>0.41666666666666669</v>
          </cell>
          <cell r="AV451">
            <v>0.5</v>
          </cell>
          <cell r="AW451">
            <v>30896</v>
          </cell>
          <cell r="AX451" t="str">
            <v>Female</v>
          </cell>
          <cell r="AY451" t="str">
            <v>Part Time</v>
          </cell>
          <cell r="AZ451">
            <v>2</v>
          </cell>
          <cell r="BA451" t="str">
            <v>Kurnool Cluster</v>
          </cell>
        </row>
        <row r="452">
          <cell r="M452" t="str">
            <v>Hanamkonda - 40</v>
          </cell>
          <cell r="N452" t="str">
            <v>CT &amp; MRI, USG</v>
          </cell>
          <cell r="O452" t="str">
            <v>Radiology</v>
          </cell>
          <cell r="P452" t="str">
            <v>Consultant Radiologist</v>
          </cell>
          <cell r="Q452" t="str">
            <v>Dr L T Kishore</v>
          </cell>
          <cell r="R452">
            <v>43617</v>
          </cell>
          <cell r="S452">
            <v>43617</v>
          </cell>
          <cell r="T452">
            <v>44347</v>
          </cell>
          <cell r="U452">
            <v>44348</v>
          </cell>
          <cell r="V452">
            <v>2008</v>
          </cell>
          <cell r="W452" t="str">
            <v>Kamineni Institute of Medical Sciences</v>
          </cell>
          <cell r="X452">
            <v>2017</v>
          </cell>
          <cell r="Y452" t="str">
            <v>KIMS</v>
          </cell>
          <cell r="AA452" t="str">
            <v>MBBS, DBB - Radiodiagnosis</v>
          </cell>
          <cell r="AB452">
            <v>64415</v>
          </cell>
          <cell r="AC452" t="str">
            <v>Telangana State Medical Council</v>
          </cell>
          <cell r="AD452">
            <v>43034</v>
          </cell>
          <cell r="AE452">
            <v>44859</v>
          </cell>
          <cell r="AF452">
            <v>8374869790</v>
          </cell>
          <cell r="AG452" t="str">
            <v>yads41@gmail.com</v>
          </cell>
          <cell r="AH452" t="str">
            <v>HDFC Bank</v>
          </cell>
          <cell r="AI452" t="str">
            <v>50100295057601</v>
          </cell>
          <cell r="AJ452" t="str">
            <v>HDFC0004195</v>
          </cell>
          <cell r="AK452" t="str">
            <v>BMZPK6379L</v>
          </cell>
          <cell r="AL452">
            <v>864535341383</v>
          </cell>
          <cell r="AM452" t="str">
            <v>Narayana</v>
          </cell>
          <cell r="AN452">
            <v>44445</v>
          </cell>
          <cell r="AW452">
            <v>31088</v>
          </cell>
          <cell r="AX452" t="str">
            <v>Male</v>
          </cell>
          <cell r="AY452" t="str">
            <v>Full Time</v>
          </cell>
          <cell r="AZ452">
            <v>8</v>
          </cell>
          <cell r="BA452">
            <v>3</v>
          </cell>
        </row>
        <row r="453">
          <cell r="M453" t="str">
            <v>Kokapet - 03</v>
          </cell>
          <cell r="N453" t="str">
            <v>USG, Pregency Scan, X Ray</v>
          </cell>
          <cell r="O453" t="str">
            <v>Radiology</v>
          </cell>
          <cell r="P453" t="str">
            <v>Consultant Radiologist</v>
          </cell>
          <cell r="Q453" t="str">
            <v>Dr L T Kishore</v>
          </cell>
          <cell r="R453">
            <v>44172</v>
          </cell>
          <cell r="S453">
            <v>44172</v>
          </cell>
          <cell r="T453">
            <v>44901</v>
          </cell>
          <cell r="U453">
            <v>44902</v>
          </cell>
          <cell r="V453">
            <v>2012</v>
          </cell>
          <cell r="W453" t="str">
            <v>Govt. Siddhartha Medical College</v>
          </cell>
          <cell r="X453">
            <v>2019</v>
          </cell>
          <cell r="Y453" t="str">
            <v>Kamineni Institute of Medical Science</v>
          </cell>
          <cell r="AA453" t="str">
            <v>MBBS, MD -  Radiodiagnosis</v>
          </cell>
          <cell r="AB453" t="str">
            <v>APMC/FMR/76049</v>
          </cell>
          <cell r="AC453" t="str">
            <v>Andhra Pradesh Medical Council</v>
          </cell>
          <cell r="AD453">
            <v>41079</v>
          </cell>
          <cell r="AE453">
            <v>42904</v>
          </cell>
          <cell r="AF453">
            <v>7893042232</v>
          </cell>
          <cell r="AG453" t="str">
            <v>swa.reddy462@gmail.com</v>
          </cell>
          <cell r="AH453" t="str">
            <v>Indian Bank</v>
          </cell>
          <cell r="AI453" t="str">
            <v>6445543324</v>
          </cell>
          <cell r="AJ453" t="str">
            <v>IDIB000Y006</v>
          </cell>
          <cell r="AK453" t="str">
            <v>GDUPS0526Q</v>
          </cell>
          <cell r="AL453">
            <v>879877607125</v>
          </cell>
          <cell r="AM453" t="str">
            <v>Vidwan Reddy Kisara</v>
          </cell>
          <cell r="AN453">
            <v>44318</v>
          </cell>
          <cell r="AX453" t="str">
            <v>Female</v>
          </cell>
          <cell r="AZ453">
            <v>2</v>
          </cell>
          <cell r="BA453">
            <v>2</v>
          </cell>
        </row>
        <row r="454">
          <cell r="M454" t="str">
            <v>Musheerbad - 36</v>
          </cell>
          <cell r="N454" t="str">
            <v>USG, X-ray</v>
          </cell>
          <cell r="O454" t="str">
            <v>Radiology</v>
          </cell>
          <cell r="P454" t="str">
            <v>Consultant Radiologist</v>
          </cell>
          <cell r="Q454" t="str">
            <v>Dr L T Kishore</v>
          </cell>
          <cell r="R454">
            <v>43678</v>
          </cell>
          <cell r="S454">
            <v>44470</v>
          </cell>
          <cell r="T454">
            <v>45199</v>
          </cell>
          <cell r="U454">
            <v>45200</v>
          </cell>
          <cell r="V454">
            <v>2010</v>
          </cell>
          <cell r="W454" t="str">
            <v>P D V V P F Medical College</v>
          </cell>
          <cell r="X454">
            <v>2016</v>
          </cell>
          <cell r="Y454" t="str">
            <v>Mahadevappa Rampure Medical College</v>
          </cell>
          <cell r="AA454" t="str">
            <v>MBBS, DMRD - Radio Diagnosis</v>
          </cell>
          <cell r="AB454" t="str">
            <v>TSMC/FMR/09017</v>
          </cell>
          <cell r="AC454" t="str">
            <v>Telangana State Medical Council</v>
          </cell>
          <cell r="AD454">
            <v>43685</v>
          </cell>
          <cell r="AE454">
            <v>45511</v>
          </cell>
          <cell r="AF454">
            <v>9740018829</v>
          </cell>
          <cell r="AG454" t="str">
            <v>madhuragavane@gmail.com</v>
          </cell>
          <cell r="AH454" t="str">
            <v>Bank of Baroda</v>
          </cell>
          <cell r="AI454" t="str">
            <v>06440100008122</v>
          </cell>
          <cell r="AJ454" t="str">
            <v>BARB0BARKAT</v>
          </cell>
          <cell r="AK454" t="str">
            <v>AVIPG8280B</v>
          </cell>
          <cell r="AL454">
            <v>207685424629</v>
          </cell>
          <cell r="AM454" t="str">
            <v>Madan Gavane</v>
          </cell>
          <cell r="AO454">
            <v>44613</v>
          </cell>
          <cell r="AW454">
            <v>31888</v>
          </cell>
          <cell r="AX454" t="str">
            <v>Female</v>
          </cell>
          <cell r="AY454" t="str">
            <v>Full Time</v>
          </cell>
          <cell r="AZ454">
            <v>8</v>
          </cell>
          <cell r="BA454">
            <v>8</v>
          </cell>
        </row>
        <row r="455">
          <cell r="M455" t="str">
            <v>Vanasthalipuram - 33</v>
          </cell>
          <cell r="O455" t="str">
            <v>Physician Services</v>
          </cell>
          <cell r="P455" t="str">
            <v>Consultant Physician</v>
          </cell>
          <cell r="R455">
            <v>43693</v>
          </cell>
          <cell r="S455">
            <v>44440</v>
          </cell>
          <cell r="T455">
            <v>45168</v>
          </cell>
          <cell r="U455">
            <v>45169</v>
          </cell>
          <cell r="AA455" t="str">
            <v>MBBS</v>
          </cell>
          <cell r="AB455" t="str">
            <v>TSMC/FMR/04507</v>
          </cell>
          <cell r="AC455" t="str">
            <v>Telangana State Medical Council</v>
          </cell>
          <cell r="AD455">
            <v>43024</v>
          </cell>
          <cell r="AE455">
            <v>44850</v>
          </cell>
          <cell r="AF455">
            <v>9603551462</v>
          </cell>
          <cell r="AG455" t="str">
            <v>gayatri.amgoth91@gmail.com</v>
          </cell>
          <cell r="AH455" t="str">
            <v>SBI Bank</v>
          </cell>
          <cell r="AI455" t="str">
            <v>35548272473</v>
          </cell>
          <cell r="AJ455" t="str">
            <v>SBIN0002705</v>
          </cell>
          <cell r="AK455" t="str">
            <v>DVBPK7724Q</v>
          </cell>
          <cell r="AL455">
            <v>964619992481</v>
          </cell>
          <cell r="AM455" t="str">
            <v>K Nanu Naik</v>
          </cell>
          <cell r="AN455">
            <v>44791</v>
          </cell>
          <cell r="AO455">
            <v>44791</v>
          </cell>
          <cell r="AW455">
            <v>30076</v>
          </cell>
          <cell r="AX455" t="str">
            <v>Male</v>
          </cell>
          <cell r="AY455" t="str">
            <v>Part Time</v>
          </cell>
          <cell r="AZ455">
            <v>1</v>
          </cell>
          <cell r="BA455">
            <v>8</v>
          </cell>
        </row>
        <row r="456">
          <cell r="M456" t="str">
            <v>Nizampet - 46</v>
          </cell>
          <cell r="N456" t="str">
            <v>USG, X-RAY</v>
          </cell>
          <cell r="O456" t="str">
            <v>Radiology</v>
          </cell>
          <cell r="P456" t="str">
            <v>Consultant Radiologist</v>
          </cell>
          <cell r="Q456" t="str">
            <v>Dr. Krishna Mohan Pottala</v>
          </cell>
          <cell r="R456">
            <v>43717</v>
          </cell>
          <cell r="S456">
            <v>44470</v>
          </cell>
          <cell r="T456">
            <v>45199</v>
          </cell>
          <cell r="U456">
            <v>45200</v>
          </cell>
          <cell r="V456">
            <v>2012</v>
          </cell>
          <cell r="W456" t="str">
            <v>JJM Medical College</v>
          </cell>
          <cell r="X456">
            <v>2018</v>
          </cell>
          <cell r="Y456" t="str">
            <v>Mamata Medical College</v>
          </cell>
          <cell r="Z456" t="str">
            <v>NA</v>
          </cell>
          <cell r="AA456" t="str">
            <v>MBBS, DMRD - Radio Diagnosis</v>
          </cell>
          <cell r="AB456" t="str">
            <v>TSMC/FMR/00508</v>
          </cell>
          <cell r="AC456" t="str">
            <v>Telangana State Medical Council</v>
          </cell>
          <cell r="AD456">
            <v>43370</v>
          </cell>
          <cell r="AE456">
            <v>45195</v>
          </cell>
          <cell r="AF456">
            <v>9121546107</v>
          </cell>
          <cell r="AG456" t="str">
            <v>sindhu.3788@gmail.com</v>
          </cell>
          <cell r="AH456" t="str">
            <v>ICICI Bank</v>
          </cell>
          <cell r="AI456" t="str">
            <v>180501503202</v>
          </cell>
          <cell r="AJ456" t="str">
            <v>ICIC0001805</v>
          </cell>
          <cell r="AK456" t="str">
            <v>BUVPB9869E</v>
          </cell>
          <cell r="AL456">
            <v>519238027993</v>
          </cell>
          <cell r="AM456" t="str">
            <v>Srinivasa Reddy</v>
          </cell>
          <cell r="AN456">
            <v>45206</v>
          </cell>
          <cell r="AO456">
            <v>45206</v>
          </cell>
          <cell r="AP456" t="str">
            <v>Instant Resignation</v>
          </cell>
          <cell r="AW456">
            <v>32266</v>
          </cell>
          <cell r="AX456" t="str">
            <v>Female</v>
          </cell>
          <cell r="AY456" t="str">
            <v>Part Time</v>
          </cell>
          <cell r="AZ456">
            <v>8</v>
          </cell>
          <cell r="BA456">
            <v>8</v>
          </cell>
        </row>
        <row r="457">
          <cell r="M457" t="str">
            <v>NR Pet 1-Krnl - 80</v>
          </cell>
          <cell r="N457" t="str">
            <v>Gamma Camera</v>
          </cell>
          <cell r="O457" t="str">
            <v>Nuclear Medicine</v>
          </cell>
          <cell r="P457" t="str">
            <v>Consultant Nuclear Medicine</v>
          </cell>
          <cell r="Q457" t="str">
            <v>Dr. Krishna Mohan Pottala</v>
          </cell>
          <cell r="R457">
            <v>43731</v>
          </cell>
          <cell r="S457">
            <v>44462</v>
          </cell>
          <cell r="T457">
            <v>45191</v>
          </cell>
          <cell r="U457">
            <v>45192</v>
          </cell>
          <cell r="V457">
            <v>2012</v>
          </cell>
          <cell r="W457" t="str">
            <v>Siddartha Medical College</v>
          </cell>
          <cell r="X457">
            <v>2018</v>
          </cell>
          <cell r="Y457" t="str">
            <v>SVIMS</v>
          </cell>
          <cell r="Z457" t="str">
            <v>NA</v>
          </cell>
          <cell r="AA457" t="str">
            <v>MBBS, MD - Nuclear Medicine</v>
          </cell>
          <cell r="AB457" t="str">
            <v>APMC/FMR/75519</v>
          </cell>
          <cell r="AC457" t="str">
            <v>Andhra Pradesh Medical Council</v>
          </cell>
          <cell r="AD457">
            <v>43668</v>
          </cell>
          <cell r="AE457">
            <v>45494</v>
          </cell>
          <cell r="AF457">
            <v>9493114313</v>
          </cell>
          <cell r="AG457" t="str">
            <v>rayuduammuleni@gmail.com</v>
          </cell>
          <cell r="AH457" t="str">
            <v>SBI Bank</v>
          </cell>
          <cell r="AI457" t="str">
            <v>62419460859</v>
          </cell>
          <cell r="AJ457" t="str">
            <v>SBIN0020926</v>
          </cell>
          <cell r="AK457" t="str">
            <v>BCIPR5774B</v>
          </cell>
          <cell r="AL457">
            <v>468030429273</v>
          </cell>
          <cell r="AM457" t="str">
            <v>R Surya Chandra Sekhar</v>
          </cell>
          <cell r="AN457">
            <v>45107</v>
          </cell>
          <cell r="AW457">
            <v>32318</v>
          </cell>
          <cell r="AX457" t="str">
            <v>Female</v>
          </cell>
          <cell r="AY457" t="str">
            <v>Full Time</v>
          </cell>
          <cell r="AZ457">
            <v>5</v>
          </cell>
          <cell r="BA457">
            <v>3</v>
          </cell>
        </row>
        <row r="458">
          <cell r="M458" t="str">
            <v>Kompally - 65</v>
          </cell>
          <cell r="N458" t="str">
            <v>CT &amp; MRI &amp; X - Ray, USG</v>
          </cell>
          <cell r="O458" t="str">
            <v>Radiology</v>
          </cell>
          <cell r="P458" t="str">
            <v>Consultant Radiologist</v>
          </cell>
          <cell r="Q458" t="str">
            <v>Dr L T Kishore</v>
          </cell>
          <cell r="R458">
            <v>43745</v>
          </cell>
          <cell r="S458">
            <v>43745</v>
          </cell>
          <cell r="T458">
            <v>44475</v>
          </cell>
          <cell r="U458">
            <v>44476</v>
          </cell>
          <cell r="V458">
            <v>2014</v>
          </cell>
          <cell r="W458" t="str">
            <v>Kurnool Medical College</v>
          </cell>
          <cell r="X458">
            <v>2018</v>
          </cell>
          <cell r="Y458" t="str">
            <v>Gujarat MRI Centre P Ltd</v>
          </cell>
          <cell r="AA458" t="str">
            <v>MBBS, DNB - Radiodiagnosis</v>
          </cell>
          <cell r="AB458" t="str">
            <v>APMC/FMR/88367</v>
          </cell>
          <cell r="AC458" t="str">
            <v>Andhra Pradesh Medical Council</v>
          </cell>
          <cell r="AD458">
            <v>41873</v>
          </cell>
          <cell r="AE458">
            <v>43698</v>
          </cell>
          <cell r="AF458">
            <v>9177880430</v>
          </cell>
          <cell r="AG458" t="str">
            <v>karthuviking@gmail.com</v>
          </cell>
          <cell r="AH458" t="str">
            <v>HDFC Bank</v>
          </cell>
          <cell r="AI458" t="str">
            <v>50100073289500</v>
          </cell>
          <cell r="AJ458" t="str">
            <v>HDFC0000214</v>
          </cell>
          <cell r="AK458" t="str">
            <v>DRRPK7330A</v>
          </cell>
          <cell r="AL458">
            <v>859782197136</v>
          </cell>
          <cell r="AM458" t="str">
            <v>Rajendra Prasad Kuntumalla</v>
          </cell>
          <cell r="AN458">
            <v>44674</v>
          </cell>
          <cell r="AW458">
            <v>32774</v>
          </cell>
          <cell r="AX458" t="str">
            <v>Male</v>
          </cell>
          <cell r="AY458" t="str">
            <v>Full Time</v>
          </cell>
          <cell r="AZ458">
            <v>8</v>
          </cell>
          <cell r="BA458">
            <v>8</v>
          </cell>
        </row>
        <row r="459">
          <cell r="M459" t="str">
            <v>Puppalguda</v>
          </cell>
          <cell r="N459" t="str">
            <v>USG, XRAY</v>
          </cell>
          <cell r="O459" t="str">
            <v>Radiology</v>
          </cell>
          <cell r="P459" t="str">
            <v>Consultant Radiologist</v>
          </cell>
          <cell r="Q459" t="str">
            <v>Dr L T Kishore</v>
          </cell>
          <cell r="R459">
            <v>43747</v>
          </cell>
          <cell r="S459">
            <v>43747</v>
          </cell>
          <cell r="T459">
            <v>44477</v>
          </cell>
          <cell r="U459">
            <v>44478</v>
          </cell>
          <cell r="V459">
            <v>2011</v>
          </cell>
          <cell r="W459" t="str">
            <v>Jawaharlal Nehru Medical College</v>
          </cell>
          <cell r="X459">
            <v>2016</v>
          </cell>
          <cell r="Y459" t="str">
            <v>GSL Medical College</v>
          </cell>
          <cell r="AA459" t="str">
            <v>MBBS, DMRD - Radio Diagnosis</v>
          </cell>
          <cell r="AB459" t="str">
            <v>APMC/FMR/81914</v>
          </cell>
          <cell r="AC459" t="str">
            <v>Telangana State Medical Council</v>
          </cell>
          <cell r="AD459">
            <v>43349</v>
          </cell>
          <cell r="AE459">
            <v>45174</v>
          </cell>
          <cell r="AF459">
            <v>9701183585</v>
          </cell>
          <cell r="AG459" t="str">
            <v>sandeep.surisetty@gmail.com</v>
          </cell>
          <cell r="AH459" t="str">
            <v>ICICI Bank</v>
          </cell>
          <cell r="AI459" t="str">
            <v>059601511559</v>
          </cell>
          <cell r="AJ459" t="str">
            <v>ICIC0000596</v>
          </cell>
          <cell r="AK459" t="str">
            <v>EAEPS4825R</v>
          </cell>
          <cell r="AL459">
            <v>841010568802</v>
          </cell>
          <cell r="AM459" t="str">
            <v>Siva Shankar Surisetty</v>
          </cell>
          <cell r="AW459">
            <v>32009</v>
          </cell>
          <cell r="AX459" t="str">
            <v>Male</v>
          </cell>
          <cell r="AY459" t="str">
            <v>Full Time</v>
          </cell>
          <cell r="AZ459">
            <v>1</v>
          </cell>
          <cell r="BA459" t="str">
            <v>Tolichowki Cluster</v>
          </cell>
        </row>
        <row r="460">
          <cell r="M460" t="str">
            <v>Gurgaon - 54</v>
          </cell>
          <cell r="O460" t="str">
            <v>Pathology</v>
          </cell>
          <cell r="P460" t="str">
            <v>Consultant Pathologist</v>
          </cell>
          <cell r="Q460" t="str">
            <v>Dr Shashikanth</v>
          </cell>
          <cell r="R460">
            <v>43752</v>
          </cell>
          <cell r="S460">
            <v>44501</v>
          </cell>
          <cell r="T460">
            <v>45230</v>
          </cell>
          <cell r="U460">
            <v>45231</v>
          </cell>
          <cell r="V460">
            <v>2010</v>
          </cell>
          <cell r="W460" t="str">
            <v>Universal College of Medical Sciences</v>
          </cell>
          <cell r="X460">
            <v>2017</v>
          </cell>
          <cell r="Y460" t="str">
            <v>SGT Medical College</v>
          </cell>
          <cell r="AA460" t="str">
            <v>MBBS, MD - Pathology</v>
          </cell>
          <cell r="AB460" t="str">
            <v>13-51798</v>
          </cell>
          <cell r="AC460" t="str">
            <v>Medical council Of India</v>
          </cell>
          <cell r="AD460">
            <v>41589</v>
          </cell>
          <cell r="AE460">
            <v>43414</v>
          </cell>
          <cell r="AF460">
            <v>9671588786</v>
          </cell>
          <cell r="AG460" t="str">
            <v>vipinkathuria2012@yahoo.com</v>
          </cell>
          <cell r="AH460" t="str">
            <v>Axis Bank</v>
          </cell>
          <cell r="AI460" t="str">
            <v>913010029876062</v>
          </cell>
          <cell r="AJ460" t="str">
            <v>UTIB0000723</v>
          </cell>
          <cell r="AK460" t="str">
            <v>AXXPK8791N</v>
          </cell>
          <cell r="AL460">
            <v>676054760080</v>
          </cell>
          <cell r="AM460" t="str">
            <v>Ram Dhan Kathuria</v>
          </cell>
          <cell r="AW460">
            <v>31526</v>
          </cell>
          <cell r="AX460" t="str">
            <v>Male</v>
          </cell>
          <cell r="AY460" t="str">
            <v>Full Time</v>
          </cell>
          <cell r="AZ460">
            <v>8</v>
          </cell>
          <cell r="BA460">
            <v>8</v>
          </cell>
        </row>
        <row r="461">
          <cell r="M461" t="str">
            <v>Habsiguda - 17</v>
          </cell>
          <cell r="O461" t="str">
            <v>Biochemistry</v>
          </cell>
          <cell r="P461" t="str">
            <v>Consultant Biochemist</v>
          </cell>
          <cell r="Q461" t="str">
            <v>Dr Bikash</v>
          </cell>
          <cell r="R461">
            <v>43787</v>
          </cell>
          <cell r="S461">
            <v>43787</v>
          </cell>
          <cell r="T461">
            <v>44517</v>
          </cell>
          <cell r="U461">
            <v>44518</v>
          </cell>
          <cell r="V461">
            <v>2012</v>
          </cell>
          <cell r="W461" t="str">
            <v>Deccam College of Medical Science</v>
          </cell>
          <cell r="X461">
            <v>2017</v>
          </cell>
          <cell r="Y461" t="str">
            <v>Osmania Medical College</v>
          </cell>
          <cell r="AA461" t="str">
            <v>MBBS, MD - Biochemistry</v>
          </cell>
          <cell r="AB461">
            <v>78102</v>
          </cell>
          <cell r="AC461" t="str">
            <v>Telangana State Medical Council</v>
          </cell>
          <cell r="AD461">
            <v>43221</v>
          </cell>
          <cell r="AE461">
            <v>45046</v>
          </cell>
          <cell r="AF461">
            <v>9849182692</v>
          </cell>
          <cell r="AG461" t="str">
            <v>arahbk@gmail.com</v>
          </cell>
          <cell r="AH461" t="str">
            <v>SBI Bank</v>
          </cell>
          <cell r="AI461" t="str">
            <v>52209063220</v>
          </cell>
          <cell r="AJ461" t="str">
            <v>SBIN0021110</v>
          </cell>
          <cell r="AK461" t="str">
            <v>BBWPA1363C</v>
          </cell>
          <cell r="AL461">
            <v>540778924382</v>
          </cell>
          <cell r="AM461" t="str">
            <v>Mohd Asif Ali</v>
          </cell>
          <cell r="AN461">
            <v>44517</v>
          </cell>
          <cell r="AW461">
            <v>31929</v>
          </cell>
          <cell r="AX461" t="str">
            <v>Male</v>
          </cell>
          <cell r="AY461" t="str">
            <v>Part Time</v>
          </cell>
          <cell r="AZ461">
            <v>3</v>
          </cell>
          <cell r="BA461">
            <v>4</v>
          </cell>
        </row>
        <row r="462">
          <cell r="M462" t="str">
            <v>Kurnool - 43</v>
          </cell>
          <cell r="O462" t="str">
            <v>Pathology</v>
          </cell>
          <cell r="P462" t="str">
            <v>Consultant Pathologist</v>
          </cell>
          <cell r="Q462" t="str">
            <v>Dr Shashikanth</v>
          </cell>
          <cell r="R462">
            <v>43806</v>
          </cell>
          <cell r="S462">
            <v>44537</v>
          </cell>
          <cell r="T462">
            <v>45266</v>
          </cell>
          <cell r="U462">
            <v>45267</v>
          </cell>
          <cell r="V462">
            <v>2006</v>
          </cell>
          <cell r="W462" t="str">
            <v>Kurnool Medical College</v>
          </cell>
          <cell r="X462">
            <v>2018</v>
          </cell>
          <cell r="Y462" t="str">
            <v>Command Hospital Air Force</v>
          </cell>
          <cell r="AA462" t="str">
            <v>MBBS, MD - Pathology</v>
          </cell>
          <cell r="AB462">
            <v>57928</v>
          </cell>
          <cell r="AC462" t="str">
            <v>Andhra Pradesh Medical Council</v>
          </cell>
          <cell r="AD462">
            <v>43312</v>
          </cell>
          <cell r="AE462">
            <v>45137</v>
          </cell>
          <cell r="AF462">
            <v>9902298663</v>
          </cell>
          <cell r="AG462" t="str">
            <v>ravindranath.kmc@gmail.com</v>
          </cell>
          <cell r="AH462" t="str">
            <v>HDFC Bank</v>
          </cell>
          <cell r="AI462" t="str">
            <v>50100245631364</v>
          </cell>
          <cell r="AJ462" t="str">
            <v>HDFC0004159</v>
          </cell>
          <cell r="AK462" t="str">
            <v>CNIPS9122C</v>
          </cell>
          <cell r="AL462">
            <v>965067603875</v>
          </cell>
          <cell r="AM462" t="str">
            <v>S Venkateswarlu Reddy</v>
          </cell>
          <cell r="AW462">
            <v>30429</v>
          </cell>
          <cell r="AX462" t="str">
            <v>Male</v>
          </cell>
          <cell r="AY462" t="str">
            <v>Full Time</v>
          </cell>
          <cell r="AZ462">
            <v>8</v>
          </cell>
          <cell r="BA462">
            <v>4</v>
          </cell>
        </row>
        <row r="463">
          <cell r="M463" t="str">
            <v>Gurgaon - 54</v>
          </cell>
          <cell r="O463" t="str">
            <v>Microbiology</v>
          </cell>
          <cell r="P463" t="str">
            <v>Consultant Microbiologist</v>
          </cell>
          <cell r="Q463" t="str">
            <v>Dr Manisha</v>
          </cell>
          <cell r="R463">
            <v>43812</v>
          </cell>
          <cell r="S463">
            <v>43812</v>
          </cell>
          <cell r="T463">
            <v>44542</v>
          </cell>
          <cell r="U463">
            <v>44543</v>
          </cell>
          <cell r="AA463" t="str">
            <v>MBBS, MD - Microbiology</v>
          </cell>
          <cell r="AB463">
            <v>12968</v>
          </cell>
          <cell r="AC463" t="str">
            <v>Medical Council Of India</v>
          </cell>
          <cell r="AF463">
            <v>9818145223</v>
          </cell>
          <cell r="AG463" t="str">
            <v>jyotired03@gmail.com</v>
          </cell>
          <cell r="AH463" t="str">
            <v>SBI Bank</v>
          </cell>
          <cell r="AI463" t="str">
            <v>10572655622</v>
          </cell>
          <cell r="AJ463" t="str">
            <v>SBIN0001565</v>
          </cell>
          <cell r="AK463" t="str">
            <v>ACBPJ7098L</v>
          </cell>
          <cell r="AL463">
            <v>768580246218</v>
          </cell>
          <cell r="AM463" t="str">
            <v>Kishan Chand Manchana</v>
          </cell>
          <cell r="AN463">
            <v>44294</v>
          </cell>
          <cell r="AW463">
            <v>25821</v>
          </cell>
          <cell r="AX463" t="str">
            <v>Female</v>
          </cell>
          <cell r="AY463" t="str">
            <v>Part Time</v>
          </cell>
          <cell r="AZ463">
            <v>3</v>
          </cell>
          <cell r="BA463">
            <v>8</v>
          </cell>
        </row>
        <row r="464">
          <cell r="M464" t="str">
            <v>Himayatnagar</v>
          </cell>
          <cell r="O464" t="str">
            <v>Pathology</v>
          </cell>
          <cell r="P464" t="str">
            <v>Consultant Pathologist</v>
          </cell>
          <cell r="Q464" t="str">
            <v>Dr Shashikanth</v>
          </cell>
          <cell r="R464">
            <v>43832</v>
          </cell>
          <cell r="S464">
            <v>43832</v>
          </cell>
          <cell r="T464">
            <v>44562</v>
          </cell>
          <cell r="U464">
            <v>44563</v>
          </cell>
          <cell r="V464">
            <v>2012</v>
          </cell>
          <cell r="W464" t="str">
            <v>Govt Kakatiya Medical College</v>
          </cell>
          <cell r="X464">
            <v>2018</v>
          </cell>
          <cell r="Y464" t="str">
            <v>Krishna Institute of Medical Sciences</v>
          </cell>
          <cell r="AA464" t="str">
            <v>MBBS, DNB - Pathology</v>
          </cell>
          <cell r="AB464" t="str">
            <v>APMC/FMR/82282</v>
          </cell>
          <cell r="AC464" t="str">
            <v>Telangana State Medical Council</v>
          </cell>
          <cell r="AD464">
            <v>43494</v>
          </cell>
          <cell r="AE464">
            <v>45319</v>
          </cell>
          <cell r="AF464">
            <v>7032027304</v>
          </cell>
          <cell r="AG464" t="str">
            <v>rashmikondapalli@gmail.com</v>
          </cell>
          <cell r="AH464" t="str">
            <v>Union Bank of India</v>
          </cell>
          <cell r="AI464" t="str">
            <v>030210100053425</v>
          </cell>
          <cell r="AJ464" t="str">
            <v>UBIN0802085</v>
          </cell>
          <cell r="AK464" t="str">
            <v>BAPPR4009E</v>
          </cell>
          <cell r="AL464">
            <v>716139244209</v>
          </cell>
          <cell r="AM464" t="str">
            <v>K Chandramohan</v>
          </cell>
          <cell r="AN464">
            <v>44553</v>
          </cell>
          <cell r="AW464">
            <v>32941</v>
          </cell>
          <cell r="AX464" t="str">
            <v>Female</v>
          </cell>
          <cell r="AY464" t="str">
            <v>Full Time</v>
          </cell>
          <cell r="AZ464">
            <v>8</v>
          </cell>
          <cell r="BA464">
            <v>8</v>
          </cell>
        </row>
        <row r="465">
          <cell r="M465" t="str">
            <v>Suncity - 83</v>
          </cell>
          <cell r="N465" t="str">
            <v>USG, X Ray, CT</v>
          </cell>
          <cell r="O465" t="str">
            <v>Radiology</v>
          </cell>
          <cell r="P465" t="str">
            <v>Consultant Radiologist</v>
          </cell>
          <cell r="Q465" t="str">
            <v>Dr L T Kishore</v>
          </cell>
          <cell r="R465">
            <v>43857</v>
          </cell>
          <cell r="S465">
            <v>43857</v>
          </cell>
          <cell r="T465">
            <v>44587</v>
          </cell>
          <cell r="U465">
            <v>44588</v>
          </cell>
          <cell r="V465">
            <v>2010</v>
          </cell>
          <cell r="W465" t="str">
            <v>Bidar Institute of Medical Sciences</v>
          </cell>
          <cell r="X465">
            <v>2019</v>
          </cell>
          <cell r="Y465" t="str">
            <v xml:space="preserve">AL- Ameen Medical College </v>
          </cell>
          <cell r="AA465" t="str">
            <v>MBBS, DMRD - Radio Diagnosis</v>
          </cell>
          <cell r="AB465" t="str">
            <v>TSMC/FMR/11769</v>
          </cell>
          <cell r="AC465" t="str">
            <v>Telangana State Medical Council</v>
          </cell>
          <cell r="AD465">
            <v>43886</v>
          </cell>
          <cell r="AE465">
            <v>45713</v>
          </cell>
          <cell r="AF465">
            <v>8904819037</v>
          </cell>
          <cell r="AG465" t="str">
            <v>salmanwajahat007@gmail.com</v>
          </cell>
          <cell r="AH465" t="str">
            <v>FEDERAL BANK</v>
          </cell>
          <cell r="AI465" t="str">
            <v>16040100076445</v>
          </cell>
          <cell r="AJ465" t="str">
            <v>FDRL0001604</v>
          </cell>
          <cell r="AK465" t="str">
            <v>CAHPA3028F</v>
          </cell>
          <cell r="AL465">
            <v>890977440732</v>
          </cell>
          <cell r="AM465" t="str">
            <v>Rasheeduddin Ansari</v>
          </cell>
          <cell r="AN465">
            <v>44619</v>
          </cell>
          <cell r="AW465">
            <v>33844</v>
          </cell>
          <cell r="AX465" t="str">
            <v>Male</v>
          </cell>
          <cell r="AY465" t="str">
            <v>Part Time</v>
          </cell>
          <cell r="AZ465">
            <v>6</v>
          </cell>
          <cell r="BA465">
            <v>6</v>
          </cell>
        </row>
        <row r="466">
          <cell r="M466" t="str">
            <v>Kukatpally - 20</v>
          </cell>
          <cell r="N466" t="str">
            <v>USG, X-RAY, MAMMOGRAPHY</v>
          </cell>
          <cell r="O466" t="str">
            <v>Radiology</v>
          </cell>
          <cell r="P466" t="str">
            <v>Consultant Radiologist</v>
          </cell>
          <cell r="Q466" t="str">
            <v>Dr L T Kishore</v>
          </cell>
          <cell r="R466">
            <v>43861</v>
          </cell>
          <cell r="S466">
            <v>44592</v>
          </cell>
          <cell r="T466">
            <v>45321</v>
          </cell>
          <cell r="U466">
            <v>45322</v>
          </cell>
          <cell r="V466">
            <v>2012</v>
          </cell>
          <cell r="W466" t="str">
            <v>Gandhi Medical College</v>
          </cell>
          <cell r="X466">
            <v>2017</v>
          </cell>
          <cell r="Y466" t="str">
            <v>Meenakshi Mission Hospital and Research Center</v>
          </cell>
          <cell r="AA466" t="str">
            <v>MBBS, DNB - Radiodiagnosis</v>
          </cell>
          <cell r="AB466" t="str">
            <v>APMC/FMR/80875</v>
          </cell>
          <cell r="AC466" t="str">
            <v>Telangana State Medical Council</v>
          </cell>
          <cell r="AD466">
            <v>43558</v>
          </cell>
          <cell r="AE466">
            <v>45384</v>
          </cell>
          <cell r="AF466">
            <v>8675186104</v>
          </cell>
          <cell r="AG466" t="str">
            <v>vanirupainspire@gmail.com</v>
          </cell>
          <cell r="AH466" t="str">
            <v>HDFC Bank</v>
          </cell>
          <cell r="AI466" t="str">
            <v>50100059322975</v>
          </cell>
          <cell r="AJ466" t="str">
            <v>HDFC0002703</v>
          </cell>
          <cell r="AK466" t="str">
            <v>AHGPT7612J</v>
          </cell>
          <cell r="AL466">
            <v>766809711471</v>
          </cell>
          <cell r="AM466" t="str">
            <v>Venkateswara Rao T</v>
          </cell>
          <cell r="AN466">
            <v>44712</v>
          </cell>
          <cell r="AO466">
            <v>44652</v>
          </cell>
          <cell r="AW466">
            <v>32703</v>
          </cell>
          <cell r="AX466" t="str">
            <v>Female</v>
          </cell>
          <cell r="AY466" t="str">
            <v>Part Time</v>
          </cell>
          <cell r="AZ466">
            <v>7</v>
          </cell>
          <cell r="BA466">
            <v>7</v>
          </cell>
        </row>
        <row r="467">
          <cell r="M467" t="str">
            <v>Hanamkonda - 40</v>
          </cell>
          <cell r="O467" t="str">
            <v>Microbiology</v>
          </cell>
          <cell r="P467" t="str">
            <v>Consultant Microbiologist</v>
          </cell>
          <cell r="Q467" t="str">
            <v>Dr Manisha</v>
          </cell>
          <cell r="R467">
            <v>43871</v>
          </cell>
          <cell r="S467">
            <v>43871</v>
          </cell>
          <cell r="T467">
            <v>44601</v>
          </cell>
          <cell r="U467">
            <v>44602</v>
          </cell>
          <cell r="V467">
            <v>2010</v>
          </cell>
          <cell r="X467">
            <v>2015</v>
          </cell>
          <cell r="Y467" t="str">
            <v>Osmania Medical College</v>
          </cell>
          <cell r="AA467" t="str">
            <v>MBBS, MD - Microbiology</v>
          </cell>
          <cell r="AB467">
            <v>72390</v>
          </cell>
          <cell r="AC467" t="str">
            <v>Telangana State Medical Council</v>
          </cell>
          <cell r="AD467">
            <v>42605</v>
          </cell>
          <cell r="AE467">
            <v>44430</v>
          </cell>
          <cell r="AF467">
            <v>9966217809</v>
          </cell>
          <cell r="AG467" t="str">
            <v>swethakamble@gmail.com</v>
          </cell>
          <cell r="AH467" t="str">
            <v>HDFC Bank</v>
          </cell>
          <cell r="AI467" t="str">
            <v>50100204873972</v>
          </cell>
          <cell r="AJ467" t="str">
            <v>HDFC0001022</v>
          </cell>
          <cell r="AK467" t="str">
            <v>CPYPK9741K</v>
          </cell>
          <cell r="AL467">
            <v>917961833587</v>
          </cell>
          <cell r="AM467" t="str">
            <v>Kamble Subhash Chandra</v>
          </cell>
          <cell r="AN467">
            <v>44610</v>
          </cell>
          <cell r="AW467">
            <v>31868</v>
          </cell>
          <cell r="AX467" t="str">
            <v>Female</v>
          </cell>
          <cell r="AY467" t="str">
            <v>Part Time</v>
          </cell>
          <cell r="AZ467">
            <v>4</v>
          </cell>
          <cell r="BA467">
            <v>8</v>
          </cell>
        </row>
        <row r="468">
          <cell r="M468" t="str">
            <v>Himayatnagar</v>
          </cell>
          <cell r="N468" t="str">
            <v>USG, X Ray</v>
          </cell>
          <cell r="O468" t="str">
            <v>Radiology</v>
          </cell>
          <cell r="P468" t="str">
            <v>Consultant Radiologist</v>
          </cell>
          <cell r="Q468" t="str">
            <v>Dr L T Kishore</v>
          </cell>
          <cell r="R468">
            <v>43885</v>
          </cell>
          <cell r="S468">
            <v>43885</v>
          </cell>
          <cell r="T468">
            <v>44615</v>
          </cell>
          <cell r="U468">
            <v>44616</v>
          </cell>
          <cell r="W468" t="str">
            <v>Santiram Medical College</v>
          </cell>
          <cell r="X468">
            <v>2019</v>
          </cell>
          <cell r="Y468" t="str">
            <v>Deccan Medical College</v>
          </cell>
          <cell r="AA468" t="str">
            <v>MBBS, MD - Radiodiagnosis</v>
          </cell>
          <cell r="AB468" t="str">
            <v>APMC/fmr/81956</v>
          </cell>
          <cell r="AC468" t="str">
            <v>Telangana State Medical Council</v>
          </cell>
          <cell r="AD468">
            <v>43881</v>
          </cell>
          <cell r="AE468">
            <v>45707</v>
          </cell>
          <cell r="AF468">
            <v>9000678191</v>
          </cell>
          <cell r="AG468" t="str">
            <v>munugala.akhilreddy@gmail.com</v>
          </cell>
          <cell r="AH468" t="str">
            <v>SBI Bank</v>
          </cell>
          <cell r="AI468" t="str">
            <v>62052097023</v>
          </cell>
          <cell r="AJ468" t="str">
            <v>SBIN0011667</v>
          </cell>
          <cell r="AK468" t="str">
            <v>CNRPM1566R</v>
          </cell>
          <cell r="AL468">
            <v>532426693384</v>
          </cell>
          <cell r="AM468" t="str">
            <v>M Nageswar Reddy</v>
          </cell>
          <cell r="AN468">
            <v>44593</v>
          </cell>
          <cell r="AW468">
            <v>32735</v>
          </cell>
          <cell r="AX468" t="str">
            <v>Male</v>
          </cell>
          <cell r="AY468" t="str">
            <v>Full Time</v>
          </cell>
          <cell r="AZ468">
            <v>8</v>
          </cell>
          <cell r="BA468">
            <v>0</v>
          </cell>
        </row>
        <row r="469">
          <cell r="M469" t="str">
            <v>Kompally - 65</v>
          </cell>
          <cell r="N469" t="str">
            <v>Doppler, USG - Routines, X Ray</v>
          </cell>
          <cell r="O469" t="str">
            <v>Radiology</v>
          </cell>
          <cell r="P469" t="str">
            <v>Consultant Radiologist</v>
          </cell>
          <cell r="Q469" t="str">
            <v>Dr. Krishna Mohan Pottala</v>
          </cell>
          <cell r="R469">
            <v>43885</v>
          </cell>
          <cell r="S469">
            <v>44652</v>
          </cell>
          <cell r="T469">
            <v>45382</v>
          </cell>
          <cell r="U469">
            <v>45383</v>
          </cell>
          <cell r="V469">
            <v>2014</v>
          </cell>
          <cell r="W469" t="str">
            <v>Gandhi Medical College</v>
          </cell>
          <cell r="X469">
            <v>2018</v>
          </cell>
          <cell r="Y469" t="str">
            <v>KIMS</v>
          </cell>
          <cell r="Z469" t="str">
            <v>NA</v>
          </cell>
          <cell r="AA469" t="str">
            <v>MBBS, DNB - Radiodiagnosis</v>
          </cell>
          <cell r="AB469" t="str">
            <v>APMC/FMR/86907</v>
          </cell>
          <cell r="AC469" t="str">
            <v>Telangana State Medical Council</v>
          </cell>
          <cell r="AD469">
            <v>43438</v>
          </cell>
          <cell r="AE469">
            <v>45263</v>
          </cell>
          <cell r="AF469">
            <v>9700229600</v>
          </cell>
          <cell r="AG469" t="str">
            <v>sanambbs888@gmail.com</v>
          </cell>
          <cell r="AH469" t="str">
            <v>HDFC Bank</v>
          </cell>
          <cell r="AI469" t="str">
            <v>50100269282965</v>
          </cell>
          <cell r="AJ469" t="str">
            <v>HDFC0001293</v>
          </cell>
          <cell r="AK469" t="str">
            <v>DRAPK6299H</v>
          </cell>
          <cell r="AL469">
            <v>362882478788</v>
          </cell>
          <cell r="AM469" t="str">
            <v>Balaiyah</v>
          </cell>
          <cell r="AQ469">
            <v>0</v>
          </cell>
          <cell r="AW469">
            <v>32422</v>
          </cell>
          <cell r="AX469" t="str">
            <v>Male</v>
          </cell>
          <cell r="AY469" t="str">
            <v>Part Time</v>
          </cell>
          <cell r="AZ469">
            <v>4</v>
          </cell>
          <cell r="BA469">
            <v>8</v>
          </cell>
        </row>
        <row r="470">
          <cell r="M470" t="str">
            <v>Gopalapatnam - 49</v>
          </cell>
          <cell r="N470" t="str">
            <v>USG,CT, X-RAY</v>
          </cell>
          <cell r="O470" t="str">
            <v>Radiology</v>
          </cell>
          <cell r="P470" t="str">
            <v>Consultant Radiologist</v>
          </cell>
          <cell r="Q470" t="str">
            <v>Dr L T Kishore</v>
          </cell>
          <cell r="R470">
            <v>43992</v>
          </cell>
          <cell r="S470">
            <v>43992</v>
          </cell>
          <cell r="T470">
            <v>44721</v>
          </cell>
          <cell r="U470">
            <v>44722</v>
          </cell>
          <cell r="V470">
            <v>2013</v>
          </cell>
          <cell r="W470" t="str">
            <v>Maharajahs Institute of Medical Sciences</v>
          </cell>
          <cell r="X470">
            <v>2019</v>
          </cell>
          <cell r="Y470" t="str">
            <v>Maharajahs Institute of Medical Sciences</v>
          </cell>
          <cell r="AA470" t="str">
            <v>MBBS, MIMS</v>
          </cell>
          <cell r="AB470" t="str">
            <v>APMC/FMR/86206</v>
          </cell>
          <cell r="AC470" t="str">
            <v>Andhra Pradesh Medical Council</v>
          </cell>
          <cell r="AD470">
            <v>43658</v>
          </cell>
          <cell r="AE470">
            <v>45484</v>
          </cell>
          <cell r="AF470">
            <v>9703744624</v>
          </cell>
          <cell r="AG470" t="str">
            <v>njyoti71@gmail.com</v>
          </cell>
          <cell r="AH470" t="str">
            <v>Punjab National Bank</v>
          </cell>
          <cell r="AI470" t="str">
            <v>4481000100019592</v>
          </cell>
          <cell r="AJ470" t="str">
            <v>PUNB0448100</v>
          </cell>
          <cell r="AK470" t="str">
            <v>DPEPM8601B</v>
          </cell>
          <cell r="AL470">
            <v>804926112528</v>
          </cell>
          <cell r="AM470" t="str">
            <v>Monukun Chandra Sekhar Rao</v>
          </cell>
          <cell r="AW470">
            <v>32904</v>
          </cell>
          <cell r="AX470" t="str">
            <v>Female</v>
          </cell>
          <cell r="AY470" t="str">
            <v>Full Time</v>
          </cell>
          <cell r="AZ470">
            <v>8</v>
          </cell>
          <cell r="BA470">
            <v>8</v>
          </cell>
        </row>
        <row r="471">
          <cell r="M471" t="str">
            <v>Sec II S D Road - 13</v>
          </cell>
          <cell r="N471" t="str">
            <v>N/A</v>
          </cell>
          <cell r="O471" t="str">
            <v>Physician Services</v>
          </cell>
          <cell r="P471" t="str">
            <v>Consultant Physician</v>
          </cell>
          <cell r="Q471" t="str">
            <v>N/A</v>
          </cell>
          <cell r="R471">
            <v>45275</v>
          </cell>
          <cell r="S471">
            <v>45275</v>
          </cell>
          <cell r="T471">
            <v>46005</v>
          </cell>
          <cell r="U471">
            <v>46006</v>
          </cell>
          <cell r="V471">
            <v>2022</v>
          </cell>
          <cell r="W471" t="str">
            <v>Dr. VRK Womens Medical College</v>
          </cell>
          <cell r="Z471" t="str">
            <v>NA</v>
          </cell>
          <cell r="AA471" t="str">
            <v>MBBS</v>
          </cell>
          <cell r="AB471" t="str">
            <v>TSMC/FMR/23460</v>
          </cell>
          <cell r="AC471" t="str">
            <v>Telangana State Medical Council</v>
          </cell>
          <cell r="AD471">
            <v>44887</v>
          </cell>
          <cell r="AE471">
            <v>46712</v>
          </cell>
          <cell r="AF471">
            <v>7337505161</v>
          </cell>
          <cell r="AG471" t="str">
            <v>asifasyeeda@gmail.com</v>
          </cell>
          <cell r="AH471" t="str">
            <v>SBI Bank</v>
          </cell>
          <cell r="AI471" t="str">
            <v>35149034282</v>
          </cell>
          <cell r="AJ471" t="str">
            <v>SBIN0015248</v>
          </cell>
          <cell r="AK471" t="str">
            <v>DCXPA9133G</v>
          </cell>
          <cell r="AL471">
            <v>431270577067</v>
          </cell>
          <cell r="AN471">
            <v>45468</v>
          </cell>
          <cell r="AO471">
            <v>45453</v>
          </cell>
          <cell r="AP471" t="str">
            <v>health issues</v>
          </cell>
          <cell r="AQ471" t="str">
            <v>57/340-2-1, Sastri Nagar, Akkayapalli, Cuddapah, Andhra Pradesh - 516003</v>
          </cell>
          <cell r="AS471" t="str">
            <v>57/340-2-1, Sastri Nagar, Akkayapalli, Cuddapah, Andhra Pradesh - 516003</v>
          </cell>
          <cell r="AU471">
            <v>0.375</v>
          </cell>
          <cell r="AV471">
            <v>0.41666666666666669</v>
          </cell>
          <cell r="AW471">
            <v>34824</v>
          </cell>
          <cell r="AX471" t="str">
            <v>Female</v>
          </cell>
          <cell r="AY471" t="str">
            <v>Part Time</v>
          </cell>
          <cell r="AZ471">
            <v>1</v>
          </cell>
          <cell r="BA471" t="str">
            <v>Secunderabad Cluster</v>
          </cell>
        </row>
        <row r="472">
          <cell r="M472" t="str">
            <v>Suchitra - 26</v>
          </cell>
          <cell r="N472" t="str">
            <v>USG</v>
          </cell>
          <cell r="O472" t="str">
            <v>Radiology</v>
          </cell>
          <cell r="P472" t="str">
            <v>Consultant Radiologist</v>
          </cell>
          <cell r="Q472" t="str">
            <v>Dr L T Kishore</v>
          </cell>
          <cell r="R472">
            <v>44000</v>
          </cell>
          <cell r="S472">
            <v>44000</v>
          </cell>
          <cell r="T472">
            <v>44729</v>
          </cell>
          <cell r="U472">
            <v>44730</v>
          </cell>
          <cell r="V472">
            <v>2011</v>
          </cell>
          <cell r="W472" t="str">
            <v>Maharajah's Institute of Medical College</v>
          </cell>
          <cell r="X472">
            <v>2017</v>
          </cell>
          <cell r="Y472" t="str">
            <v>Yashoda Super Speciality Hospital</v>
          </cell>
          <cell r="AA472" t="str">
            <v>MBBS, DNB - Radiodiagnosis</v>
          </cell>
          <cell r="AB472">
            <v>71300</v>
          </cell>
          <cell r="AC472" t="str">
            <v>Telangana State Medical Council</v>
          </cell>
          <cell r="AD472">
            <v>43330</v>
          </cell>
          <cell r="AE472">
            <v>45124</v>
          </cell>
          <cell r="AF472">
            <v>8121323583</v>
          </cell>
          <cell r="AG472" t="str">
            <v>kola.mithunkumar@gmail.com</v>
          </cell>
          <cell r="AH472" t="str">
            <v>ICICI Bank</v>
          </cell>
          <cell r="AI472" t="str">
            <v>131801505088</v>
          </cell>
          <cell r="AJ472" t="str">
            <v>ICIC0001318</v>
          </cell>
          <cell r="AK472" t="str">
            <v>DLKPK4194K</v>
          </cell>
          <cell r="AL472">
            <v>790088947234</v>
          </cell>
          <cell r="AM472" t="str">
            <v>K Veeranarayana</v>
          </cell>
          <cell r="AN472">
            <v>44592</v>
          </cell>
          <cell r="AW472">
            <v>31645</v>
          </cell>
          <cell r="AX472" t="str">
            <v>Male</v>
          </cell>
          <cell r="AY472" t="str">
            <v>Part Time</v>
          </cell>
          <cell r="AZ472">
            <v>6</v>
          </cell>
          <cell r="BA472" t="str">
            <v>Secunderabad Cluster</v>
          </cell>
        </row>
        <row r="473">
          <cell r="M473" t="str">
            <v>Vaidehi Nagar- 111</v>
          </cell>
          <cell r="N473" t="str">
            <v>USG, XRAY</v>
          </cell>
          <cell r="O473" t="str">
            <v>Radiology</v>
          </cell>
          <cell r="P473" t="str">
            <v>Consultant Radiologist</v>
          </cell>
          <cell r="Q473" t="str">
            <v>Dr L T Kishore</v>
          </cell>
          <cell r="R473">
            <v>44006</v>
          </cell>
          <cell r="S473">
            <v>44006</v>
          </cell>
          <cell r="T473">
            <v>44735</v>
          </cell>
          <cell r="U473">
            <v>44736</v>
          </cell>
          <cell r="V473">
            <v>2011</v>
          </cell>
          <cell r="W473" t="str">
            <v>Kamineni Institute of Medical Sciences</v>
          </cell>
          <cell r="X473">
            <v>2015</v>
          </cell>
          <cell r="Y473" t="str">
            <v>Chalmeda Anand Rao Institute of Medical Sciences</v>
          </cell>
          <cell r="AA473" t="str">
            <v>MBBS, MD - Radio Diagnosis</v>
          </cell>
          <cell r="AB473">
            <v>70500</v>
          </cell>
          <cell r="AC473" t="str">
            <v>Telangana State Medical Council</v>
          </cell>
          <cell r="AD473">
            <v>43412</v>
          </cell>
          <cell r="AE473">
            <v>45237</v>
          </cell>
          <cell r="AF473">
            <v>9949640772</v>
          </cell>
          <cell r="AG473" t="str">
            <v>praneethkatravath@gmail.com</v>
          </cell>
          <cell r="AH473" t="str">
            <v>SBI Bank</v>
          </cell>
          <cell r="AI473" t="str">
            <v>20359999707</v>
          </cell>
          <cell r="AJ473" t="str">
            <v>SBIN0019065</v>
          </cell>
          <cell r="AK473" t="str">
            <v>CTPPK3023B</v>
          </cell>
          <cell r="AL473">
            <v>996380365972</v>
          </cell>
          <cell r="AM473" t="str">
            <v>Katravath Ranapratap Singh</v>
          </cell>
          <cell r="AN473">
            <v>44703</v>
          </cell>
          <cell r="AO473">
            <v>44643</v>
          </cell>
          <cell r="AW473">
            <v>32187</v>
          </cell>
          <cell r="AX473" t="str">
            <v>Male</v>
          </cell>
          <cell r="AY473" t="str">
            <v>Part Time</v>
          </cell>
          <cell r="AZ473">
            <v>3</v>
          </cell>
          <cell r="BA473">
            <v>3</v>
          </cell>
        </row>
        <row r="474">
          <cell r="M474" t="str">
            <v>Ameerpet - 14</v>
          </cell>
          <cell r="N474" t="str">
            <v>USG, X-RAY, FNAC</v>
          </cell>
          <cell r="O474" t="str">
            <v>Radiology</v>
          </cell>
          <cell r="P474" t="str">
            <v>Consultant Radiologist</v>
          </cell>
          <cell r="Q474" t="str">
            <v>Dr L T Kishore</v>
          </cell>
          <cell r="R474">
            <v>44013</v>
          </cell>
          <cell r="S474">
            <v>44228</v>
          </cell>
          <cell r="T474">
            <v>44957</v>
          </cell>
          <cell r="U474">
            <v>44958</v>
          </cell>
          <cell r="V474">
            <v>2008</v>
          </cell>
          <cell r="W474" t="str">
            <v>SVS Medical College</v>
          </cell>
          <cell r="X474">
            <v>2015</v>
          </cell>
          <cell r="Y474" t="str">
            <v>Mediciti Institute of Medical Sciences</v>
          </cell>
          <cell r="AA474" t="str">
            <v>MBBS, MD - Radiodiagnosis</v>
          </cell>
          <cell r="AB474">
            <v>64834</v>
          </cell>
          <cell r="AC474" t="str">
            <v>Telangana State Medical Council</v>
          </cell>
          <cell r="AD474">
            <v>42867</v>
          </cell>
          <cell r="AE474">
            <v>44327</v>
          </cell>
          <cell r="AF474">
            <v>7799558181</v>
          </cell>
          <cell r="AG474" t="str">
            <v>harshi85@yahoo.com</v>
          </cell>
          <cell r="AH474" t="str">
            <v>Axis Bank</v>
          </cell>
          <cell r="AI474" t="str">
            <v>917010033144733</v>
          </cell>
          <cell r="AJ474" t="str">
            <v>UTIB0000030</v>
          </cell>
          <cell r="AK474" t="str">
            <v>BMEPK3203J</v>
          </cell>
          <cell r="AL474">
            <v>693856800368</v>
          </cell>
          <cell r="AM474" t="str">
            <v>K Ramesh Reddy</v>
          </cell>
          <cell r="AN474">
            <v>44463</v>
          </cell>
          <cell r="AW474">
            <v>31308</v>
          </cell>
          <cell r="AX474" t="str">
            <v>Female</v>
          </cell>
          <cell r="AY474" t="str">
            <v>Part Time</v>
          </cell>
          <cell r="AZ474">
            <v>6</v>
          </cell>
          <cell r="BA474">
            <v>6</v>
          </cell>
        </row>
        <row r="475">
          <cell r="O475" t="str">
            <v>NA</v>
          </cell>
        </row>
        <row r="476">
          <cell r="M476" t="str">
            <v>Sec II S D Road - 13</v>
          </cell>
          <cell r="O476" t="str">
            <v>Pathology</v>
          </cell>
          <cell r="P476" t="str">
            <v>Consultant Pathologist</v>
          </cell>
          <cell r="Q476" t="str">
            <v>Dr Shashikanth</v>
          </cell>
          <cell r="R476">
            <v>44015</v>
          </cell>
          <cell r="S476">
            <v>44015</v>
          </cell>
          <cell r="T476">
            <v>44744</v>
          </cell>
          <cell r="U476">
            <v>44745</v>
          </cell>
          <cell r="V476">
            <v>2004</v>
          </cell>
          <cell r="W476" t="str">
            <v>Deccan College of Medical Sciences</v>
          </cell>
          <cell r="X476">
            <v>2015</v>
          </cell>
          <cell r="Y476" t="str">
            <v>SVS Medical college</v>
          </cell>
          <cell r="AA476" t="str">
            <v>MBBS, MD - Radiodiagnosis</v>
          </cell>
          <cell r="AB476">
            <v>51909</v>
          </cell>
          <cell r="AC476" t="str">
            <v>Telangana State Medical Council</v>
          </cell>
          <cell r="AD476">
            <v>42584</v>
          </cell>
          <cell r="AE476">
            <v>44409</v>
          </cell>
          <cell r="AF476">
            <v>9949958287</v>
          </cell>
          <cell r="AG476" t="str">
            <v>drsoumya_79@yahoo.com</v>
          </cell>
          <cell r="AH476" t="str">
            <v>ICICI Bank</v>
          </cell>
          <cell r="AI476" t="str">
            <v>279901503574</v>
          </cell>
          <cell r="AJ476" t="str">
            <v>ICIC0002362</v>
          </cell>
          <cell r="AK476" t="str">
            <v>AVOPM2330G</v>
          </cell>
          <cell r="AL476">
            <v>545556160114</v>
          </cell>
          <cell r="AM476" t="str">
            <v>Surender Reddy Vellanki</v>
          </cell>
          <cell r="AN476">
            <v>44592</v>
          </cell>
          <cell r="AW476">
            <v>28971</v>
          </cell>
          <cell r="AX476" t="str">
            <v>Female</v>
          </cell>
          <cell r="AY476" t="str">
            <v>Part Time</v>
          </cell>
          <cell r="AZ476">
            <v>2</v>
          </cell>
          <cell r="BA476">
            <v>1</v>
          </cell>
        </row>
        <row r="477">
          <cell r="M477" t="str">
            <v>Yapral - 88</v>
          </cell>
          <cell r="N477" t="str">
            <v>USG, XRAYS,</v>
          </cell>
          <cell r="O477" t="str">
            <v>Radiology</v>
          </cell>
          <cell r="P477" t="str">
            <v>Consultant Radiologist</v>
          </cell>
          <cell r="Q477" t="str">
            <v>Dr L T Kishore</v>
          </cell>
          <cell r="R477">
            <v>44018</v>
          </cell>
          <cell r="S477">
            <v>44018</v>
          </cell>
          <cell r="T477">
            <v>44747</v>
          </cell>
          <cell r="U477">
            <v>44748</v>
          </cell>
          <cell r="V477">
            <v>2012</v>
          </cell>
          <cell r="W477" t="str">
            <v>Mamata Medical College, Khammam</v>
          </cell>
          <cell r="X477">
            <v>2020</v>
          </cell>
          <cell r="Y477" t="str">
            <v>Kasturba Hospitals Manipal</v>
          </cell>
          <cell r="AA477" t="str">
            <v>MBBS, MD - Radiodiagnosis</v>
          </cell>
          <cell r="AB477" t="str">
            <v>APMC/FMR/75464</v>
          </cell>
          <cell r="AC477" t="str">
            <v>Telangana State Medical Council</v>
          </cell>
          <cell r="AD477">
            <v>44026</v>
          </cell>
          <cell r="AE477">
            <v>45851</v>
          </cell>
          <cell r="AF477">
            <v>9441500794</v>
          </cell>
          <cell r="AG477" t="str">
            <v>deevihemu@gmail.com</v>
          </cell>
          <cell r="AH477" t="str">
            <v>ICICI Bank</v>
          </cell>
          <cell r="AI477" t="str">
            <v>001401535327</v>
          </cell>
          <cell r="AJ477" t="str">
            <v>ICIC0000014</v>
          </cell>
          <cell r="AK477" t="str">
            <v>BPOPK3010A</v>
          </cell>
          <cell r="AL477">
            <v>839800974296</v>
          </cell>
          <cell r="AM477" t="str">
            <v>Deevi Venkata Ramana</v>
          </cell>
          <cell r="AN477">
            <v>44500</v>
          </cell>
          <cell r="AW477">
            <v>32366</v>
          </cell>
          <cell r="AX477" t="str">
            <v>Male</v>
          </cell>
          <cell r="AY477" t="str">
            <v>Part Time</v>
          </cell>
          <cell r="AZ477">
            <v>3</v>
          </cell>
          <cell r="BA477">
            <v>3</v>
          </cell>
        </row>
        <row r="478">
          <cell r="M478" t="str">
            <v>A S Rao Nagar - 18</v>
          </cell>
          <cell r="N478" t="str">
            <v>USG, X RAYS, USG FNAC PROCEDURES</v>
          </cell>
          <cell r="O478" t="str">
            <v>Radiology</v>
          </cell>
          <cell r="P478" t="str">
            <v>Consultant Radiologist</v>
          </cell>
          <cell r="Q478" t="str">
            <v>Dr L T Kishore</v>
          </cell>
          <cell r="R478">
            <v>44018</v>
          </cell>
          <cell r="S478">
            <v>44018</v>
          </cell>
          <cell r="T478">
            <v>44747</v>
          </cell>
          <cell r="U478">
            <v>44748</v>
          </cell>
          <cell r="V478">
            <v>2012</v>
          </cell>
          <cell r="W478" t="str">
            <v>Mamata Medical College</v>
          </cell>
          <cell r="X478">
            <v>2020</v>
          </cell>
          <cell r="Y478" t="str">
            <v>Kasturba Hospitals Manipal</v>
          </cell>
          <cell r="AA478" t="str">
            <v>MBBS, MD - Radiodiagnosis</v>
          </cell>
          <cell r="AB478" t="str">
            <v>APMC/FMR/75464</v>
          </cell>
          <cell r="AC478" t="str">
            <v>Telangana State Medical Council</v>
          </cell>
          <cell r="AD478">
            <v>44026</v>
          </cell>
          <cell r="AE478">
            <v>45851</v>
          </cell>
          <cell r="AF478">
            <v>9441500794</v>
          </cell>
          <cell r="AG478" t="str">
            <v>deevihemu@gmail.com</v>
          </cell>
          <cell r="AH478" t="str">
            <v>ICICI Bank</v>
          </cell>
          <cell r="AI478" t="str">
            <v>001401535327</v>
          </cell>
          <cell r="AJ478" t="str">
            <v>ICIC0000014</v>
          </cell>
          <cell r="AK478" t="str">
            <v>BPOPK3010A</v>
          </cell>
          <cell r="AL478">
            <v>839800974296</v>
          </cell>
          <cell r="AM478" t="str">
            <v>Deevi Venkata Ramana</v>
          </cell>
          <cell r="AN478">
            <v>44500</v>
          </cell>
          <cell r="AW478">
            <v>32366</v>
          </cell>
          <cell r="AX478" t="str">
            <v>Male</v>
          </cell>
          <cell r="AY478" t="str">
            <v>Part Time</v>
          </cell>
          <cell r="AZ478">
            <v>5</v>
          </cell>
          <cell r="BA478">
            <v>5</v>
          </cell>
        </row>
        <row r="479">
          <cell r="M479" t="str">
            <v>Film Nagar - 38</v>
          </cell>
          <cell r="N479" t="str">
            <v>USG, X Ray, CT</v>
          </cell>
          <cell r="O479" t="str">
            <v>Radiology</v>
          </cell>
          <cell r="P479" t="str">
            <v>Consultant Radiologist</v>
          </cell>
          <cell r="Q479" t="str">
            <v>Dr L T Kishore</v>
          </cell>
          <cell r="R479">
            <v>44044</v>
          </cell>
          <cell r="S479">
            <v>44044</v>
          </cell>
          <cell r="T479">
            <v>44773</v>
          </cell>
          <cell r="U479">
            <v>44774</v>
          </cell>
          <cell r="V479">
            <v>2009</v>
          </cell>
          <cell r="W479" t="str">
            <v>Mamata Medical College</v>
          </cell>
          <cell r="X479">
            <v>2017</v>
          </cell>
          <cell r="Y479" t="str">
            <v>Vydehi Medical College</v>
          </cell>
          <cell r="AA479" t="str">
            <v>MBBS, MD - Radio Diagnosis</v>
          </cell>
          <cell r="AB479">
            <v>69657</v>
          </cell>
          <cell r="AC479" t="str">
            <v>Telangana State Medical Council</v>
          </cell>
          <cell r="AD479">
            <v>43402</v>
          </cell>
          <cell r="AE479">
            <v>45227</v>
          </cell>
          <cell r="AF479">
            <v>8374501211</v>
          </cell>
          <cell r="AG479" t="str">
            <v>pankajreddy_m@yahoo.co.in</v>
          </cell>
          <cell r="AH479" t="str">
            <v>Axis Bank</v>
          </cell>
          <cell r="AI479" t="str">
            <v>920010053436090</v>
          </cell>
          <cell r="AJ479" t="str">
            <v>UTIB0001379</v>
          </cell>
          <cell r="AK479" t="str">
            <v>BKWPP7873D</v>
          </cell>
          <cell r="AL479">
            <v>254838379359</v>
          </cell>
          <cell r="AM479" t="str">
            <v>Mundala Lakshmikar Reddy</v>
          </cell>
          <cell r="AN479">
            <v>44723</v>
          </cell>
          <cell r="AO479">
            <v>44663</v>
          </cell>
          <cell r="AW479">
            <v>31223</v>
          </cell>
          <cell r="AX479" t="str">
            <v>Male</v>
          </cell>
          <cell r="AY479" t="str">
            <v>Full Time</v>
          </cell>
          <cell r="AZ479">
            <v>8</v>
          </cell>
          <cell r="BA479">
            <v>8</v>
          </cell>
        </row>
        <row r="480">
          <cell r="M480" t="str">
            <v>Habsiguda - 17</v>
          </cell>
          <cell r="O480" t="str">
            <v>Pathology</v>
          </cell>
          <cell r="P480" t="str">
            <v>Consultant Pathologist</v>
          </cell>
          <cell r="Q480" t="str">
            <v>Dr Shashikanth</v>
          </cell>
          <cell r="R480">
            <v>44048</v>
          </cell>
          <cell r="S480">
            <v>44048</v>
          </cell>
          <cell r="T480">
            <v>44777</v>
          </cell>
          <cell r="U480">
            <v>44778</v>
          </cell>
          <cell r="V480">
            <v>2010</v>
          </cell>
          <cell r="X480">
            <v>2014</v>
          </cell>
          <cell r="Y480" t="str">
            <v xml:space="preserve">S V Medical college </v>
          </cell>
          <cell r="AA480" t="str">
            <v>MBBS, MD - Pathology</v>
          </cell>
          <cell r="AB480">
            <v>68206</v>
          </cell>
          <cell r="AC480" t="str">
            <v>Telangana State Medical Council</v>
          </cell>
          <cell r="AD480">
            <v>44464</v>
          </cell>
          <cell r="AE480">
            <v>46289</v>
          </cell>
          <cell r="AF480">
            <v>9959224916</v>
          </cell>
          <cell r="AG480" t="str">
            <v>swarnabala.malapaka@gmail.com</v>
          </cell>
          <cell r="AH480" t="str">
            <v>Union Bank of India</v>
          </cell>
          <cell r="AI480" t="str">
            <v>052010100018149</v>
          </cell>
          <cell r="AJ480" t="str">
            <v>UBIN0811459</v>
          </cell>
          <cell r="AK480" t="str">
            <v>BEDPM5577E</v>
          </cell>
          <cell r="AL480">
            <v>745783556973</v>
          </cell>
          <cell r="AM480" t="str">
            <v>M Gopala</v>
          </cell>
          <cell r="AN480">
            <v>44559</v>
          </cell>
          <cell r="AW480">
            <v>31893</v>
          </cell>
          <cell r="AX480" t="str">
            <v>Female</v>
          </cell>
          <cell r="AY480" t="str">
            <v>Full Time</v>
          </cell>
          <cell r="AZ480">
            <v>8</v>
          </cell>
          <cell r="BA480">
            <v>3</v>
          </cell>
        </row>
        <row r="481">
          <cell r="M481" t="str">
            <v>Himayatnagar</v>
          </cell>
          <cell r="O481" t="str">
            <v>Pathology</v>
          </cell>
          <cell r="P481" t="str">
            <v>HOD Haematology</v>
          </cell>
          <cell r="Q481" t="str">
            <v>Dr Neelamany Murthy</v>
          </cell>
          <cell r="R481">
            <v>44044</v>
          </cell>
          <cell r="S481">
            <v>44044</v>
          </cell>
          <cell r="T481">
            <v>44773</v>
          </cell>
          <cell r="U481">
            <v>44774</v>
          </cell>
          <cell r="AA481" t="str">
            <v>MBBS, MD - Pathology</v>
          </cell>
          <cell r="AB481">
            <v>10396</v>
          </cell>
          <cell r="AC481" t="str">
            <v>Telangana State Medical Council</v>
          </cell>
          <cell r="AD481">
            <v>43910</v>
          </cell>
          <cell r="AE481">
            <v>45735</v>
          </cell>
          <cell r="AF481">
            <v>9885662081</v>
          </cell>
          <cell r="AG481" t="str">
            <v>kmcsampath@gmail.com</v>
          </cell>
          <cell r="AH481" t="str">
            <v>HDFC Bank</v>
          </cell>
          <cell r="AI481" t="str">
            <v>50100069018682</v>
          </cell>
          <cell r="AJ481" t="str">
            <v>HDFC0002019</v>
          </cell>
          <cell r="AK481" t="str">
            <v>BZPPS6431N</v>
          </cell>
          <cell r="AL481">
            <v>570172202427</v>
          </cell>
          <cell r="AM481" t="str">
            <v>Satya Raju Kandala</v>
          </cell>
          <cell r="AN481">
            <v>44316</v>
          </cell>
          <cell r="AW481">
            <v>30506</v>
          </cell>
          <cell r="AX481" t="str">
            <v>Male</v>
          </cell>
          <cell r="AY481" t="str">
            <v>Full Time</v>
          </cell>
          <cell r="AZ481">
            <v>8</v>
          </cell>
          <cell r="BA481">
            <v>8</v>
          </cell>
        </row>
        <row r="482">
          <cell r="M482" t="str">
            <v>Nallakunta - 67</v>
          </cell>
          <cell r="N482" t="str">
            <v>USG, X Rays</v>
          </cell>
          <cell r="O482" t="str">
            <v>Radiology</v>
          </cell>
          <cell r="P482" t="str">
            <v>Consultant Radiologist</v>
          </cell>
          <cell r="Q482" t="str">
            <v>Dr L T Kishore</v>
          </cell>
          <cell r="R482">
            <v>44057</v>
          </cell>
          <cell r="S482">
            <v>44057</v>
          </cell>
          <cell r="T482">
            <v>44786</v>
          </cell>
          <cell r="U482">
            <v>44787</v>
          </cell>
          <cell r="AA482" t="str">
            <v>MBBS, MD - Radiodiagnosis</v>
          </cell>
          <cell r="AB482" t="str">
            <v>APMC/FMR/92509</v>
          </cell>
          <cell r="AC482" t="str">
            <v>Telangana State Medical Council</v>
          </cell>
          <cell r="AD482">
            <v>43665</v>
          </cell>
          <cell r="AE482">
            <v>45491</v>
          </cell>
          <cell r="AF482">
            <v>9908441803</v>
          </cell>
          <cell r="AG482" t="str">
            <v>anookutti@gmail.com</v>
          </cell>
          <cell r="AH482" t="str">
            <v>SBI Bank</v>
          </cell>
          <cell r="AI482" t="str">
            <v>20283281294</v>
          </cell>
          <cell r="AJ482" t="str">
            <v>SBIN0007641</v>
          </cell>
          <cell r="AK482" t="str">
            <v>BZQPR3340Q</v>
          </cell>
          <cell r="AL482">
            <v>784137843659</v>
          </cell>
          <cell r="AM482" t="str">
            <v>R Suresh Babu</v>
          </cell>
          <cell r="AN482">
            <v>44281</v>
          </cell>
          <cell r="AW482">
            <v>33671</v>
          </cell>
          <cell r="AX482" t="str">
            <v>Female</v>
          </cell>
          <cell r="AY482" t="str">
            <v>Part Time</v>
          </cell>
          <cell r="AZ482">
            <v>5</v>
          </cell>
          <cell r="BA482">
            <v>5</v>
          </cell>
        </row>
        <row r="483">
          <cell r="M483" t="str">
            <v>Kurnool - 43</v>
          </cell>
          <cell r="O483" t="str">
            <v>Biochemistry</v>
          </cell>
          <cell r="P483" t="str">
            <v>Consultant Biochemist</v>
          </cell>
          <cell r="Q483" t="str">
            <v>Dr. Bikash Chowdhary</v>
          </cell>
          <cell r="R483">
            <v>44075</v>
          </cell>
          <cell r="S483">
            <v>44652</v>
          </cell>
          <cell r="T483">
            <v>45382</v>
          </cell>
          <cell r="U483">
            <v>45383</v>
          </cell>
          <cell r="V483">
            <v>2009</v>
          </cell>
          <cell r="W483" t="str">
            <v>Govt. Medical College</v>
          </cell>
          <cell r="X483">
            <v>2017</v>
          </cell>
          <cell r="Y483" t="str">
            <v>SVIMS</v>
          </cell>
          <cell r="Z483" t="str">
            <v>NA</v>
          </cell>
          <cell r="AA483" t="str">
            <v>MBBS, MD - Biochemistry</v>
          </cell>
          <cell r="AB483">
            <v>67757</v>
          </cell>
          <cell r="AC483" t="str">
            <v>Andhra Pradesh Medical Council</v>
          </cell>
          <cell r="AD483">
            <v>43306</v>
          </cell>
          <cell r="AE483">
            <v>45131</v>
          </cell>
          <cell r="AF483">
            <v>9160103670</v>
          </cell>
          <cell r="AG483" t="str">
            <v>drsandyarani86@gmail.com</v>
          </cell>
          <cell r="AH483" t="str">
            <v>HDFC Bank</v>
          </cell>
          <cell r="AI483" t="str">
            <v>50100249406388</v>
          </cell>
          <cell r="AJ483" t="str">
            <v>HDFC0000742</v>
          </cell>
          <cell r="AK483" t="str">
            <v>ECSPS6927J</v>
          </cell>
          <cell r="AL483">
            <v>588137930224</v>
          </cell>
          <cell r="AM483" t="str">
            <v>Budugu Ramchandraiah</v>
          </cell>
          <cell r="AW483">
            <v>31588</v>
          </cell>
          <cell r="AX483" t="str">
            <v>Female</v>
          </cell>
          <cell r="AY483" t="str">
            <v>Full Time</v>
          </cell>
          <cell r="AZ483">
            <v>8</v>
          </cell>
          <cell r="BA483">
            <v>8</v>
          </cell>
        </row>
        <row r="484">
          <cell r="O484" t="str">
            <v>NA</v>
          </cell>
        </row>
        <row r="485">
          <cell r="M485" t="str">
            <v>Kondapur - 125</v>
          </cell>
          <cell r="N485" t="str">
            <v>USG, X Rays, Doppler</v>
          </cell>
          <cell r="O485" t="str">
            <v>Radiology</v>
          </cell>
          <cell r="P485" t="str">
            <v>Consultant Radiologist</v>
          </cell>
          <cell r="Q485" t="str">
            <v>Dr L T Kishore</v>
          </cell>
          <cell r="R485">
            <v>44090</v>
          </cell>
          <cell r="S485">
            <v>44090</v>
          </cell>
          <cell r="T485">
            <v>44819</v>
          </cell>
          <cell r="U485">
            <v>44820</v>
          </cell>
          <cell r="V485">
            <v>2014</v>
          </cell>
          <cell r="W485" t="str">
            <v>Bhaskar Medical College</v>
          </cell>
          <cell r="X485">
            <v>2018</v>
          </cell>
          <cell r="Y485" t="str">
            <v>Mamata Medical College</v>
          </cell>
          <cell r="AA485" t="str">
            <v>MBBS, MD - Radiodiagnosis</v>
          </cell>
          <cell r="AB485" t="str">
            <v>APMC/FMR/87571</v>
          </cell>
          <cell r="AC485" t="str">
            <v>Telangana State Medical Council</v>
          </cell>
          <cell r="AD485">
            <v>43683</v>
          </cell>
          <cell r="AE485">
            <v>45509</v>
          </cell>
          <cell r="AF485">
            <v>9701659680</v>
          </cell>
          <cell r="AG485" t="str">
            <v>dpriyanka14@gmail.com</v>
          </cell>
          <cell r="AH485" t="str">
            <v>SBI Bank</v>
          </cell>
          <cell r="AI485" t="str">
            <v>39511912179</v>
          </cell>
          <cell r="AJ485" t="str">
            <v>SBIN0014447</v>
          </cell>
          <cell r="AK485" t="str">
            <v>CEVPD3366K</v>
          </cell>
          <cell r="AL485">
            <v>537551618362</v>
          </cell>
          <cell r="AM485" t="str">
            <v>Dagilla Shankar Rao</v>
          </cell>
          <cell r="AN485">
            <v>44327</v>
          </cell>
          <cell r="AW485">
            <v>32247</v>
          </cell>
          <cell r="AX485" t="str">
            <v>Female</v>
          </cell>
          <cell r="AY485" t="str">
            <v>Part Time</v>
          </cell>
          <cell r="AZ485">
            <v>2</v>
          </cell>
          <cell r="BA485" t="str">
            <v>Madhapur Cluster</v>
          </cell>
        </row>
        <row r="486">
          <cell r="M486" t="str">
            <v>Tolichowki - 23</v>
          </cell>
          <cell r="O486" t="str">
            <v>Physician Services</v>
          </cell>
          <cell r="P486" t="str">
            <v>Consultant Physician</v>
          </cell>
          <cell r="R486">
            <v>44095</v>
          </cell>
          <cell r="S486">
            <v>44095</v>
          </cell>
          <cell r="T486">
            <v>44824</v>
          </cell>
          <cell r="U486">
            <v>44825</v>
          </cell>
          <cell r="AA486" t="str">
            <v>MBBS</v>
          </cell>
          <cell r="AB486" t="str">
            <v>TSMC/FMR/04856</v>
          </cell>
          <cell r="AC486" t="str">
            <v>Telangana State Medical Council</v>
          </cell>
          <cell r="AD486">
            <v>43081</v>
          </cell>
          <cell r="AE486">
            <v>44907</v>
          </cell>
          <cell r="AF486">
            <v>7989594836</v>
          </cell>
          <cell r="AG486" t="str">
            <v>Drsughrayasmeen@gmail.com</v>
          </cell>
          <cell r="AH486" t="str">
            <v>Bank of Baroda</v>
          </cell>
          <cell r="AI486" t="str">
            <v>27530100014738</v>
          </cell>
          <cell r="AJ486" t="str">
            <v>BARB0ATTAPU</v>
          </cell>
          <cell r="AK486" t="str">
            <v>AHWPY3407G</v>
          </cell>
          <cell r="AL486">
            <v>592138459317</v>
          </cell>
          <cell r="AM486" t="str">
            <v>Mohd Sarwar Ahmed</v>
          </cell>
          <cell r="AN486">
            <v>44310</v>
          </cell>
          <cell r="AW486">
            <v>33311</v>
          </cell>
          <cell r="AX486" t="str">
            <v>Female</v>
          </cell>
          <cell r="AY486" t="str">
            <v>Part Time</v>
          </cell>
          <cell r="AZ486">
            <v>1</v>
          </cell>
          <cell r="BA486">
            <v>1</v>
          </cell>
        </row>
        <row r="487">
          <cell r="M487" t="str">
            <v>Attapur - 34</v>
          </cell>
          <cell r="O487" t="str">
            <v>Physician Services</v>
          </cell>
          <cell r="P487" t="str">
            <v>Consultant Physician</v>
          </cell>
          <cell r="R487">
            <v>44095</v>
          </cell>
          <cell r="S487">
            <v>44095</v>
          </cell>
          <cell r="T487">
            <v>44824</v>
          </cell>
          <cell r="U487">
            <v>44825</v>
          </cell>
          <cell r="AA487" t="str">
            <v>MBBS</v>
          </cell>
          <cell r="AB487" t="str">
            <v>TSMC/FMR/10715</v>
          </cell>
          <cell r="AC487" t="str">
            <v>Telangana State Medical Council</v>
          </cell>
          <cell r="AD487">
            <v>43775</v>
          </cell>
          <cell r="AE487">
            <v>45602</v>
          </cell>
          <cell r="AF487">
            <v>9989243355</v>
          </cell>
          <cell r="AG487" t="str">
            <v>chokkarajubindhu@gmail.com</v>
          </cell>
          <cell r="AH487" t="str">
            <v>SBI Bank</v>
          </cell>
          <cell r="AI487" t="str">
            <v>33857266064</v>
          </cell>
          <cell r="AJ487" t="str">
            <v>SBIN0006314</v>
          </cell>
          <cell r="AK487" t="str">
            <v>AYWPC0745J</v>
          </cell>
          <cell r="AL487">
            <v>824363195736</v>
          </cell>
          <cell r="AM487" t="str">
            <v>Chokkaraju Tirumala Veera Chandra Sekhar</v>
          </cell>
          <cell r="AW487">
            <v>34771</v>
          </cell>
          <cell r="AX487" t="str">
            <v>Female</v>
          </cell>
          <cell r="AY487" t="str">
            <v>Part Time</v>
          </cell>
          <cell r="AZ487">
            <v>1</v>
          </cell>
          <cell r="BA487">
            <v>1</v>
          </cell>
        </row>
        <row r="488">
          <cell r="M488" t="str">
            <v>Himayatnagar</v>
          </cell>
          <cell r="O488" t="str">
            <v>Physician Services</v>
          </cell>
          <cell r="P488" t="str">
            <v>Consultant Physician</v>
          </cell>
          <cell r="R488">
            <v>44095</v>
          </cell>
          <cell r="S488">
            <v>44095</v>
          </cell>
          <cell r="T488">
            <v>44824</v>
          </cell>
          <cell r="U488">
            <v>44825</v>
          </cell>
          <cell r="AA488" t="str">
            <v>MBBS</v>
          </cell>
          <cell r="AB488" t="str">
            <v>TSMC/FMR/10005</v>
          </cell>
          <cell r="AC488" t="str">
            <v>Telangana State Medical Council</v>
          </cell>
          <cell r="AD488">
            <v>43756</v>
          </cell>
          <cell r="AE488">
            <v>45583</v>
          </cell>
          <cell r="AF488">
            <v>9052219387</v>
          </cell>
          <cell r="AG488" t="str">
            <v>mohammedzeeshanuddin94@gmail.com</v>
          </cell>
          <cell r="AH488" t="str">
            <v>SBI Bank</v>
          </cell>
          <cell r="AI488" t="str">
            <v>10015568042</v>
          </cell>
          <cell r="AJ488" t="str">
            <v>SBIN0007054</v>
          </cell>
          <cell r="AK488" t="str">
            <v>DMIPM4646D</v>
          </cell>
          <cell r="AL488">
            <v>286940913253</v>
          </cell>
          <cell r="AM488" t="str">
            <v>Mohd Zaheer Uddin</v>
          </cell>
          <cell r="AN488">
            <v>44299</v>
          </cell>
          <cell r="AW488">
            <v>34607</v>
          </cell>
          <cell r="AX488" t="str">
            <v>Male</v>
          </cell>
          <cell r="AY488" t="str">
            <v>Part Time</v>
          </cell>
          <cell r="AZ488">
            <v>2</v>
          </cell>
          <cell r="BA488">
            <v>8</v>
          </cell>
        </row>
        <row r="489">
          <cell r="M489" t="str">
            <v>Sec II S D Road - 13</v>
          </cell>
          <cell r="O489" t="str">
            <v>Physician Services</v>
          </cell>
          <cell r="P489" t="str">
            <v>Consultant Physician</v>
          </cell>
          <cell r="R489">
            <v>44102</v>
          </cell>
          <cell r="S489">
            <v>44102</v>
          </cell>
          <cell r="T489">
            <v>44831</v>
          </cell>
          <cell r="U489">
            <v>44832</v>
          </cell>
          <cell r="AA489" t="str">
            <v>MBBS</v>
          </cell>
          <cell r="AB489" t="str">
            <v>TSMC/FMR/08319</v>
          </cell>
          <cell r="AC489" t="str">
            <v>Telangana State Medical Council</v>
          </cell>
          <cell r="AD489">
            <v>43549</v>
          </cell>
          <cell r="AE489">
            <v>45376</v>
          </cell>
          <cell r="AF489">
            <v>7989081623</v>
          </cell>
          <cell r="AG489" t="str">
            <v>pnayini1993@gmail.com</v>
          </cell>
          <cell r="AH489" t="str">
            <v>CANARA BANK</v>
          </cell>
          <cell r="AI489" t="str">
            <v>0649101043282</v>
          </cell>
          <cell r="AJ489" t="str">
            <v>CNRB0000649</v>
          </cell>
          <cell r="AK489" t="str">
            <v>BSEPN8438A</v>
          </cell>
          <cell r="AL489">
            <v>783947986162</v>
          </cell>
          <cell r="AM489" t="str">
            <v>N Anand Reddy</v>
          </cell>
          <cell r="AN489">
            <v>44315</v>
          </cell>
          <cell r="AW489">
            <v>34166</v>
          </cell>
          <cell r="AX489" t="str">
            <v>Female</v>
          </cell>
          <cell r="AY489" t="str">
            <v>Part Time</v>
          </cell>
          <cell r="AZ489">
            <v>1</v>
          </cell>
          <cell r="BA489">
            <v>1</v>
          </cell>
        </row>
        <row r="490">
          <cell r="M490" t="str">
            <v>Nizampet - 46</v>
          </cell>
          <cell r="O490" t="str">
            <v>Physician Services</v>
          </cell>
          <cell r="P490" t="str">
            <v>Consultant Physician</v>
          </cell>
          <cell r="R490">
            <v>44102</v>
          </cell>
          <cell r="S490">
            <v>44102</v>
          </cell>
          <cell r="T490">
            <v>44831</v>
          </cell>
          <cell r="U490">
            <v>44832</v>
          </cell>
          <cell r="AA490" t="str">
            <v>MBBS</v>
          </cell>
          <cell r="AB490" t="str">
            <v>TSMC/FMR/05018</v>
          </cell>
          <cell r="AC490" t="str">
            <v>Telangana State Medical Council</v>
          </cell>
          <cell r="AD490">
            <v>43234</v>
          </cell>
          <cell r="AE490">
            <v>45059</v>
          </cell>
          <cell r="AF490">
            <v>9676146566</v>
          </cell>
          <cell r="AG490" t="str">
            <v>mahitha96@gmail.com</v>
          </cell>
          <cell r="AH490" t="str">
            <v>ANDHRA BANK</v>
          </cell>
          <cell r="AI490" t="str">
            <v>151210100132519</v>
          </cell>
          <cell r="AJ490" t="str">
            <v>ANDB0001512</v>
          </cell>
          <cell r="AK490" t="str">
            <v>GHFPM8933Q</v>
          </cell>
          <cell r="AL490">
            <v>393791640067</v>
          </cell>
          <cell r="AM490" t="str">
            <v>Mannava Chandra  Mouli</v>
          </cell>
          <cell r="AN490">
            <v>44284</v>
          </cell>
          <cell r="AW490">
            <v>35100</v>
          </cell>
          <cell r="AX490" t="str">
            <v>Female</v>
          </cell>
          <cell r="AY490" t="str">
            <v>Part Time</v>
          </cell>
          <cell r="AZ490">
            <v>1</v>
          </cell>
          <cell r="BA490">
            <v>1</v>
          </cell>
        </row>
        <row r="491">
          <cell r="M491" t="str">
            <v>Himayatnagar</v>
          </cell>
          <cell r="O491" t="str">
            <v>Molecular Pathology</v>
          </cell>
          <cell r="P491" t="str">
            <v>Molecular Pathologist</v>
          </cell>
          <cell r="Q491" t="str">
            <v>Dr Shashikanth</v>
          </cell>
          <cell r="R491">
            <v>44102</v>
          </cell>
          <cell r="S491">
            <v>44102</v>
          </cell>
          <cell r="T491">
            <v>44831</v>
          </cell>
          <cell r="U491">
            <v>44832</v>
          </cell>
          <cell r="V491">
            <v>0</v>
          </cell>
          <cell r="X491">
            <v>0</v>
          </cell>
          <cell r="Y491">
            <v>0</v>
          </cell>
          <cell r="AA491" t="str">
            <v>Msc, Phd Genetics - Molecular Biology</v>
          </cell>
          <cell r="AB491" t="str">
            <v>NA</v>
          </cell>
          <cell r="AC491" t="str">
            <v>NA</v>
          </cell>
          <cell r="AD491" t="str">
            <v>NA</v>
          </cell>
          <cell r="AE491" t="str">
            <v>NA</v>
          </cell>
          <cell r="AF491">
            <v>8897539449</v>
          </cell>
          <cell r="AG491" t="str">
            <v>kovenkar@gmail.com</v>
          </cell>
          <cell r="AH491" t="str">
            <v>ICICI Bank</v>
          </cell>
          <cell r="AI491" t="str">
            <v>232101500632</v>
          </cell>
          <cell r="AJ491" t="str">
            <v>ICIC0002321</v>
          </cell>
          <cell r="AK491" t="str">
            <v>CLOPK5788C</v>
          </cell>
          <cell r="AL491">
            <v>472346728171</v>
          </cell>
          <cell r="AM491" t="str">
            <v>Babu Rao</v>
          </cell>
          <cell r="AN491">
            <v>44593</v>
          </cell>
          <cell r="AW491">
            <v>28718</v>
          </cell>
          <cell r="AX491" t="str">
            <v>Male</v>
          </cell>
          <cell r="AY491" t="str">
            <v>Full Time</v>
          </cell>
          <cell r="AZ491">
            <v>8</v>
          </cell>
          <cell r="BA491">
            <v>8</v>
          </cell>
        </row>
        <row r="492">
          <cell r="M492" t="str">
            <v>Vizag - 37</v>
          </cell>
          <cell r="O492" t="str">
            <v>Radiology</v>
          </cell>
          <cell r="P492" t="str">
            <v>Consultant Radiologist</v>
          </cell>
          <cell r="Q492" t="str">
            <v>Dr L T Kishore</v>
          </cell>
          <cell r="R492">
            <v>44103</v>
          </cell>
          <cell r="S492">
            <v>44103</v>
          </cell>
          <cell r="T492">
            <v>44832</v>
          </cell>
          <cell r="U492">
            <v>44833</v>
          </cell>
          <cell r="AA492" t="str">
            <v>MBBS, DNB - Radiodiagnosis</v>
          </cell>
          <cell r="AB492" t="str">
            <v>APMS/FMR/110269</v>
          </cell>
          <cell r="AC492" t="str">
            <v>Andhra Pradesh Medical Council</v>
          </cell>
          <cell r="AD492">
            <v>44098</v>
          </cell>
          <cell r="AE492">
            <v>45923</v>
          </cell>
          <cell r="AF492">
            <v>9963003574</v>
          </cell>
          <cell r="AG492" t="str">
            <v>priyanka9192@gmail.com&gt;</v>
          </cell>
          <cell r="AH492" t="str">
            <v>HDFC Bank</v>
          </cell>
          <cell r="AI492" t="str">
            <v>50100361359700</v>
          </cell>
          <cell r="AJ492" t="str">
            <v>HDFC0002813</v>
          </cell>
          <cell r="AK492" t="str">
            <v>BBCPK0227M</v>
          </cell>
          <cell r="AL492">
            <v>938095678524</v>
          </cell>
          <cell r="AM492" t="str">
            <v>Sri Hari Raju Kalidindi</v>
          </cell>
          <cell r="AN492">
            <v>44256</v>
          </cell>
          <cell r="AW492">
            <v>33612</v>
          </cell>
          <cell r="AX492" t="str">
            <v>Female</v>
          </cell>
          <cell r="AY492" t="str">
            <v>Part Time</v>
          </cell>
          <cell r="AZ492">
            <v>3</v>
          </cell>
          <cell r="BA492" t="str">
            <v>Visakhapatnam Cluster</v>
          </cell>
        </row>
        <row r="493">
          <cell r="M493" t="str">
            <v>Manikonda - 59</v>
          </cell>
          <cell r="O493" t="str">
            <v>Physician Services</v>
          </cell>
          <cell r="P493" t="str">
            <v>Consultant Physician</v>
          </cell>
          <cell r="R493">
            <v>44105</v>
          </cell>
          <cell r="S493">
            <v>44105</v>
          </cell>
          <cell r="T493">
            <v>44834</v>
          </cell>
          <cell r="U493">
            <v>44835</v>
          </cell>
          <cell r="AA493" t="str">
            <v>MBBS</v>
          </cell>
          <cell r="AB493" t="str">
            <v>TSMC/FMR/04856</v>
          </cell>
          <cell r="AC493" t="str">
            <v>Telangana State Medical Council</v>
          </cell>
          <cell r="AD493">
            <v>43081</v>
          </cell>
          <cell r="AE493">
            <v>44907</v>
          </cell>
          <cell r="AF493">
            <v>7989594836</v>
          </cell>
          <cell r="AG493" t="str">
            <v>Drsughrayasmeen@gmail.com</v>
          </cell>
          <cell r="AH493" t="str">
            <v>Bank of Baroda</v>
          </cell>
          <cell r="AI493" t="str">
            <v>27530100014738</v>
          </cell>
          <cell r="AJ493" t="str">
            <v>BARB0ATTAPU</v>
          </cell>
          <cell r="AK493" t="str">
            <v>AHWPY3407G</v>
          </cell>
          <cell r="AL493">
            <v>592138459317</v>
          </cell>
          <cell r="AM493" t="str">
            <v>Mohd Sarwar Ahmed</v>
          </cell>
          <cell r="AN493">
            <v>44310</v>
          </cell>
          <cell r="AW493">
            <v>33311</v>
          </cell>
          <cell r="AX493" t="str">
            <v>Female</v>
          </cell>
          <cell r="AY493" t="str">
            <v>Part Time</v>
          </cell>
          <cell r="AZ493">
            <v>1</v>
          </cell>
          <cell r="BA493">
            <v>1</v>
          </cell>
        </row>
        <row r="494">
          <cell r="M494" t="str">
            <v>Vijayanagar - 51</v>
          </cell>
          <cell r="O494" t="str">
            <v>Physician Services</v>
          </cell>
          <cell r="P494" t="str">
            <v>Consultant Physician</v>
          </cell>
          <cell r="R494">
            <v>44105</v>
          </cell>
          <cell r="S494">
            <v>44105</v>
          </cell>
          <cell r="T494">
            <v>44834</v>
          </cell>
          <cell r="U494">
            <v>44835</v>
          </cell>
          <cell r="AA494" t="str">
            <v>MBBS</v>
          </cell>
          <cell r="AB494" t="str">
            <v>TSMC/FMR/10005</v>
          </cell>
          <cell r="AC494" t="str">
            <v>Telangana State Medical Council</v>
          </cell>
          <cell r="AD494">
            <v>43756</v>
          </cell>
          <cell r="AE494">
            <v>45583</v>
          </cell>
          <cell r="AF494">
            <v>9052219387</v>
          </cell>
          <cell r="AG494" t="str">
            <v>mohammedzeeshanuddin94@gmail.com</v>
          </cell>
          <cell r="AH494" t="str">
            <v>SBI Bank</v>
          </cell>
          <cell r="AI494" t="str">
            <v>10015568042</v>
          </cell>
          <cell r="AJ494" t="str">
            <v>SBIN0007054</v>
          </cell>
          <cell r="AK494" t="str">
            <v>DMIPM4646D</v>
          </cell>
          <cell r="AL494">
            <v>286940913253</v>
          </cell>
          <cell r="AM494" t="str">
            <v>Mohd Zaheer Uddin</v>
          </cell>
          <cell r="AW494">
            <v>34607</v>
          </cell>
          <cell r="AX494" t="str">
            <v>Male</v>
          </cell>
          <cell r="AY494" t="str">
            <v>Part Time</v>
          </cell>
          <cell r="AZ494">
            <v>1</v>
          </cell>
          <cell r="BA494">
            <v>1</v>
          </cell>
        </row>
        <row r="495">
          <cell r="M495" t="str">
            <v>Himayatnagar</v>
          </cell>
          <cell r="O495" t="str">
            <v>Radiology</v>
          </cell>
          <cell r="P495" t="str">
            <v>Consultant Radiologist</v>
          </cell>
          <cell r="Q495" t="str">
            <v>Dr L T Kishore</v>
          </cell>
          <cell r="R495">
            <v>44105</v>
          </cell>
          <cell r="S495">
            <v>44197</v>
          </cell>
          <cell r="T495">
            <v>44926</v>
          </cell>
          <cell r="U495">
            <v>44927</v>
          </cell>
          <cell r="AA495" t="str">
            <v>MBBS, DMRD</v>
          </cell>
          <cell r="AB495" t="str">
            <v>TSMC/FMR/08542</v>
          </cell>
          <cell r="AC495" t="str">
            <v>Telangana State Medical Council</v>
          </cell>
          <cell r="AD495">
            <v>43589</v>
          </cell>
          <cell r="AE495">
            <v>45415</v>
          </cell>
          <cell r="AF495">
            <v>9663041240</v>
          </cell>
          <cell r="AG495" t="str">
            <v>rajanig49@gmail.com</v>
          </cell>
          <cell r="AH495" t="str">
            <v>SBI Bank</v>
          </cell>
          <cell r="AI495" t="str">
            <v>62216027132</v>
          </cell>
          <cell r="AJ495" t="str">
            <v>SBIN0014447</v>
          </cell>
          <cell r="AK495" t="str">
            <v>ALQPR0760H</v>
          </cell>
          <cell r="AL495">
            <v>513882614296</v>
          </cell>
          <cell r="AM495" t="str">
            <v>Manikappa Gada</v>
          </cell>
          <cell r="AN495">
            <v>44294</v>
          </cell>
          <cell r="AW495">
            <v>27455</v>
          </cell>
          <cell r="AX495" t="str">
            <v>Female</v>
          </cell>
          <cell r="AY495" t="str">
            <v>Full Time</v>
          </cell>
          <cell r="AZ495">
            <v>8</v>
          </cell>
          <cell r="BA495">
            <v>8</v>
          </cell>
        </row>
        <row r="496">
          <cell r="M496" t="str">
            <v>Yousufguda - 42</v>
          </cell>
          <cell r="O496" t="str">
            <v>Physician Services</v>
          </cell>
          <cell r="P496" t="str">
            <v>Consultant Physician</v>
          </cell>
          <cell r="R496">
            <v>44105</v>
          </cell>
          <cell r="S496">
            <v>44105</v>
          </cell>
          <cell r="T496">
            <v>44834</v>
          </cell>
          <cell r="U496">
            <v>44835</v>
          </cell>
          <cell r="AA496" t="str">
            <v>MBBS</v>
          </cell>
          <cell r="AB496" t="str">
            <v>TSMC/FMR/00305</v>
          </cell>
          <cell r="AC496" t="str">
            <v>Telangana State Medical Council</v>
          </cell>
          <cell r="AD496">
            <v>42455</v>
          </cell>
          <cell r="AE496">
            <v>44280</v>
          </cell>
          <cell r="AF496">
            <v>9949023008</v>
          </cell>
          <cell r="AG496" t="str">
            <v>rajkis008@gmail.com</v>
          </cell>
          <cell r="AH496" t="str">
            <v>SBI Bank</v>
          </cell>
          <cell r="AI496" t="str">
            <v>20114473243</v>
          </cell>
          <cell r="AJ496" t="str">
            <v>SBIN0005094</v>
          </cell>
          <cell r="AK496" t="str">
            <v>ANQPN3859F</v>
          </cell>
          <cell r="AL496">
            <v>941795665901</v>
          </cell>
          <cell r="AM496" t="str">
            <v>Khageswar Nayak</v>
          </cell>
          <cell r="AW496">
            <v>32735</v>
          </cell>
          <cell r="AX496" t="str">
            <v>Male</v>
          </cell>
          <cell r="AY496" t="str">
            <v>Part Time</v>
          </cell>
          <cell r="AZ496">
            <v>1</v>
          </cell>
          <cell r="BA496" t="str">
            <v>Punjagutta Cluster</v>
          </cell>
        </row>
        <row r="497">
          <cell r="M497" t="str">
            <v>Hanamkonda - 40</v>
          </cell>
          <cell r="O497" t="str">
            <v>Pathology</v>
          </cell>
          <cell r="P497" t="str">
            <v>Consultant Pathologist</v>
          </cell>
          <cell r="Q497" t="str">
            <v>Dr Shashikanth</v>
          </cell>
          <cell r="R497">
            <v>44105</v>
          </cell>
          <cell r="S497">
            <v>44105</v>
          </cell>
          <cell r="T497">
            <v>44834</v>
          </cell>
          <cell r="U497">
            <v>44835</v>
          </cell>
          <cell r="AA497" t="str">
            <v>MBBS, MD - Pathology</v>
          </cell>
          <cell r="AB497" t="str">
            <v>APMC/FMR/86090</v>
          </cell>
          <cell r="AC497" t="str">
            <v>Telangana State Medical Council</v>
          </cell>
          <cell r="AD497">
            <v>43679</v>
          </cell>
          <cell r="AE497">
            <v>45505</v>
          </cell>
          <cell r="AF497">
            <v>9908929130</v>
          </cell>
          <cell r="AG497" t="str">
            <v>samathakurapati@gmail.com</v>
          </cell>
          <cell r="AH497" t="str">
            <v>SBI Bank</v>
          </cell>
          <cell r="AI497" t="str">
            <v>62082486004</v>
          </cell>
          <cell r="AJ497" t="str">
            <v>SBIN0021110</v>
          </cell>
          <cell r="AK497" t="str">
            <v>DSHPK7051P</v>
          </cell>
          <cell r="AL497">
            <v>904488419769</v>
          </cell>
          <cell r="AM497" t="str">
            <v>Venkateshwarlu</v>
          </cell>
          <cell r="AW497">
            <v>32901</v>
          </cell>
          <cell r="AX497" t="str">
            <v>Female</v>
          </cell>
          <cell r="AY497" t="str">
            <v>Part Time</v>
          </cell>
          <cell r="AZ497">
            <v>6</v>
          </cell>
          <cell r="BA497">
            <v>6</v>
          </cell>
        </row>
        <row r="498">
          <cell r="M498" t="str">
            <v>Mehdipatnam - 8</v>
          </cell>
          <cell r="N498" t="str">
            <v>USG, X Ray</v>
          </cell>
          <cell r="O498" t="str">
            <v>Radiology</v>
          </cell>
          <cell r="P498" t="str">
            <v>Consultant Radiologist</v>
          </cell>
          <cell r="Q498" t="str">
            <v>Dr L T Kishore</v>
          </cell>
          <cell r="R498">
            <v>44107</v>
          </cell>
          <cell r="S498">
            <v>44107</v>
          </cell>
          <cell r="T498">
            <v>44836</v>
          </cell>
          <cell r="U498">
            <v>44837</v>
          </cell>
          <cell r="W498" t="str">
            <v>Sri Ramachandra Medical College</v>
          </cell>
          <cell r="X498">
            <v>2018</v>
          </cell>
          <cell r="Y498" t="str">
            <v>Vydehi Institute of Medical Sciences and Research Centre</v>
          </cell>
          <cell r="AA498" t="str">
            <v>MBBS, MD - Radio Diagnosis</v>
          </cell>
          <cell r="AB498" t="str">
            <v>APMC/FMR/88970</v>
          </cell>
          <cell r="AC498" t="str">
            <v>Telangana State Medical Council</v>
          </cell>
          <cell r="AD498">
            <v>43483</v>
          </cell>
          <cell r="AE498">
            <v>45308</v>
          </cell>
          <cell r="AF498">
            <v>9663440931</v>
          </cell>
          <cell r="AG498" t="str">
            <v>sheethalvreddy@gmail.com</v>
          </cell>
          <cell r="AH498" t="str">
            <v>HDFC Bank</v>
          </cell>
          <cell r="AI498" t="str">
            <v>50100277200725</v>
          </cell>
          <cell r="AJ498" t="str">
            <v>HDFC0009417</v>
          </cell>
          <cell r="AK498" t="str">
            <v>AWZPV1588K</v>
          </cell>
          <cell r="AL498">
            <v>878077863914</v>
          </cell>
          <cell r="AM498" t="str">
            <v>Vavilala Hanmantha Reddy</v>
          </cell>
          <cell r="AN498">
            <v>44616</v>
          </cell>
          <cell r="AW498">
            <v>33003</v>
          </cell>
          <cell r="AX498" t="str">
            <v>Female</v>
          </cell>
          <cell r="AY498" t="str">
            <v>Part Time</v>
          </cell>
          <cell r="AZ498">
            <v>3</v>
          </cell>
          <cell r="BA498">
            <v>3</v>
          </cell>
        </row>
        <row r="499">
          <cell r="M499" t="str">
            <v>Himayatnagar</v>
          </cell>
          <cell r="O499" t="str">
            <v>Molecular Pathology</v>
          </cell>
          <cell r="P499" t="str">
            <v>Molecular Scientist</v>
          </cell>
          <cell r="Q499" t="str">
            <v>Dr Shashikanth</v>
          </cell>
          <cell r="R499">
            <v>44112</v>
          </cell>
          <cell r="S499">
            <v>44112</v>
          </cell>
          <cell r="T499">
            <v>44841</v>
          </cell>
          <cell r="U499">
            <v>44842</v>
          </cell>
          <cell r="V499">
            <v>0</v>
          </cell>
          <cell r="X499">
            <v>0</v>
          </cell>
          <cell r="Y499">
            <v>0</v>
          </cell>
          <cell r="AA499" t="str">
            <v>M Sc, Phd Bio Tech</v>
          </cell>
          <cell r="AB499" t="str">
            <v>NA</v>
          </cell>
          <cell r="AC499" t="str">
            <v>NA</v>
          </cell>
          <cell r="AD499" t="str">
            <v>NA</v>
          </cell>
          <cell r="AE499" t="str">
            <v>NA</v>
          </cell>
          <cell r="AF499">
            <v>9908176441</v>
          </cell>
          <cell r="AG499" t="str">
            <v>mohannalabolu@gmail.com</v>
          </cell>
          <cell r="AH499" t="str">
            <v>SBI Bank</v>
          </cell>
          <cell r="AI499" t="str">
            <v>52205230720</v>
          </cell>
          <cell r="AJ499" t="str">
            <v>SBIN0020077</v>
          </cell>
          <cell r="AK499" t="str">
            <v>ANSPN1026E</v>
          </cell>
          <cell r="AL499">
            <v>475072404432</v>
          </cell>
          <cell r="AM499" t="str">
            <v>Nalabolu Ananthareddy</v>
          </cell>
          <cell r="AN499">
            <v>44593</v>
          </cell>
          <cell r="AW499">
            <v>30548</v>
          </cell>
          <cell r="AX499" t="str">
            <v>Male</v>
          </cell>
          <cell r="AY499" t="str">
            <v>Full Time</v>
          </cell>
          <cell r="AZ499">
            <v>8</v>
          </cell>
          <cell r="BA499">
            <v>8</v>
          </cell>
        </row>
        <row r="500">
          <cell r="M500" t="str">
            <v>Dilsukhnagar - 12</v>
          </cell>
          <cell r="N500" t="str">
            <v>CT, MRI,USG, XRAY, Guided FNAC</v>
          </cell>
          <cell r="O500" t="str">
            <v>Radiology</v>
          </cell>
          <cell r="P500" t="str">
            <v>Consultant Radiologist</v>
          </cell>
          <cell r="Q500" t="str">
            <v>Dr L T Kishore</v>
          </cell>
          <cell r="R500">
            <v>44116</v>
          </cell>
          <cell r="S500">
            <v>44116</v>
          </cell>
          <cell r="T500">
            <v>44845</v>
          </cell>
          <cell r="U500">
            <v>44846</v>
          </cell>
          <cell r="W500" t="str">
            <v>M R Medical College</v>
          </cell>
          <cell r="X500">
            <v>2019</v>
          </cell>
          <cell r="Y500" t="str">
            <v>S M V M C H</v>
          </cell>
          <cell r="AA500" t="str">
            <v>MBBS, MD - Radio Diagnosis</v>
          </cell>
          <cell r="AB500" t="str">
            <v>TSMC/FMR/13769</v>
          </cell>
          <cell r="AC500" t="str">
            <v>Telangana State Medical Council</v>
          </cell>
          <cell r="AD500">
            <v>44112</v>
          </cell>
          <cell r="AE500">
            <v>45937</v>
          </cell>
          <cell r="AF500">
            <v>9849384957</v>
          </cell>
          <cell r="AG500" t="str">
            <v>rc3440@gmail.com</v>
          </cell>
          <cell r="AH500" t="str">
            <v>Axis Bank</v>
          </cell>
          <cell r="AI500" t="str">
            <v>916010006737217</v>
          </cell>
          <cell r="AJ500" t="str">
            <v>UTIB0000209</v>
          </cell>
          <cell r="AK500" t="str">
            <v>ASKPC3205D</v>
          </cell>
          <cell r="AL500">
            <v>504432568028</v>
          </cell>
          <cell r="AM500" t="str">
            <v>Uday Singh</v>
          </cell>
          <cell r="AN500">
            <v>44706</v>
          </cell>
          <cell r="AO500">
            <v>44662</v>
          </cell>
          <cell r="AW500">
            <v>33693</v>
          </cell>
          <cell r="AX500" t="str">
            <v>Male</v>
          </cell>
          <cell r="AY500" t="str">
            <v>Full Time</v>
          </cell>
          <cell r="AZ500">
            <v>7</v>
          </cell>
          <cell r="BA500">
            <v>7</v>
          </cell>
        </row>
        <row r="501">
          <cell r="M501" t="str">
            <v>Dilsukhnagar - 12</v>
          </cell>
          <cell r="O501" t="str">
            <v>Physician Services</v>
          </cell>
          <cell r="P501" t="str">
            <v>Consultant Physician</v>
          </cell>
          <cell r="R501">
            <v>44116</v>
          </cell>
          <cell r="S501">
            <v>44116</v>
          </cell>
          <cell r="T501">
            <v>44845</v>
          </cell>
          <cell r="U501">
            <v>44846</v>
          </cell>
          <cell r="AA501" t="str">
            <v>MBBS</v>
          </cell>
          <cell r="AB501" t="str">
            <v>TSMC/FMR/10011</v>
          </cell>
          <cell r="AC501" t="str">
            <v>Telangana State Medical Council</v>
          </cell>
          <cell r="AD501">
            <v>43756</v>
          </cell>
          <cell r="AE501">
            <v>45583</v>
          </cell>
          <cell r="AF501">
            <v>9866275590</v>
          </cell>
          <cell r="AG501" t="str">
            <v>zohiabkhan0786@gmail.com</v>
          </cell>
          <cell r="AH501" t="str">
            <v>ICICI Bank</v>
          </cell>
          <cell r="AI501" t="str">
            <v>059601516208</v>
          </cell>
          <cell r="AJ501" t="str">
            <v>ICIC0000596</v>
          </cell>
          <cell r="AK501" t="str">
            <v>ABRPZ5758L</v>
          </cell>
          <cell r="AL501">
            <v>659392638685</v>
          </cell>
          <cell r="AM501" t="str">
            <v>Fazal Ahmed Khan</v>
          </cell>
          <cell r="AN501">
            <v>44742</v>
          </cell>
          <cell r="AO501">
            <v>44746</v>
          </cell>
          <cell r="AW501">
            <v>34642</v>
          </cell>
          <cell r="AX501" t="str">
            <v>Male</v>
          </cell>
          <cell r="AY501" t="str">
            <v>Part Time</v>
          </cell>
          <cell r="AZ501">
            <v>2</v>
          </cell>
          <cell r="BA501">
            <v>7</v>
          </cell>
        </row>
        <row r="502">
          <cell r="M502" t="str">
            <v>Gandhinagar - 79</v>
          </cell>
          <cell r="N502" t="str">
            <v>USG, X-RAY</v>
          </cell>
          <cell r="O502" t="str">
            <v>Radiology</v>
          </cell>
          <cell r="P502" t="str">
            <v>Consultant Radiologist</v>
          </cell>
          <cell r="Q502" t="str">
            <v>Dr L T Kishore</v>
          </cell>
          <cell r="R502">
            <v>44531</v>
          </cell>
          <cell r="S502">
            <v>44531</v>
          </cell>
          <cell r="T502">
            <v>45260</v>
          </cell>
          <cell r="U502">
            <v>45261</v>
          </cell>
          <cell r="V502">
            <v>2013</v>
          </cell>
          <cell r="W502" t="str">
            <v>Deccan College of Medical Sciences, Hyderabad, Telangana</v>
          </cell>
          <cell r="X502">
            <v>2020</v>
          </cell>
          <cell r="Y502" t="str">
            <v>Deccan College of Medical Sciences, Hyderabad, Telangana</v>
          </cell>
          <cell r="AA502" t="str">
            <v>MBBS, MD - Radio Diagnosis</v>
          </cell>
          <cell r="AB502" t="str">
            <v>APMC/FMR/88779</v>
          </cell>
          <cell r="AC502" t="str">
            <v>Telangana State Medical Council</v>
          </cell>
          <cell r="AD502">
            <v>44455</v>
          </cell>
          <cell r="AE502">
            <v>46280</v>
          </cell>
          <cell r="AF502">
            <v>9177638421</v>
          </cell>
          <cell r="AG502" t="str">
            <v>dr.asif071@gmail.com</v>
          </cell>
          <cell r="AH502" t="str">
            <v>SBI Bank</v>
          </cell>
          <cell r="AI502" t="str">
            <v>30462568441</v>
          </cell>
          <cell r="AJ502" t="str">
            <v>SBIN0002769</v>
          </cell>
          <cell r="AK502" t="str">
            <v>DLPPM9009G</v>
          </cell>
          <cell r="AL502">
            <v>373417764095</v>
          </cell>
          <cell r="AM502" t="str">
            <v>Mohammad Gousuddin</v>
          </cell>
          <cell r="AS502" t="str">
            <v>0.10</v>
          </cell>
          <cell r="AW502">
            <v>33450</v>
          </cell>
          <cell r="AX502" t="str">
            <v>Male</v>
          </cell>
          <cell r="AY502" t="str">
            <v>Part Time</v>
          </cell>
          <cell r="AZ502">
            <v>3</v>
          </cell>
          <cell r="BA502" t="str">
            <v>Himayathnagar Cluster</v>
          </cell>
        </row>
        <row r="503">
          <cell r="M503" t="str">
            <v>Kurnool - 43</v>
          </cell>
          <cell r="N503" t="str">
            <v>USG(TIFFA,PREGANCY,DOPPLER,FOLLICULLAR,SCROTUM,EXTRA SCANS ),XRAY</v>
          </cell>
          <cell r="O503" t="str">
            <v>Radiology</v>
          </cell>
          <cell r="P503" t="str">
            <v>Consultant Radiologist</v>
          </cell>
          <cell r="Q503" t="str">
            <v>Dr. Krishna Mohan Pottala</v>
          </cell>
          <cell r="R503">
            <v>44123</v>
          </cell>
          <cell r="S503">
            <v>44853</v>
          </cell>
          <cell r="T503">
            <v>45583</v>
          </cell>
          <cell r="U503">
            <v>45584</v>
          </cell>
          <cell r="V503">
            <v>2013</v>
          </cell>
          <cell r="W503" t="str">
            <v>Nellore Narayana Medical College</v>
          </cell>
          <cell r="X503">
            <v>2020</v>
          </cell>
          <cell r="Y503" t="str">
            <v>Kurnool Medical College</v>
          </cell>
          <cell r="Z503" t="str">
            <v>NA</v>
          </cell>
          <cell r="AA503" t="str">
            <v>MBBS, MD - Radio Diagnosis</v>
          </cell>
          <cell r="AB503" t="str">
            <v>APMC/FMR/83714</v>
          </cell>
          <cell r="AC503" t="str">
            <v>Andhra Pradesh Medical Council</v>
          </cell>
          <cell r="AD503">
            <v>44118</v>
          </cell>
          <cell r="AE503">
            <v>45943</v>
          </cell>
          <cell r="AF503">
            <v>7981538214</v>
          </cell>
          <cell r="AG503" t="str">
            <v>gladiator2468@gmail.com</v>
          </cell>
          <cell r="AH503" t="str">
            <v>Union Bank of India</v>
          </cell>
          <cell r="AI503" t="str">
            <v>137910100086308</v>
          </cell>
          <cell r="AJ503" t="str">
            <v>UBIN0813796</v>
          </cell>
          <cell r="AK503" t="str">
            <v>CBFPD9937H</v>
          </cell>
          <cell r="AL503">
            <v>525518652414</v>
          </cell>
          <cell r="AM503" t="str">
            <v>D Prasad</v>
          </cell>
          <cell r="AN503">
            <v>45323</v>
          </cell>
          <cell r="AO503">
            <v>45323</v>
          </cell>
          <cell r="AU503">
            <v>0.70833333333333337</v>
          </cell>
          <cell r="AV503">
            <v>0.83333333333333337</v>
          </cell>
          <cell r="AW503">
            <v>32382</v>
          </cell>
          <cell r="AX503" t="str">
            <v>Male</v>
          </cell>
          <cell r="AY503" t="str">
            <v>Part Time</v>
          </cell>
          <cell r="AZ503">
            <v>3</v>
          </cell>
          <cell r="BA503">
            <v>8</v>
          </cell>
        </row>
        <row r="504">
          <cell r="M504" t="str">
            <v>Tele reporting</v>
          </cell>
          <cell r="N504" t="str">
            <v>USG(TIFFA,PREGANCY,DOPPLER,FOLLICULLAR,SCROTUM,EXTRA SCANS ),XRAY</v>
          </cell>
          <cell r="O504" t="str">
            <v>Radiology</v>
          </cell>
          <cell r="P504" t="str">
            <v>Consultant Radiologist</v>
          </cell>
          <cell r="Q504" t="str">
            <v>Dr Krishna Mohan Pottala</v>
          </cell>
          <cell r="R504">
            <v>45605</v>
          </cell>
          <cell r="S504">
            <v>45605</v>
          </cell>
          <cell r="T504">
            <v>46334</v>
          </cell>
          <cell r="U504">
            <v>46335</v>
          </cell>
          <cell r="V504">
            <v>2013</v>
          </cell>
          <cell r="W504" t="str">
            <v>Nellore Narayana Medical College</v>
          </cell>
          <cell r="X504">
            <v>2020</v>
          </cell>
          <cell r="Y504" t="str">
            <v>Kurnool Medical College</v>
          </cell>
          <cell r="Z504" t="str">
            <v>NA</v>
          </cell>
          <cell r="AA504" t="str">
            <v>MBBS, MD Radio Diagnosis</v>
          </cell>
          <cell r="AB504" t="str">
            <v>APMC/FMR/83714</v>
          </cell>
          <cell r="AC504" t="str">
            <v>Andhra Pradesh Medical Council</v>
          </cell>
          <cell r="AD504">
            <v>44118</v>
          </cell>
          <cell r="AE504">
            <v>45943</v>
          </cell>
          <cell r="AF504">
            <v>7981538214</v>
          </cell>
          <cell r="AG504" t="str">
            <v>gladiator2468@gmail.com</v>
          </cell>
          <cell r="AH504" t="str">
            <v>Union Bank of India</v>
          </cell>
          <cell r="AI504" t="str">
            <v>137910100086308</v>
          </cell>
          <cell r="AJ504" t="str">
            <v>UBIN0813796</v>
          </cell>
          <cell r="AK504" t="str">
            <v>CBFPD9937H</v>
          </cell>
          <cell r="AL504">
            <v>525518652414</v>
          </cell>
          <cell r="AM504" t="str">
            <v>D Prasad</v>
          </cell>
          <cell r="AN504" t="str">
            <v>Tele</v>
          </cell>
          <cell r="AO504" t="str">
            <v>NA</v>
          </cell>
          <cell r="AP504" t="str">
            <v>not doing cases</v>
          </cell>
          <cell r="AQ504" t="str">
            <v>40-787-B-9, J.J. Nagar, P D T Colony, Kurnool, Andhra Pradesh-518001</v>
          </cell>
          <cell r="AR504">
            <v>37</v>
          </cell>
          <cell r="AW504">
            <v>32382</v>
          </cell>
          <cell r="AX504" t="str">
            <v>Male</v>
          </cell>
          <cell r="AY504" t="str">
            <v>Part Time</v>
          </cell>
          <cell r="BA504" t="str">
            <v>NA</v>
          </cell>
        </row>
        <row r="505">
          <cell r="M505" t="str">
            <v>Himayatnagar</v>
          </cell>
          <cell r="O505" t="str">
            <v>Microbiology</v>
          </cell>
          <cell r="P505" t="str">
            <v>Consultant Microbologist &amp; Serology</v>
          </cell>
          <cell r="Q505" t="str">
            <v>Dr Manisha</v>
          </cell>
          <cell r="R505">
            <v>44125</v>
          </cell>
          <cell r="S505">
            <v>44125</v>
          </cell>
          <cell r="T505">
            <v>44854</v>
          </cell>
          <cell r="U505">
            <v>44855</v>
          </cell>
          <cell r="V505">
            <v>0</v>
          </cell>
          <cell r="X505">
            <v>0</v>
          </cell>
          <cell r="Y505">
            <v>0</v>
          </cell>
          <cell r="AA505" t="str">
            <v>MBBS, MD - Microbiology</v>
          </cell>
          <cell r="AB505">
            <v>12531</v>
          </cell>
          <cell r="AC505" t="str">
            <v>Medical council Of India</v>
          </cell>
          <cell r="AD505">
            <v>35097</v>
          </cell>
          <cell r="AF505">
            <v>9829741224</v>
          </cell>
          <cell r="AG505" t="str">
            <v>vijayaadukoori@gmail.com</v>
          </cell>
          <cell r="AH505" t="str">
            <v>Kotak Mahindra Bank</v>
          </cell>
          <cell r="AI505" t="str">
            <v>7612815190</v>
          </cell>
          <cell r="AJ505" t="str">
            <v>KKBK0000631</v>
          </cell>
          <cell r="AK505" t="str">
            <v>ABBPU1182D</v>
          </cell>
          <cell r="AL505">
            <v>459238969048</v>
          </cell>
          <cell r="AM505" t="str">
            <v>Srinivas Undurty</v>
          </cell>
          <cell r="AN505">
            <v>44854</v>
          </cell>
          <cell r="AO505">
            <v>44807</v>
          </cell>
          <cell r="AS505" t="e">
            <v>#REF!</v>
          </cell>
          <cell r="AW505">
            <v>25861</v>
          </cell>
          <cell r="AX505" t="str">
            <v>Female</v>
          </cell>
          <cell r="AY505" t="str">
            <v>Full Time</v>
          </cell>
          <cell r="AZ505">
            <v>8</v>
          </cell>
          <cell r="BA505">
            <v>2</v>
          </cell>
        </row>
        <row r="506">
          <cell r="M506" t="str">
            <v>Vijayanagar - 51</v>
          </cell>
          <cell r="N506" t="str">
            <v>USG, X Ray</v>
          </cell>
          <cell r="O506" t="str">
            <v>Radiology</v>
          </cell>
          <cell r="P506" t="str">
            <v>Consultant Radiologist</v>
          </cell>
          <cell r="Q506" t="str">
            <v>Dr L T Kishore</v>
          </cell>
          <cell r="R506">
            <v>44125</v>
          </cell>
          <cell r="S506">
            <v>44125</v>
          </cell>
          <cell r="T506">
            <v>44854</v>
          </cell>
          <cell r="U506">
            <v>44855</v>
          </cell>
          <cell r="AA506" t="str">
            <v>MBBS, MD - Radiodiagnosis</v>
          </cell>
          <cell r="AB506" t="str">
            <v>APMC/FMR/91157</v>
          </cell>
          <cell r="AC506" t="str">
            <v>Andhra Pradesh Medical Council</v>
          </cell>
          <cell r="AD506">
            <v>44111</v>
          </cell>
          <cell r="AE506">
            <v>45936</v>
          </cell>
          <cell r="AF506">
            <v>7799172222</v>
          </cell>
          <cell r="AG506" t="str">
            <v>monie.medico@gmail.com</v>
          </cell>
          <cell r="AH506" t="str">
            <v>HDFC Bank</v>
          </cell>
          <cell r="AI506" t="str">
            <v>10121530004236</v>
          </cell>
          <cell r="AJ506" t="str">
            <v>HDFC0001012</v>
          </cell>
          <cell r="AK506" t="str">
            <v>BJTPB9462J</v>
          </cell>
          <cell r="AL506">
            <v>801064564126</v>
          </cell>
          <cell r="AM506" t="str">
            <v>Bevera Nageshwara Rao</v>
          </cell>
          <cell r="AN506">
            <v>44490</v>
          </cell>
          <cell r="AW506">
            <v>33833</v>
          </cell>
          <cell r="AX506" t="str">
            <v>Female</v>
          </cell>
          <cell r="AY506" t="str">
            <v>Full Time</v>
          </cell>
          <cell r="AZ506">
            <v>8</v>
          </cell>
          <cell r="BA506">
            <v>1</v>
          </cell>
        </row>
        <row r="507">
          <cell r="M507" t="str">
            <v>Dwarakanagar - 6</v>
          </cell>
          <cell r="N507" t="str">
            <v>USG, Tiffa,  Guided Procedures,  IVP, RGU, MCGU, Barium Swallow, Barium Enemma, HSG, X Ray,  Mamography, Basic CT, MRI Basic</v>
          </cell>
          <cell r="O507" t="str">
            <v>Radiology</v>
          </cell>
          <cell r="P507" t="str">
            <v>Consultant Radiologist</v>
          </cell>
          <cell r="Q507" t="str">
            <v>Dr. Krishna Mohan Pottala</v>
          </cell>
          <cell r="R507">
            <v>44473</v>
          </cell>
          <cell r="S507">
            <v>45203</v>
          </cell>
          <cell r="T507">
            <v>45933</v>
          </cell>
          <cell r="U507">
            <v>45934</v>
          </cell>
          <cell r="V507">
            <v>2009</v>
          </cell>
          <cell r="W507" t="str">
            <v>Dr. Pinnamneni Siddhartha Medical Sciences &amp; RF</v>
          </cell>
          <cell r="X507">
            <v>2018</v>
          </cell>
          <cell r="Y507" t="str">
            <v>Dr. Pinnamneni Siddhartha Medical Sciences &amp; RF</v>
          </cell>
          <cell r="Z507" t="str">
            <v>NA</v>
          </cell>
          <cell r="AA507" t="str">
            <v>MBBS, MD - Radio Diagnosis</v>
          </cell>
          <cell r="AB507">
            <v>64176</v>
          </cell>
          <cell r="AC507" t="str">
            <v>Andhra Pradesh Medical Council</v>
          </cell>
          <cell r="AD507">
            <v>43298</v>
          </cell>
          <cell r="AE507">
            <v>45123</v>
          </cell>
          <cell r="AF507">
            <v>8500444429</v>
          </cell>
          <cell r="AG507" t="str">
            <v>ram5252@gmail.com</v>
          </cell>
          <cell r="AH507" t="str">
            <v>SBI Bank</v>
          </cell>
          <cell r="AI507" t="str">
            <v>20027753091</v>
          </cell>
          <cell r="AJ507" t="str">
            <v>SBIN0000752</v>
          </cell>
          <cell r="AK507" t="str">
            <v>BALPM7294Q</v>
          </cell>
          <cell r="AL507" t="str">
            <v>377775495830</v>
          </cell>
          <cell r="AM507" t="str">
            <v>Rama Rao Maram</v>
          </cell>
          <cell r="AN507">
            <v>45473</v>
          </cell>
          <cell r="AO507">
            <v>45469</v>
          </cell>
          <cell r="AP507" t="str">
            <v>Health issues</v>
          </cell>
          <cell r="AU507">
            <v>0.64583333333333337</v>
          </cell>
          <cell r="AV507">
            <v>0.875</v>
          </cell>
          <cell r="AW507">
            <v>30540</v>
          </cell>
          <cell r="AX507" t="str">
            <v>Female</v>
          </cell>
          <cell r="AY507" t="str">
            <v>Part Time</v>
          </cell>
          <cell r="AZ507">
            <v>5.5</v>
          </cell>
          <cell r="BA507">
            <v>5.5</v>
          </cell>
        </row>
        <row r="508">
          <cell r="O508" t="str">
            <v>NA</v>
          </cell>
        </row>
        <row r="509">
          <cell r="M509" t="str">
            <v>Dwarakanagar - 6</v>
          </cell>
          <cell r="N509" t="str">
            <v>USG, XRAY</v>
          </cell>
          <cell r="O509" t="str">
            <v>Radiology</v>
          </cell>
          <cell r="P509" t="str">
            <v>Consultant Radiologist</v>
          </cell>
          <cell r="Q509" t="str">
            <v>Dr L T Kishore</v>
          </cell>
          <cell r="R509">
            <v>44137</v>
          </cell>
          <cell r="S509">
            <v>44137</v>
          </cell>
          <cell r="T509">
            <v>44866</v>
          </cell>
          <cell r="U509">
            <v>44867</v>
          </cell>
          <cell r="AA509" t="str">
            <v>MBBS, MD - Radiodiagnosis</v>
          </cell>
          <cell r="AB509" t="str">
            <v>APMC/FMR/96156</v>
          </cell>
          <cell r="AC509" t="str">
            <v>Andhra Pradesh Medical Council</v>
          </cell>
          <cell r="AD509">
            <v>44131</v>
          </cell>
          <cell r="AE509">
            <v>45956</v>
          </cell>
          <cell r="AF509">
            <v>9346375188</v>
          </cell>
          <cell r="AG509" t="str">
            <v>soniapavanimukkamala@gmail.com</v>
          </cell>
          <cell r="AH509" t="str">
            <v>SBI Bank</v>
          </cell>
          <cell r="AI509" t="str">
            <v>38441726937</v>
          </cell>
          <cell r="AJ509" t="str">
            <v>SBIN0002707</v>
          </cell>
          <cell r="AK509" t="str">
            <v>BONPM1864E</v>
          </cell>
          <cell r="AL509">
            <v>399489835542</v>
          </cell>
          <cell r="AM509" t="str">
            <v>Appa Rao Mukkamala</v>
          </cell>
          <cell r="AN509">
            <v>44320</v>
          </cell>
          <cell r="AW509">
            <v>33913</v>
          </cell>
          <cell r="AX509" t="str">
            <v>Female</v>
          </cell>
          <cell r="AY509" t="str">
            <v>Part Time</v>
          </cell>
          <cell r="AZ509">
            <v>3</v>
          </cell>
          <cell r="BA509">
            <v>5.5</v>
          </cell>
        </row>
        <row r="510">
          <cell r="M510" t="str">
            <v>Habsiguda - 17</v>
          </cell>
          <cell r="O510" t="str">
            <v>Pathology</v>
          </cell>
          <cell r="P510" t="str">
            <v>Consultant Pathologist</v>
          </cell>
          <cell r="Q510" t="str">
            <v>Dr Shashikanth</v>
          </cell>
          <cell r="R510">
            <v>44140</v>
          </cell>
          <cell r="S510">
            <v>44140</v>
          </cell>
          <cell r="T510">
            <v>44869</v>
          </cell>
          <cell r="U510">
            <v>44870</v>
          </cell>
          <cell r="V510">
            <v>2012</v>
          </cell>
          <cell r="W510" t="str">
            <v>Kakatiya Medical College</v>
          </cell>
          <cell r="X510">
            <v>2020</v>
          </cell>
          <cell r="AA510" t="str">
            <v>MBBS, MD - Pathology</v>
          </cell>
          <cell r="AB510" t="str">
            <v>APMC/FMR/80149</v>
          </cell>
          <cell r="AC510" t="str">
            <v>Telangana State Medical Council</v>
          </cell>
          <cell r="AD510">
            <v>44466</v>
          </cell>
          <cell r="AE510">
            <v>46291</v>
          </cell>
          <cell r="AF510">
            <v>7358207703</v>
          </cell>
          <cell r="AG510" t="str">
            <v>madhuri.kukunoor@gmail.com</v>
          </cell>
          <cell r="AH510" t="str">
            <v>SBI Bank</v>
          </cell>
          <cell r="AI510" t="str">
            <v>20055861819</v>
          </cell>
          <cell r="AJ510" t="str">
            <v>SBIN0011079</v>
          </cell>
          <cell r="AK510" t="str">
            <v>DNEPK1148B</v>
          </cell>
          <cell r="AL510">
            <v>349292440236</v>
          </cell>
          <cell r="AM510" t="str">
            <v>Kukunoor Shyam</v>
          </cell>
          <cell r="AN510">
            <v>44697</v>
          </cell>
          <cell r="AO510">
            <v>44635</v>
          </cell>
          <cell r="AW510">
            <v>32515</v>
          </cell>
          <cell r="AX510" t="str">
            <v>Female</v>
          </cell>
          <cell r="AY510" t="str">
            <v>Full Time</v>
          </cell>
          <cell r="AZ510">
            <v>8</v>
          </cell>
          <cell r="BA510">
            <v>8</v>
          </cell>
        </row>
        <row r="511">
          <cell r="M511" t="str">
            <v>Motinagar - 19</v>
          </cell>
          <cell r="O511" t="str">
            <v>Radiology</v>
          </cell>
          <cell r="P511" t="str">
            <v>Consultant  Sonologist</v>
          </cell>
          <cell r="Q511" t="str">
            <v>Dr L T Kishore</v>
          </cell>
          <cell r="R511">
            <v>44139</v>
          </cell>
          <cell r="S511">
            <v>44139</v>
          </cell>
          <cell r="T511">
            <v>44868</v>
          </cell>
          <cell r="U511">
            <v>44869</v>
          </cell>
          <cell r="AA511" t="str">
            <v>MBBS</v>
          </cell>
          <cell r="AB511" t="str">
            <v>APMC/FMR/76485</v>
          </cell>
          <cell r="AC511" t="str">
            <v>Andhra Pradesh Medical Council</v>
          </cell>
          <cell r="AD511">
            <v>41085</v>
          </cell>
          <cell r="AE511">
            <v>42910</v>
          </cell>
          <cell r="AF511">
            <v>7337480618</v>
          </cell>
          <cell r="AG511" t="str">
            <v>dranitareddyk@gmail.com</v>
          </cell>
          <cell r="AH511" t="str">
            <v>HDFC Bank</v>
          </cell>
          <cell r="AI511" t="str">
            <v>03171000028253</v>
          </cell>
          <cell r="AJ511" t="str">
            <v>HDFC0000317</v>
          </cell>
          <cell r="AK511" t="str">
            <v>DYHPK7386F</v>
          </cell>
          <cell r="AL511">
            <v>668118206679</v>
          </cell>
          <cell r="AM511" t="str">
            <v>Kasipathy Raja</v>
          </cell>
          <cell r="AW511">
            <v>32510</v>
          </cell>
          <cell r="AX511" t="str">
            <v>Female</v>
          </cell>
          <cell r="AY511" t="str">
            <v>Part Time</v>
          </cell>
          <cell r="AZ511">
            <v>3</v>
          </cell>
          <cell r="BA511">
            <v>3</v>
          </cell>
        </row>
        <row r="512">
          <cell r="M512" t="str">
            <v>Ameerpet - 14</v>
          </cell>
          <cell r="N512" t="str">
            <v>USG , Tiffa, MSK, Basic CT,  X-Ray, IVP, RGU, MCGU, Barium Swallow, Barium Enema, HSG</v>
          </cell>
          <cell r="O512" t="str">
            <v>Radiology</v>
          </cell>
          <cell r="P512" t="str">
            <v>Consultant Radiologist</v>
          </cell>
          <cell r="Q512" t="str">
            <v>Dr. Krishna Mohan Pottala</v>
          </cell>
          <cell r="R512">
            <v>44441</v>
          </cell>
          <cell r="S512">
            <v>44441</v>
          </cell>
          <cell r="T512">
            <v>45170</v>
          </cell>
          <cell r="U512">
            <v>45171</v>
          </cell>
          <cell r="W512" t="str">
            <v>Osmania Medical College</v>
          </cell>
          <cell r="X512">
            <v>2018</v>
          </cell>
          <cell r="Y512" t="str">
            <v>Krishna Institute of Medical Sciences</v>
          </cell>
          <cell r="Z512" t="str">
            <v>NA</v>
          </cell>
          <cell r="AA512" t="str">
            <v>MBBS, DNB - Radiodiagnosis</v>
          </cell>
          <cell r="AB512" t="str">
            <v>APMC/FMR/83527</v>
          </cell>
          <cell r="AC512" t="str">
            <v>Telangana State Medical Council</v>
          </cell>
          <cell r="AD512">
            <v>44112</v>
          </cell>
          <cell r="AE512">
            <v>45937</v>
          </cell>
          <cell r="AF512">
            <v>8008844664</v>
          </cell>
          <cell r="AG512" t="str">
            <v>sreenivas2083@gmail.com</v>
          </cell>
          <cell r="AH512" t="str">
            <v>Union Bank of India</v>
          </cell>
          <cell r="AI512" t="str">
            <v>219310100025608</v>
          </cell>
          <cell r="AJ512" t="str">
            <v>UBIN0821934</v>
          </cell>
          <cell r="AK512" t="str">
            <v>JHNPS3430K</v>
          </cell>
          <cell r="AL512">
            <v>834324330767</v>
          </cell>
          <cell r="AM512" t="str">
            <v>S Narsimlu</v>
          </cell>
          <cell r="AN512">
            <v>44957</v>
          </cell>
          <cell r="AO512">
            <v>44897</v>
          </cell>
          <cell r="AW512">
            <v>32692</v>
          </cell>
          <cell r="AX512" t="str">
            <v>Male</v>
          </cell>
          <cell r="AY512" t="str">
            <v>Part Time</v>
          </cell>
          <cell r="AZ512">
            <v>4</v>
          </cell>
          <cell r="BA512">
            <v>4</v>
          </cell>
        </row>
        <row r="513">
          <cell r="M513" t="str">
            <v>Ramji Nagar - 106</v>
          </cell>
          <cell r="N513" t="str">
            <v>Basis USG, Tiffa, Fetal Echo, MSK, Basic CT, Basic MRI, X-Ray, Mammography, IVP, RGU, MCGU, Barium Swallo, Barium Enema, HSG</v>
          </cell>
          <cell r="O513" t="str">
            <v>Radiology</v>
          </cell>
          <cell r="P513" t="str">
            <v>Consultant Radiologist</v>
          </cell>
          <cell r="Q513" t="str">
            <v>Dr. Krishna Mohan Pottala</v>
          </cell>
          <cell r="R513">
            <v>44835</v>
          </cell>
          <cell r="S513">
            <v>44835</v>
          </cell>
          <cell r="T513">
            <v>45565</v>
          </cell>
          <cell r="U513">
            <v>45566</v>
          </cell>
          <cell r="V513">
            <v>2011</v>
          </cell>
          <cell r="W513" t="str">
            <v>Dalian Medical University</v>
          </cell>
          <cell r="X513">
            <v>2020</v>
          </cell>
          <cell r="Y513" t="str">
            <v>Asram Medical College</v>
          </cell>
          <cell r="Z513" t="str">
            <v>NA</v>
          </cell>
          <cell r="AA513" t="str">
            <v>MBBS, MD - Radio Diagnosis</v>
          </cell>
          <cell r="AB513" t="str">
            <v>APMC/FMR/76969</v>
          </cell>
          <cell r="AC513" t="str">
            <v>Andhra Pradesh Medical Council</v>
          </cell>
          <cell r="AD513">
            <v>44126</v>
          </cell>
          <cell r="AE513">
            <v>45951</v>
          </cell>
          <cell r="AF513">
            <v>8801785621</v>
          </cell>
          <cell r="AG513" t="str">
            <v>prathyusha.amar@gmail.com</v>
          </cell>
          <cell r="AH513" t="str">
            <v>SBI Bank</v>
          </cell>
          <cell r="AI513" t="str">
            <v>34007363114</v>
          </cell>
          <cell r="AJ513" t="str">
            <v>SBIN0007457</v>
          </cell>
          <cell r="AK513" t="str">
            <v>BCEPV8933N</v>
          </cell>
          <cell r="AL513">
            <v>617021257272</v>
          </cell>
          <cell r="AM513" t="str">
            <v>Siva Ragaiah Velam</v>
          </cell>
          <cell r="AW513">
            <v>32343</v>
          </cell>
          <cell r="AX513" t="str">
            <v>Female</v>
          </cell>
          <cell r="AY513" t="str">
            <v>Full Time</v>
          </cell>
          <cell r="AZ513">
            <v>8</v>
          </cell>
          <cell r="BA513">
            <v>8</v>
          </cell>
        </row>
        <row r="514">
          <cell r="M514" t="str">
            <v>Rajahmundry-118</v>
          </cell>
          <cell r="N514" t="str">
            <v>N/A</v>
          </cell>
          <cell r="O514" t="str">
            <v>Physician Services</v>
          </cell>
          <cell r="P514" t="str">
            <v>Consultant Physician</v>
          </cell>
          <cell r="Q514" t="str">
            <v>N/A</v>
          </cell>
          <cell r="R514">
            <v>45282</v>
          </cell>
          <cell r="S514">
            <v>45282</v>
          </cell>
          <cell r="T514">
            <v>46012</v>
          </cell>
          <cell r="U514">
            <v>46013</v>
          </cell>
          <cell r="V514">
            <v>2012</v>
          </cell>
          <cell r="W514" t="str">
            <v>Dr. NTR Health Sciences University</v>
          </cell>
          <cell r="Z514" t="str">
            <v>NA</v>
          </cell>
          <cell r="AA514" t="str">
            <v>MBBS</v>
          </cell>
          <cell r="AB514" t="str">
            <v>APMC/FMR/77571</v>
          </cell>
          <cell r="AC514" t="str">
            <v>Andhra Pradesh Medical Council</v>
          </cell>
          <cell r="AD514">
            <v>44160</v>
          </cell>
          <cell r="AE514">
            <v>45985</v>
          </cell>
          <cell r="AF514">
            <v>9515098234</v>
          </cell>
          <cell r="AG514" t="str">
            <v>Vaddai.jayavardhani6@gmail.com</v>
          </cell>
          <cell r="AH514" t="str">
            <v>SBI Bank</v>
          </cell>
          <cell r="AI514" t="str">
            <v>38793329224</v>
          </cell>
          <cell r="AJ514" t="str">
            <v>SBIN0021242</v>
          </cell>
          <cell r="AK514" t="str">
            <v>AOJPV5024J</v>
          </cell>
          <cell r="AL514">
            <v>394132535956</v>
          </cell>
          <cell r="AN514">
            <v>45474</v>
          </cell>
          <cell r="AO514" t="str">
            <v>NA</v>
          </cell>
          <cell r="AP514" t="str">
            <v>Personal Reason</v>
          </cell>
          <cell r="AQ514" t="str">
            <v>Flat No. 1-46-1/5 HIG 71 Sector No. 1, MVP Colony, LB Colony, Visakhapatnam, Andhra Pradesh - 530017</v>
          </cell>
          <cell r="AS514" t="str">
            <v>Flat No. 1-46-1/5 HIG 71 Sector No. 1, MVP Colony, LB Colony, Visakhapatnam, Andhra Pradesh - 530017</v>
          </cell>
          <cell r="AU514">
            <v>0.70833333333333337</v>
          </cell>
          <cell r="AV514">
            <v>0.75</v>
          </cell>
          <cell r="AW514">
            <v>31040</v>
          </cell>
          <cell r="AX514" t="str">
            <v>Female</v>
          </cell>
          <cell r="AY514" t="str">
            <v>Part Time</v>
          </cell>
          <cell r="AZ514">
            <v>1</v>
          </cell>
          <cell r="BA514" t="str">
            <v>Visakhapatnam Cluster</v>
          </cell>
        </row>
        <row r="515">
          <cell r="M515" t="str">
            <v>Dilsukhnagar - 12</v>
          </cell>
          <cell r="O515" t="str">
            <v>Radiology</v>
          </cell>
          <cell r="P515" t="str">
            <v>Consultant Radiologist</v>
          </cell>
          <cell r="Q515" t="str">
            <v>Dr L T Kishore</v>
          </cell>
          <cell r="R515">
            <v>44151</v>
          </cell>
          <cell r="S515">
            <v>44151</v>
          </cell>
          <cell r="T515">
            <v>44880</v>
          </cell>
          <cell r="U515">
            <v>44881</v>
          </cell>
          <cell r="AA515" t="str">
            <v>MBBS, MD - Radiodiagnosis</v>
          </cell>
          <cell r="AB515" t="str">
            <v>APMC/FMR/93917</v>
          </cell>
          <cell r="AC515" t="str">
            <v>Telangana State Medical Council</v>
          </cell>
          <cell r="AD515">
            <v>44457</v>
          </cell>
          <cell r="AE515">
            <v>46282</v>
          </cell>
          <cell r="AF515">
            <v>7780375216</v>
          </cell>
          <cell r="AG515" t="str">
            <v>sreelaxmi.aitipamula@gmail.com</v>
          </cell>
          <cell r="AH515" t="str">
            <v>SBI Bank</v>
          </cell>
          <cell r="AI515" t="str">
            <v>62344114675</v>
          </cell>
          <cell r="AJ515" t="str">
            <v>SBIN0021463</v>
          </cell>
          <cell r="AK515" t="str">
            <v>BUOPA0778A</v>
          </cell>
          <cell r="AL515">
            <v>201796861541</v>
          </cell>
          <cell r="AM515" t="str">
            <v>Aitipamula Sree Laxmi</v>
          </cell>
          <cell r="AN515">
            <v>44327</v>
          </cell>
          <cell r="AW515">
            <v>33865</v>
          </cell>
          <cell r="AX515" t="str">
            <v>Female</v>
          </cell>
          <cell r="AY515" t="str">
            <v>Part Time</v>
          </cell>
          <cell r="AZ515">
            <v>3</v>
          </cell>
          <cell r="BA515">
            <v>7</v>
          </cell>
        </row>
        <row r="516">
          <cell r="M516" t="str">
            <v>Dwarakanagar - 6</v>
          </cell>
          <cell r="N516" t="str">
            <v>CT &amp; MRI, USG</v>
          </cell>
          <cell r="O516" t="str">
            <v>Radiology</v>
          </cell>
          <cell r="P516" t="str">
            <v>Consultant Radiologist</v>
          </cell>
          <cell r="Q516" t="str">
            <v>Dr L T Kishore</v>
          </cell>
          <cell r="R516">
            <v>44151</v>
          </cell>
          <cell r="S516">
            <v>44151</v>
          </cell>
          <cell r="T516">
            <v>44880</v>
          </cell>
          <cell r="U516">
            <v>44881</v>
          </cell>
          <cell r="AA516" t="str">
            <v>MBBS, MD - Radiodiagnosis</v>
          </cell>
          <cell r="AB516">
            <v>87545</v>
          </cell>
          <cell r="AC516" t="str">
            <v>Medical council Of India</v>
          </cell>
          <cell r="AD516">
            <v>41423</v>
          </cell>
          <cell r="AF516">
            <v>9633628262</v>
          </cell>
          <cell r="AG516" t="str">
            <v>mrana36@yahoo.com</v>
          </cell>
          <cell r="AH516" t="str">
            <v>HDFC Bank</v>
          </cell>
          <cell r="AI516" t="str">
            <v>05261000085601</v>
          </cell>
          <cell r="AJ516" t="str">
            <v>HDFC0000526</v>
          </cell>
          <cell r="AK516" t="str">
            <v>AGQPL7737D</v>
          </cell>
          <cell r="AL516">
            <v>312854249778</v>
          </cell>
          <cell r="AM516" t="str">
            <v>R P Singh</v>
          </cell>
          <cell r="AN516">
            <v>44484</v>
          </cell>
          <cell r="AW516">
            <v>27607</v>
          </cell>
          <cell r="AX516" t="str">
            <v>Female</v>
          </cell>
          <cell r="AY516" t="str">
            <v>Full Time</v>
          </cell>
          <cell r="AZ516">
            <v>8</v>
          </cell>
          <cell r="BA516">
            <v>5.5</v>
          </cell>
        </row>
        <row r="517">
          <cell r="M517" t="str">
            <v>Gachibowli-66</v>
          </cell>
          <cell r="N517" t="str">
            <v>USG, Mamograph, X Ray Reporting</v>
          </cell>
          <cell r="O517" t="str">
            <v>Radiology</v>
          </cell>
          <cell r="P517" t="str">
            <v>Consultant Radiologist</v>
          </cell>
          <cell r="Q517" t="str">
            <v>Dr L T Kishore</v>
          </cell>
          <cell r="R517">
            <v>44154</v>
          </cell>
          <cell r="S517">
            <v>44154</v>
          </cell>
          <cell r="T517">
            <v>44883</v>
          </cell>
          <cell r="U517">
            <v>44884</v>
          </cell>
          <cell r="W517" t="str">
            <v>Guntur Medical College</v>
          </cell>
          <cell r="X517">
            <v>2013</v>
          </cell>
          <cell r="Y517" t="str">
            <v>Apollo Hospital</v>
          </cell>
          <cell r="AA517" t="str">
            <v>MBBS, DNB - Radiodiagnosis</v>
          </cell>
          <cell r="AB517">
            <v>55458</v>
          </cell>
          <cell r="AC517" t="str">
            <v>Telangana State Medical Council</v>
          </cell>
          <cell r="AD517">
            <v>44088</v>
          </cell>
          <cell r="AE517">
            <v>45913</v>
          </cell>
          <cell r="AF517">
            <v>9866567164</v>
          </cell>
          <cell r="AG517" t="str">
            <v>srujana_patnaik@yahoo.co.in</v>
          </cell>
          <cell r="AH517" t="str">
            <v>HDFC Bank</v>
          </cell>
          <cell r="AI517" t="str">
            <v>03171140054105</v>
          </cell>
          <cell r="AJ517" t="str">
            <v>HDFC0000317</v>
          </cell>
          <cell r="AK517" t="str">
            <v>AGQPL7737D</v>
          </cell>
          <cell r="AL517">
            <v>390205495158</v>
          </cell>
          <cell r="AM517" t="str">
            <v>L Chandra Mouleswara Rao</v>
          </cell>
          <cell r="AN517">
            <v>44530</v>
          </cell>
          <cell r="AW517">
            <v>29989</v>
          </cell>
          <cell r="AX517" t="str">
            <v>Female</v>
          </cell>
          <cell r="AY517" t="str">
            <v>Part Time</v>
          </cell>
          <cell r="AZ517">
            <v>3.5</v>
          </cell>
          <cell r="BA517">
            <v>3.5</v>
          </cell>
        </row>
        <row r="518">
          <cell r="M518" t="str">
            <v>Hanamkonda - 40</v>
          </cell>
          <cell r="O518" t="str">
            <v>Radiology</v>
          </cell>
          <cell r="P518" t="str">
            <v>Consultant  Sonologist</v>
          </cell>
          <cell r="Q518" t="str">
            <v>Dr L T Kishore</v>
          </cell>
          <cell r="R518">
            <v>44160</v>
          </cell>
          <cell r="S518">
            <v>44160</v>
          </cell>
          <cell r="T518">
            <v>44889</v>
          </cell>
          <cell r="U518">
            <v>44890</v>
          </cell>
          <cell r="AA518" t="str">
            <v>MBBS, DMRD</v>
          </cell>
          <cell r="AB518" t="str">
            <v>TSMC/FMR/01308</v>
          </cell>
          <cell r="AC518" t="str">
            <v>Telangana State Medical Council</v>
          </cell>
          <cell r="AD518">
            <v>42619</v>
          </cell>
          <cell r="AE518">
            <v>44444</v>
          </cell>
          <cell r="AF518">
            <v>9866921637</v>
          </cell>
          <cell r="AG518" t="str">
            <v>srinath.sri1991@gmail.com</v>
          </cell>
          <cell r="AH518" t="str">
            <v>Andhra Bank</v>
          </cell>
          <cell r="AI518" t="str">
            <v>030210100040403</v>
          </cell>
          <cell r="AJ518" t="str">
            <v>ANDB0001517</v>
          </cell>
          <cell r="AK518" t="str">
            <v>APIPL8689R</v>
          </cell>
          <cell r="AL518">
            <v>331680072590</v>
          </cell>
          <cell r="AM518" t="str">
            <v>Bikshapati</v>
          </cell>
          <cell r="AW518">
            <v>33390</v>
          </cell>
          <cell r="AX518" t="str">
            <v>Male</v>
          </cell>
          <cell r="AY518" t="str">
            <v>Part Time</v>
          </cell>
          <cell r="AZ518">
            <v>5</v>
          </cell>
          <cell r="BA518">
            <v>6</v>
          </cell>
        </row>
        <row r="519">
          <cell r="M519" t="str">
            <v>Karimnagar-75</v>
          </cell>
          <cell r="O519" t="str">
            <v>Microbiology</v>
          </cell>
          <cell r="P519" t="str">
            <v>Consultant Microbiologist</v>
          </cell>
          <cell r="Q519" t="str">
            <v>Dr. Manisha Singh</v>
          </cell>
          <cell r="R519">
            <v>44166</v>
          </cell>
          <cell r="S519">
            <v>44896</v>
          </cell>
          <cell r="T519">
            <v>45626</v>
          </cell>
          <cell r="U519">
            <v>45627</v>
          </cell>
          <cell r="V519">
            <v>2002</v>
          </cell>
          <cell r="X519">
            <v>2014</v>
          </cell>
          <cell r="Y519" t="str">
            <v>Prathima Institute of Medical Science</v>
          </cell>
          <cell r="Z519" t="str">
            <v>NA</v>
          </cell>
          <cell r="AA519" t="str">
            <v>MBBS, MD - Microbiology</v>
          </cell>
          <cell r="AB519">
            <v>50393</v>
          </cell>
          <cell r="AC519" t="str">
            <v>Telangana State Medical Council</v>
          </cell>
          <cell r="AD519">
            <v>42891</v>
          </cell>
          <cell r="AE519">
            <v>44716</v>
          </cell>
          <cell r="AF519">
            <v>9849015377</v>
          </cell>
          <cell r="AG519" t="str">
            <v>sandhyarameshk12@gmail.com</v>
          </cell>
          <cell r="AH519" t="str">
            <v>SBI Bank</v>
          </cell>
          <cell r="AI519" t="str">
            <v>20313946501</v>
          </cell>
          <cell r="AJ519" t="str">
            <v>SBIN0012905</v>
          </cell>
          <cell r="AK519" t="str">
            <v>BBVPK9309K</v>
          </cell>
          <cell r="AL519">
            <v>260598387523</v>
          </cell>
          <cell r="AM519" t="str">
            <v>K Surendranath Sai</v>
          </cell>
          <cell r="AW519">
            <v>28756</v>
          </cell>
          <cell r="AX519" t="str">
            <v>Female</v>
          </cell>
          <cell r="AY519" t="str">
            <v>Part Time</v>
          </cell>
          <cell r="AZ519">
            <v>2</v>
          </cell>
          <cell r="BA519">
            <v>2</v>
          </cell>
        </row>
        <row r="520">
          <cell r="O520" t="str">
            <v>NA</v>
          </cell>
        </row>
        <row r="521">
          <cell r="M521" t="str">
            <v>Nandyal - 48</v>
          </cell>
          <cell r="O521" t="str">
            <v>Pathology</v>
          </cell>
          <cell r="P521" t="str">
            <v>Consultant Pathologist</v>
          </cell>
          <cell r="Q521" t="str">
            <v>Dr Shashikanth</v>
          </cell>
          <cell r="R521">
            <v>44166</v>
          </cell>
          <cell r="S521">
            <v>44166</v>
          </cell>
          <cell r="T521">
            <v>44895</v>
          </cell>
          <cell r="U521">
            <v>44896</v>
          </cell>
          <cell r="AA521" t="str">
            <v>MBBS, MD - Pathology</v>
          </cell>
          <cell r="AB521" t="str">
            <v>APMC/FMR/77633</v>
          </cell>
          <cell r="AC521" t="str">
            <v>Telangana State Medical Council</v>
          </cell>
          <cell r="AD521">
            <v>43333</v>
          </cell>
          <cell r="AE521">
            <v>45158</v>
          </cell>
          <cell r="AF521">
            <v>8903700811</v>
          </cell>
          <cell r="AG521" t="str">
            <v>dr.vijjynaani@gmail.com</v>
          </cell>
          <cell r="AH521" t="str">
            <v>SBI Bank</v>
          </cell>
          <cell r="AI521" t="str">
            <v>00000031737055044</v>
          </cell>
          <cell r="AJ521" t="str">
            <v>SBIN0002238</v>
          </cell>
          <cell r="AK521" t="str">
            <v>APGPV5737C</v>
          </cell>
          <cell r="AL521">
            <v>772286142904</v>
          </cell>
          <cell r="AM521" t="str">
            <v>G Ramappa</v>
          </cell>
          <cell r="AN521">
            <v>44473</v>
          </cell>
          <cell r="AW521">
            <v>32283</v>
          </cell>
          <cell r="AX521" t="str">
            <v>Female</v>
          </cell>
          <cell r="AY521" t="str">
            <v>Part Time</v>
          </cell>
          <cell r="AZ521">
            <v>5</v>
          </cell>
          <cell r="BA521">
            <v>5</v>
          </cell>
        </row>
        <row r="522">
          <cell r="M522" t="str">
            <v>Habsiguda - 17</v>
          </cell>
          <cell r="O522" t="str">
            <v>Biochemistry</v>
          </cell>
          <cell r="P522" t="str">
            <v>Consultant Biochemist</v>
          </cell>
          <cell r="Q522" t="str">
            <v>Dr Bikash</v>
          </cell>
          <cell r="R522">
            <v>44172</v>
          </cell>
          <cell r="S522">
            <v>44172</v>
          </cell>
          <cell r="T522">
            <v>44901</v>
          </cell>
          <cell r="U522">
            <v>44902</v>
          </cell>
          <cell r="AA522" t="str">
            <v>MBBS, MD - Biochemistry</v>
          </cell>
          <cell r="AB522" t="str">
            <v>APMC/FMR/85209</v>
          </cell>
          <cell r="AC522" t="str">
            <v>Telangana State Medical Council</v>
          </cell>
          <cell r="AD522">
            <v>44055</v>
          </cell>
          <cell r="AE522">
            <v>45880</v>
          </cell>
          <cell r="AF522">
            <v>9985683002</v>
          </cell>
          <cell r="AG522" t="str">
            <v>drsamreen20@gmail.com</v>
          </cell>
          <cell r="AH522" t="str">
            <v>HDFC Bank</v>
          </cell>
          <cell r="AI522" t="str">
            <v>50100357098974</v>
          </cell>
          <cell r="AJ522" t="str">
            <v>HDFC0001998</v>
          </cell>
          <cell r="AK522" t="str">
            <v>ACVPF1156F</v>
          </cell>
          <cell r="AL522">
            <v>626848305393</v>
          </cell>
          <cell r="AM522" t="str">
            <v>Mohd Shafi Farooqi</v>
          </cell>
          <cell r="AN522">
            <v>44445</v>
          </cell>
          <cell r="AW522">
            <v>32162</v>
          </cell>
          <cell r="AX522" t="str">
            <v>Female</v>
          </cell>
          <cell r="AY522" t="str">
            <v>Part Time</v>
          </cell>
          <cell r="AZ522">
            <v>8</v>
          </cell>
          <cell r="BA522">
            <v>8</v>
          </cell>
        </row>
        <row r="523">
          <cell r="O523" t="str">
            <v>NA</v>
          </cell>
        </row>
        <row r="524">
          <cell r="M524" t="str">
            <v>Nellore - 27</v>
          </cell>
          <cell r="N524" t="str">
            <v>CT,USG, XRAY.</v>
          </cell>
          <cell r="O524" t="str">
            <v>Radiology</v>
          </cell>
          <cell r="P524" t="str">
            <v>Consultant Radiologist</v>
          </cell>
          <cell r="Q524" t="str">
            <v>Dr L T Kishore</v>
          </cell>
          <cell r="R524">
            <v>44172</v>
          </cell>
          <cell r="S524">
            <v>44172</v>
          </cell>
          <cell r="T524">
            <v>44901</v>
          </cell>
          <cell r="U524">
            <v>44902</v>
          </cell>
          <cell r="W524" t="str">
            <v>Government Medical College</v>
          </cell>
          <cell r="X524">
            <v>2018</v>
          </cell>
          <cell r="Y524" t="str">
            <v>Narayana Medical College</v>
          </cell>
          <cell r="AA524" t="str">
            <v>MBBS, MD - Radiodiagnosis</v>
          </cell>
          <cell r="AB524" t="str">
            <v>APMC/FMR/95342</v>
          </cell>
          <cell r="AC524" t="str">
            <v>Andhra Pradesh Medical Council</v>
          </cell>
          <cell r="AD524">
            <v>44168</v>
          </cell>
          <cell r="AE524">
            <v>45993</v>
          </cell>
          <cell r="AF524">
            <v>9515445089</v>
          </cell>
          <cell r="AG524" t="str">
            <v>drpriyankachinta@gmail.com</v>
          </cell>
          <cell r="AH524" t="str">
            <v>HDFC Bank</v>
          </cell>
          <cell r="AI524" t="str">
            <v>50100281389061</v>
          </cell>
          <cell r="AJ524" t="str">
            <v>HDFC0004189</v>
          </cell>
          <cell r="AK524" t="str">
            <v>BCPPC7279B</v>
          </cell>
          <cell r="AL524">
            <v>306145083591</v>
          </cell>
          <cell r="AM524" t="str">
            <v>C Chandran</v>
          </cell>
          <cell r="AN524">
            <v>44503</v>
          </cell>
          <cell r="AW524">
            <v>33374</v>
          </cell>
          <cell r="AX524" t="str">
            <v>Female</v>
          </cell>
          <cell r="AY524" t="str">
            <v>Part Time</v>
          </cell>
          <cell r="AZ524">
            <v>5</v>
          </cell>
          <cell r="BA524" t="str">
            <v>Tirupati Cluster</v>
          </cell>
        </row>
        <row r="525">
          <cell r="N525" t="str">
            <v>S D Road</v>
          </cell>
          <cell r="O525" t="str">
            <v>Physician Services</v>
          </cell>
          <cell r="P525" t="str">
            <v>Consultant Physician</v>
          </cell>
          <cell r="S525">
            <v>44172</v>
          </cell>
          <cell r="T525">
            <v>44901</v>
          </cell>
          <cell r="U525">
            <v>44902</v>
          </cell>
          <cell r="AA525" t="str">
            <v>MBBS</v>
          </cell>
          <cell r="AB525" t="str">
            <v>TSMC/FMR/08319</v>
          </cell>
          <cell r="AC525" t="str">
            <v>Telangana State Medical Council</v>
          </cell>
          <cell r="AD525">
            <v>43549</v>
          </cell>
          <cell r="AE525">
            <v>45376</v>
          </cell>
          <cell r="AF525">
            <v>7989081623</v>
          </cell>
          <cell r="AG525" t="str">
            <v>pnayini1993@gmail.com</v>
          </cell>
          <cell r="AH525" t="str">
            <v>CANARA BANK</v>
          </cell>
          <cell r="AI525" t="str">
            <v>0649101043282</v>
          </cell>
          <cell r="AJ525" t="str">
            <v>CNRB0000649</v>
          </cell>
          <cell r="AK525" t="str">
            <v>BSEPN8438A</v>
          </cell>
          <cell r="AL525">
            <v>783947986162</v>
          </cell>
          <cell r="AM525" t="str">
            <v>N Anand Reddy</v>
          </cell>
          <cell r="AN525">
            <v>44766</v>
          </cell>
          <cell r="AO525">
            <v>44706</v>
          </cell>
          <cell r="AW525">
            <v>34166</v>
          </cell>
          <cell r="AX525" t="str">
            <v>Female</v>
          </cell>
          <cell r="AY525" t="str">
            <v>Part Time</v>
          </cell>
          <cell r="AZ525">
            <v>1</v>
          </cell>
        </row>
        <row r="526">
          <cell r="M526" t="str">
            <v>Suchitra - 26</v>
          </cell>
          <cell r="O526" t="str">
            <v>Physician Services</v>
          </cell>
          <cell r="P526" t="str">
            <v>Consultant Physician</v>
          </cell>
          <cell r="R526">
            <v>44182</v>
          </cell>
          <cell r="S526">
            <v>44182</v>
          </cell>
          <cell r="T526">
            <v>44911</v>
          </cell>
          <cell r="U526">
            <v>44912</v>
          </cell>
          <cell r="AA526" t="str">
            <v>MBBS</v>
          </cell>
          <cell r="AB526" t="str">
            <v>TSMC/FMR/12238</v>
          </cell>
          <cell r="AC526" t="str">
            <v>Telangana State Medical Council</v>
          </cell>
          <cell r="AD526">
            <v>44015</v>
          </cell>
          <cell r="AE526">
            <v>45840</v>
          </cell>
          <cell r="AF526">
            <v>9640964002</v>
          </cell>
          <cell r="AG526" t="str">
            <v>rahulgoud2494@gmail.com</v>
          </cell>
          <cell r="AH526" t="str">
            <v>HDFC Bank</v>
          </cell>
          <cell r="AI526" t="str">
            <v>50100035060062</v>
          </cell>
          <cell r="AJ526" t="str">
            <v>HDFC0003059</v>
          </cell>
          <cell r="AK526" t="str">
            <v>BNWPA7310R</v>
          </cell>
          <cell r="AL526">
            <v>406732122310</v>
          </cell>
          <cell r="AM526" t="str">
            <v>A  Srinivas Goud</v>
          </cell>
          <cell r="AN526">
            <v>44319</v>
          </cell>
          <cell r="AW526">
            <v>34996</v>
          </cell>
          <cell r="AX526" t="str">
            <v>Male</v>
          </cell>
          <cell r="AY526" t="str">
            <v>Part Time</v>
          </cell>
          <cell r="AZ526">
            <v>1</v>
          </cell>
          <cell r="BA526" t="str">
            <v>Secunderabad Cluster</v>
          </cell>
        </row>
        <row r="527">
          <cell r="M527" t="str">
            <v>Kompally - 65</v>
          </cell>
          <cell r="O527" t="str">
            <v>Physician Services</v>
          </cell>
          <cell r="P527" t="str">
            <v>Consultant Physician</v>
          </cell>
          <cell r="R527">
            <v>44182</v>
          </cell>
          <cell r="S527">
            <v>44182</v>
          </cell>
          <cell r="T527">
            <v>44911</v>
          </cell>
          <cell r="U527">
            <v>44912</v>
          </cell>
          <cell r="AA527" t="str">
            <v>MBBS</v>
          </cell>
          <cell r="AB527" t="str">
            <v>TSMC/FMR/12238</v>
          </cell>
          <cell r="AC527" t="str">
            <v>Telangana State Medical Council</v>
          </cell>
          <cell r="AD527">
            <v>44015</v>
          </cell>
          <cell r="AE527">
            <v>45840</v>
          </cell>
          <cell r="AF527">
            <v>9640964002</v>
          </cell>
          <cell r="AG527" t="str">
            <v>rahulgoud2494@gmail.com</v>
          </cell>
          <cell r="AH527" t="str">
            <v>HDFC Bank</v>
          </cell>
          <cell r="AI527" t="str">
            <v>50100035060062</v>
          </cell>
          <cell r="AJ527" t="str">
            <v>HDFC0003059</v>
          </cell>
          <cell r="AK527" t="str">
            <v>BNWPA7310R</v>
          </cell>
          <cell r="AL527">
            <v>406732122310</v>
          </cell>
          <cell r="AM527" t="str">
            <v>A  Srinivas Goud</v>
          </cell>
          <cell r="AN527">
            <v>44319</v>
          </cell>
          <cell r="AW527">
            <v>34996</v>
          </cell>
          <cell r="AX527" t="str">
            <v>Male</v>
          </cell>
          <cell r="AY527" t="str">
            <v>Part Time</v>
          </cell>
          <cell r="AZ527">
            <v>1</v>
          </cell>
          <cell r="BA527">
            <v>1</v>
          </cell>
        </row>
        <row r="528">
          <cell r="M528" t="str">
            <v>Alwal - 44</v>
          </cell>
          <cell r="O528" t="str">
            <v>Physician Services</v>
          </cell>
          <cell r="P528" t="str">
            <v>Consultant Physician</v>
          </cell>
          <cell r="R528">
            <v>44182</v>
          </cell>
          <cell r="S528">
            <v>44182</v>
          </cell>
          <cell r="T528">
            <v>44911</v>
          </cell>
          <cell r="U528">
            <v>44912</v>
          </cell>
          <cell r="AA528" t="str">
            <v>MBBS</v>
          </cell>
          <cell r="AB528" t="str">
            <v>TSMC/FMR/11327</v>
          </cell>
          <cell r="AC528" t="str">
            <v>Telangana State Medical Council</v>
          </cell>
          <cell r="AD528">
            <v>43822</v>
          </cell>
          <cell r="AE528">
            <v>45649</v>
          </cell>
          <cell r="AF528">
            <v>7036448826</v>
          </cell>
          <cell r="AG528" t="str">
            <v>sandeepakandimalla@gmail.com</v>
          </cell>
          <cell r="AH528" t="str">
            <v>UCO Bank</v>
          </cell>
          <cell r="AI528" t="str">
            <v>14960110007884</v>
          </cell>
          <cell r="AJ528" t="str">
            <v>UCBA0001496</v>
          </cell>
          <cell r="AK528" t="str">
            <v>GITPK0026H</v>
          </cell>
          <cell r="AL528">
            <v>737173258319</v>
          </cell>
          <cell r="AM528" t="str">
            <v>K Srinivasa Rao</v>
          </cell>
          <cell r="AN528">
            <v>44323</v>
          </cell>
          <cell r="AW528">
            <v>35294</v>
          </cell>
          <cell r="AX528" t="str">
            <v>Female</v>
          </cell>
          <cell r="AY528" t="str">
            <v>Part Time</v>
          </cell>
          <cell r="AZ528">
            <v>1</v>
          </cell>
          <cell r="BA528" t="str">
            <v>Secunderabad Cluster</v>
          </cell>
        </row>
        <row r="529">
          <cell r="M529" t="str">
            <v>Habsiguda - 17</v>
          </cell>
          <cell r="N529" t="str">
            <v>USG, ALL PREGNANCIES SCANS, X RAYS</v>
          </cell>
          <cell r="O529" t="str">
            <v>Radiology</v>
          </cell>
          <cell r="P529" t="str">
            <v>Consultant Radiologist</v>
          </cell>
          <cell r="Q529" t="str">
            <v>Dr L T Kishore</v>
          </cell>
          <cell r="R529">
            <v>44186</v>
          </cell>
          <cell r="S529">
            <v>44186</v>
          </cell>
          <cell r="T529">
            <v>44915</v>
          </cell>
          <cell r="U529">
            <v>44916</v>
          </cell>
          <cell r="AA529" t="str">
            <v>MBBS, DMRD</v>
          </cell>
          <cell r="AB529" t="str">
            <v>APMC/FMR/80963</v>
          </cell>
          <cell r="AC529" t="str">
            <v>Andhra Pradesh Medical Council</v>
          </cell>
          <cell r="AD529">
            <v>43287</v>
          </cell>
          <cell r="AE529">
            <v>45112</v>
          </cell>
          <cell r="AF529">
            <v>9160696298</v>
          </cell>
          <cell r="AG529" t="str">
            <v>sruthieatukuri@gmail.com</v>
          </cell>
          <cell r="AH529" t="str">
            <v>Andhra Bank</v>
          </cell>
          <cell r="AI529" t="str">
            <v>138110025091018</v>
          </cell>
          <cell r="AJ529" t="str">
            <v>ANDB0001381</v>
          </cell>
          <cell r="AK529" t="str">
            <v>ABBPE0194M</v>
          </cell>
          <cell r="AL529">
            <v>717447615277</v>
          </cell>
          <cell r="AM529" t="str">
            <v>Nageswara Rao Eatukuri</v>
          </cell>
          <cell r="AN529">
            <v>44311</v>
          </cell>
          <cell r="AW529">
            <v>32718</v>
          </cell>
          <cell r="AX529" t="str">
            <v>Female</v>
          </cell>
          <cell r="AY529" t="str">
            <v>Part Time</v>
          </cell>
          <cell r="AZ529">
            <v>6</v>
          </cell>
          <cell r="BA529">
            <v>8</v>
          </cell>
        </row>
        <row r="530">
          <cell r="M530" t="str">
            <v>Hanamkonda - 40</v>
          </cell>
          <cell r="N530" t="str">
            <v>Biochemistry</v>
          </cell>
          <cell r="O530" t="str">
            <v>Biochemistry</v>
          </cell>
          <cell r="P530" t="str">
            <v>Consultant Biochemist</v>
          </cell>
          <cell r="Q530" t="str">
            <v>Dr Bikash</v>
          </cell>
          <cell r="R530">
            <v>44186</v>
          </cell>
          <cell r="S530">
            <v>44186</v>
          </cell>
          <cell r="T530">
            <v>44915</v>
          </cell>
          <cell r="U530">
            <v>44916</v>
          </cell>
          <cell r="W530">
            <v>2007</v>
          </cell>
          <cell r="Y530">
            <v>2014</v>
          </cell>
          <cell r="Z530">
            <v>0</v>
          </cell>
          <cell r="AA530" t="str">
            <v>MBBS, MD - Biochemistry</v>
          </cell>
          <cell r="AB530">
            <v>62552</v>
          </cell>
          <cell r="AC530" t="str">
            <v>Andhra Pradesh Medical Council</v>
          </cell>
          <cell r="AD530">
            <v>44251</v>
          </cell>
          <cell r="AE530">
            <v>46076</v>
          </cell>
          <cell r="AF530">
            <v>9701641614</v>
          </cell>
          <cell r="AG530" t="str">
            <v>drravi2k2@gmail.com</v>
          </cell>
          <cell r="AH530" t="str">
            <v>SBI Bank</v>
          </cell>
          <cell r="AI530" t="str">
            <v>62199407857</v>
          </cell>
          <cell r="AJ530" t="str">
            <v>SBIN0020455</v>
          </cell>
          <cell r="AK530" t="str">
            <v>CBAPP4878A</v>
          </cell>
          <cell r="AL530">
            <v>565566715115</v>
          </cell>
          <cell r="AM530" t="str">
            <v>Palthiya Mansing</v>
          </cell>
          <cell r="AW530">
            <v>30531</v>
          </cell>
          <cell r="AX530" t="str">
            <v>Male</v>
          </cell>
          <cell r="AY530" t="str">
            <v>Part Time</v>
          </cell>
          <cell r="AZ530">
            <v>3</v>
          </cell>
          <cell r="BA530">
            <v>5</v>
          </cell>
        </row>
        <row r="531">
          <cell r="M531" t="str">
            <v>Nellore - 27</v>
          </cell>
          <cell r="O531" t="str">
            <v>Pathology</v>
          </cell>
          <cell r="P531" t="str">
            <v>Consultant Pathologist</v>
          </cell>
          <cell r="Q531" t="str">
            <v>Dr Shashikanth</v>
          </cell>
          <cell r="R531">
            <v>44186</v>
          </cell>
          <cell r="S531">
            <v>44186</v>
          </cell>
          <cell r="T531">
            <v>44915</v>
          </cell>
          <cell r="U531">
            <v>44916</v>
          </cell>
          <cell r="AA531" t="str">
            <v>MBBS, MD - Pathology</v>
          </cell>
          <cell r="AB531" t="str">
            <v>APMC/FMR/87795</v>
          </cell>
          <cell r="AC531" t="str">
            <v>Andhra Pradesh Medical Council</v>
          </cell>
          <cell r="AD531">
            <v>44132</v>
          </cell>
          <cell r="AE531">
            <v>45957</v>
          </cell>
          <cell r="AF531">
            <v>8985717613</v>
          </cell>
          <cell r="AG531" t="str">
            <v>thejaswiniballapurereddy@gmail.com</v>
          </cell>
          <cell r="AH531" t="str">
            <v>HDFC Bank</v>
          </cell>
          <cell r="AI531" t="str">
            <v>50200047588586</v>
          </cell>
          <cell r="AJ531" t="str">
            <v>HDFC0000473</v>
          </cell>
          <cell r="AK531" t="str">
            <v>AKMPV9739M</v>
          </cell>
          <cell r="AL531">
            <v>287835142679</v>
          </cell>
          <cell r="AM531" t="str">
            <v>V Radhakrishna Reddy</v>
          </cell>
          <cell r="AN531">
            <v>44418</v>
          </cell>
          <cell r="AW531">
            <v>32976</v>
          </cell>
          <cell r="AX531" t="str">
            <v>Female</v>
          </cell>
          <cell r="AY531" t="str">
            <v>Part Time</v>
          </cell>
          <cell r="AZ531">
            <v>4</v>
          </cell>
          <cell r="BA531" t="str">
            <v>Tirupati Cluster</v>
          </cell>
        </row>
        <row r="532">
          <cell r="M532" t="str">
            <v>Gurgaon - 54</v>
          </cell>
          <cell r="N532" t="str">
            <v>USG, X Ray reporting, CT Reporting</v>
          </cell>
          <cell r="O532" t="str">
            <v>Radiology</v>
          </cell>
          <cell r="P532" t="str">
            <v>Consultant Radiologist</v>
          </cell>
          <cell r="Q532" t="str">
            <v>Dr L T Kishore</v>
          </cell>
          <cell r="R532">
            <v>44188</v>
          </cell>
          <cell r="S532">
            <v>44188</v>
          </cell>
          <cell r="T532">
            <v>44917</v>
          </cell>
          <cell r="U532">
            <v>44918</v>
          </cell>
          <cell r="V532">
            <v>2007</v>
          </cell>
          <cell r="W532" t="str">
            <v>Assam Medical College</v>
          </cell>
          <cell r="X532">
            <v>2019</v>
          </cell>
          <cell r="Y532" t="str">
            <v>Mahatma Gandhi Medical College and Research Institute</v>
          </cell>
          <cell r="AB532" t="str">
            <v>HN17359</v>
          </cell>
          <cell r="AC532" t="str">
            <v>Haryana Medical Council</v>
          </cell>
          <cell r="AD532">
            <v>44187</v>
          </cell>
          <cell r="AE532">
            <v>46012</v>
          </cell>
          <cell r="AF532">
            <v>6369641082</v>
          </cell>
          <cell r="AG532" t="str">
            <v>drapararadiology@gmail.com</v>
          </cell>
          <cell r="AH532" t="str">
            <v>ICICI Bank</v>
          </cell>
          <cell r="AI532" t="str">
            <v>635401506277</v>
          </cell>
          <cell r="AJ532" t="str">
            <v>ICIC0006354</v>
          </cell>
          <cell r="AK532" t="str">
            <v>AWWPB0131F</v>
          </cell>
          <cell r="AL532">
            <v>866965724424</v>
          </cell>
          <cell r="AM532" t="str">
            <v>Hari Prasad Bhuyan</v>
          </cell>
          <cell r="AN532">
            <v>44797</v>
          </cell>
          <cell r="AO532">
            <v>44737</v>
          </cell>
          <cell r="AW532">
            <v>30000</v>
          </cell>
          <cell r="AX532" t="str">
            <v>Female</v>
          </cell>
          <cell r="AY532" t="str">
            <v>Part Time</v>
          </cell>
          <cell r="AZ532">
            <v>5</v>
          </cell>
          <cell r="BA532">
            <v>5</v>
          </cell>
        </row>
        <row r="533">
          <cell r="M533" t="str">
            <v>Shamshabad 2- 113</v>
          </cell>
          <cell r="N533" t="str">
            <v>USG, X Ray</v>
          </cell>
          <cell r="O533" t="str">
            <v>Radiology</v>
          </cell>
          <cell r="P533" t="str">
            <v>Consultant Radiologist</v>
          </cell>
          <cell r="Q533" t="str">
            <v>Dr L T Kishore</v>
          </cell>
          <cell r="R533">
            <v>44193</v>
          </cell>
          <cell r="S533">
            <v>44193</v>
          </cell>
          <cell r="T533">
            <v>44922</v>
          </cell>
          <cell r="U533">
            <v>44923</v>
          </cell>
          <cell r="W533" t="str">
            <v>College of Medical Sciences</v>
          </cell>
          <cell r="X533">
            <v>2017</v>
          </cell>
          <cell r="Y533" t="str">
            <v>A J Institute of Medical Sciences and Research Centre</v>
          </cell>
          <cell r="AA533" t="str">
            <v>MBBS, MD - Radiodiagnosis</v>
          </cell>
          <cell r="AB533" t="str">
            <v>APMC/FMR/74402</v>
          </cell>
          <cell r="AC533" t="str">
            <v>Telangana State Medical Council</v>
          </cell>
          <cell r="AD533">
            <v>43573</v>
          </cell>
          <cell r="AE533">
            <v>45399</v>
          </cell>
          <cell r="AF533" t="str">
            <v>9740284229/9493320299</v>
          </cell>
          <cell r="AG533" t="str">
            <v>psamuel18@yahoo.co.in/psamuel82@gmail.com</v>
          </cell>
          <cell r="AH533" t="str">
            <v>HSBC Bank</v>
          </cell>
          <cell r="AI533" t="str">
            <v>081168775006</v>
          </cell>
          <cell r="AJ533" t="str">
            <v>HSBC0500002</v>
          </cell>
          <cell r="AK533" t="str">
            <v>CVUPS1204H</v>
          </cell>
          <cell r="AL533">
            <v>789295915195</v>
          </cell>
          <cell r="AM533" t="str">
            <v>Perumalla Benjamin Arnold</v>
          </cell>
          <cell r="AN533">
            <v>44318</v>
          </cell>
          <cell r="AW533">
            <v>30017</v>
          </cell>
          <cell r="AX533" t="str">
            <v>Male</v>
          </cell>
          <cell r="AY533" t="str">
            <v>Part Time</v>
          </cell>
          <cell r="AZ533">
            <v>2</v>
          </cell>
          <cell r="BA533" t="str">
            <v>Tolichowki Cluster</v>
          </cell>
        </row>
        <row r="534">
          <cell r="M534" t="str">
            <v>A S Rao Nagar - 18</v>
          </cell>
          <cell r="N534" t="str">
            <v xml:space="preserve">USG, ALL USG PROCEDURES  CT , X RAY, MRI ROUTINE, </v>
          </cell>
          <cell r="O534" t="str">
            <v>Radiology</v>
          </cell>
          <cell r="P534" t="str">
            <v>Consultant Radiologist</v>
          </cell>
          <cell r="Q534" t="str">
            <v>Dr L T Kishore</v>
          </cell>
          <cell r="R534">
            <v>44200</v>
          </cell>
          <cell r="S534">
            <v>44200</v>
          </cell>
          <cell r="T534">
            <v>44929</v>
          </cell>
          <cell r="U534">
            <v>44930</v>
          </cell>
          <cell r="AA534" t="str">
            <v>MBBS,MD-Radiodiagnosis</v>
          </cell>
          <cell r="AB534" t="str">
            <v>APMC/FMR/88105</v>
          </cell>
          <cell r="AC534" t="str">
            <v>Telangana State Medical Council</v>
          </cell>
          <cell r="AD534">
            <v>44188</v>
          </cell>
          <cell r="AE534">
            <v>46013</v>
          </cell>
          <cell r="AF534">
            <v>9958076222</v>
          </cell>
          <cell r="AG534" t="str">
            <v>venmann@gmail.com</v>
          </cell>
          <cell r="AH534" t="str">
            <v>ICICI Bank</v>
          </cell>
          <cell r="AI534">
            <v>184301501539</v>
          </cell>
          <cell r="AJ534" t="str">
            <v>ICIC0001843</v>
          </cell>
          <cell r="AK534" t="str">
            <v>ALXPM8056E</v>
          </cell>
          <cell r="AL534">
            <v>618053357132</v>
          </cell>
          <cell r="AM534" t="str">
            <v>Muppidi Raji Reddy</v>
          </cell>
          <cell r="AN534">
            <v>44439</v>
          </cell>
          <cell r="AW534">
            <v>28402</v>
          </cell>
          <cell r="AX534" t="str">
            <v>Male</v>
          </cell>
          <cell r="AY534" t="str">
            <v>Full Time</v>
          </cell>
          <cell r="AZ534">
            <v>8</v>
          </cell>
          <cell r="BA534">
            <v>8</v>
          </cell>
        </row>
        <row r="535">
          <cell r="M535" t="str">
            <v>Balapur - 63</v>
          </cell>
          <cell r="N535" t="str">
            <v>USG, XRAY</v>
          </cell>
          <cell r="O535" t="str">
            <v>Radiology</v>
          </cell>
          <cell r="P535" t="str">
            <v>Consultant Radiologist</v>
          </cell>
          <cell r="Q535" t="str">
            <v>Dr L T Kishore</v>
          </cell>
          <cell r="R535">
            <v>44200</v>
          </cell>
          <cell r="S535">
            <v>44200</v>
          </cell>
          <cell r="T535">
            <v>44929</v>
          </cell>
          <cell r="U535">
            <v>44930</v>
          </cell>
          <cell r="W535" t="str">
            <v>BLDEA</v>
          </cell>
          <cell r="X535">
            <v>2010</v>
          </cell>
          <cell r="Y535" t="str">
            <v>Kamineni Institute of Medical Science</v>
          </cell>
          <cell r="AA535" t="str">
            <v>MBBS, DMRD - Radio Diagnosis</v>
          </cell>
          <cell r="AB535">
            <v>59980</v>
          </cell>
          <cell r="AC535" t="str">
            <v>Telangana State Medical Council</v>
          </cell>
          <cell r="AD535">
            <v>44238</v>
          </cell>
          <cell r="AE535">
            <v>46063</v>
          </cell>
          <cell r="AF535">
            <v>9959611049</v>
          </cell>
          <cell r="AG535" t="str">
            <v>reddy_8@yahoo.com</v>
          </cell>
          <cell r="AH535" t="str">
            <v>ICICI Bank</v>
          </cell>
          <cell r="AI535" t="str">
            <v>386801000783</v>
          </cell>
          <cell r="AJ535" t="str">
            <v>ICIC0003868</v>
          </cell>
          <cell r="AK535" t="str">
            <v>CDEPS2939H</v>
          </cell>
          <cell r="AL535">
            <v>461646464635</v>
          </cell>
          <cell r="AM535" t="str">
            <v>V Bikshapathi Reddy</v>
          </cell>
          <cell r="AN535">
            <v>44726</v>
          </cell>
          <cell r="AO535">
            <v>44697</v>
          </cell>
          <cell r="AW535">
            <v>27561</v>
          </cell>
          <cell r="AX535" t="str">
            <v>Male</v>
          </cell>
          <cell r="AY535" t="str">
            <v>Part Time</v>
          </cell>
          <cell r="AZ535">
            <v>4</v>
          </cell>
          <cell r="BA535">
            <v>4</v>
          </cell>
        </row>
        <row r="536">
          <cell r="M536" t="str">
            <v>Kavuri Hills-5</v>
          </cell>
          <cell r="N536" t="str">
            <v>USG, X Ray &amp; CT</v>
          </cell>
          <cell r="O536" t="str">
            <v>Radiology</v>
          </cell>
          <cell r="P536" t="str">
            <v>Consultant Radiologist</v>
          </cell>
          <cell r="Q536" t="str">
            <v>Dr L T Kishore</v>
          </cell>
          <cell r="R536">
            <v>44200</v>
          </cell>
          <cell r="S536">
            <v>44200</v>
          </cell>
          <cell r="T536">
            <v>44929</v>
          </cell>
          <cell r="U536">
            <v>44930</v>
          </cell>
          <cell r="W536" t="str">
            <v>Rangaraya Medical College</v>
          </cell>
          <cell r="X536">
            <v>2015</v>
          </cell>
          <cell r="Y536" t="str">
            <v>GSL Medical College</v>
          </cell>
          <cell r="AA536" t="str">
            <v>MBBS,DMRD-Radiodiagnosis</v>
          </cell>
          <cell r="AB536">
            <v>69570</v>
          </cell>
          <cell r="AC536" t="str">
            <v>Telangana State Medical Council</v>
          </cell>
          <cell r="AD536">
            <v>42993</v>
          </cell>
          <cell r="AE536">
            <v>44819</v>
          </cell>
          <cell r="AF536">
            <v>9703833716</v>
          </cell>
          <cell r="AG536" t="str">
            <v>vijji.sree227@gmail.com</v>
          </cell>
          <cell r="AH536" t="str">
            <v>HDFC Bank</v>
          </cell>
          <cell r="AI536" t="str">
            <v>50100396781561</v>
          </cell>
          <cell r="AJ536" t="str">
            <v>HDFC0000317</v>
          </cell>
          <cell r="AK536" t="str">
            <v>BKGPP3734F</v>
          </cell>
          <cell r="AL536">
            <v>738402848408</v>
          </cell>
          <cell r="AM536" t="str">
            <v>P Subba Reddy</v>
          </cell>
          <cell r="AN536">
            <v>44327</v>
          </cell>
          <cell r="AW536">
            <v>31261</v>
          </cell>
          <cell r="AX536" t="str">
            <v>Female</v>
          </cell>
          <cell r="AY536" t="str">
            <v>Part Time</v>
          </cell>
          <cell r="AZ536">
            <v>2</v>
          </cell>
          <cell r="BA536">
            <v>2</v>
          </cell>
        </row>
        <row r="537">
          <cell r="M537" t="str">
            <v>Madhapur-2 - 70</v>
          </cell>
          <cell r="O537" t="str">
            <v>Physician Services</v>
          </cell>
          <cell r="P537" t="str">
            <v>Consultant Physician</v>
          </cell>
          <cell r="R537">
            <v>44202</v>
          </cell>
          <cell r="S537">
            <v>44202</v>
          </cell>
          <cell r="T537">
            <v>44931</v>
          </cell>
          <cell r="U537">
            <v>44932</v>
          </cell>
          <cell r="AA537" t="str">
            <v>MBBS</v>
          </cell>
          <cell r="AB537">
            <v>79053</v>
          </cell>
          <cell r="AC537" t="str">
            <v>Medical council Of India</v>
          </cell>
          <cell r="AD537">
            <v>41368</v>
          </cell>
          <cell r="AF537">
            <v>8985136763</v>
          </cell>
          <cell r="AG537" t="str">
            <v>kasalariyaz786@gmail.com</v>
          </cell>
          <cell r="AH537" t="str">
            <v>Indian Overseas Bank</v>
          </cell>
          <cell r="AI537" t="str">
            <v>187901000008768</v>
          </cell>
          <cell r="AJ537" t="str">
            <v>IOBA0001879</v>
          </cell>
          <cell r="AK537" t="str">
            <v>DQQPK4811Q</v>
          </cell>
          <cell r="AL537" t="str">
            <v>635728360601</v>
          </cell>
          <cell r="AM537" t="str">
            <v>Pareedulla Saheeb</v>
          </cell>
          <cell r="AN537">
            <v>44451</v>
          </cell>
          <cell r="AW537">
            <v>31852</v>
          </cell>
          <cell r="AX537" t="str">
            <v>Male</v>
          </cell>
          <cell r="AY537" t="str">
            <v>Part Time</v>
          </cell>
          <cell r="AZ537">
            <v>1.5</v>
          </cell>
          <cell r="BA537">
            <v>1.5</v>
          </cell>
        </row>
        <row r="538">
          <cell r="M538" t="str">
            <v>Ameerpet - 14</v>
          </cell>
          <cell r="O538" t="str">
            <v>Physician Services</v>
          </cell>
          <cell r="P538" t="str">
            <v>Consultant Physician</v>
          </cell>
          <cell r="R538">
            <v>44202</v>
          </cell>
          <cell r="S538">
            <v>44202</v>
          </cell>
          <cell r="T538">
            <v>44931</v>
          </cell>
          <cell r="U538">
            <v>44932</v>
          </cell>
          <cell r="AA538" t="str">
            <v>MBBS</v>
          </cell>
          <cell r="AB538" t="str">
            <v>TSMC/FMR/14343</v>
          </cell>
          <cell r="AC538" t="str">
            <v>Telangana State Medical Council</v>
          </cell>
          <cell r="AD538">
            <v>44151</v>
          </cell>
          <cell r="AE538">
            <v>45976</v>
          </cell>
          <cell r="AF538">
            <v>9533871312</v>
          </cell>
          <cell r="AG538" t="str">
            <v>rahul2munna@gmail.com</v>
          </cell>
          <cell r="AH538" t="str">
            <v>HDFC Bank</v>
          </cell>
          <cell r="AI538">
            <v>50100129627420</v>
          </cell>
          <cell r="AJ538" t="str">
            <v>HDFC0000696</v>
          </cell>
          <cell r="AK538" t="str">
            <v>DEKPB6714P</v>
          </cell>
          <cell r="AL538">
            <v>636530827583</v>
          </cell>
          <cell r="AM538" t="str">
            <v>Badangi Srinivas</v>
          </cell>
          <cell r="AN538">
            <v>44439</v>
          </cell>
          <cell r="AW538">
            <v>34941</v>
          </cell>
          <cell r="AX538" t="str">
            <v>Male</v>
          </cell>
          <cell r="AY538" t="str">
            <v>Part Time</v>
          </cell>
          <cell r="AZ538">
            <v>1</v>
          </cell>
          <cell r="BA538">
            <v>1</v>
          </cell>
        </row>
        <row r="539">
          <cell r="M539" t="str">
            <v>NR Pet 1-Krnl - 80</v>
          </cell>
          <cell r="N539" t="str">
            <v>CT &amp; MRI , Xray &amp; USG</v>
          </cell>
          <cell r="O539" t="str">
            <v>Radiology</v>
          </cell>
          <cell r="P539" t="str">
            <v>Consultant Radiologist</v>
          </cell>
          <cell r="Q539" t="str">
            <v>Dr L T Kishore</v>
          </cell>
          <cell r="R539">
            <v>44202</v>
          </cell>
          <cell r="S539">
            <v>44202</v>
          </cell>
          <cell r="T539">
            <v>44931</v>
          </cell>
          <cell r="U539">
            <v>44932</v>
          </cell>
          <cell r="W539" t="str">
            <v>Shantiram Medical College and Hospital</v>
          </cell>
          <cell r="X539">
            <v>2019</v>
          </cell>
          <cell r="Y539" t="str">
            <v>Narayana Medical College</v>
          </cell>
          <cell r="AA539" t="str">
            <v>MBBS,MD-Radiodiagnosis</v>
          </cell>
          <cell r="AB539" t="str">
            <v>APMC/FMR/81940</v>
          </cell>
          <cell r="AC539" t="str">
            <v>Andhra Pradesh Medical Council</v>
          </cell>
          <cell r="AD539">
            <v>43656</v>
          </cell>
          <cell r="AE539">
            <v>45482</v>
          </cell>
          <cell r="AF539">
            <v>7673979472</v>
          </cell>
          <cell r="AG539" t="str">
            <v>sundardinesh55@gmail.com</v>
          </cell>
          <cell r="AH539" t="str">
            <v>HDFC Bank</v>
          </cell>
          <cell r="AI539">
            <v>50100147554706</v>
          </cell>
          <cell r="AJ539" t="str">
            <v>HDFC0003944</v>
          </cell>
          <cell r="AK539" t="str">
            <v>CPZPS6538D</v>
          </cell>
          <cell r="AL539">
            <v>872258050942</v>
          </cell>
          <cell r="AM539" t="str">
            <v>A Vijaya Bhaskar</v>
          </cell>
          <cell r="AN539">
            <v>44408</v>
          </cell>
          <cell r="AW539">
            <v>32908</v>
          </cell>
          <cell r="AX539" t="str">
            <v>Male</v>
          </cell>
          <cell r="AY539" t="str">
            <v>Part Time</v>
          </cell>
          <cell r="AZ539">
            <v>2</v>
          </cell>
          <cell r="BA539">
            <v>2</v>
          </cell>
        </row>
        <row r="540">
          <cell r="M540" t="str">
            <v>Nallagandla - 84</v>
          </cell>
          <cell r="N540" t="str">
            <v>X Ray, USG</v>
          </cell>
          <cell r="O540" t="str">
            <v>Radiology</v>
          </cell>
          <cell r="P540" t="str">
            <v>Consultant Radiologist</v>
          </cell>
          <cell r="Q540" t="str">
            <v>Dr L T Kishore</v>
          </cell>
          <cell r="R540">
            <v>44204</v>
          </cell>
          <cell r="S540">
            <v>44204</v>
          </cell>
          <cell r="T540">
            <v>44933</v>
          </cell>
          <cell r="U540">
            <v>44934</v>
          </cell>
          <cell r="W540" t="str">
            <v>Vydehi Institute of Medical Sciences and Research Centre</v>
          </cell>
          <cell r="X540">
            <v>2019</v>
          </cell>
          <cell r="Y540" t="str">
            <v>Bhaskara Medical College</v>
          </cell>
          <cell r="AA540" t="str">
            <v>MBBS, MD - Radio Diagnosis</v>
          </cell>
          <cell r="AB540" t="str">
            <v>TSMC/FMR/00526</v>
          </cell>
          <cell r="AC540" t="str">
            <v>Telangana State Medical Council</v>
          </cell>
          <cell r="AD540">
            <v>42490</v>
          </cell>
          <cell r="AE540">
            <v>44315</v>
          </cell>
          <cell r="AF540">
            <v>9493705600</v>
          </cell>
          <cell r="AG540" t="str">
            <v>satyavinuthna11@gmail.com</v>
          </cell>
          <cell r="AH540" t="str">
            <v>HDFC Bank</v>
          </cell>
          <cell r="AI540" t="str">
            <v>50100374384590</v>
          </cell>
          <cell r="AJ540" t="str">
            <v>HDFC0005265</v>
          </cell>
          <cell r="AK540" t="str">
            <v>BQHPB7867E</v>
          </cell>
          <cell r="AL540">
            <v>466751741323</v>
          </cell>
          <cell r="AM540" t="str">
            <v>B Narasimha rao</v>
          </cell>
          <cell r="AN540">
            <v>44573</v>
          </cell>
          <cell r="AW540">
            <v>32183</v>
          </cell>
          <cell r="AX540" t="str">
            <v>Female</v>
          </cell>
          <cell r="AY540" t="str">
            <v>Part Time</v>
          </cell>
          <cell r="AZ540">
            <v>3</v>
          </cell>
          <cell r="BA540">
            <v>3</v>
          </cell>
        </row>
        <row r="541">
          <cell r="M541" t="str">
            <v>Gachibowli-66</v>
          </cell>
          <cell r="N541" t="str">
            <v>CT &amp; MRI</v>
          </cell>
          <cell r="O541" t="str">
            <v>Radiology</v>
          </cell>
          <cell r="P541" t="str">
            <v>Consultant Radiologist</v>
          </cell>
          <cell r="Q541" t="str">
            <v>Dr L T Kishore</v>
          </cell>
          <cell r="R541">
            <v>44204</v>
          </cell>
          <cell r="S541">
            <v>44204</v>
          </cell>
          <cell r="T541">
            <v>44933</v>
          </cell>
          <cell r="U541">
            <v>44934</v>
          </cell>
          <cell r="AA541" t="str">
            <v>MBBS,DMRD-Radiodiagnosis</v>
          </cell>
          <cell r="AB541">
            <v>50819</v>
          </cell>
          <cell r="AC541" t="str">
            <v>Telangana State Medical Council</v>
          </cell>
          <cell r="AD541">
            <v>42735</v>
          </cell>
          <cell r="AE541">
            <v>44560</v>
          </cell>
          <cell r="AF541">
            <v>9894553621</v>
          </cell>
          <cell r="AG541" t="str">
            <v>david4kiran@gmail.com</v>
          </cell>
          <cell r="AH541" t="str">
            <v>ICICI Bank</v>
          </cell>
          <cell r="AI541" t="str">
            <v>007601529366</v>
          </cell>
          <cell r="AJ541" t="str">
            <v>ICIC0000076</v>
          </cell>
          <cell r="AK541" t="str">
            <v>AMKPD3242R</v>
          </cell>
          <cell r="AL541">
            <v>538051929176</v>
          </cell>
          <cell r="AM541" t="str">
            <v>K B Ashirvadam</v>
          </cell>
          <cell r="AN541">
            <v>44391</v>
          </cell>
          <cell r="AW541">
            <v>28487</v>
          </cell>
          <cell r="AX541" t="str">
            <v>Male</v>
          </cell>
          <cell r="AY541" t="str">
            <v>Part Time</v>
          </cell>
          <cell r="AZ541">
            <v>6</v>
          </cell>
          <cell r="BA541">
            <v>6</v>
          </cell>
        </row>
        <row r="542">
          <cell r="M542" t="str">
            <v>Sec II S D Road - 13</v>
          </cell>
          <cell r="N542" t="str">
            <v>USG, X-ray</v>
          </cell>
          <cell r="O542" t="str">
            <v>Radiology</v>
          </cell>
          <cell r="P542" t="str">
            <v>Consultant Radiologist</v>
          </cell>
          <cell r="Q542" t="str">
            <v>Dr L T Kishore</v>
          </cell>
          <cell r="R542">
            <v>44207</v>
          </cell>
          <cell r="S542">
            <v>44207</v>
          </cell>
          <cell r="T542">
            <v>44936</v>
          </cell>
          <cell r="U542">
            <v>44937</v>
          </cell>
          <cell r="W542" t="str">
            <v>Datta Meghe Institute of Medical Sciences</v>
          </cell>
          <cell r="X542">
            <v>2019</v>
          </cell>
          <cell r="Y542" t="str">
            <v>Dr. D Y Patil Institute of Medical Sciences</v>
          </cell>
          <cell r="AA542" t="str">
            <v>MBBS,MD-Radiodiagnosis</v>
          </cell>
          <cell r="AB542" t="str">
            <v>TSMC/FMR/14998</v>
          </cell>
          <cell r="AC542" t="str">
            <v>Telangana State Medical Council</v>
          </cell>
          <cell r="AD542">
            <v>44198</v>
          </cell>
          <cell r="AE542">
            <v>46023</v>
          </cell>
          <cell r="AF542">
            <v>9182797302</v>
          </cell>
          <cell r="AG542" t="str">
            <v>reddyjyoti145@gmail.com</v>
          </cell>
          <cell r="AH542" t="str">
            <v>Karur Vysya Bank</v>
          </cell>
          <cell r="AI542" t="str">
            <v>1460175000000655</v>
          </cell>
          <cell r="AJ542" t="str">
            <v>KVBL0001460</v>
          </cell>
          <cell r="AK542" t="str">
            <v>BTZPR6245K</v>
          </cell>
          <cell r="AL542">
            <v>374518043799</v>
          </cell>
          <cell r="AM542" t="str">
            <v>Dwaram Mallikarjun Reddy</v>
          </cell>
          <cell r="AN542">
            <v>44413</v>
          </cell>
          <cell r="AW542">
            <v>32734</v>
          </cell>
          <cell r="AX542" t="str">
            <v>Female</v>
          </cell>
          <cell r="AY542" t="str">
            <v>Full Time</v>
          </cell>
          <cell r="AZ542">
            <v>8</v>
          </cell>
          <cell r="BA542">
            <v>8</v>
          </cell>
        </row>
        <row r="543">
          <cell r="M543" t="str">
            <v>Nandyal - 48</v>
          </cell>
          <cell r="N543" t="str">
            <v>USG(TIFFA,PREGANCY,DOPPLER,FOLLICULLAR,,EXTRA SCANS),XRAY,CT,MRI</v>
          </cell>
          <cell r="O543" t="str">
            <v>Radiology</v>
          </cell>
          <cell r="P543" t="str">
            <v>Consultant Radiologist</v>
          </cell>
          <cell r="Q543" t="str">
            <v>Dr L T Kishore</v>
          </cell>
          <cell r="R543">
            <v>44214</v>
          </cell>
          <cell r="S543">
            <v>44256</v>
          </cell>
          <cell r="T543">
            <v>44985</v>
          </cell>
          <cell r="U543">
            <v>44986</v>
          </cell>
          <cell r="W543" t="str">
            <v>Kurnool Medical College</v>
          </cell>
          <cell r="X543">
            <v>2019</v>
          </cell>
          <cell r="Y543" t="str">
            <v>Apollo Hospital</v>
          </cell>
          <cell r="AA543" t="str">
            <v>MBBS, DNB - Radiodiagnosis</v>
          </cell>
          <cell r="AB543" t="str">
            <v>APMC/FMR/92262</v>
          </cell>
          <cell r="AC543" t="str">
            <v>Andhra Pradesh Medical Council</v>
          </cell>
          <cell r="AD543">
            <v>44152</v>
          </cell>
          <cell r="AE543">
            <v>45977</v>
          </cell>
          <cell r="AF543">
            <v>9618032826</v>
          </cell>
          <cell r="AG543" t="str">
            <v>bhagya.byreddy@gmail.com</v>
          </cell>
          <cell r="AH543" t="str">
            <v>HDFC Bank</v>
          </cell>
          <cell r="AI543" t="str">
            <v>50100173669397</v>
          </cell>
          <cell r="AJ543" t="str">
            <v>HDFC0000317</v>
          </cell>
          <cell r="AK543" t="str">
            <v>CNVPB7251A</v>
          </cell>
          <cell r="AL543">
            <v>796600047434</v>
          </cell>
          <cell r="AM543" t="str">
            <v>Byreddy Madhusudhan Reddy</v>
          </cell>
          <cell r="AN543">
            <v>44905</v>
          </cell>
          <cell r="AS543" t="e">
            <v>#REF!</v>
          </cell>
          <cell r="AW543">
            <v>33435</v>
          </cell>
          <cell r="AX543" t="str">
            <v>Female</v>
          </cell>
          <cell r="AY543" t="str">
            <v>Part Time</v>
          </cell>
          <cell r="AZ543">
            <v>4</v>
          </cell>
          <cell r="BA543">
            <v>5</v>
          </cell>
        </row>
        <row r="544">
          <cell r="M544" t="str">
            <v>Kharkhana - 35</v>
          </cell>
          <cell r="O544" t="str">
            <v>Physician Services</v>
          </cell>
          <cell r="P544" t="str">
            <v>Consultant Physician</v>
          </cell>
          <cell r="R544">
            <v>44221</v>
          </cell>
          <cell r="S544">
            <v>44221</v>
          </cell>
          <cell r="T544">
            <v>44950</v>
          </cell>
          <cell r="U544">
            <v>44951</v>
          </cell>
          <cell r="AA544" t="str">
            <v>MBBS</v>
          </cell>
          <cell r="AB544" t="str">
            <v>TSMC/FMR/05723</v>
          </cell>
          <cell r="AC544" t="str">
            <v>Telangana State Medical Council</v>
          </cell>
          <cell r="AD544">
            <v>43269</v>
          </cell>
          <cell r="AE544">
            <v>45094</v>
          </cell>
          <cell r="AF544">
            <v>7730089291</v>
          </cell>
          <cell r="AG544" t="str">
            <v>boddammounika@gmail.com</v>
          </cell>
          <cell r="AH544" t="str">
            <v>The Federal Bank</v>
          </cell>
          <cell r="AI544" t="str">
            <v>99980103947185</v>
          </cell>
          <cell r="AJ544" t="str">
            <v>FDRL0001395</v>
          </cell>
          <cell r="AK544" t="str">
            <v>ELNPM9081H</v>
          </cell>
          <cell r="AL544">
            <v>377027110928</v>
          </cell>
          <cell r="AM544" t="str">
            <v>B Ramesh</v>
          </cell>
          <cell r="AN544">
            <v>44316</v>
          </cell>
          <cell r="AW544">
            <v>33900</v>
          </cell>
          <cell r="AX544" t="str">
            <v>Female</v>
          </cell>
          <cell r="AY544" t="str">
            <v>Part Time</v>
          </cell>
          <cell r="AZ544">
            <v>1</v>
          </cell>
          <cell r="BA544">
            <v>1</v>
          </cell>
        </row>
        <row r="545">
          <cell r="M545" t="str">
            <v>Gurgaon - 54</v>
          </cell>
          <cell r="O545" t="str">
            <v>Pathology</v>
          </cell>
          <cell r="P545" t="str">
            <v>Consultant Pathologist</v>
          </cell>
          <cell r="Q545" t="str">
            <v>Dr Shashikanth</v>
          </cell>
          <cell r="R545">
            <v>44228</v>
          </cell>
          <cell r="S545">
            <v>44228</v>
          </cell>
          <cell r="T545">
            <v>44957</v>
          </cell>
          <cell r="U545">
            <v>44958</v>
          </cell>
          <cell r="AA545" t="str">
            <v>MBBS, MD - Pathology</v>
          </cell>
          <cell r="AB545" t="str">
            <v>DMC/R/4378</v>
          </cell>
          <cell r="AC545" t="str">
            <v>Delhi Medical Council</v>
          </cell>
          <cell r="AD545">
            <v>43825</v>
          </cell>
          <cell r="AE545">
            <v>45651</v>
          </cell>
          <cell r="AF545">
            <v>9582110284</v>
          </cell>
          <cell r="AG545" t="str">
            <v>mint.ucms@gmail.com</v>
          </cell>
          <cell r="AH545" t="str">
            <v>Punjab National Bank</v>
          </cell>
          <cell r="AI545" t="str">
            <v>4849000100028448</v>
          </cell>
          <cell r="AJ545" t="str">
            <v>PUNB0484900</v>
          </cell>
          <cell r="AK545" t="str">
            <v>AVXPG6104H</v>
          </cell>
          <cell r="AL545" t="str">
            <v>956897224120</v>
          </cell>
          <cell r="AM545" t="str">
            <v>Yashpal Gulia</v>
          </cell>
          <cell r="AN545">
            <v>44374</v>
          </cell>
          <cell r="AW545">
            <v>30503</v>
          </cell>
          <cell r="AX545" t="str">
            <v>Female</v>
          </cell>
          <cell r="AY545" t="str">
            <v>Part Time</v>
          </cell>
          <cell r="AZ545">
            <v>3</v>
          </cell>
          <cell r="BA545">
            <v>5</v>
          </cell>
        </row>
        <row r="546">
          <cell r="M546" t="str">
            <v>Dilsukhnagar - 12</v>
          </cell>
          <cell r="O546" t="str">
            <v>Pathology</v>
          </cell>
          <cell r="P546" t="str">
            <v>Consultant Pathologist</v>
          </cell>
          <cell r="Q546" t="str">
            <v>Dr Shashikanth</v>
          </cell>
          <cell r="R546">
            <v>44228</v>
          </cell>
          <cell r="S546">
            <v>44228</v>
          </cell>
          <cell r="T546">
            <v>44957</v>
          </cell>
          <cell r="U546">
            <v>44958</v>
          </cell>
          <cell r="AA546" t="str">
            <v>MBBS, DM Pathlogy</v>
          </cell>
          <cell r="AB546" t="str">
            <v>APMC/FMR/82519</v>
          </cell>
          <cell r="AC546" t="str">
            <v>Andhra Pradesh Medical Council</v>
          </cell>
          <cell r="AD546">
            <v>41469</v>
          </cell>
          <cell r="AE546">
            <v>43294</v>
          </cell>
          <cell r="AF546">
            <v>9704491000</v>
          </cell>
          <cell r="AG546" t="str">
            <v>rachnawaghray@yahoo.in</v>
          </cell>
          <cell r="AH546" t="str">
            <v>CANARA BANK</v>
          </cell>
          <cell r="AI546" t="str">
            <v>0606101060241</v>
          </cell>
          <cell r="AJ546" t="str">
            <v>CNRB0000606</v>
          </cell>
          <cell r="AK546" t="str">
            <v>ADDPW9156B</v>
          </cell>
          <cell r="AL546" t="str">
            <v>812023048236</v>
          </cell>
          <cell r="AM546" t="str">
            <v>Vijay Waghray</v>
          </cell>
          <cell r="AN546">
            <v>44303</v>
          </cell>
          <cell r="AW546">
            <v>32911</v>
          </cell>
          <cell r="AX546" t="str">
            <v>Female</v>
          </cell>
          <cell r="AY546" t="str">
            <v>Full Time</v>
          </cell>
          <cell r="AZ546">
            <v>8</v>
          </cell>
          <cell r="BA546">
            <v>8</v>
          </cell>
        </row>
        <row r="547">
          <cell r="M547" t="str">
            <v>Himayatnagar</v>
          </cell>
          <cell r="O547" t="str">
            <v>Lab Services</v>
          </cell>
          <cell r="P547" t="str">
            <v>Head - Lab Operations</v>
          </cell>
          <cell r="Q547" t="str">
            <v>Suprita Reddy</v>
          </cell>
          <cell r="R547">
            <v>44228</v>
          </cell>
          <cell r="S547">
            <v>44228</v>
          </cell>
          <cell r="T547">
            <v>44957</v>
          </cell>
          <cell r="U547">
            <v>44958</v>
          </cell>
          <cell r="V547">
            <v>1986</v>
          </cell>
          <cell r="W547" t="str">
            <v>Kasturba Medical College</v>
          </cell>
          <cell r="X547">
            <v>1990</v>
          </cell>
          <cell r="Y547">
            <v>0</v>
          </cell>
          <cell r="AA547" t="str">
            <v>MBBS, MD - Pathology</v>
          </cell>
          <cell r="AB547">
            <v>7591</v>
          </cell>
          <cell r="AC547" t="str">
            <v>Haryana Medical Council</v>
          </cell>
          <cell r="AD547">
            <v>41613</v>
          </cell>
          <cell r="AE547" t="str">
            <v xml:space="preserve"> </v>
          </cell>
          <cell r="AF547">
            <v>7838141433</v>
          </cell>
          <cell r="AG547" t="str">
            <v>lata.kini@gmail.com</v>
          </cell>
          <cell r="AH547" t="str">
            <v>HDFC Bank</v>
          </cell>
          <cell r="AI547" t="str">
            <v>50100399494480</v>
          </cell>
          <cell r="AJ547" t="str">
            <v>HDFC0004898</v>
          </cell>
          <cell r="AK547" t="str">
            <v>AIHPK7819E</v>
          </cell>
          <cell r="AL547">
            <v>392863909280</v>
          </cell>
          <cell r="AM547" t="str">
            <v>Vishwanath Nayak</v>
          </cell>
          <cell r="AN547">
            <v>44594</v>
          </cell>
          <cell r="AW547">
            <v>22788</v>
          </cell>
          <cell r="AX547" t="str">
            <v>Female</v>
          </cell>
          <cell r="AY547" t="str">
            <v>Full Time</v>
          </cell>
          <cell r="AZ547">
            <v>8</v>
          </cell>
          <cell r="BA547">
            <v>8</v>
          </cell>
        </row>
        <row r="548">
          <cell r="M548" t="str">
            <v>Karimnagar-75</v>
          </cell>
          <cell r="O548" t="str">
            <v>Radiology</v>
          </cell>
          <cell r="P548" t="str">
            <v>Consultant Radiologist</v>
          </cell>
          <cell r="Q548" t="str">
            <v>Dr L T Kishore</v>
          </cell>
          <cell r="R548">
            <v>44228</v>
          </cell>
          <cell r="AA548" t="str">
            <v>MBBS, MD - Radiodiagnosis</v>
          </cell>
          <cell r="AB548" t="str">
            <v>APMC/FMR/86708</v>
          </cell>
          <cell r="AC548" t="str">
            <v>Telangana State Medical Council</v>
          </cell>
          <cell r="AD548">
            <v>43367</v>
          </cell>
          <cell r="AE548">
            <v>45192</v>
          </cell>
          <cell r="AF548">
            <v>8008416988</v>
          </cell>
          <cell r="AG548" t="str">
            <v>vamshikiranmedico@gmail.com</v>
          </cell>
          <cell r="AH548" t="str">
            <v>HDFC Bank</v>
          </cell>
          <cell r="AI548" t="str">
            <v>50100243907405</v>
          </cell>
          <cell r="AJ548" t="str">
            <v>HDFC0000813</v>
          </cell>
          <cell r="AK548" t="str">
            <v>AZBPD6972G</v>
          </cell>
          <cell r="AL548" t="str">
            <v>282698079382</v>
          </cell>
          <cell r="AM548" t="str">
            <v>Didi Gopal</v>
          </cell>
          <cell r="AN548">
            <v>44298</v>
          </cell>
          <cell r="AW548">
            <v>33296</v>
          </cell>
          <cell r="AX548" t="str">
            <v>Male</v>
          </cell>
          <cell r="AY548" t="str">
            <v>Part Time</v>
          </cell>
          <cell r="AZ548">
            <v>3</v>
          </cell>
          <cell r="BA548">
            <v>3</v>
          </cell>
        </row>
        <row r="549">
          <cell r="M549" t="str">
            <v>Gurgaon - 54</v>
          </cell>
          <cell r="O549" t="str">
            <v>Microbiology</v>
          </cell>
          <cell r="P549" t="str">
            <v>Consultant Microbiologist</v>
          </cell>
          <cell r="Q549" t="str">
            <v>Dr Manisha</v>
          </cell>
          <cell r="R549">
            <v>44225</v>
          </cell>
          <cell r="S549">
            <v>44225</v>
          </cell>
          <cell r="T549">
            <v>44954</v>
          </cell>
          <cell r="U549">
            <v>44955</v>
          </cell>
          <cell r="V549">
            <v>2008</v>
          </cell>
          <cell r="W549" t="str">
            <v>Subharti Medical College, Merut, Uttar Pradesh</v>
          </cell>
          <cell r="X549">
            <v>2013</v>
          </cell>
          <cell r="Y549" t="str">
            <v>Subharti Medical College, Merut, Uttar Pradesh</v>
          </cell>
          <cell r="AA549" t="str">
            <v>MBBS, MD Microbiologist</v>
          </cell>
          <cell r="AB549">
            <v>47162</v>
          </cell>
          <cell r="AC549" t="str">
            <v>Delhi Medical Council</v>
          </cell>
          <cell r="AD549">
            <v>44175</v>
          </cell>
          <cell r="AE549">
            <v>46000</v>
          </cell>
          <cell r="AF549">
            <v>9643643685</v>
          </cell>
          <cell r="AG549" t="str">
            <v>isha10rastogi@gmail.com</v>
          </cell>
          <cell r="AH549" t="str">
            <v>HDFC Bank</v>
          </cell>
          <cell r="AI549" t="str">
            <v>50100190157210</v>
          </cell>
          <cell r="AJ549" t="str">
            <v>HDFC0003676</v>
          </cell>
          <cell r="AK549" t="str">
            <v>AOQPR6566N</v>
          </cell>
          <cell r="AL549" t="str">
            <v>793588217286</v>
          </cell>
          <cell r="AM549" t="str">
            <v>Dharamveer Singh</v>
          </cell>
          <cell r="AN549">
            <v>44912</v>
          </cell>
          <cell r="AS549" t="e">
            <v>#REF!</v>
          </cell>
          <cell r="AW549">
            <v>31512</v>
          </cell>
          <cell r="AX549" t="str">
            <v>Female</v>
          </cell>
          <cell r="AY549" t="str">
            <v>Part Time</v>
          </cell>
          <cell r="BA549">
            <v>5</v>
          </cell>
        </row>
        <row r="550">
          <cell r="M550" t="str">
            <v>Yousufguda - 42</v>
          </cell>
          <cell r="N550" t="str">
            <v>X-Ray,Mammography,BMD,USG,CT,MRI</v>
          </cell>
          <cell r="O550" t="str">
            <v>Radiology</v>
          </cell>
          <cell r="P550" t="str">
            <v>Consultant Radiologist</v>
          </cell>
          <cell r="Q550" t="str">
            <v>Dr. Krishna Mohan Pottala</v>
          </cell>
          <cell r="R550">
            <v>45451</v>
          </cell>
          <cell r="S550">
            <v>45451</v>
          </cell>
          <cell r="T550">
            <v>46180</v>
          </cell>
          <cell r="U550">
            <v>46181</v>
          </cell>
          <cell r="V550">
            <v>2000</v>
          </cell>
          <cell r="W550" t="str">
            <v>Rajendra Institute of medical sciences(RIMS),Ranchi</v>
          </cell>
          <cell r="X550" t="str">
            <v>DCP,DMRD(2008)</v>
          </cell>
          <cell r="Y550" t="str">
            <v>RIMS ,Ranchi</v>
          </cell>
          <cell r="Z550" t="str">
            <v>NA</v>
          </cell>
          <cell r="AA550" t="str">
            <v>MBBS,DCP,DMRD</v>
          </cell>
          <cell r="AB550">
            <v>3347</v>
          </cell>
          <cell r="AC550" t="str">
            <v>Jharkhand state Medical Council</v>
          </cell>
          <cell r="AD550">
            <v>40653</v>
          </cell>
          <cell r="AE550">
            <v>42479</v>
          </cell>
          <cell r="AF550">
            <v>9431161196</v>
          </cell>
          <cell r="AG550" t="str">
            <v>mukta.agarwal1072@gmail.com</v>
          </cell>
          <cell r="AH550" t="str">
            <v>STATE BANK OF INDIA</v>
          </cell>
          <cell r="AI550">
            <v>10042839918</v>
          </cell>
          <cell r="AJ550" t="str">
            <v>SBIN0001672</v>
          </cell>
          <cell r="AK550" t="str">
            <v>AHPPA4020L</v>
          </cell>
          <cell r="AL550">
            <v>908724344903</v>
          </cell>
          <cell r="AN550">
            <v>45476</v>
          </cell>
          <cell r="AO550">
            <v>45500</v>
          </cell>
          <cell r="AP550" t="str">
            <v>Abscond</v>
          </cell>
          <cell r="AQ550" t="str">
            <v>Flat No- 101, Sai Sadan Apartment, Ashram marg, Bariatu, Ranchi, Jhankhand- 834009</v>
          </cell>
          <cell r="AS550" t="str">
            <v>Flat No- 101, Sai Sadan Apartment, Ashram marg, Bariatu, Ranchi, Jhankhand- 834009</v>
          </cell>
          <cell r="AW550">
            <v>27996</v>
          </cell>
          <cell r="AX550" t="str">
            <v>Female</v>
          </cell>
          <cell r="AY550" t="str">
            <v>Part Time</v>
          </cell>
          <cell r="AZ550">
            <v>2</v>
          </cell>
          <cell r="BA550" t="str">
            <v>Punjagutta Cluster</v>
          </cell>
        </row>
        <row r="551">
          <cell r="M551" t="str">
            <v>Himayatnagar</v>
          </cell>
          <cell r="N551" t="str">
            <v>USG, X Ray</v>
          </cell>
          <cell r="O551" t="str">
            <v>Radiology</v>
          </cell>
          <cell r="P551" t="str">
            <v>Consultant Radiologist</v>
          </cell>
          <cell r="Q551" t="str">
            <v>Dr L T Kishore</v>
          </cell>
          <cell r="R551">
            <v>44235</v>
          </cell>
          <cell r="S551">
            <v>44235</v>
          </cell>
          <cell r="T551">
            <v>44964</v>
          </cell>
          <cell r="U551">
            <v>44965</v>
          </cell>
          <cell r="AA551" t="str">
            <v>MBBS, MD - Radiognosis</v>
          </cell>
          <cell r="AF551">
            <v>8106399430</v>
          </cell>
          <cell r="AG551" t="str">
            <v>Suziitha11@gmail.com</v>
          </cell>
          <cell r="AH551" t="str">
            <v>Andhra Bank</v>
          </cell>
          <cell r="AI551" t="str">
            <v>007610100066100</v>
          </cell>
          <cell r="AJ551" t="str">
            <v>ANDB0000076</v>
          </cell>
          <cell r="AK551" t="str">
            <v>ENEPS6938C</v>
          </cell>
          <cell r="AL551" t="str">
            <v>381160523573</v>
          </cell>
          <cell r="AM551" t="str">
            <v>S Manohar Rao</v>
          </cell>
          <cell r="AN551">
            <v>44374</v>
          </cell>
          <cell r="AW551">
            <v>31543</v>
          </cell>
          <cell r="AX551" t="str">
            <v>Female</v>
          </cell>
          <cell r="AY551" t="str">
            <v>Part Time</v>
          </cell>
          <cell r="AZ551">
            <v>6</v>
          </cell>
          <cell r="BA551">
            <v>8</v>
          </cell>
        </row>
        <row r="552">
          <cell r="M552" t="str">
            <v>Film Nagar - 38</v>
          </cell>
          <cell r="O552" t="str">
            <v>Physician Services</v>
          </cell>
          <cell r="P552" t="str">
            <v>Consultant Physician</v>
          </cell>
          <cell r="R552">
            <v>44244</v>
          </cell>
          <cell r="S552">
            <v>44244</v>
          </cell>
          <cell r="T552">
            <v>44973</v>
          </cell>
          <cell r="U552">
            <v>44974</v>
          </cell>
          <cell r="AA552" t="str">
            <v>MBBS</v>
          </cell>
          <cell r="AB552" t="str">
            <v>TSMC/FMR/14343</v>
          </cell>
          <cell r="AC552" t="str">
            <v>Telangana State Medical Council</v>
          </cell>
          <cell r="AD552">
            <v>44151</v>
          </cell>
          <cell r="AE552">
            <v>45977</v>
          </cell>
          <cell r="AF552">
            <v>9533871312</v>
          </cell>
          <cell r="AG552" t="str">
            <v>rahul2munna@gmail.com</v>
          </cell>
          <cell r="AH552" t="str">
            <v>HDFC Bank</v>
          </cell>
          <cell r="AI552">
            <v>50100129627420</v>
          </cell>
          <cell r="AJ552" t="str">
            <v>HDFC0000696</v>
          </cell>
          <cell r="AK552" t="str">
            <v>DEKPB6714P</v>
          </cell>
          <cell r="AL552">
            <v>636530827583</v>
          </cell>
          <cell r="AM552" t="str">
            <v>Badangi Srinivas</v>
          </cell>
          <cell r="AN552">
            <v>44439</v>
          </cell>
          <cell r="AW552">
            <v>34941</v>
          </cell>
          <cell r="AX552" t="str">
            <v>Male</v>
          </cell>
          <cell r="AY552" t="str">
            <v>Part Time</v>
          </cell>
          <cell r="AZ552">
            <v>1</v>
          </cell>
          <cell r="BA552">
            <v>1</v>
          </cell>
        </row>
        <row r="553">
          <cell r="M553" t="str">
            <v>Hanamkonda - 40</v>
          </cell>
          <cell r="N553" t="str">
            <v>Hematology, Cytopathology, Clinical Pathology</v>
          </cell>
          <cell r="O553" t="str">
            <v>Pathology</v>
          </cell>
          <cell r="P553" t="str">
            <v>Consultant Pathologist</v>
          </cell>
          <cell r="Q553" t="str">
            <v>Dr. Shashikanth</v>
          </cell>
          <cell r="R553">
            <v>44249</v>
          </cell>
          <cell r="S553">
            <v>44979</v>
          </cell>
          <cell r="T553">
            <v>45709</v>
          </cell>
          <cell r="U553">
            <v>45710</v>
          </cell>
          <cell r="V553">
            <v>2011</v>
          </cell>
          <cell r="W553" t="str">
            <v>NTR University</v>
          </cell>
          <cell r="X553">
            <v>2016</v>
          </cell>
          <cell r="Y553" t="str">
            <v>Osmania Medical College</v>
          </cell>
          <cell r="Z553" t="str">
            <v>NA</v>
          </cell>
          <cell r="AA553" t="str">
            <v>MBBS, MD - Pathology</v>
          </cell>
          <cell r="AB553">
            <v>72104</v>
          </cell>
          <cell r="AC553" t="str">
            <v>Telangana State Medical Council</v>
          </cell>
          <cell r="AD553">
            <v>44889</v>
          </cell>
          <cell r="AE553">
            <v>46714</v>
          </cell>
          <cell r="AF553">
            <v>9493403133</v>
          </cell>
          <cell r="AG553" t="str">
            <v>lata.manchala@gmail.com</v>
          </cell>
          <cell r="AH553" t="str">
            <v>SBI Bank</v>
          </cell>
          <cell r="AI553" t="str">
            <v>00000052208026868</v>
          </cell>
          <cell r="AJ553" t="str">
            <v>SBIN0015975</v>
          </cell>
          <cell r="AK553" t="str">
            <v>BMNPM2054A</v>
          </cell>
          <cell r="AL553" t="str">
            <v>793593281418</v>
          </cell>
          <cell r="AM553" t="str">
            <v>M Narsaiah</v>
          </cell>
          <cell r="AN553">
            <v>45414</v>
          </cell>
          <cell r="AO553">
            <v>45395</v>
          </cell>
          <cell r="AP553" t="str">
            <v>Personal Reason</v>
          </cell>
          <cell r="AU553">
            <v>0.375</v>
          </cell>
          <cell r="AV553">
            <v>0.625</v>
          </cell>
          <cell r="AW553">
            <v>31797</v>
          </cell>
          <cell r="AX553" t="str">
            <v>Female</v>
          </cell>
          <cell r="AY553" t="str">
            <v>Part Time</v>
          </cell>
          <cell r="AZ553">
            <v>6</v>
          </cell>
          <cell r="BA553">
            <v>3</v>
          </cell>
        </row>
        <row r="554">
          <cell r="M554" t="str">
            <v>Nallagandla - 84</v>
          </cell>
          <cell r="O554" t="str">
            <v>Physician Services</v>
          </cell>
          <cell r="P554" t="str">
            <v>Consultant Physician</v>
          </cell>
          <cell r="R554">
            <v>44249</v>
          </cell>
          <cell r="S554">
            <v>44249</v>
          </cell>
          <cell r="T554">
            <v>44978</v>
          </cell>
          <cell r="U554">
            <v>44979</v>
          </cell>
          <cell r="AA554" t="str">
            <v>MBBS</v>
          </cell>
          <cell r="AB554">
            <v>38564</v>
          </cell>
          <cell r="AC554" t="str">
            <v>Telangana State Medical Council</v>
          </cell>
          <cell r="AD554">
            <v>43557</v>
          </cell>
          <cell r="AE554">
            <v>45383</v>
          </cell>
          <cell r="AF554">
            <v>8008925975</v>
          </cell>
          <cell r="AG554" t="str">
            <v>arjunsmallik@hotmail.com</v>
          </cell>
          <cell r="AH554" t="str">
            <v>ICICI Bank</v>
          </cell>
          <cell r="AI554" t="str">
            <v>322201075243</v>
          </cell>
          <cell r="AJ554" t="str">
            <v>ICIC0003222</v>
          </cell>
          <cell r="AK554" t="str">
            <v>BNIPS6365L</v>
          </cell>
          <cell r="AL554" t="str">
            <v>284421521715</v>
          </cell>
          <cell r="AM554" t="str">
            <v>Seelamonthula Eshwaraiah</v>
          </cell>
          <cell r="AN554">
            <v>44312</v>
          </cell>
          <cell r="AW554">
            <v>25319</v>
          </cell>
          <cell r="AX554" t="str">
            <v>Male</v>
          </cell>
          <cell r="AY554" t="str">
            <v>Part Time</v>
          </cell>
          <cell r="AZ554">
            <v>1</v>
          </cell>
          <cell r="BA554">
            <v>3</v>
          </cell>
        </row>
        <row r="555">
          <cell r="M555" t="str">
            <v>BHEL-30</v>
          </cell>
          <cell r="O555" t="str">
            <v>Physician Services</v>
          </cell>
          <cell r="P555" t="str">
            <v>Consultant Physician</v>
          </cell>
          <cell r="R555">
            <v>44249</v>
          </cell>
          <cell r="S555">
            <v>44249</v>
          </cell>
          <cell r="T555">
            <v>44978</v>
          </cell>
          <cell r="U555">
            <v>44979</v>
          </cell>
          <cell r="AA555" t="str">
            <v>MBBS</v>
          </cell>
          <cell r="AB555">
            <v>38564</v>
          </cell>
          <cell r="AC555" t="str">
            <v>Telangana State Medical Council</v>
          </cell>
          <cell r="AD555">
            <v>43557</v>
          </cell>
          <cell r="AE555">
            <v>45383</v>
          </cell>
          <cell r="AF555">
            <v>8008925975</v>
          </cell>
          <cell r="AG555" t="str">
            <v>arjunsmallik@hotmail.com</v>
          </cell>
          <cell r="AH555" t="str">
            <v>ICICI Bank</v>
          </cell>
          <cell r="AI555" t="str">
            <v>322201075243</v>
          </cell>
          <cell r="AJ555" t="str">
            <v>ICIC0003222</v>
          </cell>
          <cell r="AK555" t="str">
            <v>BNIPS6365L</v>
          </cell>
          <cell r="AL555" t="str">
            <v>284421521715</v>
          </cell>
          <cell r="AM555" t="str">
            <v>Seelamonthula Eshwaraiah</v>
          </cell>
          <cell r="AN555">
            <v>44312</v>
          </cell>
          <cell r="AW555">
            <v>25319</v>
          </cell>
          <cell r="AX555" t="str">
            <v>Male</v>
          </cell>
          <cell r="AY555" t="str">
            <v>Part Time</v>
          </cell>
          <cell r="AZ555">
            <v>1</v>
          </cell>
          <cell r="BA555" t="str">
            <v>Madhapur Cluster</v>
          </cell>
        </row>
        <row r="556">
          <cell r="M556" t="str">
            <v>Karmanghat - 68</v>
          </cell>
          <cell r="N556" t="str">
            <v>USG, XRAY, Mamography</v>
          </cell>
          <cell r="O556" t="str">
            <v>Radiology</v>
          </cell>
          <cell r="P556" t="str">
            <v>Consultant Radiologist</v>
          </cell>
          <cell r="Q556" t="str">
            <v>Dr L T Kishore</v>
          </cell>
          <cell r="R556">
            <v>44256</v>
          </cell>
          <cell r="S556">
            <v>44256</v>
          </cell>
          <cell r="T556">
            <v>44985</v>
          </cell>
          <cell r="U556">
            <v>44986</v>
          </cell>
          <cell r="AA556" t="str">
            <v>MBBS, DMRD</v>
          </cell>
          <cell r="AB556" t="str">
            <v>APMC/FMR/83524</v>
          </cell>
          <cell r="AC556" t="str">
            <v>Telangana State Medical Council</v>
          </cell>
          <cell r="AD556">
            <v>43432</v>
          </cell>
          <cell r="AE556">
            <v>45257</v>
          </cell>
          <cell r="AF556">
            <v>8179333132</v>
          </cell>
          <cell r="AG556" t="str">
            <v>msruthi89@gmail.com</v>
          </cell>
          <cell r="AH556" t="str">
            <v>Axis Bank</v>
          </cell>
          <cell r="AI556" t="str">
            <v>916010032375056</v>
          </cell>
          <cell r="AJ556" t="str">
            <v>UTIB0002738</v>
          </cell>
          <cell r="AK556" t="str">
            <v>BUGPM5889L</v>
          </cell>
          <cell r="AL556" t="str">
            <v>361550804253</v>
          </cell>
          <cell r="AM556" t="str">
            <v>M Venkateswarlu</v>
          </cell>
          <cell r="AN556">
            <v>44316</v>
          </cell>
          <cell r="AW556">
            <v>32646</v>
          </cell>
          <cell r="AX556" t="str">
            <v>Female</v>
          </cell>
          <cell r="AY556" t="str">
            <v>Part Time</v>
          </cell>
          <cell r="AZ556">
            <v>2</v>
          </cell>
          <cell r="BA556">
            <v>2</v>
          </cell>
        </row>
        <row r="557">
          <cell r="M557" t="str">
            <v>Deepthisrinagar</v>
          </cell>
          <cell r="N557" t="str">
            <v>USG, X Ray</v>
          </cell>
          <cell r="O557" t="str">
            <v>Radiology</v>
          </cell>
          <cell r="P557" t="str">
            <v>Consultant Radiologist</v>
          </cell>
          <cell r="Q557" t="str">
            <v>Dr L T Kishore</v>
          </cell>
          <cell r="R557">
            <v>44256</v>
          </cell>
          <cell r="S557">
            <v>44256</v>
          </cell>
          <cell r="T557">
            <v>44985</v>
          </cell>
          <cell r="U557">
            <v>44986</v>
          </cell>
          <cell r="W557" t="str">
            <v>Bhaskar Medical College</v>
          </cell>
          <cell r="X557">
            <v>2011</v>
          </cell>
          <cell r="Y557" t="str">
            <v>MNR Medical College</v>
          </cell>
          <cell r="AA557" t="str">
            <v>MBBS, MD - Radio Diagnosis</v>
          </cell>
          <cell r="AB557">
            <v>72313</v>
          </cell>
          <cell r="AC557" t="str">
            <v>Telangana State Medical Council</v>
          </cell>
          <cell r="AD557">
            <v>43222</v>
          </cell>
          <cell r="AE557">
            <v>45047</v>
          </cell>
          <cell r="AF557">
            <v>9000291333</v>
          </cell>
          <cell r="AG557" t="str">
            <v>nikitakolan@gmail.com</v>
          </cell>
          <cell r="AH557" t="str">
            <v>HDFC Bank</v>
          </cell>
          <cell r="AI557" t="str">
            <v>50100007089881</v>
          </cell>
          <cell r="AJ557" t="str">
            <v>HDFC0001995</v>
          </cell>
          <cell r="AK557" t="str">
            <v>BTVPK0442B</v>
          </cell>
          <cell r="AL557" t="str">
            <v>535532927357</v>
          </cell>
          <cell r="AM557" t="str">
            <v>K Bhadra Reddy</v>
          </cell>
          <cell r="AN557">
            <v>44291</v>
          </cell>
          <cell r="AW557">
            <v>31870</v>
          </cell>
          <cell r="AX557" t="str">
            <v>Female</v>
          </cell>
          <cell r="AY557" t="str">
            <v>Part Time</v>
          </cell>
          <cell r="AZ557">
            <v>2</v>
          </cell>
          <cell r="BA557" t="str">
            <v>Madhapur Cluster</v>
          </cell>
        </row>
        <row r="558">
          <cell r="M558" t="str">
            <v>Pragathi Nagar-89</v>
          </cell>
          <cell r="N558" t="str">
            <v>USG, X-RAY</v>
          </cell>
          <cell r="O558" t="str">
            <v>Radiology</v>
          </cell>
          <cell r="P558" t="str">
            <v>Consultant Radiologist</v>
          </cell>
          <cell r="Q558" t="str">
            <v>Dr L T Kishore</v>
          </cell>
          <cell r="R558">
            <v>44256</v>
          </cell>
          <cell r="S558">
            <v>44256</v>
          </cell>
          <cell r="T558">
            <v>44985</v>
          </cell>
          <cell r="U558">
            <v>44986</v>
          </cell>
          <cell r="AA558" t="str">
            <v>MBBS, MD - Radio Diagnosis</v>
          </cell>
          <cell r="AB558">
            <v>72615</v>
          </cell>
          <cell r="AC558" t="str">
            <v>Andhra Pradesh Medical Council</v>
          </cell>
          <cell r="AD558">
            <v>44216</v>
          </cell>
          <cell r="AE558">
            <v>46041</v>
          </cell>
          <cell r="AF558">
            <v>9676684400</v>
          </cell>
          <cell r="AG558" t="str">
            <v>shyamala.javvadi@gmail.com</v>
          </cell>
          <cell r="AH558" t="str">
            <v>Indus Bank</v>
          </cell>
          <cell r="AI558" t="str">
            <v>100121147452</v>
          </cell>
          <cell r="AJ558" t="str">
            <v>INDB0000261</v>
          </cell>
          <cell r="AK558" t="str">
            <v>AUIPJ0881G</v>
          </cell>
          <cell r="AL558" t="str">
            <v>466606485531</v>
          </cell>
          <cell r="AM558" t="str">
            <v>Satyanarayana</v>
          </cell>
          <cell r="AN558">
            <v>44293</v>
          </cell>
          <cell r="AW558">
            <v>31958</v>
          </cell>
          <cell r="AX558" t="str">
            <v>Female</v>
          </cell>
          <cell r="AY558" t="str">
            <v>Part Time</v>
          </cell>
          <cell r="AZ558">
            <v>2</v>
          </cell>
          <cell r="BA558" t="str">
            <v>Kukatpally Cluster</v>
          </cell>
        </row>
        <row r="559">
          <cell r="M559" t="str">
            <v>Vizag - 37</v>
          </cell>
          <cell r="O559" t="str">
            <v>Physician Services</v>
          </cell>
          <cell r="P559" t="str">
            <v>Consultant Physician</v>
          </cell>
          <cell r="R559">
            <v>44258</v>
          </cell>
          <cell r="S559">
            <v>44258</v>
          </cell>
          <cell r="T559">
            <v>44987</v>
          </cell>
          <cell r="U559">
            <v>44988</v>
          </cell>
          <cell r="AA559" t="str">
            <v>MBBS</v>
          </cell>
          <cell r="AB559">
            <v>69820</v>
          </cell>
          <cell r="AC559" t="str">
            <v>Telangana State Medical Council</v>
          </cell>
          <cell r="AD559">
            <v>42516</v>
          </cell>
          <cell r="AE559">
            <v>44341</v>
          </cell>
          <cell r="AF559">
            <v>9885869190</v>
          </cell>
          <cell r="AG559" t="str">
            <v>nimmakayalalily6@gmail.com</v>
          </cell>
          <cell r="AH559" t="str">
            <v>SBI Bank</v>
          </cell>
          <cell r="AI559" t="str">
            <v>52102368188</v>
          </cell>
          <cell r="AJ559" t="str">
            <v>SBIN0020282</v>
          </cell>
          <cell r="AK559" t="str">
            <v>AKUPN5312L</v>
          </cell>
          <cell r="AL559" t="str">
            <v>235118320012</v>
          </cell>
          <cell r="AM559" t="str">
            <v>Nageswararao Nimmakayala</v>
          </cell>
          <cell r="AW559">
            <v>31349</v>
          </cell>
          <cell r="AX559" t="str">
            <v>Female</v>
          </cell>
          <cell r="AY559" t="str">
            <v>Part Time</v>
          </cell>
          <cell r="AZ559">
            <v>1</v>
          </cell>
          <cell r="BA559" t="str">
            <v>Visakhapatnam Cluster</v>
          </cell>
        </row>
        <row r="560">
          <cell r="M560" t="str">
            <v>Gachibowli-66</v>
          </cell>
          <cell r="N560" t="str">
            <v>USG, X Rays, Doppler</v>
          </cell>
          <cell r="O560" t="str">
            <v>Radiology</v>
          </cell>
          <cell r="P560" t="str">
            <v>Consultant Radiologist</v>
          </cell>
          <cell r="Q560" t="str">
            <v>Dr L T Kishore</v>
          </cell>
          <cell r="R560">
            <v>44258</v>
          </cell>
          <cell r="S560">
            <v>44258</v>
          </cell>
          <cell r="T560">
            <v>44960</v>
          </cell>
          <cell r="U560">
            <v>44961</v>
          </cell>
          <cell r="AA560" t="str">
            <v>MBBS, MD - Radiodiagnosis</v>
          </cell>
          <cell r="AB560" t="str">
            <v>APMC/FMR/87571</v>
          </cell>
          <cell r="AC560" t="str">
            <v>Telangana State Medical Council</v>
          </cell>
          <cell r="AD560">
            <v>43683</v>
          </cell>
          <cell r="AE560">
            <v>45509</v>
          </cell>
          <cell r="AF560">
            <v>9701659680</v>
          </cell>
          <cell r="AG560" t="str">
            <v>dpriyanka14@gmail.com</v>
          </cell>
          <cell r="AH560" t="str">
            <v>SBI Bank</v>
          </cell>
          <cell r="AI560" t="str">
            <v>39511912179</v>
          </cell>
          <cell r="AJ560" t="str">
            <v>SBIN0014447</v>
          </cell>
          <cell r="AK560" t="str">
            <v>CEVPD3366K</v>
          </cell>
          <cell r="AL560">
            <v>537551618362</v>
          </cell>
          <cell r="AM560" t="str">
            <v>Dagilla Shankar Rao</v>
          </cell>
          <cell r="AN560">
            <v>44317</v>
          </cell>
          <cell r="AW560">
            <v>32247</v>
          </cell>
          <cell r="AX560" t="str">
            <v>Female</v>
          </cell>
          <cell r="AY560" t="str">
            <v>Part Time</v>
          </cell>
          <cell r="AZ560">
            <v>2</v>
          </cell>
          <cell r="BA560">
            <v>6</v>
          </cell>
        </row>
        <row r="561">
          <cell r="M561" t="str">
            <v>Sec II S D Road - 13</v>
          </cell>
          <cell r="O561" t="str">
            <v>Physician Services</v>
          </cell>
          <cell r="P561" t="str">
            <v>Consultant Physician</v>
          </cell>
          <cell r="R561">
            <v>44267</v>
          </cell>
          <cell r="S561">
            <v>44267</v>
          </cell>
          <cell r="T561">
            <v>44996</v>
          </cell>
          <cell r="U561">
            <v>44997</v>
          </cell>
          <cell r="AA561" t="str">
            <v>MBBS</v>
          </cell>
          <cell r="AB561" t="str">
            <v>TSMC/FMR/14632</v>
          </cell>
          <cell r="AC561" t="str">
            <v>Telangana State Medical Council</v>
          </cell>
          <cell r="AD561">
            <v>44174</v>
          </cell>
          <cell r="AE561">
            <v>46000</v>
          </cell>
          <cell r="AF561">
            <v>9848524894</v>
          </cell>
          <cell r="AG561" t="str">
            <v>venkataabhinay.sakam@gmail.com</v>
          </cell>
          <cell r="AH561" t="str">
            <v>Bank of Baroda</v>
          </cell>
          <cell r="AI561" t="str">
            <v>22750100010464</v>
          </cell>
          <cell r="AJ561" t="str">
            <v>BARB0RAJAMP</v>
          </cell>
          <cell r="AK561" t="str">
            <v>HKSPS8351F</v>
          </cell>
          <cell r="AL561" t="str">
            <v>935331032703</v>
          </cell>
          <cell r="AM561" t="str">
            <v>Sakam Venkata Harish</v>
          </cell>
          <cell r="AN561">
            <v>44302</v>
          </cell>
          <cell r="AW561">
            <v>35241</v>
          </cell>
          <cell r="AX561" t="str">
            <v>Male</v>
          </cell>
          <cell r="AY561" t="str">
            <v>Part Time</v>
          </cell>
          <cell r="AZ561">
            <v>1</v>
          </cell>
          <cell r="BA561">
            <v>8</v>
          </cell>
        </row>
        <row r="562">
          <cell r="M562" t="str">
            <v>Nallakunta - 67</v>
          </cell>
          <cell r="O562" t="str">
            <v>Physician Services</v>
          </cell>
          <cell r="P562" t="str">
            <v>Consultant Physician</v>
          </cell>
          <cell r="R562">
            <v>44267</v>
          </cell>
          <cell r="S562">
            <v>44267</v>
          </cell>
          <cell r="T562">
            <v>44996</v>
          </cell>
          <cell r="U562">
            <v>44997</v>
          </cell>
          <cell r="AA562" t="str">
            <v>MBBS</v>
          </cell>
          <cell r="AB562" t="str">
            <v>APMC/FMR/89149</v>
          </cell>
          <cell r="AC562" t="str">
            <v>Telangana State Medical Council</v>
          </cell>
          <cell r="AF562">
            <v>7780507136</v>
          </cell>
          <cell r="AG562" t="str">
            <v>dr.khanam.hajira@gmail.com</v>
          </cell>
          <cell r="AH562" t="str">
            <v>SBI Bank</v>
          </cell>
          <cell r="AI562" t="str">
            <v>32809848966</v>
          </cell>
          <cell r="AJ562" t="str">
            <v>SBIN0003026</v>
          </cell>
          <cell r="AK562" t="str">
            <v>CWUPK3351A</v>
          </cell>
          <cell r="AL562" t="str">
            <v>399169788105</v>
          </cell>
          <cell r="AM562" t="str">
            <v>Hussain Khan</v>
          </cell>
          <cell r="AN562">
            <v>44305</v>
          </cell>
          <cell r="AW562">
            <v>32348</v>
          </cell>
          <cell r="AX562" t="str">
            <v>Female</v>
          </cell>
          <cell r="AY562" t="str">
            <v>Part Time</v>
          </cell>
          <cell r="AZ562">
            <v>1</v>
          </cell>
          <cell r="BA562" t="str">
            <v>Himayathnagar Cluster</v>
          </cell>
        </row>
        <row r="563">
          <cell r="M563" t="str">
            <v>Motinagar - 19</v>
          </cell>
          <cell r="N563" t="str">
            <v>USG, CT, MRI, X-RAY</v>
          </cell>
          <cell r="O563" t="str">
            <v>Radiology</v>
          </cell>
          <cell r="P563" t="str">
            <v>Consultant Radiologist</v>
          </cell>
          <cell r="Q563" t="str">
            <v>Dr L T Kishore</v>
          </cell>
          <cell r="R563">
            <v>44270</v>
          </cell>
          <cell r="S563">
            <v>44270</v>
          </cell>
          <cell r="T563">
            <v>44999</v>
          </cell>
          <cell r="U563">
            <v>45000</v>
          </cell>
          <cell r="AA563" t="str">
            <v>MBBS, DNB - Radiodiagnosis</v>
          </cell>
          <cell r="AB563" t="str">
            <v>APMC/FMR/75304</v>
          </cell>
          <cell r="AC563" t="str">
            <v>Telangana State Medical Council</v>
          </cell>
          <cell r="AD563">
            <v>42915</v>
          </cell>
          <cell r="AE563">
            <v>44740</v>
          </cell>
          <cell r="AF563">
            <v>8985574678</v>
          </cell>
          <cell r="AG563" t="str">
            <v>raman.venkata21@gmail.com</v>
          </cell>
          <cell r="AH563" t="str">
            <v>SBI Bank</v>
          </cell>
          <cell r="AI563" t="str">
            <v>62509547159</v>
          </cell>
          <cell r="AJ563" t="str">
            <v>SBIN0021486</v>
          </cell>
          <cell r="AK563" t="str">
            <v>AYLPG5093L</v>
          </cell>
          <cell r="AL563" t="str">
            <v>495699789038</v>
          </cell>
          <cell r="AM563" t="str">
            <v>Gangapatnam Venkataraman</v>
          </cell>
          <cell r="AN563">
            <v>44416</v>
          </cell>
          <cell r="AW563">
            <v>32031</v>
          </cell>
          <cell r="AX563" t="str">
            <v>Male</v>
          </cell>
          <cell r="AY563" t="str">
            <v>Part Time</v>
          </cell>
          <cell r="AZ563">
            <v>5</v>
          </cell>
          <cell r="BA563">
            <v>5</v>
          </cell>
        </row>
        <row r="564">
          <cell r="M564" t="str">
            <v>Habsiguda - 17</v>
          </cell>
          <cell r="N564" t="str">
            <v>Physician Services</v>
          </cell>
          <cell r="O564" t="str">
            <v>Physician Services</v>
          </cell>
          <cell r="P564" t="str">
            <v>Consultant Physician</v>
          </cell>
          <cell r="Q564" t="str">
            <v>Ms. Suprita Reddy</v>
          </cell>
          <cell r="R564">
            <v>44272</v>
          </cell>
          <cell r="S564">
            <v>44272</v>
          </cell>
          <cell r="T564">
            <v>45001</v>
          </cell>
          <cell r="U564">
            <v>45002</v>
          </cell>
          <cell r="AA564" t="str">
            <v>MBBS</v>
          </cell>
          <cell r="AB564" t="str">
            <v>APMC/FMR/96867</v>
          </cell>
          <cell r="AC564" t="str">
            <v>Andhra Pradesh Medical Council</v>
          </cell>
          <cell r="AD564">
            <v>42664</v>
          </cell>
          <cell r="AE564">
            <v>44490</v>
          </cell>
          <cell r="AF564">
            <v>8247377262</v>
          </cell>
          <cell r="AG564" t="str">
            <v>sravii1717@gmail.com</v>
          </cell>
          <cell r="AH564" t="str">
            <v>Axis Bank</v>
          </cell>
          <cell r="AI564" t="str">
            <v>917010079849128</v>
          </cell>
          <cell r="AJ564" t="str">
            <v>UTIB0001195</v>
          </cell>
          <cell r="AK564" t="str">
            <v>NCQPS2972J</v>
          </cell>
          <cell r="AL564" t="str">
            <v>889385382331</v>
          </cell>
          <cell r="AM564" t="str">
            <v>Pasunoori Rajesh</v>
          </cell>
          <cell r="AS564" t="e">
            <v>#REF!</v>
          </cell>
          <cell r="AW564">
            <v>33254</v>
          </cell>
          <cell r="AX564" t="str">
            <v>Female</v>
          </cell>
          <cell r="AY564" t="str">
            <v>Part Time</v>
          </cell>
          <cell r="AZ564">
            <v>1</v>
          </cell>
          <cell r="BA564">
            <v>1</v>
          </cell>
        </row>
        <row r="565">
          <cell r="M565" t="str">
            <v>Attapur - 34</v>
          </cell>
          <cell r="O565" t="str">
            <v>Physician Services</v>
          </cell>
          <cell r="P565" t="str">
            <v>Consultant Physician</v>
          </cell>
          <cell r="R565">
            <v>44272</v>
          </cell>
          <cell r="S565">
            <v>44272</v>
          </cell>
          <cell r="T565">
            <v>45001</v>
          </cell>
          <cell r="U565">
            <v>45002</v>
          </cell>
          <cell r="AA565" t="str">
            <v>MBBS</v>
          </cell>
          <cell r="AB565" t="str">
            <v>TSMC/FMR/13977</v>
          </cell>
          <cell r="AC565" t="str">
            <v>Telangana State Medical Council</v>
          </cell>
          <cell r="AD565">
            <v>44125</v>
          </cell>
          <cell r="AE565">
            <v>45951</v>
          </cell>
          <cell r="AF565">
            <v>8919081557</v>
          </cell>
          <cell r="AG565" t="str">
            <v>amathultayyaba97@gmail.com</v>
          </cell>
          <cell r="AH565" t="str">
            <v>Kotak Mahindra Bank</v>
          </cell>
          <cell r="AI565" t="str">
            <v>4845309434</v>
          </cell>
          <cell r="AJ565" t="str">
            <v>KKBK0007487</v>
          </cell>
          <cell r="AK565" t="str">
            <v>BYTPT5836M</v>
          </cell>
          <cell r="AL565" t="str">
            <v>730143331520</v>
          </cell>
          <cell r="AM565" t="str">
            <v>Mohammed Abdul Jameel</v>
          </cell>
          <cell r="AN565">
            <v>44377</v>
          </cell>
          <cell r="AW565">
            <v>35658</v>
          </cell>
          <cell r="AX565" t="str">
            <v>Female</v>
          </cell>
          <cell r="AY565" t="str">
            <v>Part Time</v>
          </cell>
          <cell r="AZ565">
            <v>1</v>
          </cell>
          <cell r="BA565">
            <v>1</v>
          </cell>
        </row>
        <row r="566">
          <cell r="M566" t="str">
            <v>Chandanagar</v>
          </cell>
          <cell r="N566" t="str">
            <v>X-Ray (Regular), USG,FNAC, Tiffa, IVP, RGU, MCGU, Barium Swallow, Barium Enemma and HSG</v>
          </cell>
          <cell r="O566" t="str">
            <v>Radiology</v>
          </cell>
          <cell r="P566" t="str">
            <v>Consultant Radiologist</v>
          </cell>
          <cell r="Q566" t="str">
            <v>Dr L T Kishore</v>
          </cell>
          <cell r="R566">
            <v>44277</v>
          </cell>
          <cell r="S566">
            <v>44277</v>
          </cell>
          <cell r="T566">
            <v>45006</v>
          </cell>
          <cell r="U566">
            <v>45007</v>
          </cell>
          <cell r="W566" t="str">
            <v>RGUHS</v>
          </cell>
          <cell r="X566">
            <v>2017</v>
          </cell>
          <cell r="Y566" t="str">
            <v>S V M C H &amp; RC</v>
          </cell>
          <cell r="AA566" t="str">
            <v>MBBS, MD - Radio Diagnosis</v>
          </cell>
          <cell r="AB566" t="str">
            <v>TSMC/FMR/05429</v>
          </cell>
          <cell r="AC566" t="str">
            <v>Telangana State Medical Council</v>
          </cell>
          <cell r="AD566">
            <v>43199</v>
          </cell>
          <cell r="AE566">
            <v>45025</v>
          </cell>
          <cell r="AF566">
            <v>9786819890</v>
          </cell>
          <cell r="AG566" t="str">
            <v>vjkanthi1691@gmail.com</v>
          </cell>
          <cell r="AH566" t="str">
            <v>ICICI Bank</v>
          </cell>
          <cell r="AI566" t="str">
            <v>058801510755</v>
          </cell>
          <cell r="AJ566" t="str">
            <v>ICIC0000588</v>
          </cell>
          <cell r="AK566" t="str">
            <v>AXZPV8390C</v>
          </cell>
          <cell r="AL566" t="str">
            <v>986017459002</v>
          </cell>
          <cell r="AM566" t="str">
            <v>V Venkata Reddy</v>
          </cell>
          <cell r="AN566">
            <v>44620</v>
          </cell>
          <cell r="AW566">
            <v>33104</v>
          </cell>
          <cell r="AX566" t="str">
            <v>Male</v>
          </cell>
          <cell r="AY566" t="str">
            <v>Part Time</v>
          </cell>
          <cell r="AZ566">
            <v>2</v>
          </cell>
          <cell r="BA566" t="str">
            <v>Madhapur Cluster</v>
          </cell>
        </row>
        <row r="567">
          <cell r="M567" t="str">
            <v>BHEL-30</v>
          </cell>
          <cell r="N567" t="str">
            <v>X-Ray (Regular), USG,FNAC, Tiffa, IVP, RGU, MCGU, Barium Swallow, Barium Enemma and HSG</v>
          </cell>
          <cell r="O567" t="str">
            <v>Radiology</v>
          </cell>
          <cell r="P567" t="str">
            <v>Consultant Radiologist</v>
          </cell>
          <cell r="Q567" t="str">
            <v>Dr L T Kishore</v>
          </cell>
          <cell r="R567">
            <v>44277</v>
          </cell>
          <cell r="S567">
            <v>44277</v>
          </cell>
          <cell r="T567">
            <v>45006</v>
          </cell>
          <cell r="U567">
            <v>45007</v>
          </cell>
          <cell r="W567" t="str">
            <v>RGUHS</v>
          </cell>
          <cell r="X567">
            <v>2017</v>
          </cell>
          <cell r="Y567" t="str">
            <v>S V M C H &amp; RC</v>
          </cell>
          <cell r="AA567" t="str">
            <v>MBBS, MD - Radio Diagnosis</v>
          </cell>
          <cell r="AB567" t="str">
            <v>TSMC/FMR/05429</v>
          </cell>
          <cell r="AC567" t="str">
            <v>Telangana State Medical Council</v>
          </cell>
          <cell r="AD567">
            <v>43199</v>
          </cell>
          <cell r="AE567">
            <v>45025</v>
          </cell>
          <cell r="AF567">
            <v>9786819890</v>
          </cell>
          <cell r="AG567" t="str">
            <v>vjkanthi1691@gmail.com</v>
          </cell>
          <cell r="AH567" t="str">
            <v>ICICI Bank</v>
          </cell>
          <cell r="AI567" t="str">
            <v>058801510755</v>
          </cell>
          <cell r="AJ567" t="str">
            <v>ICIC0000588</v>
          </cell>
          <cell r="AK567" t="str">
            <v>AXZPV8390C</v>
          </cell>
          <cell r="AL567" t="str">
            <v>986017459002</v>
          </cell>
          <cell r="AM567" t="str">
            <v>V Venkata Reddy</v>
          </cell>
          <cell r="AN567">
            <v>44620</v>
          </cell>
          <cell r="AW567">
            <v>33104</v>
          </cell>
          <cell r="AX567" t="str">
            <v>Male</v>
          </cell>
          <cell r="AY567" t="str">
            <v>Part Time</v>
          </cell>
          <cell r="AZ567">
            <v>4</v>
          </cell>
          <cell r="BA567" t="str">
            <v>Madhapur Cluster</v>
          </cell>
        </row>
        <row r="568">
          <cell r="M568" t="str">
            <v>Madhapur-2 - 70</v>
          </cell>
          <cell r="N568" t="str">
            <v>Basic USG, Doppler Studies, Thyroid/Scrotum USG, Breast USG, Penile Doppler, USG Guided FNAC, USG Guided Trucut Biopsy, USG Guided Aspiration, Guided Procedures, Basic CT, Chest/ Abdomen/Neck, 3DCT, CT Angiography, X Ray, Plain Radiography, Mammography, IVP, RGU, MCUG, Barium Swallow, Barium Anema, HSG.</v>
          </cell>
          <cell r="O568" t="str">
            <v>Radiology</v>
          </cell>
          <cell r="P568" t="str">
            <v>Consultant Radiologist</v>
          </cell>
          <cell r="Q568" t="str">
            <v>Dr. Krishna Mohan Pottala</v>
          </cell>
          <cell r="R568">
            <v>45404</v>
          </cell>
          <cell r="S568">
            <v>45404</v>
          </cell>
          <cell r="T568">
            <v>46133</v>
          </cell>
          <cell r="U568">
            <v>46134</v>
          </cell>
          <cell r="V568">
            <v>2015</v>
          </cell>
          <cell r="W568" t="str">
            <v>Sri Venkateswara Medical College</v>
          </cell>
          <cell r="X568">
            <v>2022</v>
          </cell>
          <cell r="Y568" t="str">
            <v>Ponducherry University</v>
          </cell>
          <cell r="Z568" t="str">
            <v>NA</v>
          </cell>
          <cell r="AA568" t="str">
            <v>MBBS,MD</v>
          </cell>
          <cell r="AB568" t="str">
            <v>TSMC/FMR/30756</v>
          </cell>
          <cell r="AC568" t="str">
            <v>Telangana State Medical Council</v>
          </cell>
          <cell r="AD568">
            <v>45386</v>
          </cell>
          <cell r="AE568">
            <v>47211</v>
          </cell>
          <cell r="AF568">
            <v>9500217564</v>
          </cell>
          <cell r="AG568" t="str">
            <v>pratap.venkata9@gmail.com</v>
          </cell>
          <cell r="AH568" t="str">
            <v>SBI Bank</v>
          </cell>
          <cell r="AI568" t="str">
            <v>20286749226</v>
          </cell>
          <cell r="AJ568" t="str">
            <v>SBIN0000900</v>
          </cell>
          <cell r="AK568" t="str">
            <v>EOHPS9748A</v>
          </cell>
          <cell r="AL568">
            <v>949922153231</v>
          </cell>
          <cell r="AN568">
            <v>45477</v>
          </cell>
          <cell r="AO568" t="str">
            <v>NA</v>
          </cell>
          <cell r="AP568" t="str">
            <v>Personal Reason</v>
          </cell>
          <cell r="AQ568" t="str">
            <v>#27 First Cross Street, Kasthuribai Nagar, Nellithoppe, Pondicherry - 605005</v>
          </cell>
          <cell r="AS568" t="str">
            <v>#27 First Cross Street, Kasthuribai Nagar, Nellithoppe, Pondicherry - 605005</v>
          </cell>
          <cell r="AU568">
            <v>0.75</v>
          </cell>
          <cell r="AV568">
            <v>0.83333333333333337</v>
          </cell>
          <cell r="AW568">
            <v>34477</v>
          </cell>
          <cell r="AX568" t="str">
            <v>Male</v>
          </cell>
          <cell r="AY568" t="str">
            <v>Part Time</v>
          </cell>
          <cell r="AZ568">
            <v>2</v>
          </cell>
          <cell r="BA568" t="str">
            <v>Madhapur Cluster</v>
          </cell>
        </row>
        <row r="569">
          <cell r="M569" t="str">
            <v>Nizampet - 46</v>
          </cell>
          <cell r="O569" t="str">
            <v>Physician Services</v>
          </cell>
          <cell r="P569" t="str">
            <v>Consultant Physician</v>
          </cell>
          <cell r="R569">
            <v>44287</v>
          </cell>
          <cell r="S569">
            <v>44287</v>
          </cell>
          <cell r="T569">
            <v>45039</v>
          </cell>
          <cell r="U569">
            <v>45040</v>
          </cell>
          <cell r="AA569" t="str">
            <v>MBBS</v>
          </cell>
          <cell r="AB569" t="str">
            <v>APMC/FMR/89878</v>
          </cell>
          <cell r="AC569" t="str">
            <v>Telangana State Medical Council</v>
          </cell>
          <cell r="AD569">
            <v>43959</v>
          </cell>
          <cell r="AE569">
            <v>45784</v>
          </cell>
          <cell r="AF569">
            <v>7013250899</v>
          </cell>
          <cell r="AG569" t="str">
            <v>allasirichandana@gmail.com</v>
          </cell>
          <cell r="AH569" t="str">
            <v>ANDHRA BANK</v>
          </cell>
          <cell r="AI569" t="str">
            <v>130810100060276</v>
          </cell>
          <cell r="AJ569" t="str">
            <v>ANDB0001308</v>
          </cell>
          <cell r="AK569" t="str">
            <v>AMKPA1282C</v>
          </cell>
          <cell r="AL569" t="str">
            <v>214542457484</v>
          </cell>
          <cell r="AM569" t="str">
            <v>Alla Venkateswara Reddy</v>
          </cell>
          <cell r="AN569">
            <v>44301</v>
          </cell>
          <cell r="AW569">
            <v>33532</v>
          </cell>
          <cell r="AX569" t="str">
            <v>Female</v>
          </cell>
          <cell r="AY569" t="str">
            <v>Part Time</v>
          </cell>
          <cell r="AZ569">
            <v>1</v>
          </cell>
          <cell r="BA569" t="str">
            <v>Kukatpally Cluster</v>
          </cell>
        </row>
        <row r="570">
          <cell r="M570" t="str">
            <v>Somajiguda</v>
          </cell>
          <cell r="N570" t="str">
            <v xml:space="preserve">USG - Rotine, Dopplers, X Ray </v>
          </cell>
          <cell r="O570" t="str">
            <v>Radiology</v>
          </cell>
          <cell r="P570" t="str">
            <v>Consultant Radiologist</v>
          </cell>
          <cell r="Q570" t="str">
            <v>Dr L T Kishore</v>
          </cell>
          <cell r="R570">
            <v>44277</v>
          </cell>
          <cell r="S570">
            <v>44277</v>
          </cell>
          <cell r="T570">
            <v>45006</v>
          </cell>
          <cell r="U570">
            <v>45007</v>
          </cell>
          <cell r="AA570" t="str">
            <v>MBBS,DMRD-Radiodiagnosis</v>
          </cell>
          <cell r="AB570" t="str">
            <v>APMC/FMR/99441</v>
          </cell>
          <cell r="AC570" t="str">
            <v>Andhra Pradesh Medical Council</v>
          </cell>
          <cell r="AD570">
            <v>42996</v>
          </cell>
          <cell r="AE570">
            <v>44821</v>
          </cell>
          <cell r="AF570">
            <v>9542843543</v>
          </cell>
          <cell r="AG570" t="str">
            <v>ramyasaireddy7@gmail.com</v>
          </cell>
          <cell r="AH570" t="str">
            <v>ANDHRA BANK</v>
          </cell>
          <cell r="AI570" t="str">
            <v>107910100069268</v>
          </cell>
          <cell r="AJ570" t="str">
            <v>ANDB0001079</v>
          </cell>
          <cell r="AK570" t="str">
            <v>DPKPR9498B</v>
          </cell>
          <cell r="AL570" t="str">
            <v>696710510617</v>
          </cell>
          <cell r="AM570" t="str">
            <v>Venkata Hariprasad Reddy</v>
          </cell>
          <cell r="AN570">
            <v>44317</v>
          </cell>
          <cell r="AW570">
            <v>34570</v>
          </cell>
          <cell r="AX570" t="str">
            <v>Female</v>
          </cell>
          <cell r="AY570" t="str">
            <v>Part Time</v>
          </cell>
          <cell r="AZ570">
            <v>2</v>
          </cell>
          <cell r="BA570" t="str">
            <v>Himayathnagar Cluster</v>
          </cell>
        </row>
        <row r="571">
          <cell r="M571" t="str">
            <v>Bandlaguda-60</v>
          </cell>
          <cell r="N571" t="str">
            <v>X-Ray (Regular), USG, Tiffa, MSK, Penile Dopplers, Guided Procedures, FNAC, IVP, RGU, MCGU, Barium Swallow, Barium Enemma and HSG, Basic CT, all Angios, CT Enteroclysis, All CT Guided procedures, MRI Basic and MRI Prostrate</v>
          </cell>
          <cell r="O571" t="str">
            <v>Radiology</v>
          </cell>
          <cell r="P571" t="str">
            <v>Consultant Radiologist</v>
          </cell>
          <cell r="Q571" t="str">
            <v>Dr. Krishna Mohan Pottala</v>
          </cell>
          <cell r="R571">
            <v>44279</v>
          </cell>
          <cell r="S571">
            <v>44279</v>
          </cell>
          <cell r="T571">
            <v>45008</v>
          </cell>
          <cell r="U571">
            <v>45009</v>
          </cell>
          <cell r="W571" t="str">
            <v>Prathima Institute of Medical Science</v>
          </cell>
          <cell r="X571">
            <v>2020</v>
          </cell>
          <cell r="Y571" t="str">
            <v>Mahatma Gandhi Medical College and Research Institute</v>
          </cell>
          <cell r="AA571" t="str">
            <v>MBBS, MD - Radio Diagnosis</v>
          </cell>
          <cell r="AB571" t="str">
            <v>APMC/FMR/92729</v>
          </cell>
          <cell r="AC571" t="str">
            <v>Telangana State Medical Council</v>
          </cell>
          <cell r="AD571">
            <v>44448</v>
          </cell>
          <cell r="AE571">
            <v>46273</v>
          </cell>
          <cell r="AF571">
            <v>8801874565</v>
          </cell>
          <cell r="AG571" t="str">
            <v>chmithunreddy@gmail.com</v>
          </cell>
          <cell r="AH571" t="str">
            <v>ANDHRA BANK</v>
          </cell>
          <cell r="AI571" t="str">
            <v>214710100043002</v>
          </cell>
          <cell r="AJ571" t="str">
            <v>UBIN0821471</v>
          </cell>
          <cell r="AK571" t="str">
            <v>BDZPC6723M</v>
          </cell>
          <cell r="AL571" t="str">
            <v>773617045969</v>
          </cell>
          <cell r="AM571" t="str">
            <v>Chinthireddy Ramana Reddy</v>
          </cell>
          <cell r="AN571">
            <v>44945</v>
          </cell>
          <cell r="AO571" t="str">
            <v>NA</v>
          </cell>
          <cell r="AS571" t="e">
            <v>#REF!</v>
          </cell>
          <cell r="AW571">
            <v>33270</v>
          </cell>
          <cell r="AX571" t="str">
            <v>Male</v>
          </cell>
          <cell r="AY571" t="str">
            <v>Part Time</v>
          </cell>
          <cell r="AZ571">
            <v>3</v>
          </cell>
          <cell r="BA571">
            <v>3</v>
          </cell>
        </row>
        <row r="572">
          <cell r="M572" t="str">
            <v>Karimnagar-75</v>
          </cell>
          <cell r="O572" t="str">
            <v>Physician Services</v>
          </cell>
          <cell r="P572" t="str">
            <v>Consultant Physician</v>
          </cell>
          <cell r="R572">
            <v>44288</v>
          </cell>
          <cell r="S572">
            <v>44288</v>
          </cell>
          <cell r="T572">
            <v>45017</v>
          </cell>
          <cell r="U572">
            <v>45018</v>
          </cell>
          <cell r="AA572" t="str">
            <v>MBBS</v>
          </cell>
          <cell r="AB572" t="str">
            <v>TSMC/FMR/11078</v>
          </cell>
          <cell r="AC572" t="str">
            <v>Telangana State Medical Council</v>
          </cell>
          <cell r="AD572">
            <v>43792</v>
          </cell>
          <cell r="AE572">
            <v>45619</v>
          </cell>
          <cell r="AF572">
            <v>8639785060</v>
          </cell>
          <cell r="AG572" t="str">
            <v>mohdabdulazizshaikh@gmail.com</v>
          </cell>
          <cell r="AH572" t="str">
            <v>SBI Bank</v>
          </cell>
          <cell r="AI572" t="str">
            <v>38507821760</v>
          </cell>
          <cell r="AJ572" t="str">
            <v>SBIN0020893</v>
          </cell>
          <cell r="AK572" t="str">
            <v>BAWPM3439C</v>
          </cell>
          <cell r="AL572" t="str">
            <v>775054974583</v>
          </cell>
          <cell r="AM572" t="str">
            <v>SK Ma Jabbar</v>
          </cell>
          <cell r="AN572">
            <v>44487</v>
          </cell>
          <cell r="AW572">
            <v>33456</v>
          </cell>
          <cell r="AX572" t="str">
            <v>Male</v>
          </cell>
          <cell r="AY572" t="str">
            <v>Part Time</v>
          </cell>
          <cell r="AZ572">
            <v>1</v>
          </cell>
          <cell r="BA572">
            <v>1</v>
          </cell>
        </row>
        <row r="573">
          <cell r="M573" t="str">
            <v>Himayatnagar</v>
          </cell>
          <cell r="N573" t="str">
            <v>Histopathology</v>
          </cell>
          <cell r="O573" t="str">
            <v>Pathology</v>
          </cell>
          <cell r="P573" t="str">
            <v>Consultant Pathologist</v>
          </cell>
          <cell r="Q573" t="str">
            <v>Dr Shashikanth</v>
          </cell>
          <cell r="R573">
            <v>44288</v>
          </cell>
          <cell r="S573">
            <v>44288</v>
          </cell>
          <cell r="T573">
            <v>45017</v>
          </cell>
          <cell r="U573">
            <v>45018</v>
          </cell>
          <cell r="V573">
            <v>2012</v>
          </cell>
          <cell r="W573" t="str">
            <v>Rangaraya Medical College </v>
          </cell>
          <cell r="X573">
            <v>2020</v>
          </cell>
          <cell r="Y573" t="str">
            <v>PGIMER</v>
          </cell>
          <cell r="AA573" t="str">
            <v>MBBS, DM Histopathology</v>
          </cell>
          <cell r="AB573" t="str">
            <v>APMC/FMR/81001</v>
          </cell>
          <cell r="AC573" t="str">
            <v>Andhra Pradesh Medical Council</v>
          </cell>
          <cell r="AF573">
            <v>9855614162</v>
          </cell>
          <cell r="AG573" t="str">
            <v>geethanjaligude@gmail.com</v>
          </cell>
          <cell r="AH573" t="str">
            <v>SBI Bank</v>
          </cell>
          <cell r="AI573" t="str">
            <v>32300509973</v>
          </cell>
          <cell r="AJ573" t="str">
            <v>SBIN0001524</v>
          </cell>
          <cell r="AK573" t="str">
            <v>BNZPG8817Q</v>
          </cell>
          <cell r="AL573" t="str">
            <v>880721168561</v>
          </cell>
          <cell r="AM573" t="str">
            <v>Gude Govind Rao</v>
          </cell>
          <cell r="AN573">
            <v>44726</v>
          </cell>
          <cell r="AO573">
            <v>44666</v>
          </cell>
          <cell r="AW573">
            <v>33174</v>
          </cell>
          <cell r="AX573" t="str">
            <v>Female</v>
          </cell>
          <cell r="AY573" t="str">
            <v>Full Time</v>
          </cell>
          <cell r="AZ573">
            <v>8</v>
          </cell>
          <cell r="BA573">
            <v>6</v>
          </cell>
        </row>
        <row r="574">
          <cell r="M574" t="str">
            <v>Madhapur-2 - 70</v>
          </cell>
          <cell r="O574" t="str">
            <v>Physician Services</v>
          </cell>
          <cell r="P574" t="str">
            <v>Consultant Physician</v>
          </cell>
          <cell r="R574">
            <v>44291</v>
          </cell>
          <cell r="S574">
            <v>44291</v>
          </cell>
          <cell r="T574">
            <v>45020</v>
          </cell>
          <cell r="U574">
            <v>45021</v>
          </cell>
          <cell r="AW574">
            <v>34650</v>
          </cell>
          <cell r="AX574" t="str">
            <v>Male</v>
          </cell>
          <cell r="AY574" t="str">
            <v>Part Time</v>
          </cell>
          <cell r="AZ574">
            <v>1</v>
          </cell>
          <cell r="BA574">
            <v>2</v>
          </cell>
        </row>
        <row r="575">
          <cell r="N575" t="str">
            <v>USG Guided Procedures, Basic CT, All Anigios, CT Perfusion, CT Enteroclysis, CT Guided procedures,  MRI Basic, Cardiac, CSF Flow study, MR Perfusion</v>
          </cell>
          <cell r="O575" t="str">
            <v>Radiology</v>
          </cell>
          <cell r="P575" t="str">
            <v>Consultant Radiologist</v>
          </cell>
          <cell r="Q575" t="str">
            <v>Dr L T Kishore</v>
          </cell>
          <cell r="R575">
            <v>44291</v>
          </cell>
          <cell r="S575">
            <v>44291</v>
          </cell>
          <cell r="T575">
            <v>45020</v>
          </cell>
          <cell r="U575">
            <v>45020</v>
          </cell>
          <cell r="W575" t="str">
            <v>S V Medical College</v>
          </cell>
          <cell r="X575">
            <v>2016</v>
          </cell>
          <cell r="Y575" t="str">
            <v>Kurnool Medical College</v>
          </cell>
          <cell r="Z575" t="str">
            <v>NA</v>
          </cell>
          <cell r="AA575" t="str">
            <v>MBBS, MD - Radio Diagnosis</v>
          </cell>
          <cell r="AB575" t="str">
            <v>APMC/FMR/75521</v>
          </cell>
          <cell r="AC575" t="str">
            <v>Andhra Pradesh Medical Council</v>
          </cell>
          <cell r="AD575">
            <v>42963</v>
          </cell>
          <cell r="AE575">
            <v>44788</v>
          </cell>
          <cell r="AF575" t="str">
            <v>8328520801, 8142946772</v>
          </cell>
          <cell r="AG575" t="str">
            <v>maheshreddy.bursupalle@gmail.com</v>
          </cell>
          <cell r="AH575" t="str">
            <v>SBI Bank</v>
          </cell>
          <cell r="AI575" t="str">
            <v>33117234671</v>
          </cell>
          <cell r="AJ575" t="str">
            <v>SBIN0012719</v>
          </cell>
          <cell r="AK575" t="str">
            <v>CADPB6840G</v>
          </cell>
          <cell r="AL575" t="str">
            <v>780255184679</v>
          </cell>
          <cell r="AM575" t="str">
            <v>B Venkata Rami Reddy</v>
          </cell>
          <cell r="AN575">
            <v>44742</v>
          </cell>
          <cell r="AO575">
            <v>44690</v>
          </cell>
          <cell r="AW575">
            <v>32733</v>
          </cell>
          <cell r="AX575" t="str">
            <v>Male</v>
          </cell>
          <cell r="AY575" t="str">
            <v>Part Time</v>
          </cell>
          <cell r="AZ575">
            <v>4</v>
          </cell>
        </row>
        <row r="576">
          <cell r="M576" t="str">
            <v>Himayatnagar</v>
          </cell>
          <cell r="O576" t="str">
            <v>Pathology</v>
          </cell>
          <cell r="P576" t="str">
            <v>Consultant Pathologist</v>
          </cell>
          <cell r="Q576" t="str">
            <v>Dr Shashikanth</v>
          </cell>
          <cell r="R576">
            <v>44288</v>
          </cell>
          <cell r="S576">
            <v>44288</v>
          </cell>
          <cell r="T576">
            <v>45019</v>
          </cell>
          <cell r="U576">
            <v>45020</v>
          </cell>
          <cell r="AA576" t="str">
            <v>MBBS, MD Pathology</v>
          </cell>
          <cell r="AB576">
            <v>68407</v>
          </cell>
          <cell r="AC576" t="str">
            <v>Telangana State Medical Council</v>
          </cell>
          <cell r="AD576">
            <v>43535</v>
          </cell>
          <cell r="AE576">
            <v>45361</v>
          </cell>
          <cell r="AF576">
            <v>9908197587</v>
          </cell>
          <cell r="AG576" t="str">
            <v>drnamdevv786@gmail.com</v>
          </cell>
          <cell r="AH576" t="str">
            <v>SBI Bank</v>
          </cell>
          <cell r="AI576" t="str">
            <v>52209061201</v>
          </cell>
          <cell r="AJ576" t="str">
            <v>SBIN0021110</v>
          </cell>
          <cell r="AK576" t="str">
            <v>AVQPV7541L</v>
          </cell>
          <cell r="AL576" t="str">
            <v>865000089976</v>
          </cell>
          <cell r="AM576" t="str">
            <v>Hanmandlu Vadla</v>
          </cell>
          <cell r="AN576">
            <v>44473</v>
          </cell>
          <cell r="AW576">
            <v>31572</v>
          </cell>
          <cell r="AX576" t="str">
            <v>Male</v>
          </cell>
          <cell r="AY576" t="str">
            <v>Part Time</v>
          </cell>
          <cell r="AZ576">
            <v>4</v>
          </cell>
          <cell r="BA576">
            <v>8</v>
          </cell>
        </row>
        <row r="577">
          <cell r="M577" t="str">
            <v>Bandlaguda-60</v>
          </cell>
          <cell r="N577" t="str">
            <v>USG, ALL PREGNANCIES SCANS, X RAYS</v>
          </cell>
          <cell r="O577" t="str">
            <v>Radiology</v>
          </cell>
          <cell r="P577" t="str">
            <v>Consultant Radiologist</v>
          </cell>
          <cell r="Q577" t="str">
            <v>Dr L T Kishore</v>
          </cell>
          <cell r="R577">
            <v>44303</v>
          </cell>
          <cell r="S577">
            <v>45036</v>
          </cell>
          <cell r="T577">
            <v>45766</v>
          </cell>
          <cell r="U577">
            <v>45767</v>
          </cell>
          <cell r="V577">
            <v>2003</v>
          </cell>
          <cell r="W577" t="str">
            <v>Kakatiya Medical College</v>
          </cell>
          <cell r="X577">
            <v>2018</v>
          </cell>
          <cell r="Y577" t="str">
            <v>Osmania Medical College</v>
          </cell>
          <cell r="Z577" t="str">
            <v>NA</v>
          </cell>
          <cell r="AA577" t="str">
            <v>MBBS, DMRD - Radio Diagnosis</v>
          </cell>
          <cell r="AB577">
            <v>50648</v>
          </cell>
          <cell r="AC577" t="str">
            <v>Telangana State Medical Council</v>
          </cell>
          <cell r="AD577">
            <v>43431</v>
          </cell>
          <cell r="AE577">
            <v>45256</v>
          </cell>
          <cell r="AF577" t="str">
            <v>9010255676 , 8247229758</v>
          </cell>
          <cell r="AG577" t="str">
            <v>drarunajyothivoruganti@gmail.com</v>
          </cell>
          <cell r="AH577" t="str">
            <v>Canara Bank</v>
          </cell>
          <cell r="AI577" t="str">
            <v>110031636892</v>
          </cell>
          <cell r="AJ577" t="str">
            <v>CNRB0006488</v>
          </cell>
          <cell r="AK577" t="str">
            <v>ALNPV3351M</v>
          </cell>
          <cell r="AL577" t="str">
            <v>324936478430</v>
          </cell>
          <cell r="AM577" t="str">
            <v>Krishna Bodupalli</v>
          </cell>
          <cell r="AN577">
            <v>45297</v>
          </cell>
          <cell r="AO577">
            <v>45297</v>
          </cell>
          <cell r="AU577">
            <v>0.375</v>
          </cell>
          <cell r="AV577">
            <v>0.625</v>
          </cell>
          <cell r="AW577">
            <v>28756</v>
          </cell>
          <cell r="AX577" t="str">
            <v>Female</v>
          </cell>
          <cell r="AY577" t="str">
            <v>Part Time</v>
          </cell>
          <cell r="AZ577">
            <v>6</v>
          </cell>
          <cell r="BA577">
            <v>3</v>
          </cell>
        </row>
        <row r="578">
          <cell r="M578" t="str">
            <v>Yousufguda - 42</v>
          </cell>
          <cell r="N578" t="str">
            <v>ROUTINE USG,X-RAY</v>
          </cell>
          <cell r="O578" t="str">
            <v>Radiology</v>
          </cell>
          <cell r="P578" t="str">
            <v>Consultant Radiologist</v>
          </cell>
          <cell r="Q578" t="str">
            <v>Dr L T Kishore</v>
          </cell>
          <cell r="R578">
            <v>44532</v>
          </cell>
          <cell r="S578">
            <v>44532</v>
          </cell>
          <cell r="T578">
            <v>45261</v>
          </cell>
          <cell r="U578">
            <v>45262</v>
          </cell>
          <cell r="AA578" t="str">
            <v>MBBS, MD - Radio Diagnosis</v>
          </cell>
          <cell r="AB578">
            <v>61645</v>
          </cell>
          <cell r="AC578" t="str">
            <v>Telangana State Medical Council</v>
          </cell>
          <cell r="AD578">
            <v>44396</v>
          </cell>
          <cell r="AE578">
            <v>46221</v>
          </cell>
          <cell r="AF578">
            <v>9440448811</v>
          </cell>
          <cell r="AG578" t="str">
            <v>manavi.rg@gmail.com</v>
          </cell>
          <cell r="AH578" t="str">
            <v>CANARA BANK</v>
          </cell>
          <cell r="AI578" t="str">
            <v>1787101060043</v>
          </cell>
          <cell r="AJ578" t="str">
            <v>CNRB0001787</v>
          </cell>
          <cell r="AK578" t="str">
            <v>AHYPM4391F</v>
          </cell>
          <cell r="AL578" t="str">
            <v>299380948028</v>
          </cell>
          <cell r="AM578" t="str">
            <v>Lakshmi Narasimha Gandhi Cherukuri</v>
          </cell>
          <cell r="AW578">
            <v>31013</v>
          </cell>
          <cell r="AX578" t="str">
            <v>Female</v>
          </cell>
          <cell r="AY578" t="str">
            <v>Part Time</v>
          </cell>
          <cell r="AZ578">
            <v>2</v>
          </cell>
          <cell r="BA578" t="str">
            <v>Punjagutta Cluster</v>
          </cell>
        </row>
        <row r="579">
          <cell r="M579" t="str">
            <v>Karimnagar-75</v>
          </cell>
          <cell r="N579" t="str">
            <v>CT &amp; MRI, X Ray, USG</v>
          </cell>
          <cell r="O579" t="str">
            <v>Radiology</v>
          </cell>
          <cell r="P579" t="str">
            <v>Consultant Radiologist</v>
          </cell>
          <cell r="Q579" t="str">
            <v>Dr L T Kishore</v>
          </cell>
          <cell r="R579">
            <v>44300</v>
          </cell>
          <cell r="S579">
            <v>44300</v>
          </cell>
          <cell r="T579">
            <v>45029</v>
          </cell>
          <cell r="U579">
            <v>45030</v>
          </cell>
          <cell r="AA579" t="str">
            <v>MBBS, MD - Radio Diagnosis</v>
          </cell>
          <cell r="AB579">
            <v>50108</v>
          </cell>
          <cell r="AC579" t="str">
            <v>Telangana State Medical Council</v>
          </cell>
          <cell r="AD579">
            <v>44002</v>
          </cell>
          <cell r="AE579">
            <v>45827</v>
          </cell>
          <cell r="AF579">
            <v>9885385084</v>
          </cell>
          <cell r="AG579" t="str">
            <v>santhoshrendla@yahoo.co.in</v>
          </cell>
          <cell r="AH579" t="str">
            <v>Union Bank of India</v>
          </cell>
          <cell r="AI579" t="str">
            <v>104810100070228</v>
          </cell>
          <cell r="AJ579" t="str">
            <v>UBIN0810487</v>
          </cell>
          <cell r="AK579" t="str">
            <v>BICPS1524A</v>
          </cell>
          <cell r="AL579" t="str">
            <v>448331047752</v>
          </cell>
          <cell r="AM579" t="str">
            <v>Rendla Uppalaiah</v>
          </cell>
          <cell r="AN579">
            <v>44379</v>
          </cell>
          <cell r="AW579">
            <v>28312</v>
          </cell>
          <cell r="AX579" t="str">
            <v>Male</v>
          </cell>
          <cell r="AY579" t="str">
            <v>Part Time</v>
          </cell>
          <cell r="AZ579">
            <v>3</v>
          </cell>
          <cell r="BA579">
            <v>1</v>
          </cell>
        </row>
        <row r="580">
          <cell r="M580" t="str">
            <v>Dilsukhnagar - 12</v>
          </cell>
          <cell r="N580" t="str">
            <v>Biochemistry</v>
          </cell>
          <cell r="O580" t="str">
            <v>Biochemistry</v>
          </cell>
          <cell r="P580" t="str">
            <v>Consultant Biochemist</v>
          </cell>
          <cell r="Q580" t="str">
            <v>Dr. Bikash Chowdhary</v>
          </cell>
          <cell r="R580">
            <v>44303</v>
          </cell>
          <cell r="S580">
            <v>44303</v>
          </cell>
          <cell r="T580">
            <v>45032</v>
          </cell>
          <cell r="U580">
            <v>45033</v>
          </cell>
          <cell r="V580">
            <v>2010</v>
          </cell>
          <cell r="W580" t="str">
            <v>Mamtha Medical College</v>
          </cell>
          <cell r="X580">
            <v>2017</v>
          </cell>
          <cell r="Y580" t="str">
            <v>Osmania Medical College</v>
          </cell>
          <cell r="Z580" t="str">
            <v>NA</v>
          </cell>
          <cell r="AA580" t="str">
            <v>MBBS, MD - Biochemistry</v>
          </cell>
          <cell r="AB580">
            <v>70111</v>
          </cell>
          <cell r="AC580" t="str">
            <v>Telangana State Medical Council</v>
          </cell>
          <cell r="AD580">
            <v>43325</v>
          </cell>
          <cell r="AE580">
            <v>45150</v>
          </cell>
          <cell r="AF580">
            <v>9121793763</v>
          </cell>
          <cell r="AG580" t="str">
            <v>anitharamtenki@gmail.com</v>
          </cell>
          <cell r="AH580" t="str">
            <v>HDFC Bank</v>
          </cell>
          <cell r="AI580" t="str">
            <v>50100338602301</v>
          </cell>
          <cell r="AJ580" t="str">
            <v>HDFC0000042</v>
          </cell>
          <cell r="AK580" t="str">
            <v>AZLPR7505H</v>
          </cell>
          <cell r="AL580" t="str">
            <v>566205553273</v>
          </cell>
          <cell r="AM580" t="str">
            <v>Srihari Ramtenki</v>
          </cell>
          <cell r="AN580">
            <v>45108</v>
          </cell>
          <cell r="AW580">
            <v>31518</v>
          </cell>
          <cell r="AX580" t="str">
            <v>Female</v>
          </cell>
          <cell r="AY580" t="str">
            <v>Full Time</v>
          </cell>
          <cell r="AZ580">
            <v>8</v>
          </cell>
          <cell r="BA580">
            <v>8</v>
          </cell>
        </row>
        <row r="581">
          <cell r="M581" t="str">
            <v>Santosh Nagar-15</v>
          </cell>
          <cell r="O581" t="str">
            <v>Physician Services</v>
          </cell>
          <cell r="P581" t="str">
            <v>Consultant Physician</v>
          </cell>
          <cell r="R581">
            <v>44306</v>
          </cell>
          <cell r="S581">
            <v>44306</v>
          </cell>
          <cell r="T581">
            <v>45035</v>
          </cell>
          <cell r="U581">
            <v>45036</v>
          </cell>
          <cell r="X581" t="str">
            <v>NA</v>
          </cell>
          <cell r="Y581" t="str">
            <v>NA</v>
          </cell>
          <cell r="Z581" t="str">
            <v>NA</v>
          </cell>
          <cell r="AA581" t="str">
            <v>MBBS</v>
          </cell>
          <cell r="AB581" t="str">
            <v>TSMC/PMR/16941</v>
          </cell>
          <cell r="AC581" t="str">
            <v>Telangana State Medical Council</v>
          </cell>
          <cell r="AD581">
            <v>44397</v>
          </cell>
          <cell r="AE581">
            <v>46223</v>
          </cell>
          <cell r="AF581" t="str">
            <v>8008455020, 6300475043</v>
          </cell>
          <cell r="AG581" t="str">
            <v>sanketh114@gmail.com</v>
          </cell>
          <cell r="AH581" t="str">
            <v>SBI Bank</v>
          </cell>
          <cell r="AI581" t="str">
            <v>32041309058</v>
          </cell>
          <cell r="AJ581" t="str">
            <v>SBIN0003184</v>
          </cell>
          <cell r="AK581" t="str">
            <v>FDOPS2964F</v>
          </cell>
          <cell r="AL581" t="str">
            <v>496277621317</v>
          </cell>
          <cell r="AM581" t="str">
            <v>Venkateshwar Rao</v>
          </cell>
          <cell r="AW581">
            <v>35151</v>
          </cell>
          <cell r="AX581" t="str">
            <v>Male</v>
          </cell>
          <cell r="AY581" t="str">
            <v>Part Time</v>
          </cell>
          <cell r="AZ581">
            <v>1</v>
          </cell>
          <cell r="BA581" t="str">
            <v>Santosh Nagar Cluster</v>
          </cell>
        </row>
        <row r="582">
          <cell r="M582" t="str">
            <v>Himayatnagar</v>
          </cell>
          <cell r="O582" t="str">
            <v>Pathology</v>
          </cell>
          <cell r="P582" t="str">
            <v>Consultant Pathologist</v>
          </cell>
          <cell r="Q582" t="str">
            <v>Dr Shashikanth</v>
          </cell>
          <cell r="R582">
            <v>44308</v>
          </cell>
          <cell r="S582">
            <v>44308</v>
          </cell>
          <cell r="T582">
            <v>45037</v>
          </cell>
          <cell r="U582">
            <v>45038</v>
          </cell>
          <cell r="V582">
            <v>2013</v>
          </cell>
          <cell r="W582" t="str">
            <v>Kasturba Medical College</v>
          </cell>
          <cell r="X582">
            <v>2019</v>
          </cell>
          <cell r="Y582" t="str">
            <v>M S Ramaiah Medical College</v>
          </cell>
          <cell r="AA582" t="str">
            <v>MBBS, MD - Pathology</v>
          </cell>
          <cell r="AB582" t="str">
            <v>TSMC/FMR/08935</v>
          </cell>
          <cell r="AC582" t="str">
            <v>Telangana State Medical Council</v>
          </cell>
          <cell r="AD582">
            <v>43672</v>
          </cell>
          <cell r="AE582">
            <v>45498</v>
          </cell>
          <cell r="AF582">
            <v>9582433630</v>
          </cell>
          <cell r="AG582" t="str">
            <v>samyuktha_89@yahoo.com ; samyuktha1189@gmail.com</v>
          </cell>
          <cell r="AH582" t="str">
            <v>HDFC Bank</v>
          </cell>
          <cell r="AI582" t="str">
            <v>50100285867545</v>
          </cell>
          <cell r="AJ582" t="str">
            <v>HDFC0002073</v>
          </cell>
          <cell r="AK582" t="str">
            <v>BQLPA8248Q</v>
          </cell>
          <cell r="AL582" t="str">
            <v>475002504921</v>
          </cell>
          <cell r="AM582" t="str">
            <v>Abbagani Vidya Sagar</v>
          </cell>
          <cell r="AW582">
            <v>32853</v>
          </cell>
          <cell r="AX582" t="str">
            <v>Female</v>
          </cell>
          <cell r="AY582" t="str">
            <v>Full Time</v>
          </cell>
          <cell r="AZ582">
            <v>8</v>
          </cell>
          <cell r="BA582">
            <v>8</v>
          </cell>
        </row>
        <row r="583">
          <cell r="M583" t="str">
            <v>Himayatnagar</v>
          </cell>
          <cell r="O583" t="str">
            <v>Physician Services</v>
          </cell>
          <cell r="P583" t="str">
            <v>Consultant Physician</v>
          </cell>
          <cell r="R583">
            <v>44312</v>
          </cell>
          <cell r="S583">
            <v>44312</v>
          </cell>
          <cell r="T583">
            <v>45041</v>
          </cell>
          <cell r="U583">
            <v>45042</v>
          </cell>
          <cell r="AA583" t="str">
            <v>MBBS</v>
          </cell>
          <cell r="AB583" t="str">
            <v>APMC/FMR/107950</v>
          </cell>
          <cell r="AC583" t="str">
            <v>Andhra Pradesh Medical Council</v>
          </cell>
          <cell r="AD583">
            <v>43840</v>
          </cell>
          <cell r="AE583">
            <v>45666</v>
          </cell>
          <cell r="AF583">
            <v>9493949502</v>
          </cell>
          <cell r="AG583" t="str">
            <v>bollapallynaveengoud@gmail.com</v>
          </cell>
          <cell r="AH583" t="str">
            <v>HDFC Bank</v>
          </cell>
          <cell r="AI583" t="str">
            <v>50100279605298</v>
          </cell>
          <cell r="AJ583" t="str">
            <v>HDFC0000982</v>
          </cell>
          <cell r="AK583" t="str">
            <v>ENTPB9049G</v>
          </cell>
          <cell r="AL583" t="str">
            <v>451037164816</v>
          </cell>
          <cell r="AM583" t="str">
            <v>Bollapalli Narayana Goud</v>
          </cell>
          <cell r="AW583">
            <v>34790</v>
          </cell>
          <cell r="AX583" t="str">
            <v>Male</v>
          </cell>
          <cell r="AY583" t="str">
            <v>Part Time</v>
          </cell>
          <cell r="AZ583">
            <v>3</v>
          </cell>
          <cell r="BA583">
            <v>8</v>
          </cell>
        </row>
        <row r="584">
          <cell r="M584" t="str">
            <v>Hanamkonda - 40</v>
          </cell>
          <cell r="N584" t="e">
            <v>#N/A</v>
          </cell>
          <cell r="O584" t="str">
            <v>Radiology</v>
          </cell>
          <cell r="P584" t="str">
            <v>Consultant Radiologist</v>
          </cell>
          <cell r="Q584" t="str">
            <v>Dr L T Kishore</v>
          </cell>
          <cell r="R584">
            <v>44317</v>
          </cell>
          <cell r="S584">
            <v>44317</v>
          </cell>
          <cell r="T584">
            <v>45046</v>
          </cell>
          <cell r="U584">
            <v>45047</v>
          </cell>
          <cell r="AA584" t="str">
            <v>MBBS,DMRD-Radiodiagnosis</v>
          </cell>
          <cell r="AB584">
            <v>66747</v>
          </cell>
          <cell r="AC584" t="str">
            <v>Telangana State Medical Council</v>
          </cell>
          <cell r="AD584">
            <v>43326</v>
          </cell>
          <cell r="AE584">
            <v>45151</v>
          </cell>
          <cell r="AF584">
            <v>8019270382</v>
          </cell>
          <cell r="AG584" t="str">
            <v>drrambabudonthoju@gmail.com</v>
          </cell>
          <cell r="AH584" t="str">
            <v>SBI Bank</v>
          </cell>
          <cell r="AI584" t="str">
            <v>62334389904</v>
          </cell>
          <cell r="AJ584" t="str">
            <v>SBIN0020886</v>
          </cell>
          <cell r="AK584" t="str">
            <v>BGKPD4632C</v>
          </cell>
          <cell r="AL584" t="str">
            <v>244522471264</v>
          </cell>
          <cell r="AM584" t="str">
            <v>Donthoju Shankara Chary</v>
          </cell>
          <cell r="AN584">
            <v>44443</v>
          </cell>
          <cell r="AW584">
            <v>31481</v>
          </cell>
          <cell r="AX584" t="str">
            <v>Male</v>
          </cell>
          <cell r="AY584" t="str">
            <v>Part Time</v>
          </cell>
          <cell r="AZ584">
            <v>6</v>
          </cell>
          <cell r="BA584">
            <v>6</v>
          </cell>
        </row>
        <row r="585">
          <cell r="M585" t="str">
            <v>Kurnool - 43</v>
          </cell>
          <cell r="N585" t="str">
            <v>Microbiology</v>
          </cell>
          <cell r="O585" t="str">
            <v>Microbiology</v>
          </cell>
          <cell r="P585" t="str">
            <v>Consultant Microbiologist</v>
          </cell>
          <cell r="Q585" t="str">
            <v>Dr. Manisha Singh</v>
          </cell>
          <cell r="R585">
            <v>44322</v>
          </cell>
          <cell r="S585">
            <v>45052</v>
          </cell>
          <cell r="T585">
            <v>45782</v>
          </cell>
          <cell r="U585">
            <v>45783</v>
          </cell>
          <cell r="V585">
            <v>2010</v>
          </cell>
          <cell r="W585" t="str">
            <v>Narayana Medical College</v>
          </cell>
          <cell r="X585">
            <v>2019</v>
          </cell>
          <cell r="Y585" t="str">
            <v>Kurnool Medical College</v>
          </cell>
          <cell r="Z585" t="str">
            <v>NA</v>
          </cell>
          <cell r="AA585" t="str">
            <v>MBBS, MD - Microbiology</v>
          </cell>
          <cell r="AB585">
            <v>70684</v>
          </cell>
          <cell r="AC585" t="str">
            <v>Andhra Pradesh Medical Council</v>
          </cell>
          <cell r="AD585">
            <v>43651</v>
          </cell>
          <cell r="AE585">
            <v>45477</v>
          </cell>
          <cell r="AF585">
            <v>7207252751</v>
          </cell>
          <cell r="AG585" t="str">
            <v>drharithajakkula@gmail.com</v>
          </cell>
          <cell r="AH585" t="str">
            <v>IDBI Bank</v>
          </cell>
          <cell r="AI585" t="str">
            <v>0214104000160483</v>
          </cell>
          <cell r="AJ585" t="str">
            <v>IBKL0000214</v>
          </cell>
          <cell r="AK585" t="str">
            <v>ANKPJ4505C</v>
          </cell>
          <cell r="AL585" t="str">
            <v>505082329265</v>
          </cell>
          <cell r="AM585" t="str">
            <v>Jakkula Satyanarayana</v>
          </cell>
          <cell r="AN585">
            <v>45314</v>
          </cell>
          <cell r="AO585">
            <v>45314</v>
          </cell>
          <cell r="AP585" t="str">
            <v>Abscond</v>
          </cell>
          <cell r="AU585">
            <v>0.33333333333333331</v>
          </cell>
          <cell r="AV585">
            <v>0.45833333333333331</v>
          </cell>
          <cell r="AW585">
            <v>31953</v>
          </cell>
          <cell r="AX585" t="str">
            <v>Female</v>
          </cell>
          <cell r="AY585" t="str">
            <v>Part Time</v>
          </cell>
          <cell r="AZ585">
            <v>3</v>
          </cell>
          <cell r="BA585">
            <v>3</v>
          </cell>
        </row>
        <row r="586">
          <cell r="M586" t="str">
            <v>Himayatnagar</v>
          </cell>
          <cell r="O586" t="str">
            <v>Pathology</v>
          </cell>
          <cell r="P586" t="str">
            <v>Consultant Pathologist</v>
          </cell>
          <cell r="Q586" t="str">
            <v>Dr Shashikanth</v>
          </cell>
          <cell r="R586">
            <v>44351</v>
          </cell>
          <cell r="S586">
            <v>44351</v>
          </cell>
          <cell r="T586">
            <v>45080</v>
          </cell>
          <cell r="U586">
            <v>45081</v>
          </cell>
          <cell r="AA586" t="str">
            <v>MBBS. DM Pathology</v>
          </cell>
          <cell r="AF586">
            <v>9558435131</v>
          </cell>
          <cell r="AG586" t="str">
            <v>itsagp@gmail.com</v>
          </cell>
          <cell r="AH586" t="str">
            <v>Kotak Mahindra Bank</v>
          </cell>
          <cell r="AI586" t="str">
            <v>3513077002</v>
          </cell>
          <cell r="AJ586" t="str">
            <v>KKBK0000431</v>
          </cell>
          <cell r="AK586" t="str">
            <v>BAHPP2712E</v>
          </cell>
          <cell r="AL586" t="str">
            <v>602036195183</v>
          </cell>
          <cell r="AM586" t="str">
            <v>Gangadhar Shankar Patil</v>
          </cell>
          <cell r="AN586">
            <v>44550</v>
          </cell>
          <cell r="AW586">
            <v>32287</v>
          </cell>
          <cell r="AX586" t="str">
            <v>Female</v>
          </cell>
          <cell r="AY586" t="str">
            <v>Full Time</v>
          </cell>
          <cell r="AZ586">
            <v>8</v>
          </cell>
          <cell r="BA586">
            <v>8</v>
          </cell>
        </row>
        <row r="587">
          <cell r="M587" t="str">
            <v>Warangal - 41</v>
          </cell>
          <cell r="N587" t="str">
            <v>CT, USG X Ray</v>
          </cell>
          <cell r="O587" t="str">
            <v>Radiology</v>
          </cell>
          <cell r="P587" t="str">
            <v>Consultant Radiologist</v>
          </cell>
          <cell r="Q587" t="str">
            <v>Dr L T Kishore</v>
          </cell>
          <cell r="R587">
            <v>44378</v>
          </cell>
          <cell r="S587">
            <v>44378</v>
          </cell>
          <cell r="T587">
            <v>45107</v>
          </cell>
          <cell r="U587">
            <v>45108</v>
          </cell>
          <cell r="W587" t="str">
            <v>Prathima Medical College</v>
          </cell>
          <cell r="X587">
            <v>2013</v>
          </cell>
          <cell r="Y587" t="str">
            <v>Kamineni Medical College</v>
          </cell>
          <cell r="AA587" t="str">
            <v>MBBS, DMRD - Radio Diagnosis</v>
          </cell>
          <cell r="AB587">
            <v>62070</v>
          </cell>
          <cell r="AC587" t="str">
            <v>Andhra Pradesh Medical Council</v>
          </cell>
          <cell r="AF587">
            <v>9866864646</v>
          </cell>
          <cell r="AG587" t="str">
            <v>madhulikadamera03@gmail.com</v>
          </cell>
          <cell r="AH587" t="str">
            <v>HDFC Bank</v>
          </cell>
          <cell r="AI587" t="str">
            <v>50100231985552</v>
          </cell>
          <cell r="AJ587" t="str">
            <v>HDFC0000375</v>
          </cell>
          <cell r="AK587" t="str">
            <v>ARUPD9632N</v>
          </cell>
          <cell r="AL587" t="str">
            <v>368422909889</v>
          </cell>
          <cell r="AM587" t="str">
            <v>Damera Sri Krishna Dattatreya</v>
          </cell>
          <cell r="AW587">
            <v>30967</v>
          </cell>
          <cell r="AX587" t="str">
            <v>Female</v>
          </cell>
          <cell r="AY587" t="str">
            <v>Part Time</v>
          </cell>
          <cell r="AZ587">
            <v>6</v>
          </cell>
          <cell r="BA587">
            <v>6</v>
          </cell>
        </row>
        <row r="588">
          <cell r="M588" t="str">
            <v>Karimnagar-75</v>
          </cell>
          <cell r="N588" t="e">
            <v>#N/A</v>
          </cell>
          <cell r="O588" t="str">
            <v>Radiology</v>
          </cell>
          <cell r="P588" t="str">
            <v>Consultant Radiologist</v>
          </cell>
          <cell r="Q588" t="str">
            <v>Dr L T Kishore</v>
          </cell>
          <cell r="R588">
            <v>44378</v>
          </cell>
          <cell r="S588">
            <v>44378</v>
          </cell>
          <cell r="T588">
            <v>45107</v>
          </cell>
          <cell r="U588">
            <v>45108</v>
          </cell>
          <cell r="AA588" t="str">
            <v>MBBS, MD - Radio Diagnosis</v>
          </cell>
          <cell r="AB588" t="str">
            <v>APMC/FMR/85327</v>
          </cell>
          <cell r="AC588" t="str">
            <v>Andhra Pradesh Medical Council</v>
          </cell>
          <cell r="AD588">
            <v>44189</v>
          </cell>
          <cell r="AE588">
            <v>46014</v>
          </cell>
          <cell r="AF588">
            <v>9490984089</v>
          </cell>
          <cell r="AG588" t="str">
            <v>raghudr14@gmail.com</v>
          </cell>
          <cell r="AH588" t="str">
            <v>BOI</v>
          </cell>
          <cell r="AI588" t="str">
            <v>572811610000777</v>
          </cell>
          <cell r="AJ588" t="str">
            <v>BKID0008689</v>
          </cell>
          <cell r="AK588" t="str">
            <v>BYVPR4383M</v>
          </cell>
          <cell r="AL588" t="str">
            <v>672099304952</v>
          </cell>
          <cell r="AM588" t="str">
            <v>Pasupuleti Sreenivasulu</v>
          </cell>
          <cell r="AN588">
            <v>44437</v>
          </cell>
          <cell r="AW588">
            <v>33055</v>
          </cell>
          <cell r="AX588" t="str">
            <v>Male</v>
          </cell>
          <cell r="AY588" t="str">
            <v>Part Time</v>
          </cell>
          <cell r="AZ588">
            <v>7</v>
          </cell>
          <cell r="BA588">
            <v>1</v>
          </cell>
        </row>
        <row r="589">
          <cell r="M589" t="str">
            <v>Madhapur-2 - 70</v>
          </cell>
          <cell r="O589" t="str">
            <v>Physician Services</v>
          </cell>
          <cell r="P589" t="str">
            <v>Consultant Physician</v>
          </cell>
          <cell r="U589" t="str">
            <v>-</v>
          </cell>
          <cell r="AA589" t="str">
            <v>MBBS</v>
          </cell>
          <cell r="AB589" t="str">
            <v>APMC/FMR/77950</v>
          </cell>
          <cell r="AC589" t="str">
            <v>Telangana State Medical Council</v>
          </cell>
          <cell r="AD589">
            <v>43396</v>
          </cell>
          <cell r="AE589">
            <v>45221</v>
          </cell>
          <cell r="AF589">
            <v>7995929957</v>
          </cell>
          <cell r="AG589" t="str">
            <v>drdeepthi77@gmail.com</v>
          </cell>
          <cell r="AH589" t="str">
            <v>Kotak Mahindra Bank</v>
          </cell>
          <cell r="AI589" t="str">
            <v>1512248812</v>
          </cell>
          <cell r="AJ589" t="str">
            <v>KKBK0000564</v>
          </cell>
          <cell r="AK589" t="str">
            <v>ALOPV7046G</v>
          </cell>
          <cell r="AL589" t="str">
            <v>496240631575</v>
          </cell>
          <cell r="AM589" t="str">
            <v>V Joseph</v>
          </cell>
          <cell r="AW589">
            <v>32731</v>
          </cell>
          <cell r="AX589" t="str">
            <v>Female</v>
          </cell>
          <cell r="AY589" t="str">
            <v>Part Time</v>
          </cell>
          <cell r="AZ589">
            <v>5</v>
          </cell>
          <cell r="BA589">
            <v>2</v>
          </cell>
        </row>
        <row r="590">
          <cell r="M590" t="str">
            <v>Kharkhana - 35</v>
          </cell>
          <cell r="N590" t="str">
            <v>Basic USG, Tiffa, USG Guided Procedures, IVP, RGU, MCGU, Barium Swallow, Barium Enemma, HSG, X-Ray, Basic CT, MRI Basic</v>
          </cell>
          <cell r="O590" t="str">
            <v>Radiology</v>
          </cell>
          <cell r="P590" t="str">
            <v>Consultant Radiologist</v>
          </cell>
          <cell r="Q590" t="str">
            <v>Dr L T Kishore</v>
          </cell>
          <cell r="R590">
            <v>44385</v>
          </cell>
          <cell r="S590">
            <v>44385</v>
          </cell>
          <cell r="T590">
            <v>45114</v>
          </cell>
          <cell r="U590">
            <v>45115</v>
          </cell>
          <cell r="W590" t="str">
            <v>Mamata Medical College</v>
          </cell>
          <cell r="X590">
            <v>2019</v>
          </cell>
          <cell r="Y590" t="str">
            <v>SVS Medical College &amp; Hospital</v>
          </cell>
          <cell r="AA590" t="str">
            <v>MBBS,DMRD-Radiodiagnosis</v>
          </cell>
          <cell r="AB590" t="str">
            <v>APMC/FMR/93658</v>
          </cell>
          <cell r="AC590" t="str">
            <v>Andhra Pradesh Medical Council</v>
          </cell>
          <cell r="AF590">
            <v>9959179381</v>
          </cell>
          <cell r="AG590" t="str">
            <v>docvysh@gmail.com</v>
          </cell>
          <cell r="AH590" t="str">
            <v>Axis Bank</v>
          </cell>
          <cell r="AI590" t="str">
            <v>918010063179984</v>
          </cell>
          <cell r="AJ590" t="str">
            <v>UTIB0002962</v>
          </cell>
          <cell r="AK590" t="str">
            <v>BHQPB9146Q</v>
          </cell>
          <cell r="AL590" t="str">
            <v>464515157752</v>
          </cell>
          <cell r="AM590" t="str">
            <v>Naveen Kumar</v>
          </cell>
          <cell r="AN590">
            <v>44511</v>
          </cell>
          <cell r="AW590">
            <v>33390</v>
          </cell>
          <cell r="AX590" t="str">
            <v>Female</v>
          </cell>
          <cell r="AY590" t="str">
            <v>Part Time</v>
          </cell>
          <cell r="AZ590">
            <v>2</v>
          </cell>
          <cell r="BA590">
            <v>2</v>
          </cell>
        </row>
        <row r="591">
          <cell r="M591" t="str">
            <v>Dilsukhnagar - 12</v>
          </cell>
          <cell r="N591" t="str">
            <v>Hematology, Cytopathology, Clinical Pathology</v>
          </cell>
          <cell r="O591" t="str">
            <v>Pathology</v>
          </cell>
          <cell r="P591" t="str">
            <v>Consultant Pathologist</v>
          </cell>
          <cell r="Q591" t="str">
            <v>Dr Shashikanth</v>
          </cell>
          <cell r="R591">
            <v>44389</v>
          </cell>
          <cell r="S591">
            <v>44389</v>
          </cell>
          <cell r="T591">
            <v>45118</v>
          </cell>
          <cell r="U591">
            <v>45119</v>
          </cell>
          <cell r="V591">
            <v>2011</v>
          </cell>
          <cell r="W591" t="str">
            <v>Mediciti Institute Of Health Sciences</v>
          </cell>
          <cell r="X591">
            <v>2017</v>
          </cell>
          <cell r="Y591" t="str">
            <v>Siddhartha Medical College</v>
          </cell>
          <cell r="AA591" t="str">
            <v>MBBS, MD - Pathology</v>
          </cell>
          <cell r="AB591" t="str">
            <v>APMC/FMR/76414</v>
          </cell>
          <cell r="AC591" t="str">
            <v>Telangana State Medical Council</v>
          </cell>
          <cell r="AD591">
            <v>43216</v>
          </cell>
          <cell r="AE591">
            <v>45041</v>
          </cell>
          <cell r="AF591">
            <v>9701631133</v>
          </cell>
          <cell r="AG591" t="str">
            <v>vlk.chandrika@gmail.com</v>
          </cell>
          <cell r="AH591" t="str">
            <v>IDFC First Bank</v>
          </cell>
          <cell r="AI591" t="str">
            <v>10056035489</v>
          </cell>
          <cell r="AJ591" t="str">
            <v>IDFB0080224</v>
          </cell>
          <cell r="AK591" t="str">
            <v>AITPV0271B</v>
          </cell>
          <cell r="AL591" t="str">
            <v>370626742066</v>
          </cell>
          <cell r="AM591" t="str">
            <v>Vakkalagadda Venkata Krishna Raja Mohan</v>
          </cell>
          <cell r="AN591">
            <v>44712</v>
          </cell>
          <cell r="AO591">
            <v>44650</v>
          </cell>
          <cell r="AW591">
            <v>32173</v>
          </cell>
          <cell r="AX591" t="str">
            <v>Female</v>
          </cell>
          <cell r="AY591" t="str">
            <v>Full Time</v>
          </cell>
          <cell r="AZ591">
            <v>8</v>
          </cell>
          <cell r="BA591">
            <v>8</v>
          </cell>
        </row>
        <row r="592">
          <cell r="M592" t="str">
            <v>Karimnagar-75</v>
          </cell>
          <cell r="O592" t="str">
            <v>Pathology</v>
          </cell>
          <cell r="P592" t="str">
            <v>Consultant Pathologist</v>
          </cell>
          <cell r="Q592" t="str">
            <v>Dr Shashikanth</v>
          </cell>
          <cell r="R592">
            <v>44403</v>
          </cell>
          <cell r="S592">
            <v>44403</v>
          </cell>
          <cell r="T592">
            <v>45132</v>
          </cell>
          <cell r="U592">
            <v>45133</v>
          </cell>
          <cell r="V592">
            <v>2009</v>
          </cell>
          <cell r="W592" t="str">
            <v>MNR Medical College</v>
          </cell>
          <cell r="X592">
            <v>2014</v>
          </cell>
          <cell r="Y592" t="str">
            <v>Osmania Medical College</v>
          </cell>
          <cell r="AA592" t="str">
            <v>MBBS, MD - Pathology</v>
          </cell>
          <cell r="AB592">
            <v>62277</v>
          </cell>
          <cell r="AC592" t="str">
            <v>Telangana State Medical Council</v>
          </cell>
          <cell r="AD592">
            <v>44124</v>
          </cell>
          <cell r="AE592">
            <v>45949</v>
          </cell>
          <cell r="AF592">
            <v>7799319498</v>
          </cell>
          <cell r="AG592" t="str">
            <v>prasunachilveri15@gmail.com</v>
          </cell>
          <cell r="AH592" t="str">
            <v>HDFC Bank</v>
          </cell>
          <cell r="AI592" t="str">
            <v>50100282100307</v>
          </cell>
          <cell r="AJ592" t="str">
            <v>HDFC0004342</v>
          </cell>
          <cell r="AK592" t="str">
            <v>CHOPB4083K</v>
          </cell>
          <cell r="AL592" t="str">
            <v>614659353968</v>
          </cell>
          <cell r="AM592" t="str">
            <v>Vijay Kumar Chiluveri</v>
          </cell>
          <cell r="AN592">
            <v>44515</v>
          </cell>
          <cell r="AW592">
            <v>30437</v>
          </cell>
          <cell r="AX592" t="str">
            <v>Female</v>
          </cell>
          <cell r="AY592" t="str">
            <v>Part Time</v>
          </cell>
          <cell r="AZ592">
            <v>8</v>
          </cell>
          <cell r="BA592">
            <v>1</v>
          </cell>
        </row>
        <row r="593">
          <cell r="M593" t="str">
            <v>Ameerpet - 14</v>
          </cell>
          <cell r="N593" t="e">
            <v>#N/A</v>
          </cell>
          <cell r="O593" t="str">
            <v>Radiology</v>
          </cell>
          <cell r="P593" t="str">
            <v>Consultant Radiologist</v>
          </cell>
          <cell r="Q593" t="str">
            <v>Dr L T Kishore</v>
          </cell>
          <cell r="R593">
            <v>44412</v>
          </cell>
          <cell r="S593">
            <v>44412</v>
          </cell>
          <cell r="T593">
            <v>45141</v>
          </cell>
          <cell r="U593">
            <v>45142</v>
          </cell>
          <cell r="AA593" t="str">
            <v>MBBS, MD - Radio Diagnosis</v>
          </cell>
          <cell r="AB593" t="str">
            <v>APMC/FMR/74451</v>
          </cell>
          <cell r="AC593" t="str">
            <v>Telangana State Medical Council</v>
          </cell>
          <cell r="AD593">
            <v>43404</v>
          </cell>
          <cell r="AE593">
            <v>45229</v>
          </cell>
          <cell r="AF593">
            <v>9985243342</v>
          </cell>
          <cell r="AG593" t="str">
            <v>vineelamarlamd@gmail.com</v>
          </cell>
          <cell r="AH593" t="str">
            <v>Union Bank of India</v>
          </cell>
          <cell r="AI593" t="str">
            <v>520291005842129</v>
          </cell>
          <cell r="AJ593" t="str">
            <v>UBIN0917311</v>
          </cell>
          <cell r="AK593" t="str">
            <v>DDEPM0371J</v>
          </cell>
          <cell r="AL593" t="str">
            <v>401361537380</v>
          </cell>
          <cell r="AM593" t="str">
            <v>Raghuramaiah Marla</v>
          </cell>
          <cell r="AN593">
            <v>44439</v>
          </cell>
          <cell r="AW593">
            <v>32368</v>
          </cell>
          <cell r="AX593" t="str">
            <v>Female</v>
          </cell>
          <cell r="AY593" t="str">
            <v>Part Time</v>
          </cell>
          <cell r="AZ593">
            <v>6</v>
          </cell>
          <cell r="BA593">
            <v>6</v>
          </cell>
        </row>
        <row r="594">
          <cell r="M594" t="str">
            <v>Habsiguda - 17</v>
          </cell>
          <cell r="N594" t="str">
            <v>N/A</v>
          </cell>
          <cell r="O594" t="str">
            <v>Pathology</v>
          </cell>
          <cell r="P594" t="str">
            <v>Consultant Pathologist</v>
          </cell>
          <cell r="Q594" t="str">
            <v>Dr. PTS. Shashikanth</v>
          </cell>
          <cell r="R594">
            <v>45306</v>
          </cell>
          <cell r="S594">
            <v>45306</v>
          </cell>
          <cell r="T594">
            <v>46036</v>
          </cell>
          <cell r="U594">
            <v>46037</v>
          </cell>
          <cell r="V594">
            <v>2010</v>
          </cell>
          <cell r="W594" t="str">
            <v>GOA Medical College</v>
          </cell>
          <cell r="X594">
            <v>2015</v>
          </cell>
          <cell r="Y594" t="str">
            <v>Belagavi Institute of Medical Science</v>
          </cell>
          <cell r="Z594" t="str">
            <v>NA</v>
          </cell>
          <cell r="AA594" t="str">
            <v>MBBS,MD</v>
          </cell>
          <cell r="AB594" t="str">
            <v>TSMC/FMR/29516</v>
          </cell>
          <cell r="AC594" t="str">
            <v>Telangana State Medical Council</v>
          </cell>
          <cell r="AD594">
            <v>45303</v>
          </cell>
          <cell r="AE594">
            <v>47129</v>
          </cell>
          <cell r="AF594">
            <v>9743825162</v>
          </cell>
          <cell r="AG594" t="str">
            <v>baptistfernandes922@gmail.com</v>
          </cell>
          <cell r="AH594" t="str">
            <v>BOI bank</v>
          </cell>
          <cell r="AI594" t="str">
            <v>100110110013104</v>
          </cell>
          <cell r="AJ594" t="str">
            <v>BKID0001001</v>
          </cell>
          <cell r="AK594" t="str">
            <v>ACLPF0231F</v>
          </cell>
          <cell r="AL594">
            <v>614768181229</v>
          </cell>
          <cell r="AN594">
            <v>45478</v>
          </cell>
          <cell r="AO594" t="str">
            <v>NA</v>
          </cell>
          <cell r="AP594" t="str">
            <v>Abscond</v>
          </cell>
          <cell r="AQ594" t="str">
            <v>Flat No. F-10, Priyanka Enclave, Aquem Alto, Near Babu Naik, Margao, South Goa, Goa - 403601</v>
          </cell>
          <cell r="AS594" t="str">
            <v>Flat No. F-10, Priyanka Enclave, Aquem Alto, Near Babu Naik, Margao, South Goa, Goa - 403601</v>
          </cell>
          <cell r="AU594">
            <v>0.33333333333333331</v>
          </cell>
          <cell r="AV594">
            <v>0.66666666666666663</v>
          </cell>
          <cell r="AW594">
            <v>31959</v>
          </cell>
          <cell r="AX594" t="str">
            <v>Male</v>
          </cell>
          <cell r="AY594" t="str">
            <v>Full Time</v>
          </cell>
          <cell r="AZ594">
            <v>8</v>
          </cell>
          <cell r="BA594" t="str">
            <v>A.S. Rao Nagar Cluster</v>
          </cell>
        </row>
        <row r="595">
          <cell r="M595" t="str">
            <v>Himayatnagar</v>
          </cell>
          <cell r="O595" t="str">
            <v>Physician Services</v>
          </cell>
          <cell r="P595" t="str">
            <v>Consultant Physician</v>
          </cell>
          <cell r="R595">
            <v>44424</v>
          </cell>
          <cell r="S595">
            <v>44424</v>
          </cell>
          <cell r="T595">
            <v>45153</v>
          </cell>
          <cell r="U595">
            <v>45154</v>
          </cell>
          <cell r="AA595" t="str">
            <v>MBBS</v>
          </cell>
          <cell r="AB595" t="str">
            <v>TSMC/FMR/03161</v>
          </cell>
          <cell r="AC595" t="str">
            <v>Telangana State Medical Council</v>
          </cell>
          <cell r="AD595">
            <v>42931</v>
          </cell>
          <cell r="AE595">
            <v>44757</v>
          </cell>
          <cell r="AF595">
            <v>9908401786</v>
          </cell>
          <cell r="AG595" t="str">
            <v>dralimurtuza1624@gmail.com</v>
          </cell>
          <cell r="AH595" t="str">
            <v>ICICI Bank</v>
          </cell>
          <cell r="AI595" t="str">
            <v>630501548732</v>
          </cell>
          <cell r="AJ595" t="str">
            <v>ICIC0000410</v>
          </cell>
          <cell r="AK595" t="str">
            <v>BHBPA0795H</v>
          </cell>
          <cell r="AL595" t="str">
            <v>439435363363</v>
          </cell>
          <cell r="AM595" t="str">
            <v>Mohammed Shoukat Ali</v>
          </cell>
          <cell r="AW595">
            <v>34036</v>
          </cell>
          <cell r="AX595" t="str">
            <v>Male</v>
          </cell>
          <cell r="AY595" t="str">
            <v>Part Time</v>
          </cell>
          <cell r="AZ595">
            <v>3</v>
          </cell>
          <cell r="BA595">
            <v>8</v>
          </cell>
        </row>
        <row r="596">
          <cell r="M596" t="str">
            <v>Tolichowki - 23</v>
          </cell>
          <cell r="N596" t="str">
            <v>Physician Services</v>
          </cell>
          <cell r="O596" t="str">
            <v>Physician Services</v>
          </cell>
          <cell r="P596" t="str">
            <v>Consultant Physician</v>
          </cell>
          <cell r="Q596" t="str">
            <v>Ms. Suprita Reddy</v>
          </cell>
          <cell r="R596">
            <v>44420</v>
          </cell>
          <cell r="S596">
            <v>45150</v>
          </cell>
          <cell r="T596">
            <v>45880</v>
          </cell>
          <cell r="U596">
            <v>45881</v>
          </cell>
          <cell r="V596">
            <v>2015</v>
          </cell>
          <cell r="W596" t="str">
            <v>NTR Univervisty</v>
          </cell>
          <cell r="X596" t="str">
            <v>N/A</v>
          </cell>
          <cell r="Y596" t="str">
            <v>N/A</v>
          </cell>
          <cell r="Z596" t="str">
            <v>NA</v>
          </cell>
          <cell r="AA596" t="str">
            <v>MBBS</v>
          </cell>
          <cell r="AB596" t="str">
            <v>TSMC/FMR/02136</v>
          </cell>
          <cell r="AC596" t="str">
            <v>Telangana State Medical Council</v>
          </cell>
          <cell r="AD596">
            <v>42682</v>
          </cell>
          <cell r="AE596">
            <v>44508</v>
          </cell>
          <cell r="AF596">
            <v>8247615706</v>
          </cell>
          <cell r="AG596" t="str">
            <v>naasfathima22@gmail.com</v>
          </cell>
          <cell r="AH596" t="str">
            <v>ICICI Bank</v>
          </cell>
          <cell r="AI596" t="str">
            <v>004001651900</v>
          </cell>
          <cell r="AJ596" t="str">
            <v>ICIC0000040</v>
          </cell>
          <cell r="AK596" t="str">
            <v>ADSPF7077M</v>
          </cell>
          <cell r="AL596" t="str">
            <v>266822219494</v>
          </cell>
          <cell r="AM596" t="str">
            <v>Mohammed Rafiuddin</v>
          </cell>
          <cell r="AN596">
            <v>45330</v>
          </cell>
          <cell r="AO596">
            <v>45330</v>
          </cell>
          <cell r="AU596">
            <v>0.375</v>
          </cell>
          <cell r="AV596">
            <v>0.41666666666666669</v>
          </cell>
          <cell r="AW596">
            <v>33704</v>
          </cell>
          <cell r="AX596" t="str">
            <v>Female</v>
          </cell>
          <cell r="AY596" t="str">
            <v>Part Time</v>
          </cell>
          <cell r="AZ596">
            <v>1</v>
          </cell>
          <cell r="BA596">
            <v>1</v>
          </cell>
        </row>
        <row r="597">
          <cell r="M597" t="str">
            <v>Ameerpet - 14</v>
          </cell>
          <cell r="N597" t="str">
            <v>Basic USGs, Tiffa, MSK, USG Guided Procedures, IVP, RGU, MCGU, Barium Swallow, Barium Enema, HSG, Xrays and Mammography, Basic CT, CT Enteroclysis, All Angio's except Coronary, Basic MRI</v>
          </cell>
          <cell r="O597" t="str">
            <v>Radiology</v>
          </cell>
          <cell r="P597" t="str">
            <v>Consultant Radiologist</v>
          </cell>
          <cell r="Q597" t="str">
            <v>Dr L T Kishore</v>
          </cell>
          <cell r="R597">
            <v>44420</v>
          </cell>
          <cell r="S597">
            <v>44420</v>
          </cell>
          <cell r="T597">
            <v>45149</v>
          </cell>
          <cell r="U597">
            <v>45150</v>
          </cell>
          <cell r="W597" t="str">
            <v>Osmania Medical College</v>
          </cell>
          <cell r="X597">
            <v>2014</v>
          </cell>
          <cell r="Y597" t="str">
            <v>Gandhi Medical College</v>
          </cell>
          <cell r="AA597" t="str">
            <v>MBBS, MD - Radio Diagnosis</v>
          </cell>
          <cell r="AB597">
            <v>65788</v>
          </cell>
          <cell r="AC597" t="str">
            <v>Telangana State Medical Council</v>
          </cell>
          <cell r="AD597">
            <v>44250</v>
          </cell>
          <cell r="AE597">
            <v>46075</v>
          </cell>
          <cell r="AF597">
            <v>9441210456</v>
          </cell>
          <cell r="AG597" t="str">
            <v>suneeth_j@yahoo.co.in</v>
          </cell>
          <cell r="AH597" t="str">
            <v>SBI Bank</v>
          </cell>
          <cell r="AI597" t="str">
            <v>62205268976</v>
          </cell>
          <cell r="AJ597" t="str">
            <v>SBIN0018276</v>
          </cell>
          <cell r="AK597" t="str">
            <v>ALMPJ5099B</v>
          </cell>
          <cell r="AL597" t="str">
            <v>410123003266</v>
          </cell>
          <cell r="AM597" t="str">
            <v>Buggappa Chandrashekar Jogi</v>
          </cell>
          <cell r="AN597">
            <v>44528</v>
          </cell>
          <cell r="AW597">
            <v>31432</v>
          </cell>
          <cell r="AX597" t="str">
            <v>Male</v>
          </cell>
          <cell r="AY597" t="str">
            <v>Part Time</v>
          </cell>
          <cell r="AZ597">
            <v>3</v>
          </cell>
          <cell r="BA597">
            <v>6</v>
          </cell>
        </row>
        <row r="598">
          <cell r="M598" t="str">
            <v>Habsiguda - 17</v>
          </cell>
          <cell r="N598" t="str">
            <v>USG, Tiffa, MSK, Guided Procedures, IVP, RGU, MCGU, Barium Swallow, Barium Enemma, HSG, X Ray, Mammograpgy,  Basic MRI and Basic CT</v>
          </cell>
          <cell r="O598" t="str">
            <v>Radiology</v>
          </cell>
          <cell r="P598" t="str">
            <v>Consultant Radiologist</v>
          </cell>
          <cell r="Q598" t="str">
            <v>Dr L T Kishore</v>
          </cell>
          <cell r="R598">
            <v>44433</v>
          </cell>
          <cell r="S598">
            <v>44433</v>
          </cell>
          <cell r="T598">
            <v>45162</v>
          </cell>
          <cell r="U598">
            <v>45163</v>
          </cell>
          <cell r="W598" t="str">
            <v>Gandhi Medical College</v>
          </cell>
          <cell r="X598">
            <v>2021</v>
          </cell>
          <cell r="Y598" t="str">
            <v>NIMS</v>
          </cell>
          <cell r="AA598" t="str">
            <v>MBBS, MD - Radio Diagnosis</v>
          </cell>
          <cell r="AB598" t="str">
            <v>TSMC/FMR/00984</v>
          </cell>
          <cell r="AC598" t="str">
            <v>Telangana State Medical Council</v>
          </cell>
          <cell r="AF598">
            <v>8125888364</v>
          </cell>
          <cell r="AG598" t="str">
            <v>badri.saikarthikeya@gmail.com</v>
          </cell>
          <cell r="AH598" t="str">
            <v>Union Bank of India</v>
          </cell>
          <cell r="AI598" t="str">
            <v>107910100068320</v>
          </cell>
          <cell r="AJ598" t="str">
            <v>UBIN0810797</v>
          </cell>
          <cell r="AK598" t="str">
            <v>AXKPV6174H</v>
          </cell>
          <cell r="AL598" t="str">
            <v>462293152906</v>
          </cell>
          <cell r="AM598" t="str">
            <v>Venkataramana Vennampally</v>
          </cell>
          <cell r="AN598">
            <v>44530</v>
          </cell>
          <cell r="AW598">
            <v>33023</v>
          </cell>
          <cell r="AX598" t="str">
            <v>Female</v>
          </cell>
          <cell r="AY598" t="str">
            <v>Part Time</v>
          </cell>
          <cell r="AZ598">
            <v>3</v>
          </cell>
          <cell r="BA598">
            <v>8</v>
          </cell>
        </row>
        <row r="599">
          <cell r="M599" t="str">
            <v>Gachibowli-66</v>
          </cell>
          <cell r="O599" t="str">
            <v>Physician Services</v>
          </cell>
          <cell r="P599" t="str">
            <v>Consultant Physician</v>
          </cell>
          <cell r="R599">
            <v>44432</v>
          </cell>
          <cell r="S599">
            <v>44432</v>
          </cell>
          <cell r="T599">
            <v>45161</v>
          </cell>
          <cell r="U599">
            <v>45162</v>
          </cell>
          <cell r="AA599" t="str">
            <v>MBBS, MD - Obstetrics &amp; Gynaecology</v>
          </cell>
          <cell r="AB599" t="str">
            <v>HMC10856</v>
          </cell>
          <cell r="AC599" t="str">
            <v>Telangana State Medical Council</v>
          </cell>
          <cell r="AD599">
            <v>43707</v>
          </cell>
          <cell r="AE599">
            <v>45533</v>
          </cell>
          <cell r="AF599">
            <v>9848057900</v>
          </cell>
          <cell r="AG599" t="str">
            <v>umadevisunkari@gmail.com</v>
          </cell>
          <cell r="AH599" t="str">
            <v>HDFC Bank</v>
          </cell>
          <cell r="AI599" t="str">
            <v>05211000047243</v>
          </cell>
          <cell r="AJ599" t="str">
            <v>HDFC0000521</v>
          </cell>
          <cell r="AK599" t="str">
            <v>ALAPS3631C</v>
          </cell>
          <cell r="AL599" t="str">
            <v>652658594676</v>
          </cell>
          <cell r="AM599" t="str">
            <v>Mallikharjuna Swamy SunKari</v>
          </cell>
          <cell r="AN599">
            <v>44530</v>
          </cell>
          <cell r="AW599">
            <v>19900</v>
          </cell>
          <cell r="AX599" t="str">
            <v>Female</v>
          </cell>
          <cell r="AY599" t="str">
            <v>Part Time</v>
          </cell>
          <cell r="AZ599">
            <v>2</v>
          </cell>
          <cell r="BA599">
            <v>2</v>
          </cell>
        </row>
        <row r="600">
          <cell r="M600" t="str">
            <v>Attapur - 34</v>
          </cell>
          <cell r="O600" t="str">
            <v>Physician Services</v>
          </cell>
          <cell r="P600" t="str">
            <v>Consultant Physician</v>
          </cell>
          <cell r="R600">
            <v>44425</v>
          </cell>
          <cell r="S600">
            <v>44425</v>
          </cell>
          <cell r="T600">
            <v>45154</v>
          </cell>
          <cell r="U600">
            <v>45155</v>
          </cell>
          <cell r="AA600" t="str">
            <v>MBBS</v>
          </cell>
          <cell r="AB600" t="str">
            <v>TSMC/FMR/04854</v>
          </cell>
          <cell r="AC600" t="str">
            <v>Telangana State Medical Council</v>
          </cell>
          <cell r="AD600">
            <v>43081</v>
          </cell>
          <cell r="AE600">
            <v>44907</v>
          </cell>
          <cell r="AF600">
            <v>9849110901</v>
          </cell>
          <cell r="AG600" t="str">
            <v>aamajo.88@gmail.com</v>
          </cell>
          <cell r="AH600" t="str">
            <v>CANARA BANK</v>
          </cell>
          <cell r="AI600" t="str">
            <v>30572190006146</v>
          </cell>
          <cell r="AJ600" t="str">
            <v>CNRB0013057</v>
          </cell>
          <cell r="AK600" t="str">
            <v>AJXPJ3793P</v>
          </cell>
          <cell r="AL600" t="str">
            <v>269165404750</v>
          </cell>
          <cell r="AM600" t="str">
            <v>Kothur Joseph Samrudhie</v>
          </cell>
          <cell r="AW600">
            <v>32182</v>
          </cell>
          <cell r="AX600" t="str">
            <v>Female</v>
          </cell>
          <cell r="AY600" t="str">
            <v>Part Time</v>
          </cell>
          <cell r="AZ600">
            <v>1</v>
          </cell>
          <cell r="BA600">
            <v>1</v>
          </cell>
        </row>
        <row r="601">
          <cell r="M601" t="str">
            <v>Kukatpally - 20</v>
          </cell>
          <cell r="O601" t="str">
            <v>Pathology</v>
          </cell>
          <cell r="P601" t="str">
            <v>Consultant Pathologist</v>
          </cell>
          <cell r="Q601" t="str">
            <v>Dr Shashikanth</v>
          </cell>
          <cell r="R601">
            <v>44427</v>
          </cell>
          <cell r="S601">
            <v>44427</v>
          </cell>
          <cell r="T601">
            <v>45156</v>
          </cell>
          <cell r="U601">
            <v>45157</v>
          </cell>
          <cell r="V601">
            <v>2009</v>
          </cell>
          <cell r="W601" t="str">
            <v>Mamatha Medical College</v>
          </cell>
          <cell r="X601">
            <v>2015</v>
          </cell>
          <cell r="Y601" t="str">
            <v>Dr.Pinnamaneni Institute of Medical Sciences and Research Foundation</v>
          </cell>
          <cell r="AA601" t="str">
            <v>MBBS, MD - Pathology</v>
          </cell>
          <cell r="AB601" t="str">
            <v xml:space="preserve"> </v>
          </cell>
          <cell r="AC601" t="str">
            <v>Andhra Pradesh Medical Council</v>
          </cell>
          <cell r="AD601">
            <v>42683</v>
          </cell>
          <cell r="AE601">
            <v>44508</v>
          </cell>
          <cell r="AF601" t="str">
            <v>7799776333  </v>
          </cell>
          <cell r="AG601" t="str">
            <v>drkiransinghmdpathology@gmail.com</v>
          </cell>
          <cell r="AH601" t="str">
            <v>SBI Bank</v>
          </cell>
          <cell r="AI601" t="str">
            <v>37716788824</v>
          </cell>
          <cell r="AJ601" t="str">
            <v>SBIN0018793</v>
          </cell>
          <cell r="AK601" t="str">
            <v>BDCPR9818P</v>
          </cell>
          <cell r="AL601" t="str">
            <v>299097541636</v>
          </cell>
          <cell r="AM601" t="str">
            <v>Rajput Raja Lakshman Singh</v>
          </cell>
          <cell r="AS601" t="e">
            <v>#REF!</v>
          </cell>
          <cell r="AW601">
            <v>31188</v>
          </cell>
          <cell r="AX601" t="str">
            <v>Male</v>
          </cell>
          <cell r="AY601" t="str">
            <v>Part Time</v>
          </cell>
          <cell r="AZ601">
            <v>2</v>
          </cell>
          <cell r="BA601">
            <v>2</v>
          </cell>
        </row>
        <row r="602">
          <cell r="M602" t="str">
            <v>Kavuri Hills-5</v>
          </cell>
          <cell r="N602" t="str">
            <v>USG, Tiffa, MSK, Guided Procedures, IVP, RGU, MCGU, Barium Swallow, Barium Enemma, HSG, X Ray, Mammography,  Basic CT, All Angios except Coronary and CT Enterclysis</v>
          </cell>
          <cell r="O602" t="str">
            <v>Radiology</v>
          </cell>
          <cell r="P602" t="str">
            <v>Consultant Radiologist</v>
          </cell>
          <cell r="R602">
            <v>44963</v>
          </cell>
          <cell r="S602">
            <v>44963</v>
          </cell>
          <cell r="T602">
            <v>45693</v>
          </cell>
          <cell r="U602">
            <v>45694</v>
          </cell>
          <cell r="V602">
            <v>2014</v>
          </cell>
          <cell r="W602" t="str">
            <v>Sri Devaraj Urs Medical College</v>
          </cell>
          <cell r="X602">
            <v>2019</v>
          </cell>
          <cell r="Y602" t="str">
            <v>Kasturba Medical College</v>
          </cell>
          <cell r="Z602" t="str">
            <v>NA</v>
          </cell>
          <cell r="AA602" t="str">
            <v>MBBS, MD</v>
          </cell>
          <cell r="AB602" t="str">
            <v>TSMC/FMR/14043</v>
          </cell>
          <cell r="AC602" t="str">
            <v>Telangana State Medical Council</v>
          </cell>
          <cell r="AD602">
            <v>44963</v>
          </cell>
          <cell r="AE602">
            <v>45693</v>
          </cell>
          <cell r="AF602">
            <v>8971229135</v>
          </cell>
          <cell r="AG602" t="str">
            <v>ranisrithi@gmail.com</v>
          </cell>
          <cell r="AH602" t="str">
            <v>INDUSIND</v>
          </cell>
          <cell r="AI602" t="str">
            <v>158971229135</v>
          </cell>
          <cell r="AJ602" t="str">
            <v>INDB0000504</v>
          </cell>
          <cell r="AK602" t="str">
            <v>BHQPB6763B</v>
          </cell>
          <cell r="AL602">
            <v>681748355411</v>
          </cell>
          <cell r="AM602" t="str">
            <v>Kumar Bhui Kanak</v>
          </cell>
          <cell r="AW602">
            <v>33757</v>
          </cell>
          <cell r="AX602" t="str">
            <v>Female</v>
          </cell>
          <cell r="AY602" t="str">
            <v>Part Time</v>
          </cell>
          <cell r="AZ602">
            <v>3</v>
          </cell>
          <cell r="BA602" t="str">
            <v>Madhapur Cluster</v>
          </cell>
        </row>
        <row r="603">
          <cell r="M603" t="str">
            <v>Kokapet - 03</v>
          </cell>
          <cell r="N603" t="str">
            <v>USG, Tiffa, MSK, Guided Procedures, IVP, RGU, MCGU, Barium Swallow, Barium Enemma, HSG, X Ray, Mammograpgy,  Basic CT, All Angios except Coronary, CT Perfusion, CT Guided Procedures, CT Enterclysis,  Basic MRI, CSF Flow Study, MR Persfusion, MR Prostrate</v>
          </cell>
          <cell r="O603" t="str">
            <v>Radiology</v>
          </cell>
          <cell r="P603" t="str">
            <v>Consultant Radiologist</v>
          </cell>
          <cell r="Q603" t="str">
            <v>Dr. Krishna Mohan Pottala</v>
          </cell>
          <cell r="R603">
            <v>44440</v>
          </cell>
          <cell r="S603">
            <v>44440</v>
          </cell>
          <cell r="T603">
            <v>45169</v>
          </cell>
          <cell r="U603">
            <v>45170</v>
          </cell>
          <cell r="W603" t="str">
            <v>Armed Forces Medical College</v>
          </cell>
          <cell r="X603">
            <v>2009</v>
          </cell>
          <cell r="Y603" t="str">
            <v>Pushpagiri Medical College</v>
          </cell>
          <cell r="Z603" t="str">
            <v>NA</v>
          </cell>
          <cell r="AA603" t="str">
            <v>MBBS, DNB - Radiodiagnosis</v>
          </cell>
          <cell r="AB603">
            <v>16772</v>
          </cell>
          <cell r="AC603" t="str">
            <v>Medical council Of India</v>
          </cell>
          <cell r="AF603">
            <v>8086304945</v>
          </cell>
          <cell r="AG603" t="str">
            <v>dr08ramesh@gmail.com</v>
          </cell>
          <cell r="AH603" t="str">
            <v>HDFC Bank</v>
          </cell>
          <cell r="AI603" t="str">
            <v>02011530016485</v>
          </cell>
          <cell r="AJ603" t="str">
            <v>HDFC0005265</v>
          </cell>
          <cell r="AK603" t="str">
            <v>AKNPR3729E</v>
          </cell>
          <cell r="AL603" t="str">
            <v>648503924057</v>
          </cell>
          <cell r="AM603" t="str">
            <v>M Mohandas Kamath</v>
          </cell>
          <cell r="AN603">
            <v>45291</v>
          </cell>
          <cell r="AO603">
            <v>45266</v>
          </cell>
          <cell r="AU603">
            <v>0.35416666666666669</v>
          </cell>
          <cell r="AV603">
            <v>0.4375</v>
          </cell>
          <cell r="AW603">
            <v>26958</v>
          </cell>
          <cell r="AX603" t="str">
            <v>Male</v>
          </cell>
          <cell r="AY603" t="str">
            <v>Part Time</v>
          </cell>
          <cell r="AZ603">
            <v>2</v>
          </cell>
          <cell r="BA603">
            <v>2</v>
          </cell>
        </row>
        <row r="604">
          <cell r="M604" t="str">
            <v>Somajiguda</v>
          </cell>
          <cell r="N604" t="str">
            <v>USG, Tiffa, MSK, Guided Procedures, IVP, RGU, MCGU, Barium Swallow, Barium Enemma, HSG, X Ray,  Basic CT, All Angios, CT Guided Procedures, Basic MRI</v>
          </cell>
          <cell r="O604" t="str">
            <v>Radiology</v>
          </cell>
          <cell r="P604" t="str">
            <v>Consultant Radiologist</v>
          </cell>
          <cell r="Q604" t="str">
            <v>Dr L T Kishore</v>
          </cell>
          <cell r="R604">
            <v>44440</v>
          </cell>
          <cell r="S604">
            <v>44440</v>
          </cell>
          <cell r="T604">
            <v>45169</v>
          </cell>
          <cell r="U604">
            <v>45170</v>
          </cell>
          <cell r="W604" t="str">
            <v>JSS Medical College</v>
          </cell>
          <cell r="X604">
            <v>2020</v>
          </cell>
          <cell r="Y604" t="str">
            <v>Prathima Institute of Medical Science</v>
          </cell>
          <cell r="AA604" t="str">
            <v>MBBS, MD - Radio Diagnosis</v>
          </cell>
          <cell r="AB604" t="str">
            <v>TSMC/FMR/02645</v>
          </cell>
          <cell r="AC604" t="str">
            <v>Telangana State Medical Council</v>
          </cell>
          <cell r="AD604">
            <v>44400</v>
          </cell>
          <cell r="AE604">
            <v>46225</v>
          </cell>
          <cell r="AF604">
            <v>9581692884</v>
          </cell>
          <cell r="AG604" t="str">
            <v>docsuman89@gmail.com</v>
          </cell>
          <cell r="AH604" t="str">
            <v>HDFC Bank</v>
          </cell>
          <cell r="AI604" t="str">
            <v>50100403838073</v>
          </cell>
          <cell r="AJ604" t="str">
            <v>HDFC0000621</v>
          </cell>
          <cell r="AK604" t="str">
            <v>EUGPK6057K</v>
          </cell>
          <cell r="AL604" t="str">
            <v>839125524888</v>
          </cell>
          <cell r="AM604" t="str">
            <v>Ashok Kumar Kaveti</v>
          </cell>
          <cell r="AW604">
            <v>32550</v>
          </cell>
          <cell r="AX604" t="str">
            <v>Male</v>
          </cell>
          <cell r="AY604" t="str">
            <v>Part Time</v>
          </cell>
          <cell r="AZ604">
            <v>2.5</v>
          </cell>
          <cell r="BA604" t="str">
            <v>Himayathnagar Cluster</v>
          </cell>
        </row>
        <row r="605">
          <cell r="M605" t="str">
            <v>Himayatnagar</v>
          </cell>
          <cell r="N605" t="str">
            <v>Hematology, Cytopathology, Clinical Pathology</v>
          </cell>
          <cell r="O605" t="str">
            <v>Pathology</v>
          </cell>
          <cell r="P605" t="str">
            <v>Consultant Pathologist</v>
          </cell>
          <cell r="Q605" t="str">
            <v>Dr Shashikanth</v>
          </cell>
          <cell r="R605">
            <v>44440</v>
          </cell>
          <cell r="S605">
            <v>44440</v>
          </cell>
          <cell r="T605">
            <v>45169</v>
          </cell>
          <cell r="U605">
            <v>45170</v>
          </cell>
          <cell r="V605">
            <v>2012</v>
          </cell>
          <cell r="W605" t="str">
            <v>Chalmeda Ananda Rao Institute of Medical Science</v>
          </cell>
          <cell r="X605">
            <v>2018</v>
          </cell>
          <cell r="Y605" t="str">
            <v>Kakatiya Medical College</v>
          </cell>
          <cell r="AA605" t="str">
            <v>MBBS, Diploma in Clinical Pathology</v>
          </cell>
          <cell r="AB605" t="str">
            <v>APMC/FMR/81585</v>
          </cell>
          <cell r="AC605" t="str">
            <v>Telangana State Medical Council</v>
          </cell>
          <cell r="AD605">
            <v>43307</v>
          </cell>
          <cell r="AE605">
            <v>45132</v>
          </cell>
          <cell r="AF605">
            <v>8500820918</v>
          </cell>
          <cell r="AG605" t="str">
            <v>srinu81585@gmail.com</v>
          </cell>
          <cell r="AH605" t="str">
            <v>Union Bank of India</v>
          </cell>
          <cell r="AI605" t="str">
            <v>104810100068029</v>
          </cell>
          <cell r="AJ605" t="str">
            <v>UBIN0811203</v>
          </cell>
          <cell r="AK605" t="str">
            <v>AVIPD2449M</v>
          </cell>
          <cell r="AL605" t="str">
            <v>489591291157</v>
          </cell>
          <cell r="AM605" t="str">
            <v>Dantam Koti Nageswara Rao</v>
          </cell>
          <cell r="AN605">
            <v>44807</v>
          </cell>
          <cell r="AO605">
            <v>44739</v>
          </cell>
          <cell r="AS605" t="e">
            <v>#REF!</v>
          </cell>
          <cell r="AW605">
            <v>32325</v>
          </cell>
          <cell r="AX605" t="str">
            <v>Male</v>
          </cell>
          <cell r="AY605" t="str">
            <v>Part Time</v>
          </cell>
          <cell r="AZ605">
            <v>8</v>
          </cell>
          <cell r="BA605">
            <v>8</v>
          </cell>
        </row>
        <row r="606">
          <cell r="M606" t="str">
            <v>NR Pet 1-Krnl - 80</v>
          </cell>
          <cell r="N606" t="str">
            <v>CT &amp; MRI, USG, X-RAY,FNAC</v>
          </cell>
          <cell r="O606" t="str">
            <v>Radiology</v>
          </cell>
          <cell r="P606" t="str">
            <v>Consultant Radiologist</v>
          </cell>
          <cell r="Q606" t="str">
            <v>Dr L T Kishore</v>
          </cell>
          <cell r="R606">
            <v>44440</v>
          </cell>
          <cell r="S606">
            <v>44440</v>
          </cell>
          <cell r="T606">
            <v>45169</v>
          </cell>
          <cell r="U606">
            <v>45170</v>
          </cell>
          <cell r="W606" t="str">
            <v>Kurnool Medical College</v>
          </cell>
          <cell r="X606">
            <v>2020</v>
          </cell>
          <cell r="Y606" t="str">
            <v>SVIMS</v>
          </cell>
          <cell r="AA606" t="str">
            <v>MBBS, MD - Radio Diagnosis</v>
          </cell>
          <cell r="AB606" t="str">
            <v>APMC/FMR/88434</v>
          </cell>
          <cell r="AC606" t="str">
            <v>Andhra Pradesh Medical Council</v>
          </cell>
          <cell r="AD606">
            <v>44432</v>
          </cell>
          <cell r="AE606">
            <v>46257</v>
          </cell>
          <cell r="AF606">
            <v>9666878072</v>
          </cell>
          <cell r="AG606" t="str">
            <v>sahasnarapa@gmail.com</v>
          </cell>
          <cell r="AH606" t="str">
            <v>SBI Bank</v>
          </cell>
          <cell r="AI606" t="str">
            <v>30465523972</v>
          </cell>
          <cell r="AJ606" t="str">
            <v>SBIN0020926</v>
          </cell>
          <cell r="AK606" t="str">
            <v>AXKPN5655M</v>
          </cell>
          <cell r="AL606" t="str">
            <v>807808166855</v>
          </cell>
          <cell r="AM606" t="str">
            <v>Narapareddy Mohan Reddy</v>
          </cell>
          <cell r="AN606">
            <v>44506</v>
          </cell>
          <cell r="AW606">
            <v>32660</v>
          </cell>
          <cell r="AX606" t="str">
            <v>Male</v>
          </cell>
          <cell r="AY606" t="str">
            <v>Full Time</v>
          </cell>
          <cell r="AZ606">
            <v>8</v>
          </cell>
          <cell r="BA606">
            <v>8</v>
          </cell>
        </row>
        <row r="607">
          <cell r="M607" t="str">
            <v>Madinaguda - 112</v>
          </cell>
          <cell r="N607" t="str">
            <v>N/A</v>
          </cell>
          <cell r="O607" t="str">
            <v>Physician Services</v>
          </cell>
          <cell r="P607" t="str">
            <v>Consultant Physician</v>
          </cell>
          <cell r="Q607" t="str">
            <v>N/A</v>
          </cell>
          <cell r="R607">
            <v>45400</v>
          </cell>
          <cell r="S607">
            <v>45400</v>
          </cell>
          <cell r="T607">
            <v>46129</v>
          </cell>
          <cell r="U607">
            <v>46130</v>
          </cell>
          <cell r="V607">
            <v>2019</v>
          </cell>
          <cell r="W607" t="str">
            <v>Narayana Medical College</v>
          </cell>
          <cell r="X607" t="str">
            <v>N/A</v>
          </cell>
          <cell r="Y607" t="str">
            <v>N/A</v>
          </cell>
          <cell r="Z607" t="str">
            <v>N/A</v>
          </cell>
          <cell r="AA607" t="str">
            <v>MBBS</v>
          </cell>
          <cell r="AB607" t="str">
            <v>TSMC/FMR/27080</v>
          </cell>
          <cell r="AC607" t="str">
            <v>Telangana State Medical Council</v>
          </cell>
          <cell r="AD607">
            <v>45196</v>
          </cell>
          <cell r="AE607">
            <v>47022</v>
          </cell>
          <cell r="AF607">
            <v>9000915377</v>
          </cell>
          <cell r="AG607" t="str">
            <v>archanakiran1616@gmail.com</v>
          </cell>
          <cell r="AH607" t="str">
            <v>INDIAN Bank</v>
          </cell>
          <cell r="AI607" t="str">
            <v>0615448161</v>
          </cell>
          <cell r="AJ607" t="str">
            <v>IDIB000N127</v>
          </cell>
          <cell r="AK607" t="str">
            <v>DDTPK6445J</v>
          </cell>
          <cell r="AL607">
            <v>665275643437</v>
          </cell>
          <cell r="AN607">
            <v>45478</v>
          </cell>
          <cell r="AO607" t="str">
            <v>NA</v>
          </cell>
          <cell r="AP607" t="str">
            <v>Personal reasons</v>
          </cell>
          <cell r="AQ607" t="str">
            <v>Flat No-206, 2nd Floor, Sri Chakra Apartment, 3rd Street, Prasanthi Nagar, Nellore, Sri Potti Sriramulu Nellore, Andhra Pradesh - 524002</v>
          </cell>
          <cell r="AS607" t="str">
            <v>Flat No-206, 2nd Floor, Sri Chakra Apartment, 3rd Street, Prasanthi Nagar, Nellore, Sri Potti Sriramulu Nellore, Andhra Pradesh - 524002</v>
          </cell>
          <cell r="AU607">
            <v>0.70833333333333337</v>
          </cell>
          <cell r="AV607">
            <v>0.79166666666666663</v>
          </cell>
          <cell r="AW607">
            <v>34884</v>
          </cell>
          <cell r="AX607" t="str">
            <v>Female</v>
          </cell>
          <cell r="AY607" t="str">
            <v>Part Time</v>
          </cell>
          <cell r="AZ607">
            <v>2</v>
          </cell>
          <cell r="BA607" t="str">
            <v>Madhapur Cluster</v>
          </cell>
        </row>
        <row r="608">
          <cell r="M608" t="str">
            <v>Himayatnagar</v>
          </cell>
          <cell r="O608" t="str">
            <v>Microbiology</v>
          </cell>
          <cell r="P608" t="str">
            <v>Consultant Microbiologist</v>
          </cell>
          <cell r="Q608" t="str">
            <v>Dr. Manisha Singh</v>
          </cell>
          <cell r="R608">
            <v>44445</v>
          </cell>
          <cell r="S608">
            <v>44445</v>
          </cell>
          <cell r="T608">
            <v>45174</v>
          </cell>
          <cell r="U608">
            <v>45175</v>
          </cell>
          <cell r="V608">
            <v>2015</v>
          </cell>
          <cell r="W608" t="str">
            <v>KPC Meidcal College</v>
          </cell>
          <cell r="X608">
            <v>2019</v>
          </cell>
          <cell r="Y608" t="str">
            <v>Kolkata Medical College</v>
          </cell>
          <cell r="Z608" t="str">
            <v>NA</v>
          </cell>
          <cell r="AA608" t="str">
            <v>MBBS, MD - Microbiology</v>
          </cell>
          <cell r="AB608">
            <v>72488</v>
          </cell>
          <cell r="AC608" t="str">
            <v>West Bengal Medical Council</v>
          </cell>
          <cell r="AF608">
            <v>9163247407</v>
          </cell>
          <cell r="AG608" t="str">
            <v>riyasarkar26@gmail.com</v>
          </cell>
          <cell r="AH608" t="str">
            <v>SBI Bank</v>
          </cell>
          <cell r="AI608" t="str">
            <v>20343256056</v>
          </cell>
          <cell r="AJ608" t="str">
            <v>SBIN0000093</v>
          </cell>
          <cell r="AK608" t="str">
            <v>CXAPS8780A</v>
          </cell>
          <cell r="AL608" t="str">
            <v>560327976079</v>
          </cell>
          <cell r="AM608" t="str">
            <v>Samir Kumar Sarkar</v>
          </cell>
          <cell r="AW608">
            <v>33538</v>
          </cell>
          <cell r="AX608" t="str">
            <v>Female</v>
          </cell>
          <cell r="AY608" t="str">
            <v>Full Time</v>
          </cell>
          <cell r="AZ608">
            <v>8</v>
          </cell>
          <cell r="BA608">
            <v>8</v>
          </cell>
        </row>
        <row r="609">
          <cell r="M609" t="str">
            <v>Gurgaon - 54</v>
          </cell>
          <cell r="O609" t="str">
            <v>Pathology</v>
          </cell>
          <cell r="P609" t="str">
            <v>Consultant Pathologist</v>
          </cell>
          <cell r="Q609" t="str">
            <v>Dr Shashikanth</v>
          </cell>
          <cell r="R609">
            <v>44445</v>
          </cell>
          <cell r="S609">
            <v>44445</v>
          </cell>
          <cell r="T609">
            <v>45174</v>
          </cell>
          <cell r="U609">
            <v>45175</v>
          </cell>
          <cell r="V609">
            <v>1995</v>
          </cell>
          <cell r="W609" t="str">
            <v>Al Ameen Medical College</v>
          </cell>
          <cell r="X609">
            <v>2002</v>
          </cell>
          <cell r="Y609" t="str">
            <v>M R Medical College </v>
          </cell>
          <cell r="AA609" t="str">
            <v>MBBS, Diploma in Clinical Pathology</v>
          </cell>
          <cell r="AB609">
            <v>82579</v>
          </cell>
          <cell r="AC609" t="str">
            <v>Delhi Medical Council</v>
          </cell>
          <cell r="AD609">
            <v>43098</v>
          </cell>
          <cell r="AE609">
            <v>44923</v>
          </cell>
          <cell r="AF609">
            <v>9811180454</v>
          </cell>
          <cell r="AG609" t="str">
            <v>drsumera12@hotmail.com</v>
          </cell>
          <cell r="AH609" t="str">
            <v>HDFC Bank</v>
          </cell>
          <cell r="AI609" t="str">
            <v>50100093525292</v>
          </cell>
          <cell r="AJ609" t="str">
            <v>HDFC0004171</v>
          </cell>
          <cell r="AK609" t="str">
            <v>AFYPR1837B</v>
          </cell>
          <cell r="AL609" t="str">
            <v>550792889107</v>
          </cell>
          <cell r="AM609" t="str">
            <v>Mohd Shafiur Rehman</v>
          </cell>
          <cell r="AN609">
            <v>44592</v>
          </cell>
          <cell r="AW609">
            <v>25639</v>
          </cell>
          <cell r="AX609" t="str">
            <v>Female</v>
          </cell>
          <cell r="AY609" t="str">
            <v>Part Time</v>
          </cell>
          <cell r="AZ609">
            <v>4</v>
          </cell>
          <cell r="BA609">
            <v>4</v>
          </cell>
        </row>
        <row r="610">
          <cell r="M610" t="str">
            <v>Nizampet - 46</v>
          </cell>
          <cell r="O610" t="str">
            <v>Physician Services</v>
          </cell>
          <cell r="P610" t="str">
            <v>Consultant Physician</v>
          </cell>
          <cell r="R610">
            <v>44445</v>
          </cell>
          <cell r="S610">
            <v>44445</v>
          </cell>
          <cell r="T610">
            <v>45174</v>
          </cell>
          <cell r="U610">
            <v>45175</v>
          </cell>
          <cell r="AA610" t="str">
            <v>MBBS</v>
          </cell>
          <cell r="AB610" t="str">
            <v>TSMC/FMR/15186</v>
          </cell>
          <cell r="AC610" t="str">
            <v>Telangana State Medical Council</v>
          </cell>
          <cell r="AD610">
            <v>44207</v>
          </cell>
          <cell r="AE610">
            <v>46033</v>
          </cell>
          <cell r="AF610">
            <v>9908016647</v>
          </cell>
          <cell r="AG610" t="str">
            <v>harisha.kagitha987@gmail.com</v>
          </cell>
          <cell r="AH610" t="str">
            <v>Axis Bank</v>
          </cell>
          <cell r="AI610" t="str">
            <v>916010068808955</v>
          </cell>
          <cell r="AJ610" t="str">
            <v>UTIB0000702</v>
          </cell>
          <cell r="AK610" t="str">
            <v>CXLPK3468A</v>
          </cell>
          <cell r="AL610" t="str">
            <v>577663215114</v>
          </cell>
          <cell r="AM610" t="str">
            <v>Kagitha Venkata Narasimha Rao</v>
          </cell>
          <cell r="AN610">
            <v>44481</v>
          </cell>
          <cell r="AW610">
            <v>34344</v>
          </cell>
          <cell r="AX610" t="str">
            <v>Female</v>
          </cell>
          <cell r="AY610" t="str">
            <v>Part Time</v>
          </cell>
          <cell r="AZ610">
            <v>1</v>
          </cell>
          <cell r="BA610" t="str">
            <v>Kukatpally Cluster</v>
          </cell>
        </row>
        <row r="611">
          <cell r="M611" t="str">
            <v>Madhapur-2 - 70</v>
          </cell>
          <cell r="O611" t="str">
            <v>Physician Services</v>
          </cell>
          <cell r="P611" t="str">
            <v>Consultant Physician</v>
          </cell>
          <cell r="R611">
            <v>44454</v>
          </cell>
          <cell r="S611">
            <v>44454</v>
          </cell>
          <cell r="T611">
            <v>45183</v>
          </cell>
          <cell r="U611">
            <v>45184</v>
          </cell>
          <cell r="AA611" t="str">
            <v>MBBS</v>
          </cell>
          <cell r="AB611" t="str">
            <v>APMC/FMR/78995</v>
          </cell>
          <cell r="AC611" t="str">
            <v>Andhra Pradesh Medical Council</v>
          </cell>
          <cell r="AD611" t="str">
            <v>-</v>
          </cell>
          <cell r="AE611" t="str">
            <v>-</v>
          </cell>
          <cell r="AF611">
            <v>9618805487</v>
          </cell>
          <cell r="AG611" t="str">
            <v>reddyalekhya74@gmail.com</v>
          </cell>
          <cell r="AH611" t="str">
            <v>-</v>
          </cell>
          <cell r="AI611" t="str">
            <v>-</v>
          </cell>
          <cell r="AJ611" t="str">
            <v>-</v>
          </cell>
          <cell r="AK611" t="str">
            <v>-</v>
          </cell>
          <cell r="AL611" t="str">
            <v>-</v>
          </cell>
          <cell r="AM611" t="str">
            <v>-</v>
          </cell>
          <cell r="AN611">
            <v>44460</v>
          </cell>
          <cell r="AW611" t="str">
            <v>-</v>
          </cell>
          <cell r="AX611" t="str">
            <v>Female</v>
          </cell>
          <cell r="AY611" t="str">
            <v>Part Time</v>
          </cell>
          <cell r="AZ611">
            <v>2</v>
          </cell>
          <cell r="BA611">
            <v>5</v>
          </cell>
        </row>
        <row r="612">
          <cell r="M612" t="str">
            <v>Kurnool - 43</v>
          </cell>
          <cell r="N612" t="str">
            <v>CT &amp; MRI, USG, X-RAY,FNAC</v>
          </cell>
          <cell r="O612" t="str">
            <v>Radiology</v>
          </cell>
          <cell r="P612" t="str">
            <v>Consultant Radiologist</v>
          </cell>
          <cell r="Q612" t="str">
            <v>Dr L T Kishore</v>
          </cell>
          <cell r="R612">
            <v>44452</v>
          </cell>
          <cell r="S612">
            <v>44452</v>
          </cell>
          <cell r="T612">
            <v>45181</v>
          </cell>
          <cell r="U612">
            <v>45182</v>
          </cell>
          <cell r="W612" t="str">
            <v>Santiram Medical College</v>
          </cell>
          <cell r="X612">
            <v>2020</v>
          </cell>
          <cell r="Y612" t="str">
            <v>SVIMS</v>
          </cell>
          <cell r="AA612" t="str">
            <v>MBBS, MD - Radio Diagnosis</v>
          </cell>
          <cell r="AB612" t="str">
            <v>APMC/FMR/91473</v>
          </cell>
          <cell r="AC612" t="str">
            <v>Andhra Pradesh Medical Council</v>
          </cell>
          <cell r="AD612">
            <v>44432</v>
          </cell>
          <cell r="AE612">
            <v>46257</v>
          </cell>
          <cell r="AF612">
            <v>8686718688</v>
          </cell>
          <cell r="AG612" t="str">
            <v>tejumbbs97@gmail.com</v>
          </cell>
          <cell r="AH612" t="str">
            <v>SBI Bank</v>
          </cell>
          <cell r="AI612" t="str">
            <v>36961259182</v>
          </cell>
          <cell r="AJ612" t="str">
            <v>SBIN0020926</v>
          </cell>
          <cell r="AK612" t="str">
            <v>AVFPT8054M</v>
          </cell>
          <cell r="AL612" t="str">
            <v>254824819819</v>
          </cell>
          <cell r="AM612" t="str">
            <v>Seetem Sreenivasulu</v>
          </cell>
          <cell r="AN612">
            <v>44507</v>
          </cell>
          <cell r="AW612">
            <v>33022</v>
          </cell>
          <cell r="AX612" t="str">
            <v>Female</v>
          </cell>
          <cell r="AY612" t="str">
            <v>Full Time</v>
          </cell>
          <cell r="AZ612">
            <v>8</v>
          </cell>
          <cell r="BA612">
            <v>8</v>
          </cell>
        </row>
        <row r="613">
          <cell r="M613" t="str">
            <v>Nallakunta - 67</v>
          </cell>
          <cell r="O613" t="str">
            <v>Physician Services</v>
          </cell>
          <cell r="P613" t="str">
            <v>Consultant Physician</v>
          </cell>
          <cell r="R613">
            <v>44454</v>
          </cell>
          <cell r="S613">
            <v>44454</v>
          </cell>
          <cell r="T613">
            <v>45183</v>
          </cell>
          <cell r="U613">
            <v>45184</v>
          </cell>
          <cell r="AA613" t="str">
            <v>MBBS</v>
          </cell>
          <cell r="AB613" t="str">
            <v>APMC/FMR/102160</v>
          </cell>
          <cell r="AC613" t="str">
            <v>Andhra Pradesh Medical Council</v>
          </cell>
          <cell r="AD613">
            <v>43308</v>
          </cell>
          <cell r="AE613">
            <v>45133</v>
          </cell>
          <cell r="AF613">
            <v>6302236292</v>
          </cell>
          <cell r="AG613" t="str">
            <v>udayadolly1991@gmail.com</v>
          </cell>
          <cell r="AH613" t="str">
            <v>HDFC Bank</v>
          </cell>
          <cell r="AI613" t="str">
            <v>50100305834942</v>
          </cell>
          <cell r="AJ613" t="str">
            <v>HDFC0002381</v>
          </cell>
          <cell r="AK613" t="str">
            <v>CXQPM5778J</v>
          </cell>
          <cell r="AL613" t="str">
            <v>223149902992</v>
          </cell>
          <cell r="AM613" t="str">
            <v>Mothukuri Ramachandra Rao</v>
          </cell>
          <cell r="AN613">
            <v>44507</v>
          </cell>
          <cell r="AW613">
            <v>33240</v>
          </cell>
          <cell r="AX613" t="str">
            <v>Female</v>
          </cell>
          <cell r="AY613" t="str">
            <v>Part Time</v>
          </cell>
          <cell r="AZ613">
            <v>1</v>
          </cell>
          <cell r="BA613" t="str">
            <v>Himayathnagar Cluster</v>
          </cell>
        </row>
        <row r="614">
          <cell r="M614" t="str">
            <v>A S Rao Nagar - 18</v>
          </cell>
          <cell r="O614" t="str">
            <v>Physician Services</v>
          </cell>
          <cell r="P614" t="str">
            <v>Consultant Physician</v>
          </cell>
          <cell r="R614">
            <v>44455</v>
          </cell>
          <cell r="S614">
            <v>44455</v>
          </cell>
          <cell r="T614">
            <v>45184</v>
          </cell>
          <cell r="U614">
            <v>45185</v>
          </cell>
          <cell r="AA614" t="str">
            <v>MBBS</v>
          </cell>
          <cell r="AB614">
            <v>139638</v>
          </cell>
          <cell r="AC614" t="str">
            <v>Karnataka Medical Council</v>
          </cell>
          <cell r="AD614">
            <v>44125</v>
          </cell>
          <cell r="AE614">
            <v>45950</v>
          </cell>
          <cell r="AF614">
            <v>8660649553</v>
          </cell>
          <cell r="AG614" t="str">
            <v>sidharthpothukuchi@gmail.com</v>
          </cell>
          <cell r="AH614" t="str">
            <v>SBI Bank</v>
          </cell>
          <cell r="AI614" t="str">
            <v>20251437284</v>
          </cell>
          <cell r="AJ614" t="str">
            <v>SBIN0015215</v>
          </cell>
          <cell r="AK614" t="str">
            <v>DKYPP2558B</v>
          </cell>
          <cell r="AL614" t="str">
            <v>206705747029</v>
          </cell>
          <cell r="AM614" t="str">
            <v>Venkata Subramanya Kutumba Rao Potukuchi</v>
          </cell>
          <cell r="AN614">
            <v>44538</v>
          </cell>
          <cell r="AW614">
            <v>35035</v>
          </cell>
          <cell r="AX614" t="str">
            <v>Male</v>
          </cell>
          <cell r="AY614" t="str">
            <v>Part Time</v>
          </cell>
          <cell r="AZ614">
            <v>2</v>
          </cell>
          <cell r="BA614">
            <v>2</v>
          </cell>
        </row>
        <row r="615">
          <cell r="M615" t="str">
            <v>Madhapur-2 - 70</v>
          </cell>
          <cell r="O615" t="str">
            <v>Physician Services</v>
          </cell>
          <cell r="P615" t="str">
            <v>Consultant Physician</v>
          </cell>
          <cell r="R615">
            <v>44462</v>
          </cell>
          <cell r="S615">
            <v>44462</v>
          </cell>
          <cell r="T615">
            <v>45191</v>
          </cell>
          <cell r="U615">
            <v>45192</v>
          </cell>
          <cell r="AA615" t="str">
            <v>MBBS</v>
          </cell>
          <cell r="AB615" t="str">
            <v>TSMC/FMR/15950</v>
          </cell>
          <cell r="AC615" t="str">
            <v>Telangana State Medical Council</v>
          </cell>
          <cell r="AD615">
            <v>44286</v>
          </cell>
          <cell r="AE615">
            <v>46112</v>
          </cell>
          <cell r="AF615">
            <v>9346342665</v>
          </cell>
          <cell r="AG615" t="str">
            <v>p.shreyareddy25@gmail.com</v>
          </cell>
          <cell r="AH615" t="str">
            <v>SBI Bank</v>
          </cell>
          <cell r="AI615" t="str">
            <v>20363335729</v>
          </cell>
          <cell r="AJ615" t="str">
            <v>SBIN0003608</v>
          </cell>
          <cell r="AK615" t="str">
            <v>EOQPP3833C</v>
          </cell>
          <cell r="AL615" t="str">
            <v>470299520878</v>
          </cell>
          <cell r="AM615" t="str">
            <v>Pasham Shekar Reddy</v>
          </cell>
          <cell r="AN615">
            <v>44688</v>
          </cell>
          <cell r="AO615">
            <v>44651</v>
          </cell>
          <cell r="AW615">
            <v>34663</v>
          </cell>
          <cell r="AX615" t="str">
            <v>Female</v>
          </cell>
          <cell r="AY615" t="str">
            <v>Part Time</v>
          </cell>
          <cell r="AZ615">
            <v>2</v>
          </cell>
          <cell r="BA615">
            <v>2</v>
          </cell>
        </row>
        <row r="616">
          <cell r="M616" t="str">
            <v>A S Rao Nagar - 18</v>
          </cell>
          <cell r="N616" t="str">
            <v>USG, Tiffa,  MSK, Penile Dopplers, TRUS, Guided Procedures,  IVP, RGU, MCGU, Barium Swallow, Barium Enemma, HSG, X Ray,   Basic CT, All Angios,  CT Perfusion, CT Enterclysis,  CT Guided procedures,  MRI Basic, MR Perfusion, Fetal MR, MR Defacography, MR Prostrate and MR Neurography</v>
          </cell>
          <cell r="O616" t="str">
            <v>Radiology</v>
          </cell>
          <cell r="P616" t="str">
            <v>Consultant Radiologist</v>
          </cell>
          <cell r="Q616" t="str">
            <v>Dr L T Kishore</v>
          </cell>
          <cell r="R616">
            <v>44466</v>
          </cell>
          <cell r="S616">
            <v>44466</v>
          </cell>
          <cell r="T616">
            <v>45195</v>
          </cell>
          <cell r="U616">
            <v>45196</v>
          </cell>
          <cell r="W616" t="str">
            <v>Government Medical College</v>
          </cell>
          <cell r="X616">
            <v>2018</v>
          </cell>
          <cell r="Y616" t="str">
            <v>JJM Medical College</v>
          </cell>
          <cell r="AA616" t="str">
            <v>MBBS, DMRD, DNB- Radio Diagnosis</v>
          </cell>
          <cell r="AB616" t="str">
            <v>ANP 2014 0000543 KTK</v>
          </cell>
          <cell r="AC616" t="str">
            <v>Karnataka Medical Council</v>
          </cell>
          <cell r="AF616" t="str">
            <v>7899362934, 9052204034</v>
          </cell>
          <cell r="AG616" t="str">
            <v>kartheek.avs27@gmail.com</v>
          </cell>
          <cell r="AH616" t="str">
            <v>SBI Bank</v>
          </cell>
          <cell r="AI616" t="str">
            <v>31740893987</v>
          </cell>
          <cell r="AJ616" t="str">
            <v>SBIN0002801</v>
          </cell>
          <cell r="AK616" t="str">
            <v>AXBPA1982D</v>
          </cell>
          <cell r="AL616" t="str">
            <v>280431465901</v>
          </cell>
          <cell r="AM616" t="str">
            <v>Aradhyula Venkateswara Rao</v>
          </cell>
          <cell r="AN616">
            <v>44844</v>
          </cell>
          <cell r="AO616">
            <v>44767</v>
          </cell>
          <cell r="AS616" t="str">
            <v>1.0</v>
          </cell>
          <cell r="AW616">
            <v>33173</v>
          </cell>
          <cell r="AX616" t="str">
            <v>Male</v>
          </cell>
          <cell r="AY616" t="str">
            <v>Full Time</v>
          </cell>
          <cell r="AZ616">
            <v>8</v>
          </cell>
          <cell r="BA616">
            <v>2</v>
          </cell>
        </row>
        <row r="617">
          <cell r="M617" t="str">
            <v>Nallakunta - 67</v>
          </cell>
          <cell r="N617" t="str">
            <v>Basis USG, Tiffa, MSK, Guided Procedures, Basic CT, All Angios, CT, Perfusion, CT Enteroclysis, Guided Procedures, Basic MRI, CSF Flow Stydy, MR Perfusion, MR Defacogray, MR Prostate, X-Ray, IVP, RGU, MCGU, Barium Swallow, Barium Enema, HSG</v>
          </cell>
          <cell r="O617" t="str">
            <v>Radiology</v>
          </cell>
          <cell r="P617" t="str">
            <v>Consultant Radiologist</v>
          </cell>
          <cell r="Q617" t="str">
            <v>Dr. Krishna Mohan Pottala</v>
          </cell>
          <cell r="R617">
            <v>44466</v>
          </cell>
          <cell r="S617">
            <v>44466</v>
          </cell>
          <cell r="T617">
            <v>45195</v>
          </cell>
          <cell r="U617">
            <v>45196</v>
          </cell>
          <cell r="W617" t="str">
            <v>Osmania Medical College</v>
          </cell>
          <cell r="X617">
            <v>2018</v>
          </cell>
          <cell r="Y617" t="str">
            <v>Gandhi Medical College</v>
          </cell>
          <cell r="Z617" t="str">
            <v>NA</v>
          </cell>
          <cell r="AA617" t="str">
            <v>MBBS, DMRD - Radio Diagnosis</v>
          </cell>
          <cell r="AB617" t="str">
            <v>APMC/FMR/94227</v>
          </cell>
          <cell r="AC617" t="str">
            <v>Telangana State Medical Council</v>
          </cell>
          <cell r="AD617">
            <v>44154</v>
          </cell>
          <cell r="AE617">
            <v>45979</v>
          </cell>
          <cell r="AF617">
            <v>8885435543</v>
          </cell>
          <cell r="AG617" t="str">
            <v>geetha_omc@yahoo.com</v>
          </cell>
          <cell r="AH617" t="str">
            <v>SBI Bank</v>
          </cell>
          <cell r="AI617" t="str">
            <v>62108108627</v>
          </cell>
          <cell r="AJ617" t="str">
            <v>SBIN0021110</v>
          </cell>
          <cell r="AK617" t="str">
            <v>BKXPG1969C</v>
          </cell>
          <cell r="AL617" t="str">
            <v>480224775983</v>
          </cell>
          <cell r="AM617" t="str">
            <v>Godasu Padmarao</v>
          </cell>
          <cell r="AN617">
            <v>45016</v>
          </cell>
          <cell r="AW617">
            <v>33451</v>
          </cell>
          <cell r="AX617" t="str">
            <v>Female</v>
          </cell>
          <cell r="AY617" t="str">
            <v>Full Time</v>
          </cell>
          <cell r="AZ617">
            <v>8</v>
          </cell>
          <cell r="BA617" t="str">
            <v>Himayathnagar Cluster</v>
          </cell>
        </row>
        <row r="618">
          <cell r="M618" t="str">
            <v>Ameerpet - 14</v>
          </cell>
          <cell r="O618" t="str">
            <v>Physician Services</v>
          </cell>
          <cell r="P618" t="str">
            <v>Consultant Physician</v>
          </cell>
          <cell r="R618">
            <v>44470</v>
          </cell>
          <cell r="S618">
            <v>44470</v>
          </cell>
          <cell r="T618">
            <v>45199</v>
          </cell>
          <cell r="U618">
            <v>45200</v>
          </cell>
          <cell r="X618" t="str">
            <v>NA</v>
          </cell>
          <cell r="Y618" t="str">
            <v>NA</v>
          </cell>
          <cell r="Z618" t="str">
            <v>NA</v>
          </cell>
          <cell r="AA618" t="str">
            <v>MBBS</v>
          </cell>
          <cell r="AB618" t="str">
            <v>TSMC/FMR/10570</v>
          </cell>
          <cell r="AC618" t="str">
            <v>Telangana State Medical Council</v>
          </cell>
          <cell r="AD618">
            <v>43771</v>
          </cell>
          <cell r="AE618">
            <v>45598</v>
          </cell>
          <cell r="AF618">
            <v>9030652777</v>
          </cell>
          <cell r="AG618" t="str">
            <v>rahmathmirza1995@gmail.com</v>
          </cell>
          <cell r="AH618" t="str">
            <v>Bank of Baroda</v>
          </cell>
          <cell r="AI618" t="str">
            <v>75740100005090</v>
          </cell>
          <cell r="AJ618" t="str">
            <v>BARB0VJMOTI</v>
          </cell>
          <cell r="AK618" t="str">
            <v>BXAPB1147H</v>
          </cell>
          <cell r="AL618" t="str">
            <v>278352706862</v>
          </cell>
          <cell r="AM618" t="str">
            <v>Mirza Anwar Ullah Baig</v>
          </cell>
          <cell r="AN618">
            <v>44804</v>
          </cell>
          <cell r="AO618">
            <v>44742</v>
          </cell>
          <cell r="AW618">
            <v>34915</v>
          </cell>
          <cell r="AX618" t="str">
            <v>Female</v>
          </cell>
          <cell r="AY618" t="str">
            <v>Part Time</v>
          </cell>
          <cell r="AZ618">
            <v>2</v>
          </cell>
          <cell r="BA618">
            <v>3</v>
          </cell>
        </row>
        <row r="619">
          <cell r="M619" t="str">
            <v>Kurnool - 43</v>
          </cell>
          <cell r="N619" t="str">
            <v>USG, Tiffa, MSK, IVP, RGU, MCGU, Barium Swallow, Barium Enemma, HSG, X Ray, Mammograpgy,  Basic CT, All Angios except Coronary and CT Enterclysis, Basic MRI</v>
          </cell>
          <cell r="O619" t="str">
            <v>Radiology</v>
          </cell>
          <cell r="P619" t="str">
            <v>Consultant Radiologist</v>
          </cell>
          <cell r="Q619" t="str">
            <v>Dr. Krishna Mohan Pottala</v>
          </cell>
          <cell r="R619">
            <v>44440</v>
          </cell>
          <cell r="S619">
            <v>45170</v>
          </cell>
          <cell r="T619">
            <v>45900</v>
          </cell>
          <cell r="U619">
            <v>45901</v>
          </cell>
          <cell r="V619">
            <v>2008</v>
          </cell>
          <cell r="W619" t="str">
            <v>SVIMS</v>
          </cell>
          <cell r="X619">
            <v>2018</v>
          </cell>
          <cell r="Y619" t="str">
            <v>Santhiram Medical College</v>
          </cell>
          <cell r="Z619" t="str">
            <v>NA</v>
          </cell>
          <cell r="AA619" t="str">
            <v>MBBS, MD - Radio Diagnosis</v>
          </cell>
          <cell r="AB619">
            <v>60529</v>
          </cell>
          <cell r="AC619" t="str">
            <v>Andhra Pradesh Medical Council</v>
          </cell>
          <cell r="AD619">
            <v>43337</v>
          </cell>
          <cell r="AE619">
            <v>45162</v>
          </cell>
          <cell r="AF619">
            <v>8500739220</v>
          </cell>
          <cell r="AG619" t="str">
            <v>kpyvardhan@gmail.com</v>
          </cell>
          <cell r="AH619" t="str">
            <v>SBI Bank</v>
          </cell>
          <cell r="AI619" t="str">
            <v>34796478295</v>
          </cell>
          <cell r="AJ619" t="str">
            <v>SBIN0002725</v>
          </cell>
          <cell r="AK619" t="str">
            <v>BLUPK8452L</v>
          </cell>
          <cell r="AL619" t="str">
            <v>524612590885</v>
          </cell>
          <cell r="AM619" t="str">
            <v>Kamalapuram Chandra Sekhar Rao</v>
          </cell>
          <cell r="AN619">
            <v>45480</v>
          </cell>
          <cell r="AO619">
            <v>45463</v>
          </cell>
          <cell r="AP619" t="str">
            <v>Personal reasons</v>
          </cell>
          <cell r="AU619">
            <v>0.39583333333333331</v>
          </cell>
          <cell r="AV619">
            <v>0.72916666666666663</v>
          </cell>
          <cell r="AW619">
            <v>30844</v>
          </cell>
          <cell r="AX619" t="str">
            <v>Female</v>
          </cell>
          <cell r="AY619" t="str">
            <v>Full Time</v>
          </cell>
          <cell r="AZ619">
            <v>8</v>
          </cell>
          <cell r="BA619">
            <v>8</v>
          </cell>
        </row>
        <row r="620">
          <cell r="M620" t="str">
            <v>Chintal - 62</v>
          </cell>
          <cell r="N620" t="str">
            <v>USG, Tiffa,  MSK,  IVP, RGU, MCGU, Barium Swallow, Barium Enemma, HSG, X Ray,  Mamography, Basic CT, All Angios except Coronay, CT Perfusion, CT Enterclysis and  MRI Basic</v>
          </cell>
          <cell r="O620" t="str">
            <v>Radiology</v>
          </cell>
          <cell r="P620" t="str">
            <v>Consultant Radiologist</v>
          </cell>
          <cell r="Q620" t="str">
            <v>Dr. Krishna Mohan Pottala</v>
          </cell>
          <cell r="R620">
            <v>44474</v>
          </cell>
          <cell r="S620">
            <v>45204</v>
          </cell>
          <cell r="T620">
            <v>45934</v>
          </cell>
          <cell r="U620">
            <v>45935</v>
          </cell>
          <cell r="V620">
            <v>2013</v>
          </cell>
          <cell r="W620" t="str">
            <v>Mamata Medical College</v>
          </cell>
          <cell r="X620">
            <v>2018</v>
          </cell>
          <cell r="Y620" t="str">
            <v>M R Medical College</v>
          </cell>
          <cell r="Z620" t="str">
            <v>NA</v>
          </cell>
          <cell r="AA620" t="str">
            <v>MBBS, DMRD - Radio Diagnosis</v>
          </cell>
          <cell r="AB620" t="str">
            <v>APMC/FMR/81349</v>
          </cell>
          <cell r="AC620" t="str">
            <v>Telangana State Medical Council</v>
          </cell>
          <cell r="AD620">
            <v>45207</v>
          </cell>
          <cell r="AE620">
            <v>47033</v>
          </cell>
          <cell r="AF620">
            <v>9398378101</v>
          </cell>
          <cell r="AG620" t="str">
            <v>annerohit@gmail.com</v>
          </cell>
          <cell r="AH620" t="str">
            <v>Union Bank of India</v>
          </cell>
          <cell r="AI620" t="str">
            <v>134010011005242</v>
          </cell>
          <cell r="AJ620" t="str">
            <v>UBIN0813401</v>
          </cell>
          <cell r="AK620" t="str">
            <v>AUQPA2528P</v>
          </cell>
          <cell r="AL620">
            <v>697353538070</v>
          </cell>
          <cell r="AM620" t="str">
            <v>Gopichand Anne</v>
          </cell>
          <cell r="AN620">
            <v>45412</v>
          </cell>
          <cell r="AO620">
            <v>45369</v>
          </cell>
          <cell r="AP620" t="str">
            <v>Personal Reason</v>
          </cell>
          <cell r="AU620">
            <v>0.375</v>
          </cell>
          <cell r="AV620">
            <v>0.54166666666666663</v>
          </cell>
          <cell r="AW620">
            <v>32537</v>
          </cell>
          <cell r="AX620" t="str">
            <v>Male</v>
          </cell>
          <cell r="AY620" t="str">
            <v>Part Time</v>
          </cell>
          <cell r="AZ620">
            <v>4</v>
          </cell>
          <cell r="BA620">
            <v>4</v>
          </cell>
        </row>
        <row r="621">
          <cell r="M621" t="str">
            <v>Vanasthalipuram - 33</v>
          </cell>
          <cell r="N621" t="str">
            <v>Basic USG, Tiffa, MSK, Guided Procedures, Basic CT, X Ray, Plain Radiology, IVP, RGU, MCGU, Barium Swallow, Barium Anema, HSG</v>
          </cell>
          <cell r="O621" t="str">
            <v>Radiology</v>
          </cell>
          <cell r="P621" t="str">
            <v>Consultant Radiologist</v>
          </cell>
          <cell r="Q621" t="str">
            <v>Dr. Krishna Mohan Pottala</v>
          </cell>
          <cell r="R621">
            <v>45215</v>
          </cell>
          <cell r="S621">
            <v>45215</v>
          </cell>
          <cell r="T621">
            <v>45945</v>
          </cell>
          <cell r="U621">
            <v>45946</v>
          </cell>
          <cell r="V621">
            <v>2018</v>
          </cell>
          <cell r="W621" t="str">
            <v>Kakatiya Medical College</v>
          </cell>
          <cell r="X621">
            <v>2023</v>
          </cell>
          <cell r="Y621" t="str">
            <v>MGMCRI , Puducherry</v>
          </cell>
          <cell r="Z621" t="str">
            <v>NA</v>
          </cell>
          <cell r="AA621" t="str">
            <v>MBBS,MD</v>
          </cell>
          <cell r="AB621" t="str">
            <v>TSMC/FMR/07609</v>
          </cell>
          <cell r="AC621" t="str">
            <v>Telangana State Medical Council</v>
          </cell>
          <cell r="AD621">
            <v>45211</v>
          </cell>
          <cell r="AE621">
            <v>47037</v>
          </cell>
          <cell r="AF621" t="str">
            <v>8897444523, 8074247228</v>
          </cell>
          <cell r="AG621" t="str">
            <v>rakithunder@gmail.com</v>
          </cell>
          <cell r="AH621" t="str">
            <v>ICICI Bank</v>
          </cell>
          <cell r="AI621" t="str">
            <v>030401522738</v>
          </cell>
          <cell r="AJ621" t="str">
            <v>ICIC0000304</v>
          </cell>
          <cell r="AK621" t="str">
            <v>CGVPK7803E</v>
          </cell>
          <cell r="AL621">
            <v>375826877202</v>
          </cell>
          <cell r="AN621">
            <v>45481</v>
          </cell>
          <cell r="AO621">
            <v>45335</v>
          </cell>
          <cell r="AP621" t="str">
            <v>Got fellowship in fetal medicine chennai</v>
          </cell>
          <cell r="AQ621" t="str">
            <v>5-5-247/324, Prashanth Nagar, Vanasthalipuram, Hayathnagar, Telangana - 500070</v>
          </cell>
          <cell r="AS621" t="str">
            <v>5-5-247/324, Prashanth Nagar, Vanasthalipuram, Hayathnagar, Telangana - 500070</v>
          </cell>
          <cell r="AU621">
            <v>0.35416666666666669</v>
          </cell>
          <cell r="AV621">
            <v>0.6875</v>
          </cell>
          <cell r="AW621">
            <v>34049</v>
          </cell>
          <cell r="AX621" t="str">
            <v>Male</v>
          </cell>
          <cell r="AY621" t="str">
            <v>Full Time</v>
          </cell>
          <cell r="AZ621">
            <v>8</v>
          </cell>
          <cell r="BA621" t="str">
            <v>Dilshuknagar Cluster</v>
          </cell>
        </row>
        <row r="622">
          <cell r="M622" t="str">
            <v>Karimnagar-75</v>
          </cell>
          <cell r="N622" t="str">
            <v>USG, Tiffa,  MSK, Guided Procedures, IVP, RGU, MCGU, Barium Swallow, Barium Enemma, HSG, X Ray,  Mamography, Basic CT, CT Enteroclysis, All Angios, CT Guided Procedures, Basic MRI</v>
          </cell>
          <cell r="O622" t="str">
            <v>Radiology</v>
          </cell>
          <cell r="P622" t="str">
            <v>Consultant Radiologist</v>
          </cell>
          <cell r="Q622" t="str">
            <v>Dr L T Kishore</v>
          </cell>
          <cell r="R622">
            <v>44477</v>
          </cell>
          <cell r="S622">
            <v>44477</v>
          </cell>
          <cell r="T622">
            <v>45206</v>
          </cell>
          <cell r="U622">
            <v>45207</v>
          </cell>
          <cell r="W622" t="str">
            <v>Rajiv Gandhi Institute of Medical Sciences</v>
          </cell>
          <cell r="X622">
            <v>2021</v>
          </cell>
          <cell r="Y622" t="str">
            <v>Prathima Institute of Medical Science</v>
          </cell>
          <cell r="AA622" t="str">
            <v>MBBS, MD - Radio Diagnosis</v>
          </cell>
          <cell r="AF622">
            <v>7989783601</v>
          </cell>
          <cell r="AG622" t="str">
            <v>leelasarvani89@gmail.com</v>
          </cell>
          <cell r="AH622" t="str">
            <v>HDFC Bank</v>
          </cell>
          <cell r="AI622" t="str">
            <v>50100180620310</v>
          </cell>
          <cell r="AJ622" t="str">
            <v>HDFC0000518</v>
          </cell>
          <cell r="AK622" t="str">
            <v>BDEPK3124R</v>
          </cell>
          <cell r="AL622" t="str">
            <v>337005700252</v>
          </cell>
          <cell r="AM622" t="str">
            <v>Sreenivasulu Kaluva</v>
          </cell>
          <cell r="AN622">
            <v>44639</v>
          </cell>
          <cell r="AW622">
            <v>32524</v>
          </cell>
          <cell r="AX622" t="str">
            <v>Female</v>
          </cell>
          <cell r="AY622" t="str">
            <v>Part Time</v>
          </cell>
          <cell r="AZ622">
            <v>5</v>
          </cell>
          <cell r="BA622">
            <v>5</v>
          </cell>
        </row>
        <row r="623">
          <cell r="M623" t="str">
            <v>Ameerpet - 14</v>
          </cell>
          <cell r="N623" t="str">
            <v>USG, Tiffa, IVP, RGU, MCGU, Barium Swallow, Barium Enemma, HSG, X Ray,  Mamography</v>
          </cell>
          <cell r="O623" t="str">
            <v>Radiology</v>
          </cell>
          <cell r="P623" t="str">
            <v>Consultant Radiologist</v>
          </cell>
          <cell r="Q623" t="str">
            <v>Dr. Krishna Mohan Pottala</v>
          </cell>
          <cell r="R623">
            <v>44480</v>
          </cell>
          <cell r="S623">
            <v>44774</v>
          </cell>
          <cell r="T623">
            <v>45504</v>
          </cell>
          <cell r="U623">
            <v>45505</v>
          </cell>
          <cell r="V623">
            <v>2012</v>
          </cell>
          <cell r="W623" t="str">
            <v>Bharathi Vidyapeeth Medical College</v>
          </cell>
          <cell r="X623">
            <v>2020</v>
          </cell>
          <cell r="Y623" t="str">
            <v>GSL Medical College</v>
          </cell>
          <cell r="Z623" t="str">
            <v>NA</v>
          </cell>
          <cell r="AA623" t="str">
            <v>MBBS, MD - Radio Diagnosis</v>
          </cell>
          <cell r="AB623" t="str">
            <v>TSMC/FMC/15623</v>
          </cell>
          <cell r="AC623" t="str">
            <v>Telangana State Medical Council</v>
          </cell>
          <cell r="AD623">
            <v>44246</v>
          </cell>
          <cell r="AE623">
            <v>46071</v>
          </cell>
          <cell r="AF623">
            <v>8790155528</v>
          </cell>
          <cell r="AG623" t="str">
            <v>vini.lucky5@gmail.com, vini.lucky1@yahoo.com</v>
          </cell>
          <cell r="AH623" t="str">
            <v>FEDERAL BANK</v>
          </cell>
          <cell r="AI623" t="str">
            <v>99980113771096</v>
          </cell>
          <cell r="AJ623" t="str">
            <v>FDRL0001395</v>
          </cell>
          <cell r="AK623" t="str">
            <v>BOBPM9771C</v>
          </cell>
          <cell r="AL623" t="str">
            <v>300357799862</v>
          </cell>
          <cell r="AM623" t="str">
            <v>Veera Venkata Satyanarayana Chowdary Meka</v>
          </cell>
          <cell r="AW623">
            <v>32744</v>
          </cell>
          <cell r="AX623" t="str">
            <v>Female</v>
          </cell>
          <cell r="AY623" t="str">
            <v>Full Time</v>
          </cell>
          <cell r="AZ623">
            <v>8</v>
          </cell>
          <cell r="BA623">
            <v>2</v>
          </cell>
        </row>
        <row r="624">
          <cell r="M624" t="str">
            <v>Vijayanagar - 51</v>
          </cell>
          <cell r="N624" t="str">
            <v>USG, MSK, Guided Procedures, IVP, RGU, MCGU, Barium Swallow, Barium Enemma, HSG, X Ray,  Mamography, Basic CT and  MRI Basic</v>
          </cell>
          <cell r="O624" t="str">
            <v>Radiology</v>
          </cell>
          <cell r="P624" t="str">
            <v>Consultant Radiologist</v>
          </cell>
          <cell r="Q624" t="str">
            <v>Dr L T Kishore</v>
          </cell>
          <cell r="R624">
            <v>44480</v>
          </cell>
          <cell r="S624">
            <v>44480</v>
          </cell>
          <cell r="T624">
            <v>45209</v>
          </cell>
          <cell r="U624">
            <v>45210</v>
          </cell>
          <cell r="W624" t="str">
            <v>Deccan College &amp; Medical Science</v>
          </cell>
          <cell r="X624">
            <v>2020</v>
          </cell>
          <cell r="Y624" t="str">
            <v>Kakatiya Medical college</v>
          </cell>
          <cell r="AA624" t="str">
            <v>MBBS, MD - Radio Diagnosis</v>
          </cell>
          <cell r="AB624" t="str">
            <v>APMC/FMR/82462</v>
          </cell>
          <cell r="AC624" t="str">
            <v>Telangana State Medical Council</v>
          </cell>
          <cell r="AD624">
            <v>44463</v>
          </cell>
          <cell r="AE624">
            <v>46288</v>
          </cell>
          <cell r="AF624" t="str">
            <v>9121004500, 7799336109</v>
          </cell>
          <cell r="AG624" t="str">
            <v>uzma.afreen456@gmail.com</v>
          </cell>
          <cell r="AH624" t="str">
            <v>ICICI Bank</v>
          </cell>
          <cell r="AI624" t="str">
            <v>236001517402</v>
          </cell>
          <cell r="AJ624" t="str">
            <v>ICIC0002360</v>
          </cell>
          <cell r="AK624" t="str">
            <v>ARLPA0084G</v>
          </cell>
          <cell r="AL624" t="str">
            <v>947396282794</v>
          </cell>
          <cell r="AM624" t="str">
            <v>Mohammed Sana Ullah Shareef</v>
          </cell>
          <cell r="AW624">
            <v>32189</v>
          </cell>
          <cell r="AX624" t="str">
            <v>Female</v>
          </cell>
          <cell r="AY624" t="str">
            <v>Part Time</v>
          </cell>
          <cell r="AZ624">
            <v>5</v>
          </cell>
          <cell r="BA624">
            <v>5</v>
          </cell>
        </row>
        <row r="625">
          <cell r="M625" t="str">
            <v xml:space="preserve">Kushaiguda </v>
          </cell>
          <cell r="N625" t="str">
            <v>USG, Tiffa,  MSK, Penile Dopplers, TRUS, Guided Procedures,  IVP, RGU, MCGU, Barium Swallow, Barium Enemma, HSG, X Ray,   Basic CT, All Angios,  CT Perfusion, CT Enterclysis,  CT Guided procedures,  MRI Basic, MR Perfusion, Fetal MR, MR Defacography, MR Prostrate and MR Neurography</v>
          </cell>
          <cell r="O625" t="str">
            <v>Radiology</v>
          </cell>
          <cell r="P625" t="str">
            <v>Consultant Radiologist</v>
          </cell>
          <cell r="Q625" t="str">
            <v>Dr L T Kishore</v>
          </cell>
          <cell r="R625">
            <v>44480</v>
          </cell>
          <cell r="S625">
            <v>44480</v>
          </cell>
          <cell r="T625">
            <v>45209</v>
          </cell>
          <cell r="U625">
            <v>45210</v>
          </cell>
          <cell r="W625" t="str">
            <v>Government Medical College</v>
          </cell>
          <cell r="X625">
            <v>2018</v>
          </cell>
          <cell r="Y625" t="str">
            <v>JJM Medical College</v>
          </cell>
          <cell r="AA625" t="str">
            <v>MBBS, DMRD - Radio Diagnosis</v>
          </cell>
          <cell r="AB625" t="str">
            <v>ANP 2014 0000543 KTK</v>
          </cell>
          <cell r="AC625" t="str">
            <v>Karnataka Medical Council</v>
          </cell>
          <cell r="AF625" t="str">
            <v>7899362934, 9052204034</v>
          </cell>
          <cell r="AG625" t="str">
            <v>kartheek.avs27@gmail.com</v>
          </cell>
          <cell r="AH625" t="str">
            <v>SBI Bank</v>
          </cell>
          <cell r="AI625" t="str">
            <v>31740893987</v>
          </cell>
          <cell r="AJ625" t="str">
            <v>SBIN0002801</v>
          </cell>
          <cell r="AK625" t="str">
            <v>AXBPA1982D</v>
          </cell>
          <cell r="AL625" t="str">
            <v>280431465901</v>
          </cell>
          <cell r="AM625" t="str">
            <v>Aradhyula Venkateswara Rao</v>
          </cell>
          <cell r="AW625">
            <v>33173</v>
          </cell>
          <cell r="AX625" t="str">
            <v>Male</v>
          </cell>
          <cell r="AY625" t="str">
            <v>Part Time</v>
          </cell>
          <cell r="AZ625">
            <v>1.5</v>
          </cell>
          <cell r="BA625" t="str">
            <v>A.S. Rao Nagar Cluster</v>
          </cell>
        </row>
        <row r="626">
          <cell r="M626" t="str">
            <v>Nandyal - 48</v>
          </cell>
          <cell r="O626" t="str">
            <v>Pathology</v>
          </cell>
          <cell r="P626" t="str">
            <v>Consultant Pathologist</v>
          </cell>
          <cell r="Q626" t="str">
            <v>Dr Shashikanth</v>
          </cell>
          <cell r="R626">
            <v>44482</v>
          </cell>
          <cell r="S626">
            <v>44482</v>
          </cell>
          <cell r="T626">
            <v>45212</v>
          </cell>
          <cell r="U626">
            <v>45213</v>
          </cell>
          <cell r="V626">
            <v>2009</v>
          </cell>
          <cell r="W626" t="str">
            <v>PES institute of Medical Sciences</v>
          </cell>
          <cell r="X626">
            <v>2019</v>
          </cell>
          <cell r="Y626" t="str">
            <v>Kakatiya Medical College &amp; MGM Hospital</v>
          </cell>
          <cell r="AA626" t="str">
            <v>MBBS, MD - Pathology</v>
          </cell>
          <cell r="AB626">
            <v>65922</v>
          </cell>
          <cell r="AC626" t="str">
            <v>Andhra Pradesh Medical Council</v>
          </cell>
          <cell r="AD626">
            <v>43871</v>
          </cell>
          <cell r="AE626">
            <v>45697</v>
          </cell>
          <cell r="AF626">
            <v>8500776452</v>
          </cell>
          <cell r="AG626" t="str">
            <v>drrangaswamy11@gmail.com</v>
          </cell>
          <cell r="AH626" t="str">
            <v>HDFC Bank</v>
          </cell>
          <cell r="AI626" t="str">
            <v>50100472357680</v>
          </cell>
          <cell r="AJ626" t="str">
            <v>HDFC0000995</v>
          </cell>
          <cell r="AK626" t="str">
            <v>BDKPG4414Q</v>
          </cell>
          <cell r="AL626" t="str">
            <v>382673752553</v>
          </cell>
          <cell r="AM626" t="str">
            <v>Rangaswamy Gantepogu</v>
          </cell>
          <cell r="AN626">
            <v>44904</v>
          </cell>
          <cell r="AO626">
            <v>44844</v>
          </cell>
          <cell r="AS626" t="e">
            <v>#REF!</v>
          </cell>
          <cell r="AW626">
            <v>31231</v>
          </cell>
          <cell r="AX626" t="str">
            <v>Male</v>
          </cell>
          <cell r="AY626" t="str">
            <v>Part Time</v>
          </cell>
          <cell r="AZ626">
            <v>4</v>
          </cell>
          <cell r="BA626">
            <v>4</v>
          </cell>
        </row>
        <row r="627">
          <cell r="M627" t="str">
            <v>LBNagar - 87</v>
          </cell>
          <cell r="O627" t="str">
            <v>Physician Services</v>
          </cell>
          <cell r="P627" t="str">
            <v>Consultant Physician</v>
          </cell>
          <cell r="R627">
            <v>44489</v>
          </cell>
          <cell r="S627">
            <v>44489</v>
          </cell>
          <cell r="T627">
            <v>45218</v>
          </cell>
          <cell r="U627">
            <v>45219</v>
          </cell>
          <cell r="AA627" t="str">
            <v>MBBS</v>
          </cell>
          <cell r="AB627" t="str">
            <v>TSMC/FMR/15905</v>
          </cell>
          <cell r="AC627" t="str">
            <v>Telangana State Medical Council</v>
          </cell>
          <cell r="AD627">
            <v>44285</v>
          </cell>
          <cell r="AE627">
            <v>46111</v>
          </cell>
          <cell r="AF627">
            <v>8179930426</v>
          </cell>
          <cell r="AG627" t="str">
            <v>raginigopagoni@gmail.com</v>
          </cell>
          <cell r="AH627" t="str">
            <v>CANARA BANK</v>
          </cell>
          <cell r="AI627" t="str">
            <v>30232010076039</v>
          </cell>
          <cell r="AJ627" t="str">
            <v>CNRB0013023</v>
          </cell>
          <cell r="AK627" t="str">
            <v>DBJPG6593P</v>
          </cell>
          <cell r="AL627" t="str">
            <v>237475561418</v>
          </cell>
          <cell r="AM627" t="str">
            <v>Raghu Ram Gopagoni</v>
          </cell>
          <cell r="AN627">
            <v>44556</v>
          </cell>
          <cell r="AW627">
            <v>34335</v>
          </cell>
          <cell r="AX627" t="str">
            <v>Female</v>
          </cell>
          <cell r="AY627" t="str">
            <v>Part Time</v>
          </cell>
          <cell r="AZ627">
            <v>1</v>
          </cell>
          <cell r="BA627">
            <v>1</v>
          </cell>
        </row>
        <row r="628">
          <cell r="M628" t="str">
            <v>Alwal - 44</v>
          </cell>
          <cell r="O628" t="str">
            <v>Physician Services</v>
          </cell>
          <cell r="P628" t="str">
            <v>Consultant Physician</v>
          </cell>
          <cell r="R628">
            <v>44489</v>
          </cell>
          <cell r="S628">
            <v>44489</v>
          </cell>
          <cell r="T628">
            <v>45218</v>
          </cell>
          <cell r="U628">
            <v>45219</v>
          </cell>
          <cell r="AA628" t="str">
            <v>MBBS</v>
          </cell>
          <cell r="AB628">
            <v>58231</v>
          </cell>
          <cell r="AC628" t="str">
            <v>Telangana State Medical Council</v>
          </cell>
          <cell r="AD628">
            <v>44286</v>
          </cell>
          <cell r="AE628">
            <v>46111</v>
          </cell>
          <cell r="AF628">
            <v>9441206440</v>
          </cell>
          <cell r="AG628" t="str">
            <v>girijaramanidr@gmail.com</v>
          </cell>
          <cell r="AH628" t="str">
            <v>Union Bank of India</v>
          </cell>
          <cell r="AI628" t="str">
            <v>035610100003493</v>
          </cell>
          <cell r="AJ628" t="str">
            <v>UBIN0803561</v>
          </cell>
          <cell r="AK628" t="str">
            <v>ACWPN8684R</v>
          </cell>
          <cell r="AL628" t="str">
            <v>375273570349</v>
          </cell>
          <cell r="AM628" t="str">
            <v>Saibaba Naguluri</v>
          </cell>
          <cell r="AN628">
            <v>44516</v>
          </cell>
          <cell r="AW628">
            <v>29514</v>
          </cell>
          <cell r="AX628" t="str">
            <v>Female</v>
          </cell>
          <cell r="AY628" t="str">
            <v>Part Time</v>
          </cell>
          <cell r="AZ628">
            <v>1</v>
          </cell>
          <cell r="BA628" t="str">
            <v>Secunderabad Cluster</v>
          </cell>
        </row>
        <row r="629">
          <cell r="M629" t="str">
            <v>Habsiguda - 17</v>
          </cell>
          <cell r="O629" t="str">
            <v>Biochemistry</v>
          </cell>
          <cell r="P629" t="str">
            <v>Consultant Biochemist</v>
          </cell>
          <cell r="Q629" t="str">
            <v>Dr Bikash</v>
          </cell>
          <cell r="R629">
            <v>44489</v>
          </cell>
          <cell r="S629">
            <v>44489</v>
          </cell>
          <cell r="T629">
            <v>45218</v>
          </cell>
          <cell r="U629">
            <v>45219</v>
          </cell>
          <cell r="V629">
            <v>2009</v>
          </cell>
          <cell r="W629" t="str">
            <v>SVS Medical College</v>
          </cell>
          <cell r="X629">
            <v>2020</v>
          </cell>
          <cell r="Y629" t="str">
            <v>Osmania Medical College</v>
          </cell>
          <cell r="AA629" t="str">
            <v>MBBS, MD - Biochemistry</v>
          </cell>
          <cell r="AB629">
            <v>67666</v>
          </cell>
          <cell r="AC629" t="str">
            <v>Telangana State Medical Council</v>
          </cell>
          <cell r="AD629">
            <v>42816</v>
          </cell>
          <cell r="AE629">
            <v>44641</v>
          </cell>
          <cell r="AF629">
            <v>9966288822</v>
          </cell>
          <cell r="AG629" t="str">
            <v>kattavani1000@gmail.com</v>
          </cell>
          <cell r="AH629" t="str">
            <v>SBI Bank</v>
          </cell>
          <cell r="AI629" t="str">
            <v>37096370862</v>
          </cell>
          <cell r="AJ629" t="str">
            <v>SBIN0021110</v>
          </cell>
          <cell r="AK629" t="str">
            <v>BWQPK8442M</v>
          </cell>
          <cell r="AL629" t="str">
            <v>927053234719</v>
          </cell>
          <cell r="AM629" t="str">
            <v>Katta Murali</v>
          </cell>
          <cell r="AN629">
            <v>44592</v>
          </cell>
          <cell r="AW629">
            <v>31276</v>
          </cell>
          <cell r="AX629" t="str">
            <v>Female</v>
          </cell>
          <cell r="AY629" t="str">
            <v>Full Time</v>
          </cell>
          <cell r="AZ629">
            <v>8</v>
          </cell>
          <cell r="BA629">
            <v>8</v>
          </cell>
        </row>
        <row r="630">
          <cell r="M630" t="str">
            <v>Kharkhana - 35</v>
          </cell>
          <cell r="N630" t="str">
            <v>USG , X ray</v>
          </cell>
          <cell r="O630" t="str">
            <v>Radiology</v>
          </cell>
          <cell r="P630" t="str">
            <v>Consultant Radiologist</v>
          </cell>
          <cell r="Q630" t="str">
            <v>Dr L T Kishore</v>
          </cell>
          <cell r="R630">
            <v>44490</v>
          </cell>
          <cell r="S630">
            <v>44490</v>
          </cell>
          <cell r="T630">
            <v>45219</v>
          </cell>
          <cell r="U630">
            <v>45220</v>
          </cell>
          <cell r="AA630" t="str">
            <v>MBBS, DNB - Radiodiagnosis</v>
          </cell>
          <cell r="AB630" t="str">
            <v>APMC/FMR/88269</v>
          </cell>
          <cell r="AC630" t="str">
            <v>Telangana State Medical Council</v>
          </cell>
          <cell r="AF630">
            <v>9701544912</v>
          </cell>
          <cell r="AG630" t="str">
            <v>parulhindupur@gmail.com</v>
          </cell>
          <cell r="AK630" t="str">
            <v>ACZPH8787Q</v>
          </cell>
          <cell r="AL630" t="str">
            <v>519433102426</v>
          </cell>
          <cell r="AM630" t="str">
            <v>Satish Kumar Sharma</v>
          </cell>
          <cell r="AN630">
            <v>44500</v>
          </cell>
          <cell r="AW630">
            <v>27465</v>
          </cell>
          <cell r="AX630" t="str">
            <v>Female</v>
          </cell>
          <cell r="AY630" t="str">
            <v>Part Time</v>
          </cell>
          <cell r="AZ630">
            <v>2</v>
          </cell>
          <cell r="BA630" t="str">
            <v>Secunderabad Cluster</v>
          </cell>
        </row>
        <row r="631">
          <cell r="M631" t="str">
            <v>Kompally - 65</v>
          </cell>
          <cell r="O631" t="str">
            <v>Physician Services</v>
          </cell>
          <cell r="P631" t="str">
            <v>Consultant Physician</v>
          </cell>
          <cell r="R631">
            <v>44490</v>
          </cell>
          <cell r="S631">
            <v>44490</v>
          </cell>
          <cell r="T631">
            <v>45219</v>
          </cell>
          <cell r="U631">
            <v>45220</v>
          </cell>
          <cell r="AA631" t="str">
            <v>MBBS</v>
          </cell>
          <cell r="AB631" t="str">
            <v>TSMC/FMR/16636</v>
          </cell>
          <cell r="AC631" t="str">
            <v>Telangana State Medical Council</v>
          </cell>
          <cell r="AD631">
            <v>44378</v>
          </cell>
          <cell r="AE631">
            <v>46204</v>
          </cell>
          <cell r="AF631">
            <v>7093649883</v>
          </cell>
          <cell r="AG631" t="str">
            <v>mounikaraju1994@gmail.com</v>
          </cell>
          <cell r="AH631" t="str">
            <v>Union Bank of India</v>
          </cell>
          <cell r="AI631" t="str">
            <v>165410100073173</v>
          </cell>
          <cell r="AJ631" t="str">
            <v>UBIN0816540</v>
          </cell>
          <cell r="AK631" t="str">
            <v>GUHPM8349K</v>
          </cell>
          <cell r="AL631" t="str">
            <v>637390527482</v>
          </cell>
          <cell r="AM631" t="str">
            <v>Kanumuri Ravi Kumar</v>
          </cell>
          <cell r="AN631">
            <v>44578</v>
          </cell>
          <cell r="AW631">
            <v>34418</v>
          </cell>
          <cell r="AX631" t="str">
            <v>Female</v>
          </cell>
          <cell r="AY631" t="str">
            <v>Part Time</v>
          </cell>
          <cell r="AZ631">
            <v>1</v>
          </cell>
          <cell r="BA631">
            <v>1</v>
          </cell>
        </row>
        <row r="632">
          <cell r="M632" t="str">
            <v>Suncity - 83</v>
          </cell>
          <cell r="O632" t="str">
            <v>Physician Services</v>
          </cell>
          <cell r="P632" t="str">
            <v>Consultant Physician</v>
          </cell>
          <cell r="R632">
            <v>44490</v>
          </cell>
          <cell r="S632">
            <v>44490</v>
          </cell>
          <cell r="T632">
            <v>45219</v>
          </cell>
          <cell r="U632">
            <v>45220</v>
          </cell>
          <cell r="AA632" t="str">
            <v>MBBS</v>
          </cell>
          <cell r="AB632" t="str">
            <v>TSMC/FMR/07722</v>
          </cell>
          <cell r="AC632" t="str">
            <v>Telangana State Medical Council</v>
          </cell>
          <cell r="AD632">
            <v>43416</v>
          </cell>
          <cell r="AE632">
            <v>45242</v>
          </cell>
          <cell r="AF632">
            <v>9885970207</v>
          </cell>
          <cell r="AG632" t="str">
            <v>mohammedazeem27.ma@gmail.com</v>
          </cell>
          <cell r="AH632" t="str">
            <v>SBI Bank</v>
          </cell>
          <cell r="AI632" t="str">
            <v>31353332831</v>
          </cell>
          <cell r="AJ632" t="str">
            <v>SBIN0008026</v>
          </cell>
          <cell r="AK632" t="str">
            <v>AWZPA6543R</v>
          </cell>
          <cell r="AL632" t="str">
            <v>764840506098</v>
          </cell>
          <cell r="AM632" t="str">
            <v>Mohammed Razvi</v>
          </cell>
          <cell r="AW632">
            <v>33953</v>
          </cell>
          <cell r="AX632" t="str">
            <v>Male</v>
          </cell>
          <cell r="AY632" t="str">
            <v>Part Time</v>
          </cell>
          <cell r="AZ632">
            <v>1</v>
          </cell>
          <cell r="BA632">
            <v>1</v>
          </cell>
        </row>
        <row r="633">
          <cell r="M633" t="str">
            <v>Medipally - 101</v>
          </cell>
          <cell r="N633" t="str">
            <v>Basic USG, Tiffa, Guided Procedured,  X- Ray, Mammography, IVP, RGU, MCGU, Barium Swallow, Barium Enemma, HSG, Basic CT, CT Guided Procedures and Basic MRI</v>
          </cell>
          <cell r="O633" t="str">
            <v>Radiology</v>
          </cell>
          <cell r="P633" t="str">
            <v>Consultant Radiologist</v>
          </cell>
          <cell r="Q633" t="str">
            <v>Dr L T Kishore</v>
          </cell>
          <cell r="R633">
            <v>44491</v>
          </cell>
          <cell r="S633">
            <v>44491</v>
          </cell>
          <cell r="T633">
            <v>45220</v>
          </cell>
          <cell r="U633">
            <v>45221</v>
          </cell>
          <cell r="W633" t="str">
            <v>Rajendra Institute of Medical Sciences</v>
          </cell>
          <cell r="X633">
            <v>2021</v>
          </cell>
          <cell r="Y633" t="str">
            <v>Maharaja Institute of Medical Sciences</v>
          </cell>
          <cell r="AA633" t="str">
            <v>MBBS, MD - Radio Diagnosis</v>
          </cell>
          <cell r="AB633" t="str">
            <v>TSMC/FMR/05233</v>
          </cell>
          <cell r="AC633" t="str">
            <v>Telangana State Medical Council</v>
          </cell>
          <cell r="AF633">
            <v>9182624935</v>
          </cell>
          <cell r="AG633" t="str">
            <v>shilpaba555@gmail.com</v>
          </cell>
          <cell r="AH633" t="str">
            <v>HDFC Bank</v>
          </cell>
          <cell r="AI633" t="str">
            <v>50100438876897</v>
          </cell>
          <cell r="AJ633" t="str">
            <v>HDFC0009610</v>
          </cell>
          <cell r="AK633" t="str">
            <v>EONPK6746C</v>
          </cell>
          <cell r="AL633" t="str">
            <v>259090289795</v>
          </cell>
          <cell r="AM633" t="str">
            <v>Mahendar Reddy Kommidi</v>
          </cell>
          <cell r="AN633">
            <v>44528</v>
          </cell>
          <cell r="AW633">
            <v>32895</v>
          </cell>
          <cell r="AX633" t="str">
            <v>Female</v>
          </cell>
          <cell r="AY633" t="str">
            <v>Part Time</v>
          </cell>
          <cell r="AZ633">
            <v>3</v>
          </cell>
          <cell r="BA633" t="str">
            <v>Dilshuknagar Cluster</v>
          </cell>
        </row>
        <row r="634">
          <cell r="M634" t="str">
            <v>Karimnagar-75</v>
          </cell>
          <cell r="N634" t="str">
            <v>Basic USG, Tiffa,   X- Ray, Mammography, IVP, RGU, MCGU, Barium Swallow, Barium Enemma, HSG, Basic CT and Basic MRI</v>
          </cell>
          <cell r="O634" t="str">
            <v>Radiology</v>
          </cell>
          <cell r="P634" t="str">
            <v>Consultant Radiologist</v>
          </cell>
          <cell r="Q634" t="str">
            <v>Dr L T Kishore</v>
          </cell>
          <cell r="R634">
            <v>44496</v>
          </cell>
          <cell r="S634">
            <v>44496</v>
          </cell>
          <cell r="T634">
            <v>45225</v>
          </cell>
          <cell r="U634">
            <v>45226</v>
          </cell>
          <cell r="W634" t="str">
            <v>Mamata Medical College</v>
          </cell>
          <cell r="X634">
            <v>2019</v>
          </cell>
          <cell r="Y634" t="str">
            <v>Yashodha Hospital</v>
          </cell>
          <cell r="AA634" t="str">
            <v>MBBS, DNB - Radiodiagnosis</v>
          </cell>
          <cell r="AB634" t="str">
            <v>APMC/FMR/84006</v>
          </cell>
          <cell r="AC634" t="str">
            <v>Telangana State Medical Council</v>
          </cell>
          <cell r="AD634">
            <v>43668</v>
          </cell>
          <cell r="AE634">
            <v>45494</v>
          </cell>
          <cell r="AF634">
            <v>9959440011</v>
          </cell>
          <cell r="AG634" t="str">
            <v>preethivennamaneni@gmail.com</v>
          </cell>
          <cell r="AH634" t="str">
            <v>ICICI Bank</v>
          </cell>
          <cell r="AI634" t="str">
            <v>279801504883</v>
          </cell>
          <cell r="AJ634" t="str">
            <v>ICIC0002798</v>
          </cell>
          <cell r="AK634" t="str">
            <v>AVTPV2265N</v>
          </cell>
          <cell r="AL634" t="str">
            <v>216457631151</v>
          </cell>
          <cell r="AM634" t="str">
            <v>Thirupathi Rao Vennamaneni</v>
          </cell>
          <cell r="AN634">
            <v>44620</v>
          </cell>
          <cell r="AO634">
            <v>44620</v>
          </cell>
          <cell r="AP634" t="str">
            <v>Precious pregnanacy</v>
          </cell>
          <cell r="AW634">
            <v>32748</v>
          </cell>
          <cell r="AX634" t="str">
            <v>Female</v>
          </cell>
          <cell r="AY634" t="str">
            <v>Part Time</v>
          </cell>
          <cell r="AZ634">
            <v>4</v>
          </cell>
          <cell r="BA634">
            <v>5</v>
          </cell>
        </row>
        <row r="635">
          <cell r="M635" t="str">
            <v>Habsiguda - 17</v>
          </cell>
          <cell r="N635" t="str">
            <v>N/A</v>
          </cell>
          <cell r="O635" t="str">
            <v>Physician Services</v>
          </cell>
          <cell r="P635" t="str">
            <v>Consultant Physician</v>
          </cell>
          <cell r="Q635" t="str">
            <v>N/A</v>
          </cell>
          <cell r="R635">
            <v>45394</v>
          </cell>
          <cell r="S635">
            <v>45394</v>
          </cell>
          <cell r="T635">
            <v>46123</v>
          </cell>
          <cell r="U635">
            <v>46124</v>
          </cell>
          <cell r="V635">
            <v>2023</v>
          </cell>
          <cell r="W635" t="str">
            <v>Mediciti institute of medical sciences</v>
          </cell>
          <cell r="X635" t="str">
            <v>N/A</v>
          </cell>
          <cell r="Y635" t="str">
            <v>N/A</v>
          </cell>
          <cell r="Z635" t="str">
            <v>NA</v>
          </cell>
          <cell r="AA635" t="str">
            <v>MBBS</v>
          </cell>
          <cell r="AB635" t="str">
            <v>TSMC/FMR/28306</v>
          </cell>
          <cell r="AC635" t="str">
            <v>Telangana State Medical Council</v>
          </cell>
          <cell r="AD635">
            <v>45253</v>
          </cell>
          <cell r="AE635">
            <v>47079</v>
          </cell>
          <cell r="AF635">
            <v>8340075776</v>
          </cell>
          <cell r="AG635" t="str">
            <v>viswameghana3101@gmail.com</v>
          </cell>
          <cell r="AH635" t="str">
            <v>ICICI Bank</v>
          </cell>
          <cell r="AI635" t="str">
            <v>416601502552</v>
          </cell>
          <cell r="AJ635" t="str">
            <v>ICIC0004166</v>
          </cell>
          <cell r="AK635" t="str">
            <v>DQNPP3574A</v>
          </cell>
          <cell r="AL635">
            <v>697773235678</v>
          </cell>
          <cell r="AN635">
            <v>45482</v>
          </cell>
          <cell r="AO635">
            <v>45451</v>
          </cell>
          <cell r="AP635" t="str">
            <v>Higher studies</v>
          </cell>
          <cell r="AQ635" t="str">
            <v>Flat No. 302, Phase - 2, Block -C, Sri Tirumala Millenium, HCL Nagar, Manikchand Road, Mallapur, Uppal, KV Rangareddy, Telangana - 500076</v>
          </cell>
          <cell r="AS635" t="str">
            <v>Flat No. 302, Phase - 2, Block -C, Sri Tirumala Millenium, HCL Nagar, Manikchand Road, Mallapur, Uppal, KV Rangareddy, Telangana - 500076</v>
          </cell>
          <cell r="AU635">
            <v>0.375</v>
          </cell>
          <cell r="AV635">
            <v>0.41666666666666669</v>
          </cell>
          <cell r="AW635">
            <v>36556</v>
          </cell>
          <cell r="AX635" t="str">
            <v>Female</v>
          </cell>
          <cell r="AY635" t="str">
            <v>Part Time</v>
          </cell>
          <cell r="AZ635">
            <v>1</v>
          </cell>
          <cell r="BA635" t="str">
            <v>A.S. Rao Nagar Cluster</v>
          </cell>
        </row>
        <row r="636">
          <cell r="M636" t="str">
            <v>Kavuri Hills-5</v>
          </cell>
          <cell r="N636" t="str">
            <v>Basic USG, Tiffa, MSK, Guided Procedures, X- Ray, Mammography, IVP, RGU, MCGU, Barium Swallow, Barium Enemma, HSG</v>
          </cell>
          <cell r="O636" t="str">
            <v>Radiology</v>
          </cell>
          <cell r="P636" t="str">
            <v>Consultant Radiologist</v>
          </cell>
          <cell r="Q636" t="str">
            <v>Dr L T Kishore</v>
          </cell>
          <cell r="R636">
            <v>44503</v>
          </cell>
          <cell r="S636">
            <v>44503</v>
          </cell>
          <cell r="T636">
            <v>45232</v>
          </cell>
          <cell r="U636">
            <v>45233</v>
          </cell>
          <cell r="W636" t="str">
            <v>Narayana medical college</v>
          </cell>
          <cell r="X636">
            <v>2016</v>
          </cell>
          <cell r="Y636" t="str">
            <v xml:space="preserve">Mamata medical college </v>
          </cell>
          <cell r="AA636" t="str">
            <v>MBBS, MD - Radio Diagnosis</v>
          </cell>
          <cell r="AB636" t="str">
            <v>APMC/FMR/79334</v>
          </cell>
          <cell r="AC636" t="str">
            <v>Andhra Pradesh Medical Council</v>
          </cell>
          <cell r="AD636">
            <v>42991</v>
          </cell>
          <cell r="AE636">
            <v>44816</v>
          </cell>
          <cell r="AF636">
            <v>7893761388</v>
          </cell>
          <cell r="AG636" t="str">
            <v>aswithk@gmail.com</v>
          </cell>
          <cell r="AH636" t="str">
            <v>Union Bank of India</v>
          </cell>
          <cell r="AI636" t="str">
            <v>155010100046346</v>
          </cell>
          <cell r="AJ636" t="str">
            <v>UBIN0805262</v>
          </cell>
          <cell r="AK636" t="str">
            <v>AIPPA7229J</v>
          </cell>
          <cell r="AL636" t="str">
            <v>543913576906</v>
          </cell>
          <cell r="AM636" t="str">
            <v>Audi Seshaiah Poluboina</v>
          </cell>
          <cell r="AN636">
            <v>44592</v>
          </cell>
          <cell r="AW636">
            <v>32695</v>
          </cell>
          <cell r="AX636" t="str">
            <v>Male</v>
          </cell>
          <cell r="AY636" t="str">
            <v>Part Time</v>
          </cell>
          <cell r="AZ636">
            <v>2</v>
          </cell>
          <cell r="BA636" t="str">
            <v>Madhapur Cluster</v>
          </cell>
        </row>
        <row r="637">
          <cell r="M637" t="str">
            <v>BHEL-30</v>
          </cell>
          <cell r="O637" t="str">
            <v>Physician Services</v>
          </cell>
          <cell r="P637" t="str">
            <v>Consultant Physician</v>
          </cell>
          <cell r="R637">
            <v>44509</v>
          </cell>
          <cell r="S637">
            <v>44509</v>
          </cell>
          <cell r="T637">
            <v>45238</v>
          </cell>
          <cell r="U637">
            <v>45239</v>
          </cell>
          <cell r="AA637" t="str">
            <v>MBBS</v>
          </cell>
          <cell r="AB637" t="str">
            <v>TSMC/FMR/11425</v>
          </cell>
          <cell r="AC637" t="str">
            <v>Telangana State Medical Council</v>
          </cell>
          <cell r="AD637">
            <v>43839</v>
          </cell>
          <cell r="AE637">
            <v>45666</v>
          </cell>
          <cell r="AF637">
            <v>7013978106</v>
          </cell>
          <cell r="AG637" t="str">
            <v>asif.217.kj@gmail.com</v>
          </cell>
          <cell r="AH637" t="str">
            <v>SBI Bank</v>
          </cell>
          <cell r="AI637" t="str">
            <v>62210514416</v>
          </cell>
          <cell r="AJ637" t="str">
            <v>SBIN0021235</v>
          </cell>
          <cell r="AK637" t="str">
            <v>CUWPM3356B</v>
          </cell>
          <cell r="AL637" t="str">
            <v>725729240647</v>
          </cell>
          <cell r="AM637" t="str">
            <v>Mohammed Ismail Shariff</v>
          </cell>
          <cell r="AN637">
            <v>44537</v>
          </cell>
          <cell r="AW637">
            <v>34873</v>
          </cell>
          <cell r="AX637" t="str">
            <v>Male</v>
          </cell>
          <cell r="AY637" t="str">
            <v>Part Time</v>
          </cell>
          <cell r="AZ637">
            <v>1</v>
          </cell>
          <cell r="BA637" t="str">
            <v>Madhapur Cluster</v>
          </cell>
        </row>
        <row r="638">
          <cell r="M638" t="str">
            <v>Nallagandla - 84</v>
          </cell>
          <cell r="N638" t="str">
            <v>USG, X ray</v>
          </cell>
          <cell r="O638" t="str">
            <v>Radiology</v>
          </cell>
          <cell r="P638" t="str">
            <v>Consultant Radiologist</v>
          </cell>
          <cell r="Q638" t="str">
            <v>Dr L T Kishore</v>
          </cell>
          <cell r="R638">
            <v>44511</v>
          </cell>
          <cell r="S638">
            <v>44511</v>
          </cell>
          <cell r="T638">
            <v>45240</v>
          </cell>
          <cell r="U638">
            <v>45241</v>
          </cell>
          <cell r="X638" t="str">
            <v>Kamineni Institute of Medical Sciences</v>
          </cell>
          <cell r="Y638">
            <v>2013</v>
          </cell>
          <cell r="Z638" t="str">
            <v>SVS Medical College</v>
          </cell>
          <cell r="AA638" t="str">
            <v>MBBS, MD - Radio Diagnosis</v>
          </cell>
          <cell r="AB638">
            <v>64732</v>
          </cell>
          <cell r="AC638" t="str">
            <v>Telangana State Medical Council</v>
          </cell>
          <cell r="AD638">
            <v>42516</v>
          </cell>
          <cell r="AE638">
            <v>44341</v>
          </cell>
          <cell r="AF638">
            <v>9885393933</v>
          </cell>
          <cell r="AG638" t="str">
            <v>dr.navin3933@gmail.com</v>
          </cell>
          <cell r="AH638" t="str">
            <v>Axis Bank</v>
          </cell>
          <cell r="AI638" t="str">
            <v>913010046633983</v>
          </cell>
          <cell r="AJ638" t="str">
            <v>UTIB0003061</v>
          </cell>
          <cell r="AK638" t="str">
            <v>APCPN0475M</v>
          </cell>
          <cell r="AL638" t="str">
            <v>973399568318</v>
          </cell>
          <cell r="AM638" t="str">
            <v>R Bala Krishna Reddy</v>
          </cell>
          <cell r="AN638">
            <v>44804</v>
          </cell>
          <cell r="AO638">
            <v>44749</v>
          </cell>
          <cell r="AW638">
            <v>31274</v>
          </cell>
          <cell r="AX638" t="str">
            <v>Male</v>
          </cell>
          <cell r="AY638" t="str">
            <v>Part Time</v>
          </cell>
          <cell r="AZ638">
            <v>3</v>
          </cell>
          <cell r="BA638" t="str">
            <v>Madhapur Cluster</v>
          </cell>
        </row>
        <row r="639">
          <cell r="M639" t="str">
            <v>Kukatpally - 20</v>
          </cell>
          <cell r="O639" t="str">
            <v>Physician Services</v>
          </cell>
          <cell r="P639" t="str">
            <v>Consultant Physician</v>
          </cell>
          <cell r="R639">
            <v>44512</v>
          </cell>
          <cell r="S639">
            <v>44512</v>
          </cell>
          <cell r="T639">
            <v>45241</v>
          </cell>
          <cell r="U639">
            <v>45242</v>
          </cell>
          <cell r="AA639" t="str">
            <v>MBBS</v>
          </cell>
          <cell r="AB639" t="str">
            <v>TSMC/FMR/11500</v>
          </cell>
          <cell r="AC639" t="str">
            <v>Telangana State Medical Council</v>
          </cell>
          <cell r="AD639">
            <v>43850</v>
          </cell>
          <cell r="AE639">
            <v>45677</v>
          </cell>
          <cell r="AF639">
            <v>9014018801</v>
          </cell>
          <cell r="AG639" t="str">
            <v>pragnyarozy@gmail.com</v>
          </cell>
          <cell r="AH639" t="str">
            <v>HDFC Bank</v>
          </cell>
          <cell r="AI639" t="str">
            <v>50100160248994</v>
          </cell>
          <cell r="AJ639" t="str">
            <v>HDFC0000364</v>
          </cell>
          <cell r="AK639" t="str">
            <v>DLPPP3432J</v>
          </cell>
          <cell r="AL639" t="str">
            <v>391592728980</v>
          </cell>
          <cell r="AM639" t="str">
            <v>Pillodi Ashok Kumar</v>
          </cell>
          <cell r="AN639">
            <v>44571</v>
          </cell>
          <cell r="AW639">
            <v>34773</v>
          </cell>
          <cell r="AX639" t="str">
            <v>Female</v>
          </cell>
          <cell r="AY639" t="str">
            <v>Part Time</v>
          </cell>
          <cell r="AZ639">
            <v>1</v>
          </cell>
          <cell r="BA639">
            <v>1</v>
          </cell>
        </row>
        <row r="640">
          <cell r="M640" t="str">
            <v>Boduppal - 45</v>
          </cell>
          <cell r="O640" t="str">
            <v>Physician Services</v>
          </cell>
          <cell r="P640" t="str">
            <v>Consultant Physician</v>
          </cell>
          <cell r="R640">
            <v>44515</v>
          </cell>
          <cell r="S640">
            <v>44515</v>
          </cell>
          <cell r="T640">
            <v>45244</v>
          </cell>
          <cell r="U640">
            <v>45245</v>
          </cell>
          <cell r="AA640" t="str">
            <v>MBBS</v>
          </cell>
          <cell r="AB640" t="str">
            <v>APMC/FMR/92610</v>
          </cell>
          <cell r="AC640" t="str">
            <v>Telangana State Medical Council</v>
          </cell>
          <cell r="AD640">
            <v>44462</v>
          </cell>
          <cell r="AE640">
            <v>46287</v>
          </cell>
          <cell r="AF640">
            <v>9440660000</v>
          </cell>
          <cell r="AG640" t="str">
            <v>drbmaheshwari15@gmail.com</v>
          </cell>
          <cell r="AH640" t="str">
            <v>Axis Bank</v>
          </cell>
          <cell r="AI640" t="str">
            <v>916010061801201</v>
          </cell>
          <cell r="AJ640" t="str">
            <v>UTIB0000890</v>
          </cell>
          <cell r="AK640" t="str">
            <v>CDXPB6529B</v>
          </cell>
          <cell r="AL640" t="str">
            <v>595953003358</v>
          </cell>
          <cell r="AM640" t="str">
            <v>Yadagiri Banda</v>
          </cell>
          <cell r="AW640">
            <v>32370</v>
          </cell>
          <cell r="AX640" t="str">
            <v>Female</v>
          </cell>
          <cell r="AY640" t="str">
            <v>Part Time</v>
          </cell>
          <cell r="AZ640">
            <v>1</v>
          </cell>
          <cell r="BA640">
            <v>1</v>
          </cell>
        </row>
        <row r="641">
          <cell r="M641" t="str">
            <v>Kharkhana - 35</v>
          </cell>
          <cell r="N641" t="str">
            <v xml:space="preserve">Routine USG and Dopplers only </v>
          </cell>
          <cell r="O641" t="str">
            <v>Radiology</v>
          </cell>
          <cell r="P641" t="str">
            <v>Consultant Radiologist</v>
          </cell>
          <cell r="Q641" t="str">
            <v>Dr. Krishna Mohan Pottala</v>
          </cell>
          <cell r="R641">
            <v>44518</v>
          </cell>
          <cell r="S641">
            <v>44518</v>
          </cell>
          <cell r="T641">
            <v>45247</v>
          </cell>
          <cell r="U641">
            <v>45248</v>
          </cell>
          <cell r="W641" t="str">
            <v xml:space="preserve">Andhra Medical College </v>
          </cell>
          <cell r="X641">
            <v>2021</v>
          </cell>
          <cell r="Y641" t="str">
            <v xml:space="preserve">Narayana Hrudayalaya </v>
          </cell>
          <cell r="Z641" t="str">
            <v>NA</v>
          </cell>
          <cell r="AA641" t="str">
            <v>MBBS, MD - Radio Diagnosis</v>
          </cell>
          <cell r="AF641">
            <v>8884157154</v>
          </cell>
          <cell r="AG641" t="str">
            <v>aditya.radrcr@gmail.com</v>
          </cell>
          <cell r="AH641" t="str">
            <v>HDFC Bank</v>
          </cell>
          <cell r="AI641" t="str">
            <v>50100237522847</v>
          </cell>
          <cell r="AJ641" t="str">
            <v>HDFC0003940</v>
          </cell>
          <cell r="AK641" t="str">
            <v>BIWPA9495A</v>
          </cell>
          <cell r="AL641" t="str">
            <v>781234997246</v>
          </cell>
          <cell r="AM641" t="str">
            <v>Hariprasad</v>
          </cell>
          <cell r="AW641">
            <v>33039</v>
          </cell>
          <cell r="AX641" t="str">
            <v>Male</v>
          </cell>
          <cell r="AY641" t="str">
            <v>Part Time</v>
          </cell>
          <cell r="AZ641">
            <v>4</v>
          </cell>
          <cell r="BA641" t="str">
            <v>Secunderabad Cluster</v>
          </cell>
        </row>
        <row r="642">
          <cell r="M642" t="str">
            <v>BN Reddy Nagar- 110</v>
          </cell>
          <cell r="N642" t="str">
            <v>Basic USG, Tiffa, MSK, Mammography, X- Ray,  IVP, RGU, MCGU, Barium Swallow, Barium Enemma, HSG, Basic CT</v>
          </cell>
          <cell r="O642" t="str">
            <v>Radiology</v>
          </cell>
          <cell r="P642" t="str">
            <v>Consultant Radiologist</v>
          </cell>
          <cell r="Q642" t="str">
            <v>Dr. Krishna Mohan Pottala</v>
          </cell>
          <cell r="R642">
            <v>44521</v>
          </cell>
          <cell r="S642">
            <v>44521</v>
          </cell>
          <cell r="T642">
            <v>45250</v>
          </cell>
          <cell r="U642">
            <v>45251</v>
          </cell>
          <cell r="W642" t="str">
            <v xml:space="preserve">Care Hospital </v>
          </cell>
          <cell r="X642">
            <v>2021</v>
          </cell>
          <cell r="Y642" t="str">
            <v xml:space="preserve">Deccan College of Medical Sciences </v>
          </cell>
          <cell r="Z642" t="str">
            <v>NA</v>
          </cell>
          <cell r="AA642" t="str">
            <v>MBBS, DMRD - Radio Diagnosis</v>
          </cell>
          <cell r="AB642" t="str">
            <v>APMC/FMR/81972</v>
          </cell>
          <cell r="AC642" t="str">
            <v>Telangana State Medical Council</v>
          </cell>
          <cell r="AD642">
            <v>43482</v>
          </cell>
          <cell r="AE642">
            <v>45309</v>
          </cell>
          <cell r="AF642">
            <v>8977938185</v>
          </cell>
          <cell r="AG642" t="str">
            <v>aerupulabindu@gmail.com</v>
          </cell>
          <cell r="AH642" t="str">
            <v>SBI Bank</v>
          </cell>
          <cell r="AI642" t="str">
            <v>62067337902</v>
          </cell>
          <cell r="AJ642" t="str">
            <v>SBIN0021056</v>
          </cell>
          <cell r="AK642" t="str">
            <v>CDVPA6711L</v>
          </cell>
          <cell r="AL642" t="str">
            <v>384741580920</v>
          </cell>
          <cell r="AM642" t="str">
            <v>Pradeep Kumar Aerupula</v>
          </cell>
          <cell r="AW642">
            <v>32857</v>
          </cell>
          <cell r="AX642" t="str">
            <v>Female</v>
          </cell>
          <cell r="AY642" t="str">
            <v>Full Time</v>
          </cell>
          <cell r="AZ642">
            <v>8</v>
          </cell>
          <cell r="BA642" t="str">
            <v>Dilshuknagar Cluster</v>
          </cell>
        </row>
        <row r="643">
          <cell r="M643" t="str">
            <v>Santosh Nagar-15</v>
          </cell>
          <cell r="N643" t="str">
            <v>Basic USG, Tiffa, MSK, Penile dopplers, Guided Procedures, Mammography, X- Ray,  IVP, RGU, MCGU, Barium Swallow, Barium Enemma, HSG, Basic CT and Basic MRI</v>
          </cell>
          <cell r="O643" t="str">
            <v>Radiology</v>
          </cell>
          <cell r="P643" t="str">
            <v>Consultant Radiologist</v>
          </cell>
          <cell r="Q643" t="str">
            <v>Dr L T Kishore</v>
          </cell>
          <cell r="R643">
            <v>44529</v>
          </cell>
          <cell r="S643">
            <v>44529</v>
          </cell>
          <cell r="T643">
            <v>45258</v>
          </cell>
          <cell r="U643">
            <v>45259</v>
          </cell>
          <cell r="W643" t="str">
            <v>KVG Medical College</v>
          </cell>
          <cell r="X643">
            <v>2017</v>
          </cell>
          <cell r="Y643" t="str">
            <v>Kamineni Insttitute of Medical Sciences</v>
          </cell>
          <cell r="AA643" t="str">
            <v>MBBS, DMRD - Radio Diagnosis</v>
          </cell>
          <cell r="AB643" t="str">
            <v>APMC/FMR/90683</v>
          </cell>
          <cell r="AC643" t="str">
            <v>Telangana State Medical Council</v>
          </cell>
          <cell r="AD643">
            <v>43424</v>
          </cell>
          <cell r="AE643">
            <v>45249</v>
          </cell>
          <cell r="AF643">
            <v>9010525605</v>
          </cell>
          <cell r="AG643" t="str">
            <v>drravindra88@gmail.com</v>
          </cell>
          <cell r="AH643" t="str">
            <v>ICICI Bank</v>
          </cell>
          <cell r="AI643" t="str">
            <v>004801620175</v>
          </cell>
          <cell r="AJ643" t="str">
            <v>ICIC0000048</v>
          </cell>
          <cell r="AK643" t="str">
            <v>BHMPB6832P</v>
          </cell>
          <cell r="AL643" t="str">
            <v>202077283751</v>
          </cell>
          <cell r="AM643" t="str">
            <v>Bandi Narayana Reddy</v>
          </cell>
          <cell r="AN643">
            <v>44610</v>
          </cell>
          <cell r="AW643">
            <v>32386</v>
          </cell>
          <cell r="AX643" t="str">
            <v>Male</v>
          </cell>
          <cell r="AY643" t="str">
            <v>Full Time</v>
          </cell>
          <cell r="AZ643">
            <v>8</v>
          </cell>
          <cell r="BA643" t="str">
            <v>Santosh Nagar Cluster</v>
          </cell>
        </row>
        <row r="644">
          <cell r="M644" t="str">
            <v>Manchieral-105</v>
          </cell>
          <cell r="N644" t="str">
            <v>Basic USG, Tiffa, Penile dopplers, Guided Procudures, X- Ray,  IVP, RGU, MCGU, Barium Swallow, Barium Enemma, HSG, Basic CT, CT Guided procedures and Basic MRI</v>
          </cell>
          <cell r="O644" t="str">
            <v>Radiology</v>
          </cell>
          <cell r="P644" t="str">
            <v>Consultant Radiologist</v>
          </cell>
          <cell r="Q644" t="str">
            <v>Dr L T Kishore</v>
          </cell>
          <cell r="R644">
            <v>44529</v>
          </cell>
          <cell r="S644">
            <v>44529</v>
          </cell>
          <cell r="T644">
            <v>45258</v>
          </cell>
          <cell r="U644">
            <v>45259</v>
          </cell>
          <cell r="V644">
            <v>2013</v>
          </cell>
          <cell r="W644" t="str">
            <v xml:space="preserve">Deccan College of Medical Sciences </v>
          </cell>
          <cell r="X644">
            <v>2021</v>
          </cell>
          <cell r="Y644" t="str">
            <v>SVS medical college</v>
          </cell>
          <cell r="AA644" t="str">
            <v>MBBS, MD - Radio Diagnosis</v>
          </cell>
          <cell r="AF644">
            <v>8099133476</v>
          </cell>
          <cell r="AG644" t="str">
            <v>shoebsalaam123@gmail.com</v>
          </cell>
          <cell r="AH644" t="str">
            <v>Bank of Baroda</v>
          </cell>
          <cell r="AI644" t="str">
            <v>49640100002224</v>
          </cell>
          <cell r="AJ644" t="str">
            <v>BARB0PEDDAP</v>
          </cell>
          <cell r="AK644" t="str">
            <v>BRDPA0831L</v>
          </cell>
          <cell r="AL644" t="str">
            <v>246858320952</v>
          </cell>
          <cell r="AM644" t="str">
            <v>Mohd Abdul Majid</v>
          </cell>
          <cell r="AN644">
            <v>44868</v>
          </cell>
          <cell r="AO644">
            <v>44792</v>
          </cell>
          <cell r="AS644" t="e">
            <v>#REF!</v>
          </cell>
          <cell r="AW644">
            <v>32786</v>
          </cell>
          <cell r="AX644" t="str">
            <v>Male</v>
          </cell>
          <cell r="AY644" t="str">
            <v>Full Time</v>
          </cell>
          <cell r="AZ644">
            <v>10.5</v>
          </cell>
          <cell r="BA644">
            <v>10.5</v>
          </cell>
        </row>
        <row r="645">
          <cell r="M645" t="str">
            <v>Santosh Nagar-15</v>
          </cell>
          <cell r="N645" t="str">
            <v>FNAC, Semen Analysis</v>
          </cell>
          <cell r="O645" t="str">
            <v>Pathology</v>
          </cell>
          <cell r="P645" t="str">
            <v>Consultant Pathologist</v>
          </cell>
          <cell r="Q645" t="str">
            <v>Dr Shashikanth</v>
          </cell>
          <cell r="R645">
            <v>44531</v>
          </cell>
          <cell r="S645">
            <v>44531</v>
          </cell>
          <cell r="T645">
            <v>45260</v>
          </cell>
          <cell r="U645">
            <v>45261</v>
          </cell>
          <cell r="V645">
            <v>2015</v>
          </cell>
          <cell r="W645" t="str">
            <v>Shadan Institute of Medical Sciences</v>
          </cell>
          <cell r="X645">
            <v>2018</v>
          </cell>
          <cell r="Y645" t="str">
            <v>Deccan College of Medical Sciences</v>
          </cell>
          <cell r="AA645" t="str">
            <v>MBBS, MD - Pathology</v>
          </cell>
          <cell r="AB645" t="str">
            <v>APMC/FMR/90985</v>
          </cell>
          <cell r="AC645" t="str">
            <v>Telangana State Medical Council</v>
          </cell>
          <cell r="AD645">
            <v>44425</v>
          </cell>
          <cell r="AE645">
            <v>46250</v>
          </cell>
          <cell r="AF645">
            <v>7780269909</v>
          </cell>
          <cell r="AG645" t="str">
            <v>drmdmasooduddin@gmail.com</v>
          </cell>
          <cell r="AH645" t="str">
            <v>HDFC Bank</v>
          </cell>
          <cell r="AI645" t="str">
            <v>50100273104561</v>
          </cell>
          <cell r="AJ645" t="str">
            <v>HDFC0003643</v>
          </cell>
          <cell r="AK645" t="str">
            <v>DAHPM1369G</v>
          </cell>
          <cell r="AL645" t="str">
            <v>336129621408</v>
          </cell>
          <cell r="AM645" t="str">
            <v>Mohd Faizuddin</v>
          </cell>
          <cell r="AN645">
            <v>44833</v>
          </cell>
          <cell r="AS645" t="e">
            <v>#REF!</v>
          </cell>
          <cell r="AW645">
            <v>32427</v>
          </cell>
          <cell r="AX645" t="str">
            <v>Male</v>
          </cell>
          <cell r="AY645" t="str">
            <v>Part Time</v>
          </cell>
          <cell r="AZ645">
            <v>2</v>
          </cell>
          <cell r="BA645" t="str">
            <v>Santosh Nagar Cluster</v>
          </cell>
        </row>
        <row r="646">
          <cell r="M646" t="str">
            <v>Medipally - 101</v>
          </cell>
          <cell r="N646" t="str">
            <v>Basic USG, Tiffa, MSK, Guided Procudures, X- Ray, IVP, RGU, MCGU, Barium Swallow, Barium Enemma, HSG, Basic CT, CT Enteroclysis and Basic MRI</v>
          </cell>
          <cell r="O646" t="str">
            <v>Radiology</v>
          </cell>
          <cell r="P646" t="str">
            <v>Consultant Radiologist</v>
          </cell>
          <cell r="Q646" t="str">
            <v>Dr L T Kishore</v>
          </cell>
          <cell r="R646">
            <v>44536</v>
          </cell>
          <cell r="S646">
            <v>44536</v>
          </cell>
          <cell r="T646">
            <v>45265</v>
          </cell>
          <cell r="U646">
            <v>45266</v>
          </cell>
          <cell r="V646">
            <v>2015</v>
          </cell>
          <cell r="W646" t="str">
            <v>Mamata Medical College</v>
          </cell>
          <cell r="X646">
            <v>2021</v>
          </cell>
          <cell r="Y646" t="str">
            <v>Navodaya Medical College</v>
          </cell>
          <cell r="AA646" t="str">
            <v>MBBS, MD - Radio Diagnosis</v>
          </cell>
          <cell r="AF646">
            <v>8688416470</v>
          </cell>
          <cell r="AG646" t="str">
            <v>mouni.chinni150@gmail.com</v>
          </cell>
          <cell r="AH646" t="str">
            <v>Union Bank of India</v>
          </cell>
          <cell r="AI646" t="str">
            <v>118010100044287</v>
          </cell>
          <cell r="AJ646" t="str">
            <v>UBIN0811807</v>
          </cell>
          <cell r="AK646" t="str">
            <v>AKNPY2210M</v>
          </cell>
          <cell r="AL646" t="str">
            <v>428574587364</v>
          </cell>
          <cell r="AM646" t="str">
            <v>Yella Dilip Reddy</v>
          </cell>
          <cell r="AN646">
            <v>44565</v>
          </cell>
          <cell r="AW646">
            <v>34205</v>
          </cell>
          <cell r="AX646" t="str">
            <v>Female</v>
          </cell>
          <cell r="AY646" t="str">
            <v>Part Time</v>
          </cell>
          <cell r="AZ646">
            <v>3</v>
          </cell>
          <cell r="BA646" t="str">
            <v>Dilshuknagar Cluster</v>
          </cell>
        </row>
        <row r="647">
          <cell r="M647" t="str">
            <v>Hanamkonda - 40</v>
          </cell>
          <cell r="N647" t="str">
            <v>Basic USG, Tiffa, MSK, Guided Procudures, X- Ray, Mammography, IVP, RGU, MCGU, Barium Swallow, Barium Enemma, HSG, Basic CT, CT Enteroclysis and all Angios except coronary</v>
          </cell>
          <cell r="O647" t="str">
            <v>Radiology</v>
          </cell>
          <cell r="P647" t="str">
            <v>Consultant Radiologist</v>
          </cell>
          <cell r="Q647" t="str">
            <v>Dr. Krishna Mohan Pottala</v>
          </cell>
          <cell r="R647">
            <v>44533</v>
          </cell>
          <cell r="S647">
            <v>45263</v>
          </cell>
          <cell r="T647">
            <v>45993</v>
          </cell>
          <cell r="U647">
            <v>45994</v>
          </cell>
          <cell r="V647">
            <v>2014</v>
          </cell>
          <cell r="W647" t="str">
            <v>Shadan institute of Medical Sciences</v>
          </cell>
          <cell r="X647">
            <v>2021</v>
          </cell>
          <cell r="Y647" t="str">
            <v>Deccan College of Medical Sciences</v>
          </cell>
          <cell r="Z647" t="str">
            <v>NA</v>
          </cell>
          <cell r="AA647" t="str">
            <v>MBBS, MD - Radio Diagnosis</v>
          </cell>
          <cell r="AB647" t="str">
            <v>APMC/FMR/91003</v>
          </cell>
          <cell r="AC647" t="str">
            <v>Telangana State Medical Council</v>
          </cell>
          <cell r="AD647">
            <v>44845</v>
          </cell>
          <cell r="AE647">
            <v>46670</v>
          </cell>
          <cell r="AF647">
            <v>9700562575</v>
          </cell>
          <cell r="AG647" t="str">
            <v>aijaz7977@gmail.com</v>
          </cell>
          <cell r="AH647" t="str">
            <v>HDFC Bank</v>
          </cell>
          <cell r="AI647" t="str">
            <v>50100480996966</v>
          </cell>
          <cell r="AJ647" t="str">
            <v>HDFC0000375</v>
          </cell>
          <cell r="AK647" t="str">
            <v>BKGPM6600P</v>
          </cell>
          <cell r="AL647" t="str">
            <v>702751557038</v>
          </cell>
          <cell r="AM647" t="str">
            <v>Amjad Ali Mohammad</v>
          </cell>
          <cell r="AN647">
            <v>45435</v>
          </cell>
          <cell r="AU647">
            <v>0.72916666666666663</v>
          </cell>
          <cell r="AV647">
            <v>0.8125</v>
          </cell>
          <cell r="AW647">
            <v>33351</v>
          </cell>
          <cell r="AX647" t="str">
            <v>Male</v>
          </cell>
          <cell r="AY647" t="str">
            <v>Part Time</v>
          </cell>
          <cell r="AZ647">
            <v>2</v>
          </cell>
          <cell r="BA647">
            <v>2</v>
          </cell>
        </row>
        <row r="648">
          <cell r="M648" t="str">
            <v>Santosh Nagar-15</v>
          </cell>
          <cell r="N648" t="str">
            <v>Basic USG, Tiffa, MSK, Penile dopplers, Guided Procedures, X- Ray, Mammpography, IVP, RGU, MCGU, Barium Swallow, Barium Enemma, HSG, Basic CT and Basic MRI</v>
          </cell>
          <cell r="O648" t="str">
            <v>Radiology</v>
          </cell>
          <cell r="P648" t="str">
            <v>Consultant Radiologist</v>
          </cell>
          <cell r="Q648" t="str">
            <v>Dr L T Kishore</v>
          </cell>
          <cell r="R648">
            <v>44543</v>
          </cell>
          <cell r="S648">
            <v>44543</v>
          </cell>
          <cell r="T648">
            <v>45272</v>
          </cell>
          <cell r="U648">
            <v>45273</v>
          </cell>
          <cell r="V648">
            <v>2013</v>
          </cell>
          <cell r="W648" t="str">
            <v>Kamineni Medical College</v>
          </cell>
          <cell r="X648">
            <v>2021</v>
          </cell>
          <cell r="Y648" t="str">
            <v>Dr. DY Patil Medical College</v>
          </cell>
          <cell r="AA648" t="str">
            <v>MBBS, MD - Radio Diagnosis</v>
          </cell>
          <cell r="AB648" t="str">
            <v>APMC/FMR/90194</v>
          </cell>
          <cell r="AC648" t="str">
            <v>Telangana Medical Council</v>
          </cell>
          <cell r="AD648">
            <v>44714</v>
          </cell>
          <cell r="AE648">
            <v>46539</v>
          </cell>
          <cell r="AF648">
            <v>9642789670</v>
          </cell>
          <cell r="AG648" t="str">
            <v>varunraghavc@gmail.com</v>
          </cell>
          <cell r="AH648" t="str">
            <v>SBI Bank</v>
          </cell>
          <cell r="AI648" t="str">
            <v>62123611476</v>
          </cell>
          <cell r="AJ648" t="str">
            <v>SBIN0021227</v>
          </cell>
          <cell r="AK648" t="str">
            <v>BFOPC4201D</v>
          </cell>
          <cell r="AL648" t="str">
            <v>344187704223</v>
          </cell>
          <cell r="AM648" t="str">
            <v>Cheppa Narayana</v>
          </cell>
          <cell r="AS648" t="e">
            <v>#REF!</v>
          </cell>
          <cell r="AW648">
            <v>33372</v>
          </cell>
          <cell r="AX648" t="str">
            <v>Male</v>
          </cell>
          <cell r="AY648" t="str">
            <v>Part Time</v>
          </cell>
          <cell r="AZ648">
            <v>5</v>
          </cell>
          <cell r="BA648" t="str">
            <v>Santosh Nagar Cluster</v>
          </cell>
        </row>
        <row r="649">
          <cell r="N649" t="str">
            <v>Basic USG, Tiffa,  X- Ray, Mammpography, IVP, RGU, MCGU, Barium Swallow, Barium Enemma, HSG</v>
          </cell>
          <cell r="O649" t="str">
            <v>Radiology</v>
          </cell>
          <cell r="P649" t="str">
            <v>Consultant Radiologist</v>
          </cell>
          <cell r="Q649" t="str">
            <v>Dr L T Kishore</v>
          </cell>
          <cell r="R649">
            <v>44545</v>
          </cell>
          <cell r="S649">
            <v>44545</v>
          </cell>
          <cell r="T649">
            <v>45274</v>
          </cell>
          <cell r="U649">
            <v>45274</v>
          </cell>
          <cell r="V649">
            <v>2017</v>
          </cell>
          <cell r="W649" t="str">
            <v>Deccen College of Medical Sciences</v>
          </cell>
          <cell r="X649">
            <v>2021</v>
          </cell>
          <cell r="Y649" t="str">
            <v>Shadan Institute of Medical Sciences</v>
          </cell>
          <cell r="AA649" t="str">
            <v>MBBS, MD - Radio Diagnosis</v>
          </cell>
          <cell r="AE649">
            <v>9703890632</v>
          </cell>
          <cell r="AF649" t="str">
            <v>zoonik93@gmail.com</v>
          </cell>
          <cell r="AG649" t="str">
            <v>ICICI Bank</v>
          </cell>
          <cell r="AH649" t="str">
            <v>112401001138</v>
          </cell>
          <cell r="AI649" t="str">
            <v>ICIC0001124</v>
          </cell>
          <cell r="AJ649" t="str">
            <v>ABIPZ4224C</v>
          </cell>
          <cell r="AK649" t="str">
            <v>401863746325</v>
          </cell>
          <cell r="AL649" t="str">
            <v>Javid Hussain Khan</v>
          </cell>
          <cell r="AM649">
            <v>44754</v>
          </cell>
          <cell r="AN649">
            <v>44706</v>
          </cell>
          <cell r="AW649">
            <v>34207</v>
          </cell>
          <cell r="AX649" t="str">
            <v>Female</v>
          </cell>
          <cell r="AY649" t="str">
            <v>Part Time</v>
          </cell>
          <cell r="AZ649">
            <v>2</v>
          </cell>
        </row>
        <row r="650">
          <cell r="M650" t="str">
            <v>Habsiguda - 17</v>
          </cell>
          <cell r="N650" t="str">
            <v>Hematology, Cytopathology, Clinical Pathology</v>
          </cell>
          <cell r="O650" t="str">
            <v>Pathology</v>
          </cell>
          <cell r="P650" t="str">
            <v>Consultant Pathologist</v>
          </cell>
          <cell r="Q650" t="str">
            <v>Dr. Shashikanth</v>
          </cell>
          <cell r="R650">
            <v>44545</v>
          </cell>
          <cell r="S650">
            <v>44545</v>
          </cell>
          <cell r="T650">
            <v>45274</v>
          </cell>
          <cell r="U650">
            <v>45275</v>
          </cell>
          <cell r="V650">
            <v>2012</v>
          </cell>
          <cell r="W650" t="str">
            <v>Mediciti Institute of Medical Sciences</v>
          </cell>
          <cell r="X650">
            <v>2018</v>
          </cell>
          <cell r="Y650" t="str">
            <v>Kakatiya Medical College &amp; MGM Hospital</v>
          </cell>
          <cell r="Z650" t="str">
            <v>NA</v>
          </cell>
          <cell r="AA650" t="str">
            <v>MBBS, MD - Pathology</v>
          </cell>
          <cell r="AB650" t="str">
            <v>APMC/FMR/78255</v>
          </cell>
          <cell r="AC650" t="str">
            <v>Telangana State Medical Council</v>
          </cell>
          <cell r="AD650">
            <v>43846</v>
          </cell>
          <cell r="AE650">
            <v>45672</v>
          </cell>
          <cell r="AF650">
            <v>8885650988</v>
          </cell>
          <cell r="AG650" t="str">
            <v>jayavardhan_d@yahoo.co.in</v>
          </cell>
          <cell r="AH650" t="str">
            <v>HDFC Bank</v>
          </cell>
          <cell r="AI650" t="str">
            <v>16401530007654</v>
          </cell>
          <cell r="AJ650" t="str">
            <v>HDFC0001640</v>
          </cell>
          <cell r="AK650" t="str">
            <v>CCLPD1311G</v>
          </cell>
          <cell r="AL650" t="str">
            <v>494574100606</v>
          </cell>
          <cell r="AM650" t="str">
            <v>Dharipalli Nagabushanam</v>
          </cell>
          <cell r="AN650">
            <v>45138</v>
          </cell>
          <cell r="AW650">
            <v>32138</v>
          </cell>
          <cell r="AX650" t="str">
            <v>Male</v>
          </cell>
          <cell r="AY650" t="str">
            <v>Part Time</v>
          </cell>
          <cell r="AZ650">
            <v>4</v>
          </cell>
          <cell r="BA650">
            <v>8</v>
          </cell>
        </row>
        <row r="651">
          <cell r="M651" t="str">
            <v>Manchieral-105</v>
          </cell>
          <cell r="N651" t="str">
            <v>Biochemistry</v>
          </cell>
          <cell r="O651" t="str">
            <v>Biochemistry</v>
          </cell>
          <cell r="P651" t="str">
            <v>Consultant Biochemist</v>
          </cell>
          <cell r="Q651" t="str">
            <v>Dr. Bikash Chowdhary</v>
          </cell>
          <cell r="R651">
            <v>44545</v>
          </cell>
          <cell r="S651">
            <v>44545</v>
          </cell>
          <cell r="T651">
            <v>45274</v>
          </cell>
          <cell r="U651">
            <v>45275</v>
          </cell>
          <cell r="V651">
            <v>2015</v>
          </cell>
          <cell r="W651" t="str">
            <v>Chalemeda Anandrao Institute of Medical Sciences</v>
          </cell>
          <cell r="X651">
            <v>2021</v>
          </cell>
          <cell r="Y651" t="str">
            <v>Gandhi Medical College</v>
          </cell>
          <cell r="AA651" t="str">
            <v>MBBS, MD - Biochemistry</v>
          </cell>
          <cell r="AF651" t="str">
            <v>9502729407/9940442408</v>
          </cell>
          <cell r="AG651" t="str">
            <v>thirunaharinayana@gmail.com</v>
          </cell>
          <cell r="AH651" t="str">
            <v>SBI Bank</v>
          </cell>
          <cell r="AI651" t="str">
            <v>37823812153</v>
          </cell>
          <cell r="AJ651" t="str">
            <v>SBIN0007641</v>
          </cell>
          <cell r="AK651" t="str">
            <v>BBMPT8676H</v>
          </cell>
          <cell r="AL651" t="str">
            <v>337063915137</v>
          </cell>
          <cell r="AM651" t="str">
            <v>Thirunahari Suresh Babu</v>
          </cell>
          <cell r="AN651">
            <v>44865</v>
          </cell>
          <cell r="AO651">
            <v>44802</v>
          </cell>
          <cell r="AS651" t="e">
            <v>#REF!</v>
          </cell>
          <cell r="AW651">
            <v>33810</v>
          </cell>
          <cell r="AX651" t="str">
            <v>Female</v>
          </cell>
          <cell r="AY651" t="str">
            <v>Part Time</v>
          </cell>
          <cell r="AZ651">
            <v>4</v>
          </cell>
          <cell r="BA651">
            <v>10.5</v>
          </cell>
        </row>
        <row r="652">
          <cell r="M652" t="str">
            <v>Kurnool - 43</v>
          </cell>
          <cell r="N652" t="str">
            <v>Basic USG, Tiffa, MSK, X- Ray, Mammpography, IVP, RGU, MCGU, Barium Swallow, Barium Enemma, HSG, Basic CT and Basic MRI</v>
          </cell>
          <cell r="O652" t="str">
            <v>Radiology</v>
          </cell>
          <cell r="P652" t="str">
            <v>Consultant Radiologist</v>
          </cell>
          <cell r="Q652" t="str">
            <v>Dr. Krishna Mohan Pottala</v>
          </cell>
          <cell r="R652">
            <v>44545</v>
          </cell>
          <cell r="S652">
            <v>44545</v>
          </cell>
          <cell r="T652">
            <v>45274</v>
          </cell>
          <cell r="U652">
            <v>45275</v>
          </cell>
          <cell r="V652">
            <v>2013</v>
          </cell>
          <cell r="W652" t="str">
            <v>Government Medical College</v>
          </cell>
          <cell r="X652">
            <v>2019</v>
          </cell>
          <cell r="Y652" t="str">
            <v>JJMMC</v>
          </cell>
          <cell r="Z652" t="str">
            <v>NA</v>
          </cell>
          <cell r="AA652" t="str">
            <v>MBBS, MD - Radio Diagnosis</v>
          </cell>
          <cell r="AB652" t="str">
            <v>APMC/FMR/85091</v>
          </cell>
          <cell r="AC652" t="str">
            <v>Andhra Pradesh Medical Council</v>
          </cell>
          <cell r="AD652">
            <v>43649</v>
          </cell>
          <cell r="AE652">
            <v>45475</v>
          </cell>
          <cell r="AF652" t="str">
            <v xml:space="preserve">9440512520 , 8073866241 </v>
          </cell>
          <cell r="AG652" t="str">
            <v>nivedithak.kodali@gmail.com</v>
          </cell>
          <cell r="AH652" t="str">
            <v>SBI Bank</v>
          </cell>
          <cell r="AI652" t="str">
            <v>20130866641</v>
          </cell>
          <cell r="AJ652" t="str">
            <v>SBIN0012719</v>
          </cell>
          <cell r="AK652" t="str">
            <v>BBVPN7382R</v>
          </cell>
          <cell r="AL652" t="str">
            <v>953314638817</v>
          </cell>
          <cell r="AM652" t="str">
            <v>K Muralidhara</v>
          </cell>
          <cell r="AN652">
            <v>45108</v>
          </cell>
          <cell r="AS652" t="e">
            <v>#N/A</v>
          </cell>
          <cell r="AW652">
            <v>33433</v>
          </cell>
          <cell r="AX652" t="str">
            <v>Female</v>
          </cell>
          <cell r="AY652" t="str">
            <v>Full Time</v>
          </cell>
          <cell r="AZ652">
            <v>8</v>
          </cell>
          <cell r="BA652">
            <v>8</v>
          </cell>
        </row>
        <row r="653">
          <cell r="M653" t="str">
            <v>Himayatnagar</v>
          </cell>
          <cell r="N653" t="str">
            <v>N/A</v>
          </cell>
          <cell r="O653" t="str">
            <v>Pathology</v>
          </cell>
          <cell r="P653" t="str">
            <v>Consultant Pathologist</v>
          </cell>
          <cell r="Q653" t="str">
            <v>Dr P T S Shashikant</v>
          </cell>
          <cell r="R653">
            <v>45236</v>
          </cell>
          <cell r="S653">
            <v>45236</v>
          </cell>
          <cell r="T653">
            <v>45966</v>
          </cell>
          <cell r="U653">
            <v>45967</v>
          </cell>
          <cell r="V653">
            <v>2018</v>
          </cell>
          <cell r="W653" t="str">
            <v>Kakatiya Medical College</v>
          </cell>
          <cell r="X653">
            <v>2022</v>
          </cell>
          <cell r="Y653" t="str">
            <v>Nizam Institute of Medical Science</v>
          </cell>
          <cell r="Z653" t="str">
            <v>NA</v>
          </cell>
          <cell r="AA653" t="str">
            <v>MBBS,MD</v>
          </cell>
          <cell r="AB653" t="str">
            <v>TSMC/FMR/06417</v>
          </cell>
          <cell r="AC653" t="str">
            <v>Telangana State Medical Council</v>
          </cell>
          <cell r="AD653">
            <v>45117</v>
          </cell>
          <cell r="AE653">
            <v>46943</v>
          </cell>
          <cell r="AF653">
            <v>9550248164</v>
          </cell>
          <cell r="AG653" t="str">
            <v>sthussain95@gmail.com</v>
          </cell>
          <cell r="AH653" t="str">
            <v>Union Bank of India</v>
          </cell>
          <cell r="AI653">
            <v>107910100074871</v>
          </cell>
          <cell r="AJ653" t="str">
            <v>UBIN0810797</v>
          </cell>
          <cell r="AK653" t="str">
            <v>BBQPH0001L</v>
          </cell>
          <cell r="AL653">
            <v>663123798252</v>
          </cell>
          <cell r="AN653">
            <v>45486</v>
          </cell>
          <cell r="AO653">
            <v>45479</v>
          </cell>
          <cell r="AP653" t="str">
            <v>Health issues</v>
          </cell>
          <cell r="AQ653" t="str">
            <v>8-2-686/K/31, Inside Kaman, Road No. 12, Banjara Hills, Hyderabad, Telangana - 500034</v>
          </cell>
          <cell r="AS653" t="str">
            <v>8-2-686/K/31, Inside Kaman, Road No. 12, Banjara Hills, Hyderabad, Telangana - 500034</v>
          </cell>
          <cell r="AU653">
            <v>0.54166666666666663</v>
          </cell>
          <cell r="AV653">
            <v>0.875</v>
          </cell>
          <cell r="AW653">
            <v>34722</v>
          </cell>
          <cell r="AX653" t="str">
            <v>Male</v>
          </cell>
          <cell r="AY653" t="str">
            <v>Full Time</v>
          </cell>
          <cell r="AZ653">
            <v>8</v>
          </cell>
          <cell r="BA653" t="str">
            <v>Himayathnagar Cluster</v>
          </cell>
        </row>
        <row r="654">
          <cell r="M654" t="str">
            <v>Manchieral-105</v>
          </cell>
          <cell r="N654" t="str">
            <v>Biochemistry</v>
          </cell>
          <cell r="O654" t="str">
            <v>Biochemistry</v>
          </cell>
          <cell r="P654" t="str">
            <v>Consultant Biochemist</v>
          </cell>
          <cell r="Q654" t="str">
            <v>Dr. Bikash Chowdhary</v>
          </cell>
          <cell r="R654">
            <v>44550</v>
          </cell>
          <cell r="S654">
            <v>44550</v>
          </cell>
          <cell r="T654">
            <v>45279</v>
          </cell>
          <cell r="U654">
            <v>45280</v>
          </cell>
          <cell r="V654">
            <v>2014</v>
          </cell>
          <cell r="W654" t="str">
            <v>Deccan College Of Medical Sciences</v>
          </cell>
          <cell r="X654">
            <v>2019</v>
          </cell>
          <cell r="Y654" t="str">
            <v>Osmania Medical College</v>
          </cell>
          <cell r="Z654" t="str">
            <v>NA</v>
          </cell>
          <cell r="AA654" t="str">
            <v>MBBS, MD - Biochemistry</v>
          </cell>
          <cell r="AB654" t="str">
            <v>APMC/FMR/86500</v>
          </cell>
          <cell r="AC654" t="str">
            <v>Telangana State Medical Council</v>
          </cell>
          <cell r="AD654">
            <v>43666</v>
          </cell>
          <cell r="AE654">
            <v>45492</v>
          </cell>
          <cell r="AF654">
            <v>9052116933</v>
          </cell>
          <cell r="AG654" t="str">
            <v>connect_nida@yahoo.com</v>
          </cell>
          <cell r="AH654" t="str">
            <v>Axis Bank</v>
          </cell>
          <cell r="AI654" t="str">
            <v>915010052450813</v>
          </cell>
          <cell r="AJ654" t="str">
            <v>UTIB0000008</v>
          </cell>
          <cell r="AK654" t="str">
            <v>BMFPA0108M</v>
          </cell>
          <cell r="AL654" t="str">
            <v>580576072352</v>
          </cell>
          <cell r="AM654" t="str">
            <v>A F Fazlullah</v>
          </cell>
          <cell r="AN654">
            <v>45211</v>
          </cell>
          <cell r="AO654">
            <v>45150</v>
          </cell>
          <cell r="AW654">
            <v>33107</v>
          </cell>
          <cell r="AX654" t="str">
            <v>Male</v>
          </cell>
          <cell r="AY654" t="str">
            <v>Part Time</v>
          </cell>
          <cell r="AZ654">
            <v>8</v>
          </cell>
          <cell r="BA654">
            <v>10.5</v>
          </cell>
        </row>
        <row r="655">
          <cell r="M655" t="str">
            <v>Dwarakanagar - 6</v>
          </cell>
          <cell r="O655" t="str">
            <v>Pathology</v>
          </cell>
          <cell r="P655" t="str">
            <v>Consultant Pathologist</v>
          </cell>
          <cell r="Q655" t="str">
            <v>Dr Shashikanth</v>
          </cell>
          <cell r="R655">
            <v>44564</v>
          </cell>
          <cell r="S655">
            <v>44564</v>
          </cell>
          <cell r="T655">
            <v>45293</v>
          </cell>
          <cell r="U655">
            <v>45294</v>
          </cell>
          <cell r="W655">
            <v>2010</v>
          </cell>
          <cell r="X655" t="str">
            <v>Andhra Medical College</v>
          </cell>
          <cell r="Y655">
            <v>2016</v>
          </cell>
          <cell r="Z655" t="str">
            <v>Rangaraya Medical College</v>
          </cell>
          <cell r="AA655" t="str">
            <v>MBBS, Diploma in Clinical Pathology</v>
          </cell>
          <cell r="AB655" t="str">
            <v>APMC/FMR/99542</v>
          </cell>
          <cell r="AC655" t="str">
            <v>Andhra Pradesh Medical Council</v>
          </cell>
          <cell r="AD655">
            <v>44249</v>
          </cell>
          <cell r="AE655">
            <v>46074</v>
          </cell>
          <cell r="AF655">
            <v>7601091442</v>
          </cell>
          <cell r="AG655" t="str">
            <v>mounasanthisree176@gmail.com</v>
          </cell>
          <cell r="AH655" t="str">
            <v>SBI Bank</v>
          </cell>
          <cell r="AI655" t="str">
            <v>30960414802</v>
          </cell>
          <cell r="AJ655" t="str">
            <v>SBIN0004158</v>
          </cell>
          <cell r="AK655" t="str">
            <v>BPBPB3177C</v>
          </cell>
          <cell r="AL655" t="str">
            <v>602545675378</v>
          </cell>
          <cell r="AM655" t="str">
            <v>Pothana Raju Bayye</v>
          </cell>
          <cell r="AN655">
            <v>44797</v>
          </cell>
          <cell r="AO655">
            <v>44737</v>
          </cell>
          <cell r="AW655">
            <v>34193</v>
          </cell>
          <cell r="AX655" t="str">
            <v>Female</v>
          </cell>
          <cell r="AY655" t="str">
            <v>Full Time</v>
          </cell>
          <cell r="AZ655">
            <v>8</v>
          </cell>
          <cell r="BA655">
            <v>8</v>
          </cell>
        </row>
        <row r="656">
          <cell r="M656" t="str">
            <v>Kurnool - 43</v>
          </cell>
          <cell r="N656" t="str">
            <v>Basic CT, All Angios, Virtual Endoscopy, CT Enteroclysis, CT Guided procedures, Basic MRI, MR Defacography, MR Prostrate</v>
          </cell>
          <cell r="O656" t="str">
            <v>Radiology</v>
          </cell>
          <cell r="P656" t="str">
            <v>Consultant Radiologist</v>
          </cell>
          <cell r="Q656" t="str">
            <v>Dr. Krishna Mohan Pottala</v>
          </cell>
          <cell r="R656">
            <v>44567</v>
          </cell>
          <cell r="S656">
            <v>45278</v>
          </cell>
          <cell r="T656">
            <v>46008</v>
          </cell>
          <cell r="U656">
            <v>46009</v>
          </cell>
          <cell r="V656">
            <v>2013</v>
          </cell>
          <cell r="W656" t="str">
            <v>PES Institute of Medical sciences and Research</v>
          </cell>
          <cell r="X656">
            <v>2017</v>
          </cell>
          <cell r="Y656" t="str">
            <v>Kurnool Medical College</v>
          </cell>
          <cell r="Z656" t="str">
            <v>NA</v>
          </cell>
          <cell r="AA656" t="str">
            <v>MBBS, MD - Radio Diagnosis</v>
          </cell>
          <cell r="AB656" t="str">
            <v>APMC/FMR/80055</v>
          </cell>
          <cell r="AC656" t="str">
            <v>Andhra Pradesh Medical Council</v>
          </cell>
          <cell r="AD656">
            <v>43423</v>
          </cell>
          <cell r="AE656">
            <v>45248</v>
          </cell>
          <cell r="AF656">
            <v>9985736910</v>
          </cell>
          <cell r="AG656" t="str">
            <v>arun.reddy9985@gmail.com</v>
          </cell>
          <cell r="AH656" t="str">
            <v>HDFC Bank</v>
          </cell>
          <cell r="AI656" t="str">
            <v>50100250895424</v>
          </cell>
          <cell r="AJ656" t="str">
            <v>HDFC0009095</v>
          </cell>
          <cell r="AK656" t="str">
            <v>BNFPB6335N</v>
          </cell>
          <cell r="AL656" t="str">
            <v>285282725907</v>
          </cell>
          <cell r="AM656" t="str">
            <v>B C Mohan Reddy</v>
          </cell>
          <cell r="AN656">
            <v>45276</v>
          </cell>
          <cell r="AU656">
            <v>0.66666666666666663</v>
          </cell>
          <cell r="AV656">
            <v>0.875</v>
          </cell>
          <cell r="AW656">
            <v>32575</v>
          </cell>
          <cell r="AX656" t="str">
            <v>Male</v>
          </cell>
          <cell r="AY656" t="str">
            <v>Part Time</v>
          </cell>
          <cell r="AZ656">
            <v>5</v>
          </cell>
          <cell r="BA656">
            <v>8</v>
          </cell>
        </row>
        <row r="657">
          <cell r="M657" t="str">
            <v>Himayatnagar</v>
          </cell>
          <cell r="N657" t="str">
            <v>Basic USG, Tiffa, Basic CT, All Angios, Basic MRI, Cardiac MR, X Ray, Plain Radiology, Mammography, IVP, RGU, MCGU, Barium Swallow, Barium Anema, HSG</v>
          </cell>
          <cell r="O657" t="str">
            <v>Radiology</v>
          </cell>
          <cell r="P657" t="str">
            <v>Consultant Radiologist</v>
          </cell>
          <cell r="Q657" t="str">
            <v>Dr.Krishna Mohan</v>
          </cell>
          <cell r="R657">
            <v>45261</v>
          </cell>
          <cell r="S657">
            <v>45261</v>
          </cell>
          <cell r="T657">
            <v>45991</v>
          </cell>
          <cell r="U657">
            <v>45992</v>
          </cell>
          <cell r="V657">
            <v>2003</v>
          </cell>
          <cell r="W657" t="str">
            <v>Christian Medical College</v>
          </cell>
          <cell r="X657">
            <v>2013</v>
          </cell>
          <cell r="Y657" t="str">
            <v>Ministry of Health and Family Welfare</v>
          </cell>
          <cell r="Z657" t="str">
            <v>NA</v>
          </cell>
          <cell r="AA657" t="str">
            <v>MBBS,MD</v>
          </cell>
          <cell r="AB657">
            <v>53178</v>
          </cell>
          <cell r="AC657" t="str">
            <v>Telangana State Medical Council</v>
          </cell>
          <cell r="AD657">
            <v>45236</v>
          </cell>
          <cell r="AE657">
            <v>47062</v>
          </cell>
          <cell r="AF657">
            <v>9633992680</v>
          </cell>
          <cell r="AG657" t="str">
            <v>sushmita.chilkuri@gmail.com</v>
          </cell>
          <cell r="AH657" t="str">
            <v>HDFC Bank</v>
          </cell>
          <cell r="AI657" t="str">
            <v>50100662632441</v>
          </cell>
          <cell r="AJ657" t="str">
            <v>HDFC0000472</v>
          </cell>
          <cell r="AK657" t="str">
            <v>AKGPC0279F</v>
          </cell>
          <cell r="AL657">
            <v>222830028452</v>
          </cell>
          <cell r="AN657">
            <v>45487</v>
          </cell>
          <cell r="AO657">
            <v>45427</v>
          </cell>
          <cell r="AP657" t="str">
            <v xml:space="preserve">Abroad </v>
          </cell>
          <cell r="AQ657" t="str">
            <v>H. No. 1-1-9/9/A, Jawahar Nagar, RTC X Roads, Musheerabad, Hyderabad, Telangana - 500020</v>
          </cell>
          <cell r="AS657" t="str">
            <v>H. No. 1-1-9/9/A, Jawahar Nagar, RTC X Roads, Musheerabad, Hyderabad, Telangana - 500020</v>
          </cell>
          <cell r="AU657">
            <v>0.41666666666666669</v>
          </cell>
          <cell r="AV657">
            <v>0.75</v>
          </cell>
          <cell r="AW657">
            <v>29366</v>
          </cell>
          <cell r="AX657" t="str">
            <v>Female</v>
          </cell>
          <cell r="AY657" t="str">
            <v>Full Time</v>
          </cell>
          <cell r="AZ657">
            <v>8</v>
          </cell>
          <cell r="BA657" t="str">
            <v>Himayathnagar Cluster</v>
          </cell>
        </row>
        <row r="658">
          <cell r="M658" t="str">
            <v>Lothukunta-90</v>
          </cell>
          <cell r="N658" t="str">
            <v>Doppler, USG - Routines, X Ray</v>
          </cell>
          <cell r="O658" t="str">
            <v>Radiology</v>
          </cell>
          <cell r="P658" t="str">
            <v>Consultant Radiologist</v>
          </cell>
          <cell r="Q658" t="str">
            <v>Dr. Krishna Mohan Pottala</v>
          </cell>
          <cell r="R658">
            <v>44566</v>
          </cell>
          <cell r="S658">
            <v>45139</v>
          </cell>
          <cell r="T658">
            <v>45869</v>
          </cell>
          <cell r="U658">
            <v>45870</v>
          </cell>
          <cell r="V658">
            <v>2014</v>
          </cell>
          <cell r="W658" t="str">
            <v>Gandhi Medical College</v>
          </cell>
          <cell r="X658">
            <v>2018</v>
          </cell>
          <cell r="Y658" t="str">
            <v>KIMS</v>
          </cell>
          <cell r="Z658" t="str">
            <v>NA</v>
          </cell>
          <cell r="AA658" t="str">
            <v>MBBS, DNB - Radiodiagnosis</v>
          </cell>
          <cell r="AB658" t="str">
            <v>APMC/FMR/86907</v>
          </cell>
          <cell r="AC658" t="str">
            <v>Telangana State Medical Council</v>
          </cell>
          <cell r="AD658">
            <v>43438</v>
          </cell>
          <cell r="AE658">
            <v>45263</v>
          </cell>
          <cell r="AF658">
            <v>9700229600</v>
          </cell>
          <cell r="AG658" t="str">
            <v>sanambbs888@gmail.com</v>
          </cell>
          <cell r="AH658" t="str">
            <v>HDFC Bank</v>
          </cell>
          <cell r="AI658" t="str">
            <v>50100269282965</v>
          </cell>
          <cell r="AJ658" t="str">
            <v>HDFC0001293</v>
          </cell>
          <cell r="AK658" t="str">
            <v>DRAPK6299H</v>
          </cell>
          <cell r="AL658" t="str">
            <v>362882478788</v>
          </cell>
          <cell r="AM658" t="str">
            <v>Balaiyah</v>
          </cell>
          <cell r="AN658">
            <v>45308</v>
          </cell>
          <cell r="AO658">
            <v>45293</v>
          </cell>
          <cell r="AQ658">
            <v>0</v>
          </cell>
          <cell r="AV658">
            <v>0.70833333333333337</v>
          </cell>
          <cell r="AW658">
            <v>32422</v>
          </cell>
          <cell r="AX658" t="str">
            <v>Male</v>
          </cell>
          <cell r="AY658" t="str">
            <v>Full Time</v>
          </cell>
          <cell r="AZ658">
            <v>4</v>
          </cell>
          <cell r="BA658" t="str">
            <v>Secunderabad Cluster</v>
          </cell>
        </row>
        <row r="659">
          <cell r="M659" t="str">
            <v>Kapra - 107</v>
          </cell>
          <cell r="N659" t="str">
            <v>USG Basic, Tiffa, Fetal Echo, MSK, Dopplers, Guided Procedured, X- Ray, Mammpography, IVP, RGU, MCGU, Barium Swallow, Barium Enemma, HSG, Basic CT, All Angios, CT Perfusion, CT Enteroclysis, MRI Basic, MR Prostrate, MR Neurography</v>
          </cell>
          <cell r="O659" t="str">
            <v>Radiology</v>
          </cell>
          <cell r="P659" t="str">
            <v>Consultant Radiologist</v>
          </cell>
          <cell r="Q659" t="str">
            <v>Dr L T Kishore</v>
          </cell>
          <cell r="R659">
            <v>44567</v>
          </cell>
          <cell r="S659">
            <v>44567</v>
          </cell>
          <cell r="T659">
            <v>45296</v>
          </cell>
          <cell r="U659">
            <v>45297</v>
          </cell>
          <cell r="V659">
            <v>2015</v>
          </cell>
          <cell r="W659" t="str">
            <v>Rajiv Gandhi University of Health Sciences</v>
          </cell>
          <cell r="X659">
            <v>2019</v>
          </cell>
          <cell r="Y659" t="str">
            <v>Kamineni Hospital</v>
          </cell>
          <cell r="AA659" t="str">
            <v>MBBS, DNB - Radiodiagnosis</v>
          </cell>
          <cell r="AB659" t="str">
            <v>TSMC/FMR/18479</v>
          </cell>
          <cell r="AC659" t="str">
            <v>Telangana State Medical Council</v>
          </cell>
          <cell r="AD659">
            <v>44522</v>
          </cell>
          <cell r="AE659">
            <v>46347</v>
          </cell>
          <cell r="AF659">
            <v>7411490699</v>
          </cell>
          <cell r="AG659" t="str">
            <v>pratibhasatyampet@gmail.com</v>
          </cell>
          <cell r="AH659" t="str">
            <v>SBI Bank</v>
          </cell>
          <cell r="AI659" t="str">
            <v>33667851483</v>
          </cell>
          <cell r="AJ659" t="str">
            <v>SBIN0001972</v>
          </cell>
          <cell r="AK659" t="str">
            <v>BRQPP9363R</v>
          </cell>
          <cell r="AL659" t="str">
            <v>540449984434</v>
          </cell>
          <cell r="AM659" t="str">
            <v>Basavaraja</v>
          </cell>
          <cell r="AW659">
            <v>34001</v>
          </cell>
          <cell r="AX659" t="str">
            <v>Female</v>
          </cell>
          <cell r="AY659" t="str">
            <v>Part Time</v>
          </cell>
          <cell r="AZ659">
            <v>2</v>
          </cell>
        </row>
        <row r="660">
          <cell r="M660" t="str">
            <v>Habsiguda - 17</v>
          </cell>
          <cell r="N660" t="str">
            <v>Hematology, Cytopathology, Clinical Pathology</v>
          </cell>
          <cell r="O660" t="str">
            <v>Pathology</v>
          </cell>
          <cell r="P660" t="str">
            <v>Consultant Pathologist</v>
          </cell>
          <cell r="Q660" t="str">
            <v>Dr Shashikanth</v>
          </cell>
          <cell r="R660">
            <v>44571</v>
          </cell>
          <cell r="S660">
            <v>44571</v>
          </cell>
          <cell r="T660">
            <v>45300</v>
          </cell>
          <cell r="U660">
            <v>45301</v>
          </cell>
          <cell r="V660">
            <v>2012</v>
          </cell>
          <cell r="W660" t="str">
            <v>Karnataka Institute of Medical Sciences</v>
          </cell>
          <cell r="X660">
            <v>2017</v>
          </cell>
          <cell r="Y660" t="str">
            <v>Rajarajeswari Medical College and Hospital</v>
          </cell>
          <cell r="AA660" t="str">
            <v>MBBS, MD - Pathology</v>
          </cell>
          <cell r="AF660">
            <v>9972423701</v>
          </cell>
          <cell r="AG660" t="str">
            <v>aakanshashukla2016@gmail.com</v>
          </cell>
          <cell r="AH660" t="str">
            <v>SBI Bank</v>
          </cell>
          <cell r="AI660" t="str">
            <v>37891562370</v>
          </cell>
          <cell r="AJ660" t="str">
            <v>SBIN0011394</v>
          </cell>
          <cell r="AK660" t="str">
            <v>BOAPS9113K</v>
          </cell>
          <cell r="AL660" t="str">
            <v>612119801980</v>
          </cell>
          <cell r="AM660" t="str">
            <v>Anil Kumar Shukla</v>
          </cell>
          <cell r="AN660">
            <v>44820</v>
          </cell>
          <cell r="AO660">
            <v>44754</v>
          </cell>
          <cell r="AS660" t="e">
            <v>#REF!</v>
          </cell>
          <cell r="AW660">
            <v>32393</v>
          </cell>
          <cell r="AX660" t="str">
            <v>Female</v>
          </cell>
          <cell r="AY660" t="str">
            <v>Full Time</v>
          </cell>
          <cell r="AZ660">
            <v>8</v>
          </cell>
          <cell r="BA660">
            <v>4</v>
          </cell>
        </row>
        <row r="661">
          <cell r="M661" t="str">
            <v>Dilsukhnagar - 12</v>
          </cell>
          <cell r="N661" t="str">
            <v>NA</v>
          </cell>
          <cell r="O661" t="str">
            <v>Physician Services</v>
          </cell>
          <cell r="P661" t="str">
            <v>Consultant Physician</v>
          </cell>
          <cell r="Q661" t="str">
            <v>Dr. PTS. Shashikanth</v>
          </cell>
          <cell r="R661">
            <v>44991</v>
          </cell>
          <cell r="S661">
            <v>44991</v>
          </cell>
          <cell r="T661">
            <v>45721</v>
          </cell>
          <cell r="U661">
            <v>45722</v>
          </cell>
          <cell r="V661">
            <v>2012</v>
          </cell>
          <cell r="W661" t="str">
            <v>Dr. NTR University of Health Sciences - 2012</v>
          </cell>
          <cell r="X661">
            <v>2017</v>
          </cell>
          <cell r="Y661" t="str">
            <v>Dr. NTR University of Health Sciences - 2017</v>
          </cell>
          <cell r="Z661" t="str">
            <v>NA</v>
          </cell>
          <cell r="AA661" t="str">
            <v>MD</v>
          </cell>
          <cell r="AB661" t="str">
            <v>APMC/FMR/82149</v>
          </cell>
          <cell r="AF661">
            <v>8374290969</v>
          </cell>
          <cell r="AG661" t="str">
            <v>drpavani.777@gmail.com</v>
          </cell>
          <cell r="AH661" t="str">
            <v>Bank of Baroda</v>
          </cell>
          <cell r="AI661">
            <v>52340100005731</v>
          </cell>
          <cell r="AJ661" t="str">
            <v>BARB0UPPALX</v>
          </cell>
          <cell r="AK661" t="str">
            <v>CHSPP2788R</v>
          </cell>
          <cell r="AL661" t="str">
            <v>330271618078</v>
          </cell>
          <cell r="AM661" t="str">
            <v>Krishna Prasad</v>
          </cell>
          <cell r="AN661">
            <v>45099</v>
          </cell>
          <cell r="AS661" t="e">
            <v>#N/A</v>
          </cell>
          <cell r="AW661">
            <v>32034</v>
          </cell>
          <cell r="AX661" t="str">
            <v>Female</v>
          </cell>
          <cell r="AY661" t="str">
            <v>Full Time</v>
          </cell>
          <cell r="AZ661">
            <v>6</v>
          </cell>
          <cell r="BA661" t="str">
            <v>Dilshuknagar Cluster</v>
          </cell>
        </row>
        <row r="662">
          <cell r="M662" t="str">
            <v>Moula-Ali - 86</v>
          </cell>
          <cell r="N662" t="str">
            <v>USG Basic, Tiffa, Dopplers, Guided Procedure, X- Ray, Mammography, IVP, RGU, MCGU, Barium Swallow, Barium Enemma, HSG, Basic CT, All Angios except Coronary</v>
          </cell>
          <cell r="O662" t="str">
            <v>Radiology</v>
          </cell>
          <cell r="P662" t="str">
            <v>Consultant Radiologist</v>
          </cell>
          <cell r="Q662" t="str">
            <v>Dr L T Kishore</v>
          </cell>
          <cell r="R662">
            <v>44588</v>
          </cell>
          <cell r="S662">
            <v>44588</v>
          </cell>
          <cell r="T662">
            <v>45317</v>
          </cell>
          <cell r="U662">
            <v>45318</v>
          </cell>
          <cell r="V662">
            <v>2012</v>
          </cell>
          <cell r="W662" t="str">
            <v>Kakatiya Medical College Warangal</v>
          </cell>
          <cell r="X662">
            <v>2021</v>
          </cell>
          <cell r="Y662" t="str">
            <v>Prathima Institute Of Medical Sciences</v>
          </cell>
          <cell r="AA662" t="str">
            <v>MBBS, MD - Radio Diagnosis</v>
          </cell>
          <cell r="AF662">
            <v>7386444766</v>
          </cell>
          <cell r="AG662" t="str">
            <v>dhruvusha.06@gmail.com</v>
          </cell>
          <cell r="AH662" t="str">
            <v>Bank of Baroda</v>
          </cell>
          <cell r="AI662" t="str">
            <v>24990100011011</v>
          </cell>
          <cell r="AJ662" t="str">
            <v>BARB0KHAMMA</v>
          </cell>
          <cell r="AK662" t="str">
            <v>CJVPM4650E</v>
          </cell>
          <cell r="AL662" t="str">
            <v>202498157484</v>
          </cell>
          <cell r="AM662" t="str">
            <v>Amgoth Ramulu</v>
          </cell>
          <cell r="AW662">
            <v>31618</v>
          </cell>
          <cell r="AX662" t="str">
            <v>Female</v>
          </cell>
          <cell r="AY662" t="str">
            <v>Part Time</v>
          </cell>
          <cell r="AZ662">
            <v>2</v>
          </cell>
          <cell r="BA662" t="str">
            <v>A.S. Rao Nagar Cluster</v>
          </cell>
        </row>
        <row r="663">
          <cell r="M663" t="str">
            <v>LBNagar - 87</v>
          </cell>
          <cell r="O663" t="str">
            <v>Physician Services</v>
          </cell>
          <cell r="P663" t="str">
            <v>Consultant Physician</v>
          </cell>
          <cell r="R663">
            <v>44588</v>
          </cell>
          <cell r="S663">
            <v>44588</v>
          </cell>
          <cell r="T663">
            <v>45317</v>
          </cell>
          <cell r="U663">
            <v>45318</v>
          </cell>
          <cell r="AA663" t="str">
            <v>MBBS</v>
          </cell>
          <cell r="AB663">
            <v>73979</v>
          </cell>
          <cell r="AC663" t="str">
            <v>Telangana State Medical Council</v>
          </cell>
          <cell r="AD663">
            <v>42773</v>
          </cell>
          <cell r="AE663">
            <v>44598</v>
          </cell>
          <cell r="AF663">
            <v>9963527578</v>
          </cell>
          <cell r="AG663" t="str">
            <v>drswethayadav9@gmail.com</v>
          </cell>
          <cell r="AH663" t="str">
            <v>SBI Bank</v>
          </cell>
          <cell r="AI663" t="str">
            <v>62461778756</v>
          </cell>
          <cell r="AJ663" t="str">
            <v>SBIN0021164</v>
          </cell>
          <cell r="AK663" t="str">
            <v>AFXPY6264Q</v>
          </cell>
          <cell r="AL663" t="str">
            <v>202194226151</v>
          </cell>
          <cell r="AM663" t="str">
            <v>Ravinder Yadav Baddula</v>
          </cell>
          <cell r="AW663">
            <v>31360</v>
          </cell>
          <cell r="AX663" t="str">
            <v>Female</v>
          </cell>
          <cell r="AY663" t="str">
            <v>Part Time</v>
          </cell>
          <cell r="AZ663">
            <v>1</v>
          </cell>
          <cell r="BA663">
            <v>1</v>
          </cell>
        </row>
        <row r="664">
          <cell r="M664" t="str">
            <v>Kukatpally - 20</v>
          </cell>
          <cell r="N664" t="str">
            <v>Physician Services</v>
          </cell>
          <cell r="O664" t="str">
            <v>Physician Services</v>
          </cell>
          <cell r="P664" t="str">
            <v>Consultant Physician</v>
          </cell>
          <cell r="Q664" t="str">
            <v>Ms. Suprita Reddy</v>
          </cell>
          <cell r="R664">
            <v>44588</v>
          </cell>
          <cell r="S664">
            <v>44588</v>
          </cell>
          <cell r="T664">
            <v>45317</v>
          </cell>
          <cell r="U664">
            <v>45318</v>
          </cell>
          <cell r="Z664" t="str">
            <v>NA</v>
          </cell>
          <cell r="AA664" t="str">
            <v>MBBS</v>
          </cell>
          <cell r="AB664">
            <v>74060</v>
          </cell>
          <cell r="AC664" t="str">
            <v>Telangana State Medical Council</v>
          </cell>
          <cell r="AD664">
            <v>43530</v>
          </cell>
          <cell r="AE664">
            <v>45356</v>
          </cell>
          <cell r="AF664">
            <v>9989968800</v>
          </cell>
          <cell r="AG664" t="str">
            <v>paddu1611@gmail.com</v>
          </cell>
          <cell r="AH664" t="str">
            <v>SBI Bank</v>
          </cell>
          <cell r="AI664" t="str">
            <v>20129755888</v>
          </cell>
          <cell r="AJ664" t="str">
            <v>SBIN0015901</v>
          </cell>
          <cell r="AK664" t="str">
            <v>ASIPC8759L</v>
          </cell>
          <cell r="AL664" t="str">
            <v>863679536515</v>
          </cell>
          <cell r="AM664" t="str">
            <v>Krishna Rama Chaluvadi</v>
          </cell>
          <cell r="AN664">
            <v>45203</v>
          </cell>
          <cell r="AU664" t="e">
            <v>#N/A</v>
          </cell>
          <cell r="AW664">
            <v>32310</v>
          </cell>
          <cell r="AX664" t="str">
            <v>Female</v>
          </cell>
          <cell r="AY664" t="str">
            <v>Part Time</v>
          </cell>
          <cell r="AZ664">
            <v>2</v>
          </cell>
          <cell r="BA664">
            <v>2</v>
          </cell>
        </row>
        <row r="665">
          <cell r="M665" t="str">
            <v>Habsiguda - 17</v>
          </cell>
          <cell r="N665" t="str">
            <v>Biochemistry</v>
          </cell>
          <cell r="O665" t="str">
            <v>Biochemistry</v>
          </cell>
          <cell r="P665" t="str">
            <v>Consultant Biochemist</v>
          </cell>
          <cell r="Q665" t="str">
            <v>Dr. Bikash Chowdhary</v>
          </cell>
          <cell r="R665">
            <v>44593</v>
          </cell>
          <cell r="S665">
            <v>44593</v>
          </cell>
          <cell r="T665">
            <v>45322</v>
          </cell>
          <cell r="U665">
            <v>45323</v>
          </cell>
          <cell r="V665">
            <v>2012</v>
          </cell>
          <cell r="W665" t="str">
            <v>Basaveswara Medical College</v>
          </cell>
          <cell r="X665">
            <v>2018</v>
          </cell>
          <cell r="Y665" t="str">
            <v>MNR Medical College</v>
          </cell>
          <cell r="AA665" t="str">
            <v>MBBS, MD - Biochemistry</v>
          </cell>
          <cell r="AB665" t="str">
            <v>APMC/FMR/90954</v>
          </cell>
          <cell r="AC665" t="str">
            <v>Telangana State Medical Council</v>
          </cell>
          <cell r="AD665">
            <v>44376</v>
          </cell>
          <cell r="AE665">
            <v>46201</v>
          </cell>
          <cell r="AF665">
            <v>9703690661</v>
          </cell>
          <cell r="AG665" t="str">
            <v>prathibha.arpula@gmail.com</v>
          </cell>
          <cell r="AH665" t="str">
            <v>HDFC Bank</v>
          </cell>
          <cell r="AI665" t="str">
            <v>50100095633750</v>
          </cell>
          <cell r="AJ665" t="str">
            <v>HDFC0000813</v>
          </cell>
          <cell r="AK665" t="str">
            <v>BGKPA1405Q</v>
          </cell>
          <cell r="AL665" t="str">
            <v>293038193954</v>
          </cell>
          <cell r="AM665" t="str">
            <v>Yadaiah Arpula</v>
          </cell>
          <cell r="AS665" t="e">
            <v>#REF!</v>
          </cell>
          <cell r="AW665">
            <v>32972</v>
          </cell>
          <cell r="AX665" t="str">
            <v>Female</v>
          </cell>
          <cell r="AY665" t="str">
            <v>Full Time</v>
          </cell>
          <cell r="AZ665">
            <v>8</v>
          </cell>
          <cell r="BA665">
            <v>4</v>
          </cell>
        </row>
        <row r="666">
          <cell r="M666" t="str">
            <v>Himayatnagar</v>
          </cell>
          <cell r="N666" t="str">
            <v>Biochemistry</v>
          </cell>
          <cell r="O666" t="str">
            <v>Biochemistry</v>
          </cell>
          <cell r="P666" t="str">
            <v>Consultant Biochemist</v>
          </cell>
          <cell r="Q666" t="str">
            <v>Dr. Bikash Chowdhary</v>
          </cell>
          <cell r="R666">
            <v>44594</v>
          </cell>
          <cell r="S666">
            <v>44594</v>
          </cell>
          <cell r="T666">
            <v>45323</v>
          </cell>
          <cell r="U666">
            <v>45324</v>
          </cell>
          <cell r="V666">
            <v>2008</v>
          </cell>
          <cell r="W666" t="str">
            <v>Mamata Medical College</v>
          </cell>
          <cell r="X666">
            <v>2019</v>
          </cell>
          <cell r="Y666" t="str">
            <v>Kamineni Institute of Medical Sciences</v>
          </cell>
          <cell r="Z666" t="str">
            <v>NA</v>
          </cell>
          <cell r="AA666" t="str">
            <v>MBBS, MD - Biochemistry</v>
          </cell>
          <cell r="AF666">
            <v>8125252549</v>
          </cell>
          <cell r="AG666" t="str">
            <v>reddy.msujana@gmail.com</v>
          </cell>
          <cell r="AH666" t="str">
            <v>HDFC Bank</v>
          </cell>
          <cell r="AI666" t="str">
            <v>50100089408162</v>
          </cell>
          <cell r="AJ666" t="str">
            <v>HDFC0001628</v>
          </cell>
          <cell r="AK666" t="str">
            <v>CWLPM8884M</v>
          </cell>
          <cell r="AL666" t="str">
            <v>807413090665</v>
          </cell>
          <cell r="AM666" t="str">
            <v>Venkat Ramana Matta</v>
          </cell>
          <cell r="AN666">
            <v>45106</v>
          </cell>
          <cell r="AS666" t="e">
            <v>#N/A</v>
          </cell>
          <cell r="AW666">
            <v>30445</v>
          </cell>
          <cell r="AX666" t="str">
            <v>Female</v>
          </cell>
          <cell r="AY666" t="str">
            <v>Full Time</v>
          </cell>
          <cell r="AZ666">
            <v>8</v>
          </cell>
          <cell r="BA666">
            <v>8</v>
          </cell>
        </row>
        <row r="667">
          <cell r="M667" t="str">
            <v>Habsiguda - 17</v>
          </cell>
          <cell r="N667" t="str">
            <v>Hematology, Cytopathology, Clinical Pathology</v>
          </cell>
          <cell r="O667" t="str">
            <v>Pathology</v>
          </cell>
          <cell r="P667" t="str">
            <v>Consultant Pathologist</v>
          </cell>
          <cell r="Q667" t="str">
            <v>Dr Shashikanth</v>
          </cell>
          <cell r="R667">
            <v>44594</v>
          </cell>
          <cell r="S667">
            <v>44594</v>
          </cell>
          <cell r="T667">
            <v>45323</v>
          </cell>
          <cell r="U667">
            <v>45324</v>
          </cell>
          <cell r="V667">
            <v>2012</v>
          </cell>
          <cell r="W667" t="str">
            <v>MNR Medical College</v>
          </cell>
          <cell r="X667">
            <v>2021</v>
          </cell>
          <cell r="Y667" t="str">
            <v>Mamata medical college</v>
          </cell>
          <cell r="AA667" t="str">
            <v>MBBS, MD - Pathology</v>
          </cell>
          <cell r="AF667" t="str">
            <v>8790468103 / 8179465320 </v>
          </cell>
          <cell r="AG667" t="str">
            <v>prabhareddy21@gmail.com</v>
          </cell>
          <cell r="AH667" t="str">
            <v>SBI Bank</v>
          </cell>
          <cell r="AI667" t="str">
            <v>62168359025</v>
          </cell>
          <cell r="AJ667" t="str">
            <v>SBIN0020848</v>
          </cell>
          <cell r="AK667" t="str">
            <v>CODPM3846M</v>
          </cell>
          <cell r="AL667" t="str">
            <v>825303121050</v>
          </cell>
          <cell r="AM667" t="str">
            <v>Nagarjun Reddy Mallipeddi</v>
          </cell>
          <cell r="AN667">
            <v>44798</v>
          </cell>
          <cell r="AS667" t="e">
            <v>#REF!</v>
          </cell>
          <cell r="AW667">
            <v>32772</v>
          </cell>
          <cell r="AX667" t="str">
            <v>Female</v>
          </cell>
          <cell r="AY667" t="str">
            <v>Part Time</v>
          </cell>
          <cell r="AZ667">
            <v>5.5</v>
          </cell>
          <cell r="BA667">
            <v>4</v>
          </cell>
        </row>
        <row r="668">
          <cell r="M668" t="str">
            <v>Habsiguda - 17</v>
          </cell>
          <cell r="N668" t="str">
            <v>Hematology, Cytopathology, Clinical Pathology</v>
          </cell>
          <cell r="O668" t="str">
            <v>Pathology</v>
          </cell>
          <cell r="P668" t="str">
            <v>Consultant Pathologist</v>
          </cell>
          <cell r="Q668" t="str">
            <v>Dr Shashikanth</v>
          </cell>
          <cell r="R668">
            <v>44594</v>
          </cell>
          <cell r="S668">
            <v>44594</v>
          </cell>
          <cell r="T668">
            <v>45323</v>
          </cell>
          <cell r="U668">
            <v>45324</v>
          </cell>
          <cell r="V668">
            <v>2010</v>
          </cell>
          <cell r="W668" t="str">
            <v>Chalmeda Anand Rao Institute of Medical Sciences</v>
          </cell>
          <cell r="X668">
            <v>2021</v>
          </cell>
          <cell r="Y668" t="str">
            <v>Mediciti Institute of Medical Sciences</v>
          </cell>
          <cell r="AA668" t="str">
            <v>MBBS, MD - Pathology</v>
          </cell>
          <cell r="AF668">
            <v>9553139588</v>
          </cell>
          <cell r="AG668" t="str">
            <v>dr.tejaswireddym@gmail.com</v>
          </cell>
          <cell r="AH668" t="str">
            <v>HDFC Bank</v>
          </cell>
          <cell r="AI668" t="str">
            <v>04181140011222</v>
          </cell>
          <cell r="AJ668" t="str">
            <v>HDFC0000418</v>
          </cell>
          <cell r="AK668" t="str">
            <v>CMFPM2451J</v>
          </cell>
          <cell r="AL668" t="str">
            <v>632042114161</v>
          </cell>
          <cell r="AM668" t="str">
            <v>Mohan Reddy Meda</v>
          </cell>
          <cell r="AO668">
            <v>44798</v>
          </cell>
          <cell r="AS668" t="e">
            <v>#REF!</v>
          </cell>
          <cell r="AW668">
            <v>31710</v>
          </cell>
          <cell r="AX668" t="str">
            <v>Female</v>
          </cell>
          <cell r="AY668" t="str">
            <v>Part Time</v>
          </cell>
          <cell r="AZ668">
            <v>3</v>
          </cell>
          <cell r="BA668">
            <v>4</v>
          </cell>
        </row>
        <row r="669">
          <cell r="M669" t="str">
            <v>Kavuri Hills-5</v>
          </cell>
          <cell r="N669" t="str">
            <v>USG Basic, Tiffa, Fetal Echo, MSK, Dopplers, Guided Procedures, X- Ray, Mammography, IVP, RGU, MCGU, Barium Swallow, Barium Enema, HSG, Basic CT,MRI Basic</v>
          </cell>
          <cell r="O669" t="str">
            <v>Radiology</v>
          </cell>
          <cell r="P669" t="str">
            <v>Consultant Radiologist</v>
          </cell>
          <cell r="Q669" t="str">
            <v>Dr L T Kishore</v>
          </cell>
          <cell r="R669">
            <v>44596</v>
          </cell>
          <cell r="S669">
            <v>44596</v>
          </cell>
          <cell r="T669">
            <v>45325</v>
          </cell>
          <cell r="U669">
            <v>45326</v>
          </cell>
          <cell r="V669">
            <v>2013</v>
          </cell>
          <cell r="W669" t="str">
            <v>Sri Ramachandra Medical College</v>
          </cell>
          <cell r="X669">
            <v>2017</v>
          </cell>
          <cell r="Y669" t="str">
            <v>Sri Ramachandra Medical College</v>
          </cell>
          <cell r="AA669" t="str">
            <v>MBBS, MD - Radio Diagnosis</v>
          </cell>
          <cell r="AB669" t="str">
            <v>TSMC/FMR/05064</v>
          </cell>
          <cell r="AC669" t="str">
            <v>Telangana State Medical Council</v>
          </cell>
          <cell r="AD669">
            <v>43470</v>
          </cell>
          <cell r="AE669">
            <v>45295</v>
          </cell>
          <cell r="AF669">
            <v>9059688543</v>
          </cell>
          <cell r="AG669" t="str">
            <v>dr.niharikakadiyalaa@gmail.com</v>
          </cell>
          <cell r="AH669" t="str">
            <v>ICICI Bank</v>
          </cell>
          <cell r="AI669" t="str">
            <v>004001039998</v>
          </cell>
          <cell r="AJ669" t="str">
            <v>ICIC0000040</v>
          </cell>
          <cell r="AK669" t="str">
            <v>DJUPK9013B</v>
          </cell>
          <cell r="AL669" t="str">
            <v>929116456643</v>
          </cell>
          <cell r="AM669" t="str">
            <v>Subba Rao Kadiyala</v>
          </cell>
          <cell r="AN669">
            <v>44689</v>
          </cell>
          <cell r="AO669" t="str">
            <v>NA</v>
          </cell>
          <cell r="AP669" t="str">
            <v>Not Applicable - Absconded</v>
          </cell>
          <cell r="AW669">
            <v>32977</v>
          </cell>
          <cell r="AX669" t="str">
            <v>Female</v>
          </cell>
          <cell r="AY669" t="str">
            <v>Part Time</v>
          </cell>
          <cell r="AZ669">
            <v>2</v>
          </cell>
          <cell r="BA669" t="str">
            <v>Madhapur Cluster</v>
          </cell>
        </row>
        <row r="670">
          <cell r="M670" t="str">
            <v>A S Rao Nagar - 18</v>
          </cell>
          <cell r="O670" t="str">
            <v>Physician Services</v>
          </cell>
          <cell r="P670" t="str">
            <v>Consultant Physician</v>
          </cell>
          <cell r="R670">
            <v>44599</v>
          </cell>
          <cell r="S670">
            <v>44599</v>
          </cell>
          <cell r="T670">
            <v>45328</v>
          </cell>
          <cell r="U670">
            <v>45329</v>
          </cell>
          <cell r="AA670" t="str">
            <v>MBBS</v>
          </cell>
          <cell r="AB670" t="str">
            <v>TSMC/FMR/10373</v>
          </cell>
          <cell r="AC670" t="str">
            <v>Telangana State Medical Council</v>
          </cell>
          <cell r="AD670">
            <v>43766</v>
          </cell>
          <cell r="AE670">
            <v>45593</v>
          </cell>
          <cell r="AF670">
            <v>8886840402</v>
          </cell>
          <cell r="AG670" t="str">
            <v>shravani0402@gmail.com</v>
          </cell>
          <cell r="AH670" t="str">
            <v>Kotak Mahindra Bank</v>
          </cell>
          <cell r="AI670" t="str">
            <v>0213490209</v>
          </cell>
          <cell r="AJ670" t="str">
            <v>KKBK0008376</v>
          </cell>
          <cell r="AK670" t="str">
            <v>EUVPK7456M</v>
          </cell>
          <cell r="AL670" t="str">
            <v>635253239137</v>
          </cell>
          <cell r="AM670" t="str">
            <v>Shivkumar Kola</v>
          </cell>
          <cell r="AO670">
            <v>44659</v>
          </cell>
          <cell r="AW670">
            <v>34734</v>
          </cell>
          <cell r="AX670" t="str">
            <v>Female</v>
          </cell>
          <cell r="AY670" t="str">
            <v>Part Time</v>
          </cell>
          <cell r="AZ670">
            <v>2</v>
          </cell>
          <cell r="BA670" t="str">
            <v>A.S. Rao Nagar Cluster</v>
          </cell>
        </row>
        <row r="671">
          <cell r="M671" t="str">
            <v>Film Nagar - 38</v>
          </cell>
          <cell r="O671" t="str">
            <v>Physician Services</v>
          </cell>
          <cell r="P671" t="str">
            <v>Consultant Physician</v>
          </cell>
          <cell r="R671">
            <v>44601</v>
          </cell>
          <cell r="S671">
            <v>44601</v>
          </cell>
          <cell r="T671">
            <v>45330</v>
          </cell>
          <cell r="U671">
            <v>45331</v>
          </cell>
          <cell r="AA671" t="str">
            <v>MBBS</v>
          </cell>
          <cell r="AB671" t="str">
            <v>TSMC/FMR/08810</v>
          </cell>
          <cell r="AC671" t="str">
            <v>Telangana State Medical Council</v>
          </cell>
          <cell r="AD671">
            <v>43645</v>
          </cell>
          <cell r="AE671">
            <v>45472</v>
          </cell>
          <cell r="AF671">
            <v>9247711220</v>
          </cell>
          <cell r="AG671" t="str">
            <v>vijayalakshmichaluvadi45@gmail.com</v>
          </cell>
          <cell r="AH671" t="str">
            <v>SBI Bank</v>
          </cell>
          <cell r="AI671" t="str">
            <v>62346333195</v>
          </cell>
          <cell r="AJ671" t="str">
            <v>SBIN0020981</v>
          </cell>
          <cell r="AK671" t="str">
            <v>BAVPC5820N</v>
          </cell>
          <cell r="AL671" t="str">
            <v>474934364767</v>
          </cell>
          <cell r="AM671" t="str">
            <v>Ravinder Chaluvadi</v>
          </cell>
          <cell r="AN671">
            <v>44822</v>
          </cell>
          <cell r="AO671">
            <v>44761</v>
          </cell>
          <cell r="AS671" t="e">
            <v>#REF!</v>
          </cell>
          <cell r="AW671">
            <v>35069</v>
          </cell>
          <cell r="AX671" t="str">
            <v>Female</v>
          </cell>
          <cell r="AY671" t="str">
            <v>Part Time</v>
          </cell>
          <cell r="AZ671">
            <v>1</v>
          </cell>
          <cell r="BA671" t="str">
            <v>Himayathnagar Cluster</v>
          </cell>
        </row>
        <row r="672">
          <cell r="M672" t="str">
            <v>Karmanghat - 68</v>
          </cell>
          <cell r="N672" t="str">
            <v>USG Basic, Tiffa, MSK, Penile Dopplers, Guided Procedured, X- Ray, Mammography, IVP, RGU, MCGU, Barium Swallow, Barium Enemma, HSG, Basic CT, All Angios, CT Enteroclysis, Basic MR, Fetal MR</v>
          </cell>
          <cell r="O672" t="str">
            <v>Radiology</v>
          </cell>
          <cell r="P672" t="str">
            <v>Consultant Radiologist</v>
          </cell>
          <cell r="Q672" t="str">
            <v>Dr L T Kishore</v>
          </cell>
          <cell r="R672">
            <v>44601</v>
          </cell>
          <cell r="S672">
            <v>44601</v>
          </cell>
          <cell r="T672">
            <v>45330</v>
          </cell>
          <cell r="U672">
            <v>45331</v>
          </cell>
          <cell r="V672">
            <v>2013</v>
          </cell>
          <cell r="W672" t="str">
            <v>PES Institute of Medical Sciences</v>
          </cell>
          <cell r="X672">
            <v>2018</v>
          </cell>
          <cell r="Y672" t="str">
            <v>Narayana Medical College</v>
          </cell>
          <cell r="AA672" t="str">
            <v>MBBS, MD - Radio Diagnosis</v>
          </cell>
          <cell r="AB672" t="str">
            <v>APMC/FMR/86708</v>
          </cell>
          <cell r="AC672" t="str">
            <v>Telangana State Medical Council</v>
          </cell>
          <cell r="AD672">
            <v>43367</v>
          </cell>
          <cell r="AE672">
            <v>45192</v>
          </cell>
          <cell r="AF672">
            <v>8008416988</v>
          </cell>
          <cell r="AG672" t="str">
            <v>vamshikiranmedico@gmail.com</v>
          </cell>
          <cell r="AH672" t="str">
            <v>HDFC Bank</v>
          </cell>
          <cell r="AI672" t="str">
            <v>50100243907405</v>
          </cell>
          <cell r="AJ672" t="str">
            <v>HDFC0000813</v>
          </cell>
          <cell r="AK672" t="str">
            <v>AZBPD6972G</v>
          </cell>
          <cell r="AL672" t="str">
            <v>282698079382</v>
          </cell>
          <cell r="AM672" t="str">
            <v>Didi Gopal</v>
          </cell>
          <cell r="AS672" t="e">
            <v>#REF!</v>
          </cell>
          <cell r="AW672">
            <v>33296</v>
          </cell>
          <cell r="AX672" t="str">
            <v>Male</v>
          </cell>
          <cell r="AY672" t="str">
            <v>Part Time</v>
          </cell>
          <cell r="AZ672">
            <v>2</v>
          </cell>
          <cell r="BA672">
            <v>2</v>
          </cell>
        </row>
        <row r="673">
          <cell r="M673" t="str">
            <v>Sangareddy - 4</v>
          </cell>
          <cell r="N673" t="str">
            <v>USG Basic, Tiffa, Guided Procedured, X- Ray, Mammpography, IVP, RGU, MCGU, Barium Swallow, Barium Enemma, HSG, Basic CT, All Angios, Basic MR, MR Perfusion</v>
          </cell>
          <cell r="O673" t="str">
            <v>Radiology</v>
          </cell>
          <cell r="P673" t="str">
            <v>Consultant Radiologist</v>
          </cell>
          <cell r="Q673" t="str">
            <v>Dr L T Kishore</v>
          </cell>
          <cell r="R673">
            <v>44602</v>
          </cell>
          <cell r="S673">
            <v>44602</v>
          </cell>
          <cell r="T673">
            <v>45331</v>
          </cell>
          <cell r="U673">
            <v>45332</v>
          </cell>
          <cell r="V673">
            <v>2015</v>
          </cell>
          <cell r="W673" t="str">
            <v>Gandhi medical college</v>
          </cell>
          <cell r="X673">
            <v>2020</v>
          </cell>
          <cell r="Y673" t="str">
            <v>KIMS hospital</v>
          </cell>
          <cell r="Z673" t="str">
            <v>NA</v>
          </cell>
          <cell r="AA673" t="str">
            <v>MBBS, DNB - Radiodiagnosis</v>
          </cell>
          <cell r="AB673" t="str">
            <v>APMC/FMR/94037</v>
          </cell>
          <cell r="AC673" t="str">
            <v>Telangana State Medical Council</v>
          </cell>
          <cell r="AD673">
            <v>44497</v>
          </cell>
          <cell r="AE673">
            <v>46322</v>
          </cell>
          <cell r="AF673">
            <v>9700926765</v>
          </cell>
          <cell r="AG673" t="str">
            <v>vamshia.mbbs@gmail.com</v>
          </cell>
          <cell r="AH673" t="str">
            <v>HDFC Bank</v>
          </cell>
          <cell r="AI673" t="str">
            <v>59112244466688</v>
          </cell>
          <cell r="AJ673" t="str">
            <v>HDFC0003949</v>
          </cell>
          <cell r="AK673" t="str">
            <v>BEFPV0052R</v>
          </cell>
          <cell r="AL673" t="str">
            <v>664813358618</v>
          </cell>
          <cell r="AM673" t="str">
            <v>Anmula Jithender Reddy</v>
          </cell>
          <cell r="AN673">
            <v>44814</v>
          </cell>
          <cell r="AO673">
            <v>44753</v>
          </cell>
          <cell r="AS673" t="e">
            <v>#REF!</v>
          </cell>
          <cell r="AW673">
            <v>32976</v>
          </cell>
          <cell r="AX673" t="str">
            <v>Male</v>
          </cell>
          <cell r="AY673" t="str">
            <v>Part Time</v>
          </cell>
          <cell r="AZ673">
            <v>2</v>
          </cell>
          <cell r="BA673" t="str">
            <v>Kukatpally Cluster</v>
          </cell>
        </row>
        <row r="674">
          <cell r="M674" t="str">
            <v>Madina</v>
          </cell>
          <cell r="N674" t="str">
            <v>USG Basic, Tiffa, Fetal Echo, MSK, Penile Dopplers, Guided Procedures,  X- Ray, Mammography, IVP, RGU, MCGU, Barium Swallow, Barium Enemma, HSG, Basic CT, All Angios, CT Enteroclysis, CT Guided procedures, Basic MR, CSF flow study, MR Perfusion, MR Defacography, MR Prostrate, MR Neurography</v>
          </cell>
          <cell r="O674" t="str">
            <v>Radiology</v>
          </cell>
          <cell r="P674" t="str">
            <v>Consultant Radiologist</v>
          </cell>
          <cell r="Q674" t="str">
            <v>Dr L T Kishore</v>
          </cell>
          <cell r="R674">
            <v>44606</v>
          </cell>
          <cell r="S674">
            <v>44606</v>
          </cell>
          <cell r="T674">
            <v>45335</v>
          </cell>
          <cell r="U674">
            <v>45336</v>
          </cell>
          <cell r="V674">
            <v>2014</v>
          </cell>
          <cell r="W674" t="str">
            <v>Osmania Medical College</v>
          </cell>
          <cell r="X674">
            <v>2018</v>
          </cell>
          <cell r="Y674" t="str">
            <v>Osmania Medical College</v>
          </cell>
          <cell r="AA674" t="str">
            <v>MBBS, MD - Radio Diagnosis</v>
          </cell>
          <cell r="AB674" t="str">
            <v>APMC/FMR/88250</v>
          </cell>
          <cell r="AC674" t="str">
            <v>Telangana State Medical Council</v>
          </cell>
          <cell r="AD674">
            <v>43294</v>
          </cell>
          <cell r="AE674">
            <v>45119</v>
          </cell>
          <cell r="AF674">
            <v>8019050215</v>
          </cell>
          <cell r="AG674" t="str">
            <v>anurudh.kishore@gmail.com</v>
          </cell>
          <cell r="AH674" t="str">
            <v>SBI Bank</v>
          </cell>
          <cell r="AI674" t="str">
            <v>32993603400</v>
          </cell>
          <cell r="AJ674" t="str">
            <v>SBIN0010356</v>
          </cell>
          <cell r="AK674" t="str">
            <v>AIZPV3555A</v>
          </cell>
          <cell r="AL674" t="str">
            <v>319851497677</v>
          </cell>
          <cell r="AM674" t="str">
            <v>Vatti Balakishtaiah Nand Kishore</v>
          </cell>
          <cell r="AW674">
            <v>33310</v>
          </cell>
          <cell r="AX674" t="str">
            <v>Male</v>
          </cell>
          <cell r="AY674" t="str">
            <v>Part Time</v>
          </cell>
          <cell r="AZ674">
            <v>2</v>
          </cell>
          <cell r="BA674" t="str">
            <v>Santosh Nagar Cluster</v>
          </cell>
        </row>
        <row r="675">
          <cell r="M675" t="str">
            <v>Habsiguda - 17</v>
          </cell>
          <cell r="N675" t="str">
            <v>USG Basic,  Guided Procedured, X- Ray, Mammpography, IVP, RGU, MCGU, Barium Swallow, Barium Enemma, HSG, Basic CT, All Angios, CT Enteroclysis, Basic MR</v>
          </cell>
          <cell r="O675" t="str">
            <v>Radiology</v>
          </cell>
          <cell r="P675" t="str">
            <v>Consultant Radiologist</v>
          </cell>
          <cell r="Q675" t="str">
            <v>Dr L T Kishore</v>
          </cell>
          <cell r="R675">
            <v>44607</v>
          </cell>
          <cell r="S675">
            <v>44607</v>
          </cell>
          <cell r="T675">
            <v>45336</v>
          </cell>
          <cell r="U675">
            <v>45337</v>
          </cell>
          <cell r="V675">
            <v>2017</v>
          </cell>
          <cell r="W675" t="str">
            <v>Kakatiya Medical College</v>
          </cell>
          <cell r="X675">
            <v>2021</v>
          </cell>
          <cell r="Y675" t="str">
            <v>Sri Rama Chandra Medical College</v>
          </cell>
          <cell r="AA675" t="str">
            <v>MBBS, MD - Radio Diagnosis</v>
          </cell>
          <cell r="AB675" t="str">
            <v>TSMC/FMR/04446</v>
          </cell>
          <cell r="AF675">
            <v>9985814658</v>
          </cell>
          <cell r="AG675" t="str">
            <v>bhavya.basetti@gmail.com</v>
          </cell>
          <cell r="AH675" t="str">
            <v>Indian Bank</v>
          </cell>
          <cell r="AI675" t="str">
            <v>6661348725</v>
          </cell>
          <cell r="AJ675" t="str">
            <v>IDIB000S180</v>
          </cell>
          <cell r="AK675" t="str">
            <v>CEDPB6236A</v>
          </cell>
          <cell r="AL675" t="str">
            <v>879853548338</v>
          </cell>
          <cell r="AM675" t="str">
            <v>Basetti Lakshmi Narayana</v>
          </cell>
          <cell r="AN675">
            <v>44623</v>
          </cell>
          <cell r="AW675">
            <v>34099</v>
          </cell>
          <cell r="AX675" t="str">
            <v>Female</v>
          </cell>
          <cell r="AY675" t="str">
            <v>Part Time</v>
          </cell>
          <cell r="AZ675">
            <v>3</v>
          </cell>
          <cell r="BA675">
            <v>8</v>
          </cell>
        </row>
        <row r="676">
          <cell r="M676" t="str">
            <v>Puppalguda</v>
          </cell>
          <cell r="N676" t="str">
            <v>USG Basic, Tiffa, MSK, Guided Procedures, X- Ray,  IVP, RGU, MCGU, Barium Swallow, Barium Enemma, HSG, Basic CT, All Angios except coronary, CT Enteroclysis</v>
          </cell>
          <cell r="O676" t="str">
            <v>Radiology</v>
          </cell>
          <cell r="P676" t="str">
            <v>Consultant Radiologist</v>
          </cell>
          <cell r="Q676" t="str">
            <v>Dr L T Kishore</v>
          </cell>
          <cell r="R676">
            <v>44608</v>
          </cell>
          <cell r="S676">
            <v>44608</v>
          </cell>
          <cell r="T676">
            <v>45337</v>
          </cell>
          <cell r="U676">
            <v>45338</v>
          </cell>
          <cell r="W676" t="str">
            <v>SVS Medical College</v>
          </cell>
          <cell r="X676">
            <v>2019</v>
          </cell>
          <cell r="Y676" t="str">
            <v>Osmania Medical College</v>
          </cell>
          <cell r="Z676" t="str">
            <v>DNB-2022</v>
          </cell>
          <cell r="AA676" t="str">
            <v>MBBS, DMRD - Radio Diagnosis</v>
          </cell>
          <cell r="AB676">
            <v>73818</v>
          </cell>
          <cell r="AC676" t="str">
            <v>Telangana State Medical Council</v>
          </cell>
          <cell r="AD676">
            <v>43666</v>
          </cell>
          <cell r="AE676">
            <v>45492</v>
          </cell>
          <cell r="AF676">
            <v>9032386274</v>
          </cell>
          <cell r="AG676" t="str">
            <v>krishnakanthpallem007@gmail.com</v>
          </cell>
          <cell r="AH676" t="str">
            <v>HDFC Bank</v>
          </cell>
          <cell r="AI676" t="str">
            <v>50100187814057</v>
          </cell>
          <cell r="AJ676" t="str">
            <v>HDFC0001021</v>
          </cell>
          <cell r="AK676" t="str">
            <v>CPMPK4593M</v>
          </cell>
          <cell r="AL676" t="str">
            <v>994758948842</v>
          </cell>
          <cell r="AM676" t="str">
            <v>Pallem Venkati</v>
          </cell>
          <cell r="AN676">
            <v>44811</v>
          </cell>
          <cell r="AO676">
            <v>44750</v>
          </cell>
          <cell r="AS676" t="e">
            <v>#REF!</v>
          </cell>
          <cell r="AW676">
            <v>31370</v>
          </cell>
          <cell r="AX676" t="str">
            <v>Male</v>
          </cell>
          <cell r="AY676" t="str">
            <v>Part Time</v>
          </cell>
          <cell r="AZ676">
            <v>1.5</v>
          </cell>
          <cell r="BA676" t="str">
            <v>Tolichowki Cluster</v>
          </cell>
        </row>
        <row r="677">
          <cell r="M677" t="str">
            <v>Kharkhana - 35</v>
          </cell>
          <cell r="N677" t="str">
            <v>USG, Tiffa, MSK, Penile Dopplers/TRUS , Guided Procedures, IVP, RGU, MCGU, Barium Swallow, Barium Enemma, HSG, X Ray,  Mamography, Basic CT, All Angios except Coronary, Virtual Endoscopy, Basic MRI</v>
          </cell>
          <cell r="O677" t="str">
            <v>Radiology</v>
          </cell>
          <cell r="P677" t="str">
            <v>Consultant Radiologist</v>
          </cell>
          <cell r="Q677" t="str">
            <v>Dr L T Kishore</v>
          </cell>
          <cell r="R677">
            <v>44620</v>
          </cell>
          <cell r="S677">
            <v>44620</v>
          </cell>
          <cell r="T677">
            <v>45349</v>
          </cell>
          <cell r="U677">
            <v>45350</v>
          </cell>
          <cell r="W677">
            <v>2011</v>
          </cell>
          <cell r="X677" t="str">
            <v>Shadan Medical College</v>
          </cell>
          <cell r="Y677">
            <v>2017</v>
          </cell>
          <cell r="Z677" t="str">
            <v>JJM Medical College</v>
          </cell>
          <cell r="AA677" t="str">
            <v>MBBS, DMRD - Radio Diagnosis</v>
          </cell>
          <cell r="AB677" t="str">
            <v>APMC/FMR/78598</v>
          </cell>
          <cell r="AC677" t="str">
            <v>Telangana State Medical Council</v>
          </cell>
          <cell r="AD677">
            <v>43298</v>
          </cell>
          <cell r="AE677">
            <v>45123</v>
          </cell>
          <cell r="AF677">
            <v>9676702828</v>
          </cell>
          <cell r="AG677" t="str">
            <v>nagillaashwin28@gmail.com</v>
          </cell>
          <cell r="AH677" t="str">
            <v>ICICI Bank</v>
          </cell>
          <cell r="AI677" t="str">
            <v>112301508576</v>
          </cell>
          <cell r="AJ677" t="str">
            <v>ICIC0001123</v>
          </cell>
          <cell r="AK677" t="str">
            <v>BAZPK4490E</v>
          </cell>
          <cell r="AL677" t="str">
            <v>303308880394</v>
          </cell>
          <cell r="AM677" t="str">
            <v>Nagilla Shiva Kumar</v>
          </cell>
          <cell r="AN677">
            <v>44804</v>
          </cell>
          <cell r="AO677">
            <v>44743</v>
          </cell>
          <cell r="AW677">
            <v>32414</v>
          </cell>
          <cell r="AX677" t="str">
            <v>Male</v>
          </cell>
          <cell r="AY677" t="str">
            <v>Part Time</v>
          </cell>
          <cell r="AZ677">
            <v>2</v>
          </cell>
          <cell r="BA677" t="str">
            <v>Secunderabad Cluster</v>
          </cell>
        </row>
        <row r="678">
          <cell r="M678" t="str">
            <v>Nandyal - 48</v>
          </cell>
          <cell r="N678" t="str">
            <v>Hematology, Cytopathology, Clinical Pathology</v>
          </cell>
          <cell r="O678" t="str">
            <v>Pathology</v>
          </cell>
          <cell r="P678" t="str">
            <v>Consultant Pathologist</v>
          </cell>
          <cell r="Q678" t="str">
            <v>Dr. Shashikanth</v>
          </cell>
          <cell r="R678">
            <v>44621</v>
          </cell>
          <cell r="S678">
            <v>44621</v>
          </cell>
          <cell r="T678">
            <v>45350</v>
          </cell>
          <cell r="U678">
            <v>45352</v>
          </cell>
          <cell r="V678">
            <v>2014</v>
          </cell>
          <cell r="W678" t="str">
            <v>Xi’an Jiaotong University, China  and MCI exam in 2014</v>
          </cell>
          <cell r="X678">
            <v>2020</v>
          </cell>
          <cell r="Y678" t="str">
            <v>NDMC- Government Hindu Rao Hospital and Medical College, Delhi</v>
          </cell>
          <cell r="Z678" t="str">
            <v>NA</v>
          </cell>
          <cell r="AA678" t="str">
            <v>MBBS, DNB</v>
          </cell>
          <cell r="AB678" t="str">
            <v>APMC/FMR/90342</v>
          </cell>
          <cell r="AC678" t="str">
            <v>Andhra Pradesh Medical Council</v>
          </cell>
          <cell r="AD678">
            <v>44170</v>
          </cell>
          <cell r="AE678">
            <v>45995</v>
          </cell>
          <cell r="AF678">
            <v>9866112537</v>
          </cell>
          <cell r="AG678" t="str">
            <v>samsonsukumar00@gmail.com</v>
          </cell>
          <cell r="AH678" t="str">
            <v>SBI Bank</v>
          </cell>
          <cell r="AI678" t="str">
            <v>33949662973</v>
          </cell>
          <cell r="AJ678" t="str">
            <v>SBIN0000883</v>
          </cell>
          <cell r="AK678" t="str">
            <v>APVPC1916K</v>
          </cell>
          <cell r="AL678">
            <v>743778429945</v>
          </cell>
          <cell r="AM678" t="str">
            <v>C. Sikhamani</v>
          </cell>
          <cell r="AN678">
            <v>45367</v>
          </cell>
          <cell r="AO678">
            <v>45367</v>
          </cell>
          <cell r="AU678">
            <v>0.75</v>
          </cell>
          <cell r="AV678">
            <v>0.875</v>
          </cell>
          <cell r="AW678">
            <v>32669</v>
          </cell>
          <cell r="AX678" t="str">
            <v>Male</v>
          </cell>
          <cell r="AY678" t="str">
            <v>Part Time</v>
          </cell>
          <cell r="AZ678">
            <v>3</v>
          </cell>
          <cell r="BA678">
            <v>3</v>
          </cell>
        </row>
        <row r="679">
          <cell r="M679" t="str">
            <v>Kphb-Malaysian - 77</v>
          </cell>
          <cell r="N679" t="str">
            <v>USG Basic, Tiffa, Fetal Echo, Guided Procedured, X- Ray,  IVP, RGU, MCGU, Barium Swallow, Barium Enemma, HSG, Basic CT</v>
          </cell>
          <cell r="O679" t="str">
            <v>Radiology</v>
          </cell>
          <cell r="P679" t="str">
            <v>Consultant Radiologist</v>
          </cell>
          <cell r="Q679" t="str">
            <v>Dr L T Kishore</v>
          </cell>
          <cell r="R679">
            <v>44624</v>
          </cell>
          <cell r="S679">
            <v>44624</v>
          </cell>
          <cell r="T679">
            <v>45354</v>
          </cell>
          <cell r="U679">
            <v>45355</v>
          </cell>
          <cell r="V679">
            <v>2015</v>
          </cell>
          <cell r="W679" t="str">
            <v>Mamata Medical College, Khammam</v>
          </cell>
          <cell r="X679">
            <v>2021</v>
          </cell>
          <cell r="Y679" t="str">
            <v>MNR Medical College</v>
          </cell>
          <cell r="AA679" t="str">
            <v>MBBS, MD</v>
          </cell>
          <cell r="AB679" t="str">
            <v>TSMC/FMR/01314</v>
          </cell>
          <cell r="AC679" t="str">
            <v>Telangana Medical Countil</v>
          </cell>
          <cell r="AF679">
            <v>8500280869</v>
          </cell>
          <cell r="AG679" t="str">
            <v>kavyatadiboyina@gmail.com</v>
          </cell>
          <cell r="AH679" t="str">
            <v>State Bank of India</v>
          </cell>
          <cell r="AI679" t="str">
            <v>20125811044</v>
          </cell>
          <cell r="AJ679" t="str">
            <v>SBIN0021393</v>
          </cell>
          <cell r="AK679" t="str">
            <v>AQBPT1093M</v>
          </cell>
          <cell r="AL679">
            <v>887348200545</v>
          </cell>
          <cell r="AM679" t="str">
            <v>Veera Swamy Tadiboyina</v>
          </cell>
          <cell r="AN679">
            <v>44853</v>
          </cell>
          <cell r="AO679">
            <v>44793</v>
          </cell>
          <cell r="AS679" t="e">
            <v>#REF!</v>
          </cell>
          <cell r="AW679">
            <v>34177</v>
          </cell>
          <cell r="AX679" t="str">
            <v>Female</v>
          </cell>
          <cell r="AY679" t="str">
            <v>Part Time</v>
          </cell>
          <cell r="AZ679">
            <v>2</v>
          </cell>
          <cell r="BA679" t="str">
            <v>Kukatpally Cluster</v>
          </cell>
        </row>
        <row r="680">
          <cell r="O680" t="str">
            <v>NA</v>
          </cell>
        </row>
        <row r="681">
          <cell r="M681" t="str">
            <v>Himayatnagar</v>
          </cell>
          <cell r="N681" t="str">
            <v>Basic USG, Tiffa, MSK, Guided Procedures, X- Ray, Mammography, IVP, RGU, MCGU, Barium Swallow, Barium Enemma, HSG</v>
          </cell>
          <cell r="O681" t="str">
            <v>Radiology</v>
          </cell>
          <cell r="P681" t="str">
            <v>Consultant Radiologist</v>
          </cell>
          <cell r="Q681" t="str">
            <v>Dr L T Kishore</v>
          </cell>
          <cell r="R681">
            <v>44628</v>
          </cell>
          <cell r="S681">
            <v>44628</v>
          </cell>
          <cell r="T681">
            <v>45358</v>
          </cell>
          <cell r="U681">
            <v>45359</v>
          </cell>
          <cell r="V681">
            <v>2013</v>
          </cell>
          <cell r="W681" t="str">
            <v>Narayana medical college</v>
          </cell>
          <cell r="X681">
            <v>2016</v>
          </cell>
          <cell r="Y681" t="str">
            <v xml:space="preserve">Mamata Medical college </v>
          </cell>
          <cell r="AA681" t="str">
            <v>MBBS, MD</v>
          </cell>
          <cell r="AB681" t="str">
            <v>APMC/FMR/79334</v>
          </cell>
          <cell r="AC681" t="str">
            <v>Telangana State Medical Council</v>
          </cell>
          <cell r="AD681">
            <v>44624</v>
          </cell>
          <cell r="AE681">
            <v>46449</v>
          </cell>
          <cell r="AF681">
            <v>7893761388</v>
          </cell>
          <cell r="AG681" t="str">
            <v>aswithk@gmail.com</v>
          </cell>
          <cell r="AH681" t="str">
            <v>Union Bank of India</v>
          </cell>
          <cell r="AI681" t="str">
            <v>155010100046346</v>
          </cell>
          <cell r="AJ681" t="str">
            <v>UBIN0805262</v>
          </cell>
          <cell r="AK681" t="str">
            <v>AIPPA7229J</v>
          </cell>
          <cell r="AL681">
            <v>543913576906</v>
          </cell>
          <cell r="AM681" t="str">
            <v>Audi Seshaiah Poluboina</v>
          </cell>
          <cell r="AN681">
            <v>44933</v>
          </cell>
          <cell r="AO681">
            <v>44905</v>
          </cell>
          <cell r="AS681" t="e">
            <v>#REF!</v>
          </cell>
          <cell r="AW681">
            <v>32695</v>
          </cell>
          <cell r="AX681" t="str">
            <v>Male</v>
          </cell>
          <cell r="AY681" t="str">
            <v>Part Time</v>
          </cell>
          <cell r="AZ681">
            <v>8</v>
          </cell>
          <cell r="BA681">
            <v>8</v>
          </cell>
        </row>
        <row r="682">
          <cell r="M682" t="str">
            <v>Habsiguda - 17</v>
          </cell>
          <cell r="N682" t="str">
            <v>Hematology, Cytopathology, Clinical Pathology</v>
          </cell>
          <cell r="O682" t="str">
            <v>Pathology</v>
          </cell>
          <cell r="P682" t="str">
            <v>Consultant Pathologist</v>
          </cell>
          <cell r="Q682" t="str">
            <v>Dr. Shashikant</v>
          </cell>
          <cell r="R682">
            <v>44636</v>
          </cell>
          <cell r="S682">
            <v>44636</v>
          </cell>
          <cell r="T682">
            <v>45366</v>
          </cell>
          <cell r="U682">
            <v>45367</v>
          </cell>
          <cell r="V682">
            <v>2011</v>
          </cell>
          <cell r="W682" t="str">
            <v>Soochow University, China</v>
          </cell>
          <cell r="X682">
            <v>2017</v>
          </cell>
          <cell r="Y682" t="str">
            <v>Chalmeda Anand Rao Institute of Medical Sciences, Karimnagar</v>
          </cell>
          <cell r="Z682" t="str">
            <v>NA</v>
          </cell>
          <cell r="AA682" t="str">
            <v>MBBS, MD</v>
          </cell>
          <cell r="AB682" t="str">
            <v>APMC/FMR/87992</v>
          </cell>
          <cell r="AC682" t="str">
            <v>Telangana Medical Council</v>
          </cell>
          <cell r="AD682">
            <v>41837</v>
          </cell>
          <cell r="AE682">
            <v>45123</v>
          </cell>
          <cell r="AF682">
            <v>9963375637</v>
          </cell>
          <cell r="AG682" t="str">
            <v>swethamadasu@gmail.com</v>
          </cell>
          <cell r="AH682" t="str">
            <v>State Bank of India</v>
          </cell>
          <cell r="AI682" t="str">
            <v>20472237239</v>
          </cell>
          <cell r="AJ682" t="str">
            <v>SBIN0020304</v>
          </cell>
          <cell r="AK682" t="str">
            <v>DXTPS2474H</v>
          </cell>
          <cell r="AL682">
            <v>307735876535</v>
          </cell>
          <cell r="AM682" t="str">
            <v>Muraliprasad Madasu</v>
          </cell>
          <cell r="AS682" t="e">
            <v>#REF!</v>
          </cell>
          <cell r="AW682">
            <v>32030</v>
          </cell>
          <cell r="AX682" t="str">
            <v>Female</v>
          </cell>
          <cell r="AY682" t="str">
            <v>Full Time</v>
          </cell>
          <cell r="AZ682">
            <v>8</v>
          </cell>
          <cell r="BA682">
            <v>8</v>
          </cell>
        </row>
        <row r="683">
          <cell r="M683" t="str">
            <v>Karimnagar-75</v>
          </cell>
          <cell r="N683" t="str">
            <v>Basic USG, Tiffa, MSK, Penile Dopplers/TRUS, Guided Procedures, X- Ray, Mammography, IVP, RGU, MCGU, Barium Swallow, Barium Enemma, HSG, Basic CT, All Angios, CT Enteroclysis, CT Guided Procedures, Basic MRI</v>
          </cell>
          <cell r="O683" t="str">
            <v>Radiology</v>
          </cell>
          <cell r="P683" t="str">
            <v>Consultant Radiologist</v>
          </cell>
          <cell r="Q683" t="str">
            <v>Dr. L T Kishore</v>
          </cell>
          <cell r="R683">
            <v>44641</v>
          </cell>
          <cell r="S683">
            <v>44641</v>
          </cell>
          <cell r="T683">
            <v>45371</v>
          </cell>
          <cell r="U683">
            <v>45372</v>
          </cell>
          <cell r="V683">
            <v>2015</v>
          </cell>
          <cell r="W683" t="str">
            <v xml:space="preserve">Gandhi Medical College, Hyderabad </v>
          </cell>
          <cell r="X683">
            <v>2021</v>
          </cell>
          <cell r="Y683" t="str">
            <v xml:space="preserve">Prathima Institute of Medical Sciences, Karimnagar </v>
          </cell>
          <cell r="AA683" t="str">
            <v>MBBS, MD</v>
          </cell>
          <cell r="AB683" t="str">
            <v>APMC/FMR/93949</v>
          </cell>
          <cell r="AC683" t="str">
            <v>Telangana Medical Council</v>
          </cell>
          <cell r="AF683" t="str">
            <v>8121568745, 9642182905</v>
          </cell>
          <cell r="AG683" t="str">
            <v>sudheer.gmc@gmail.com</v>
          </cell>
          <cell r="AH683" t="str">
            <v>Axis Bank</v>
          </cell>
          <cell r="AI683" t="str">
            <v>916010074422323</v>
          </cell>
          <cell r="AJ683" t="str">
            <v>UTIB0000687</v>
          </cell>
          <cell r="AK683" t="str">
            <v>BDZPN7572F</v>
          </cell>
          <cell r="AL683">
            <v>776184305661</v>
          </cell>
          <cell r="AM683" t="str">
            <v>Anjaneyulu Narra</v>
          </cell>
          <cell r="AN683">
            <v>44865</v>
          </cell>
          <cell r="AO683">
            <v>44804</v>
          </cell>
          <cell r="AS683" t="e">
            <v>#REF!</v>
          </cell>
          <cell r="AW683">
            <v>32906</v>
          </cell>
          <cell r="AX683" t="str">
            <v>Male</v>
          </cell>
          <cell r="AY683" t="str">
            <v>Part Time</v>
          </cell>
          <cell r="AZ683">
            <v>6</v>
          </cell>
          <cell r="BA683">
            <v>6</v>
          </cell>
        </row>
        <row r="684">
          <cell r="M684" t="str">
            <v>Manchieral-105</v>
          </cell>
          <cell r="O684" t="str">
            <v>Microbiology</v>
          </cell>
          <cell r="P684" t="str">
            <v>Consultant Microbiologist</v>
          </cell>
          <cell r="Q684" t="str">
            <v>Dr. Shashikant</v>
          </cell>
          <cell r="R684">
            <v>44641</v>
          </cell>
          <cell r="S684">
            <v>44641</v>
          </cell>
          <cell r="T684">
            <v>45371</v>
          </cell>
          <cell r="U684">
            <v>45372</v>
          </cell>
          <cell r="V684">
            <v>2012</v>
          </cell>
          <cell r="W684" t="str">
            <v>Kakatiya Medical College, Warangal</v>
          </cell>
          <cell r="X684">
            <v>2021</v>
          </cell>
          <cell r="Y684" t="str">
            <v xml:space="preserve">Osmania Medical College under Kaloji Narayana Rao University, Warangal </v>
          </cell>
          <cell r="AA684" t="str">
            <v>MBBS, MD</v>
          </cell>
          <cell r="AB684" t="str">
            <v>APMC/FMR/81655</v>
          </cell>
          <cell r="AC684" t="str">
            <v>Telangana Medical Council</v>
          </cell>
          <cell r="AF684">
            <v>8790540404</v>
          </cell>
          <cell r="AG684" t="str">
            <v>nithya161189@gmail.com</v>
          </cell>
          <cell r="AH684" t="str">
            <v>HDFC Bank</v>
          </cell>
          <cell r="AI684" t="str">
            <v>50100036748194</v>
          </cell>
          <cell r="AJ684" t="str">
            <v>HDFC0000811</v>
          </cell>
          <cell r="AK684" t="str">
            <v>CMIPM0447H</v>
          </cell>
          <cell r="AL684">
            <v>257584848609</v>
          </cell>
          <cell r="AM684" t="str">
            <v>Bhikshapathi Mamidala</v>
          </cell>
          <cell r="AN684">
            <v>44832</v>
          </cell>
          <cell r="AO684">
            <v>44771</v>
          </cell>
          <cell r="AS684" t="e">
            <v>#REF!</v>
          </cell>
          <cell r="AW684">
            <v>32828</v>
          </cell>
          <cell r="AX684" t="str">
            <v>Female</v>
          </cell>
          <cell r="AY684" t="str">
            <v>Part Time</v>
          </cell>
          <cell r="AZ684">
            <v>2</v>
          </cell>
          <cell r="BA684">
            <v>2</v>
          </cell>
        </row>
        <row r="685">
          <cell r="M685" t="str">
            <v>Mehdipatnam - 8</v>
          </cell>
          <cell r="N685" t="str">
            <v>USG Basic, Tiffa, MSK, Guided Procedures, X-Rays, Basic CTs, CT guided procedures, Basic MRI</v>
          </cell>
          <cell r="O685" t="str">
            <v>Radiology</v>
          </cell>
          <cell r="P685" t="str">
            <v>Consultant Radiologist</v>
          </cell>
          <cell r="Q685" t="str">
            <v>Dr. L T Kishore</v>
          </cell>
          <cell r="R685">
            <v>44649</v>
          </cell>
          <cell r="S685">
            <v>44649</v>
          </cell>
          <cell r="T685">
            <v>45379</v>
          </cell>
          <cell r="U685">
            <v>45380</v>
          </cell>
          <cell r="V685">
            <v>2015</v>
          </cell>
          <cell r="W685" t="str">
            <v>Mahadevappa Rampure Medical College, Gurbara, Karnataka</v>
          </cell>
          <cell r="X685">
            <v>2019</v>
          </cell>
          <cell r="Y685" t="str">
            <v>Navodaya Medical College and Research Centre, Raichur, Karnataka</v>
          </cell>
          <cell r="AA685" t="str">
            <v>MBBS, MD</v>
          </cell>
          <cell r="AB685" t="str">
            <v>TSMC/FMR/18571</v>
          </cell>
          <cell r="AC685" t="str">
            <v>Telangana Medical Council</v>
          </cell>
          <cell r="AD685">
            <v>44529</v>
          </cell>
          <cell r="AE685">
            <v>46354</v>
          </cell>
          <cell r="AF685">
            <v>9008312426</v>
          </cell>
          <cell r="AG685" t="str">
            <v>syedsohail281@gmail.com</v>
          </cell>
          <cell r="AS685" t="e">
            <v>#REF!</v>
          </cell>
          <cell r="AW685">
            <v>33614</v>
          </cell>
          <cell r="AX685" t="str">
            <v>Male</v>
          </cell>
          <cell r="AY685" t="str">
            <v>Part Time</v>
          </cell>
          <cell r="AZ685">
            <v>3</v>
          </cell>
          <cell r="BA685" t="str">
            <v>Tolichowki Cluster</v>
          </cell>
        </row>
        <row r="686">
          <cell r="M686" t="str">
            <v>Nellore - 27</v>
          </cell>
          <cell r="N686" t="str">
            <v>USG, Xray, CT and MRI</v>
          </cell>
          <cell r="O686" t="str">
            <v>Radiology</v>
          </cell>
          <cell r="P686" t="str">
            <v>Consultant Radiologist</v>
          </cell>
          <cell r="Q686" t="str">
            <v>Dr. L T Kishore</v>
          </cell>
          <cell r="R686">
            <v>44652</v>
          </cell>
          <cell r="S686">
            <v>44652</v>
          </cell>
          <cell r="T686">
            <v>45382</v>
          </cell>
          <cell r="U686">
            <v>45383</v>
          </cell>
          <cell r="AG686" t="str">
            <v>preetham1783@gmail.com</v>
          </cell>
          <cell r="AH686" t="str">
            <v>HDFC</v>
          </cell>
          <cell r="AI686" t="str">
            <v>50100142965561</v>
          </cell>
          <cell r="AJ686" t="str">
            <v>HDFC0000473</v>
          </cell>
          <cell r="AK686" t="str">
            <v>BLDPP4460N</v>
          </cell>
          <cell r="AL686" t="str">
            <v>330511334928</v>
          </cell>
          <cell r="AS686" t="e">
            <v>#REF!</v>
          </cell>
          <cell r="AX686" t="str">
            <v>Male</v>
          </cell>
          <cell r="AY686" t="str">
            <v>Full Time</v>
          </cell>
          <cell r="AZ686">
            <v>8</v>
          </cell>
          <cell r="BA686" t="str">
            <v>Tirupati Cluster</v>
          </cell>
        </row>
        <row r="687">
          <cell r="N687" t="str">
            <v>Nizampet</v>
          </cell>
          <cell r="O687" t="str">
            <v>Physician Services</v>
          </cell>
          <cell r="P687" t="str">
            <v>Consultant Physician</v>
          </cell>
          <cell r="R687">
            <v>44657</v>
          </cell>
          <cell r="S687">
            <v>44657</v>
          </cell>
          <cell r="T687">
            <v>45387</v>
          </cell>
          <cell r="U687">
            <v>45388</v>
          </cell>
          <cell r="Y687" t="str">
            <v>NA</v>
          </cell>
          <cell r="Z687" t="str">
            <v>NA</v>
          </cell>
          <cell r="AB687" t="str">
            <v>MBBS</v>
          </cell>
          <cell r="AH687" t="str">
            <v>HDFC</v>
          </cell>
          <cell r="AI687" t="str">
            <v>50100426912435</v>
          </cell>
          <cell r="AJ687" t="str">
            <v>HDFC00003949</v>
          </cell>
          <cell r="AK687" t="str">
            <v>LHCPS4651P</v>
          </cell>
          <cell r="AL687" t="str">
            <v>347122918563</v>
          </cell>
          <cell r="AM687" t="str">
            <v>30 July 2022 - LWD</v>
          </cell>
          <cell r="AN687">
            <v>44772</v>
          </cell>
          <cell r="AO687">
            <v>44749</v>
          </cell>
          <cell r="AV687" t="str">
            <v>Female</v>
          </cell>
          <cell r="AW687" t="str">
            <v>Part time</v>
          </cell>
          <cell r="AZ687">
            <v>1</v>
          </cell>
        </row>
        <row r="688">
          <cell r="M688" t="str">
            <v>Kapra - 107</v>
          </cell>
          <cell r="N688" t="str">
            <v>USG, Tiffa,  MSK, Penile Dopplers, TRUS, Guided Procedures,  IVP, RGU, MCGU, Barium Swallow, Barium Enemma, HSG, X Ray,   Basic CT, All Angios,  CT Perfusion, CT Enterclysis,  CT Guided procedures,  MRI Basic, MR Perfusion, Fetal MR, MR Defacography, MR Prostrate and MR Neurography</v>
          </cell>
          <cell r="O688" t="str">
            <v>Radiology</v>
          </cell>
          <cell r="P688" t="str">
            <v>Consultant Radiologist</v>
          </cell>
          <cell r="Q688" t="str">
            <v>Dr. L T Kishore</v>
          </cell>
          <cell r="R688">
            <v>44656</v>
          </cell>
          <cell r="S688">
            <v>44656</v>
          </cell>
          <cell r="T688">
            <v>45386</v>
          </cell>
          <cell r="U688">
            <v>45387</v>
          </cell>
          <cell r="W688" t="str">
            <v>Government Medical College</v>
          </cell>
          <cell r="X688">
            <v>2018</v>
          </cell>
          <cell r="Y688" t="str">
            <v>JJM Medical College</v>
          </cell>
          <cell r="Z688" t="str">
            <v>DNB</v>
          </cell>
          <cell r="AA688" t="str">
            <v>MBBS, DMRD, DNB- Radio Diagnosis</v>
          </cell>
          <cell r="AB688" t="str">
            <v>ANP 2014 0000543 KTK</v>
          </cell>
          <cell r="AC688" t="str">
            <v>Karnataka Medical Council</v>
          </cell>
          <cell r="AF688" t="str">
            <v>7899362934, 9052204034</v>
          </cell>
          <cell r="AG688" t="str">
            <v>kartheek.avs27@gmail.com</v>
          </cell>
          <cell r="AH688" t="str">
            <v>STATE BANK OF INDIA</v>
          </cell>
          <cell r="AI688" t="str">
            <v>31740893987</v>
          </cell>
          <cell r="AJ688" t="str">
            <v>SBIN0002801</v>
          </cell>
          <cell r="AK688" t="str">
            <v>AXBPA1982D</v>
          </cell>
          <cell r="AL688" t="str">
            <v>280431465901</v>
          </cell>
          <cell r="AM688" t="str">
            <v>Aradhyula Venkateswara Rao</v>
          </cell>
          <cell r="AN688">
            <v>44828</v>
          </cell>
          <cell r="AO688">
            <v>44767</v>
          </cell>
          <cell r="AS688" t="str">
            <v>0.6</v>
          </cell>
          <cell r="AW688">
            <v>33173</v>
          </cell>
          <cell r="AX688" t="str">
            <v>Male</v>
          </cell>
          <cell r="AY688" t="str">
            <v>Part Time</v>
          </cell>
          <cell r="AZ688">
            <v>1.5</v>
          </cell>
        </row>
        <row r="689">
          <cell r="M689" t="str">
            <v>Akruthi Township-108</v>
          </cell>
          <cell r="N689" t="str">
            <v>Basic USG, Tiffa, MSK, Guided Procedures, Basic CT, CT Enteroclysis, Basic MRI, X-Ray, IVP, RGU, MCGU, Barium Swallow, BariumEnema, HSG</v>
          </cell>
          <cell r="O689" t="str">
            <v>Radiology</v>
          </cell>
          <cell r="P689" t="str">
            <v>Consultant Radiologist</v>
          </cell>
          <cell r="Q689" t="str">
            <v>Dr. Krishna Mohan Pottala</v>
          </cell>
          <cell r="R689">
            <v>44657</v>
          </cell>
          <cell r="S689">
            <v>44896</v>
          </cell>
          <cell r="T689">
            <v>45626</v>
          </cell>
          <cell r="U689">
            <v>45627</v>
          </cell>
          <cell r="V689">
            <v>2017</v>
          </cell>
          <cell r="W689" t="str">
            <v>Mamata Medical College, Khammam, Telangana</v>
          </cell>
          <cell r="X689">
            <v>2021</v>
          </cell>
          <cell r="Y689" t="str">
            <v>Navodaya Medical College, Raichur, Karnataka</v>
          </cell>
          <cell r="Z689" t="str">
            <v>NA</v>
          </cell>
          <cell r="AA689" t="str">
            <v>MBBS, MD</v>
          </cell>
          <cell r="AB689" t="str">
            <v>TSMC/FMR/02483</v>
          </cell>
          <cell r="AC689" t="str">
            <v>Telangana State Medical Council</v>
          </cell>
          <cell r="AD689">
            <v>44881</v>
          </cell>
          <cell r="AE689">
            <v>46706</v>
          </cell>
          <cell r="AF689">
            <v>8688416470</v>
          </cell>
          <cell r="AG689" t="str">
            <v>mouni.chinni150@gmail.com</v>
          </cell>
          <cell r="AH689" t="str">
            <v>Union Bank of India</v>
          </cell>
          <cell r="AI689" t="str">
            <v>118010100044287</v>
          </cell>
          <cell r="AJ689" t="str">
            <v>UBIN0811807</v>
          </cell>
          <cell r="AK689" t="str">
            <v>AKNPY2210M</v>
          </cell>
          <cell r="AL689" t="str">
            <v>428574587364</v>
          </cell>
          <cell r="AM689" t="str">
            <v>Y Dilip Reddy</v>
          </cell>
          <cell r="AN689">
            <v>45139</v>
          </cell>
          <cell r="AW689">
            <v>34205</v>
          </cell>
          <cell r="AX689" t="str">
            <v>Female</v>
          </cell>
          <cell r="AY689" t="str">
            <v>Part Time</v>
          </cell>
          <cell r="AZ689">
            <v>5</v>
          </cell>
          <cell r="BA689">
            <v>5</v>
          </cell>
        </row>
        <row r="690">
          <cell r="M690" t="str">
            <v>Madinaguda - 112</v>
          </cell>
          <cell r="N690" t="str">
            <v>Hematology, Cytopathology, Clinical Pathology</v>
          </cell>
          <cell r="O690" t="str">
            <v>Pathology</v>
          </cell>
          <cell r="P690" t="str">
            <v>Consultant Pathologist</v>
          </cell>
          <cell r="Q690" t="str">
            <v>Dr. Shashikanth</v>
          </cell>
          <cell r="R690">
            <v>44659</v>
          </cell>
          <cell r="S690">
            <v>44659</v>
          </cell>
          <cell r="T690">
            <v>45389</v>
          </cell>
          <cell r="U690">
            <v>45390</v>
          </cell>
          <cell r="AF690">
            <v>8074034636</v>
          </cell>
          <cell r="AG690" t="str">
            <v xml:space="preserve"> divyasreekummari2710@gmail.com</v>
          </cell>
          <cell r="AH690" t="str">
            <v>UNION BANK OF INDIA</v>
          </cell>
          <cell r="AI690" t="str">
            <v>030210100105904</v>
          </cell>
          <cell r="AJ690" t="str">
            <v>UBIN0803022</v>
          </cell>
          <cell r="AK690" t="str">
            <v>CIQPK7959C</v>
          </cell>
          <cell r="AL690" t="str">
            <v>716080420045</v>
          </cell>
          <cell r="AN690">
            <v>44715</v>
          </cell>
          <cell r="AO690">
            <v>44723</v>
          </cell>
          <cell r="AW690">
            <v>33357</v>
          </cell>
          <cell r="AX690" t="str">
            <v>Female</v>
          </cell>
          <cell r="AY690" t="str">
            <v>Full Time</v>
          </cell>
          <cell r="AZ690">
            <v>8</v>
          </cell>
          <cell r="BA690" t="str">
            <v>Madhapur Cluster</v>
          </cell>
        </row>
        <row r="691">
          <cell r="M691" t="str">
            <v>A S Rao Nagar - 18</v>
          </cell>
          <cell r="N691" t="str">
            <v>USG Basic, Tiffa, MSK, Basic CT, All Angios except Coronary, Virtual Endoscopy, CT Perfusion, CT Enterclysis, Basic MRI, Cardiac MRI, MR Perfusion, Fetal MRI, MR Prostate, X-Ray, Mammography, IVP, RGU, MCGU, Barium Swallow, Barium Enema, HSG</v>
          </cell>
          <cell r="O691" t="str">
            <v>Radiology</v>
          </cell>
          <cell r="P691" t="str">
            <v>Consultant Radiologist</v>
          </cell>
          <cell r="Q691" t="str">
            <v>Dr. L T Kishore</v>
          </cell>
          <cell r="R691">
            <v>44662</v>
          </cell>
          <cell r="S691">
            <v>44662</v>
          </cell>
          <cell r="T691">
            <v>45392</v>
          </cell>
          <cell r="U691">
            <v>45393</v>
          </cell>
          <cell r="V691">
            <v>2010</v>
          </cell>
          <cell r="W691" t="str">
            <v xml:space="preserve">Prathima Institute Of Medical Sciences </v>
          </cell>
          <cell r="X691">
            <v>2018</v>
          </cell>
          <cell r="Y691" t="str">
            <v>Jawaharlal Nehru Medical Sciences, KLE University, Belgaum</v>
          </cell>
          <cell r="Z691" t="str">
            <v>NA</v>
          </cell>
          <cell r="AF691">
            <v>7981557468</v>
          </cell>
          <cell r="AH691" t="str">
            <v>HDFC</v>
          </cell>
          <cell r="AI691" t="str">
            <v>59126120621989</v>
          </cell>
          <cell r="AJ691" t="str">
            <v>HDFC0001014</v>
          </cell>
          <cell r="AK691" t="str">
            <v>ATDPA9674L</v>
          </cell>
          <cell r="AL691" t="str">
            <v>822544987989</v>
          </cell>
          <cell r="AS691" t="e">
            <v>#REF!</v>
          </cell>
          <cell r="AX691" t="str">
            <v>Male</v>
          </cell>
          <cell r="AY691" t="str">
            <v>Part Time</v>
          </cell>
          <cell r="AZ691">
            <v>2</v>
          </cell>
          <cell r="BA691" t="str">
            <v>A.S. Rao Nagar Cluster</v>
          </cell>
        </row>
        <row r="692">
          <cell r="M692" t="str">
            <v>Dammaiguda - 82</v>
          </cell>
          <cell r="N692" t="str">
            <v>USG Basic, Tiffa, MSK, Basic CT, All Angios except Coronary, Virtual Endoscopy, CT Perfusion, CT Enterclysis, Basic MRI, Cardiac MRI, MR Perfusion, Fetal MRI, MR Prostate, X-Ray, Mammography, IVP, RGU, MCGU, Barium Swallow, Barium Enema, HSG</v>
          </cell>
          <cell r="O692" t="str">
            <v>Radiology</v>
          </cell>
          <cell r="P692" t="str">
            <v>Consultant Radiologist</v>
          </cell>
          <cell r="Q692" t="str">
            <v>Dr. L T Kishore</v>
          </cell>
          <cell r="R692">
            <v>44662</v>
          </cell>
          <cell r="S692">
            <v>44662</v>
          </cell>
          <cell r="T692">
            <v>45392</v>
          </cell>
          <cell r="U692">
            <v>45393</v>
          </cell>
          <cell r="V692">
            <v>2010</v>
          </cell>
          <cell r="W692" t="str">
            <v xml:space="preserve">Prathima Institute Of Medical Sciences </v>
          </cell>
          <cell r="X692">
            <v>2018</v>
          </cell>
          <cell r="Y692" t="str">
            <v>Jawaharlal Nehru Medical Sciences, KLE University, Belgaum</v>
          </cell>
          <cell r="Z692" t="str">
            <v>NA</v>
          </cell>
          <cell r="AF692">
            <v>7981557468</v>
          </cell>
          <cell r="AH692" t="str">
            <v>HDFC</v>
          </cell>
          <cell r="AI692" t="str">
            <v>59126120621989</v>
          </cell>
          <cell r="AJ692" t="str">
            <v>HDFC0001014</v>
          </cell>
          <cell r="AK692" t="str">
            <v>ATDPA9674L</v>
          </cell>
          <cell r="AL692" t="str">
            <v>822544987989</v>
          </cell>
          <cell r="AS692" t="e">
            <v>#REF!</v>
          </cell>
          <cell r="AX692" t="str">
            <v>Male</v>
          </cell>
          <cell r="AY692" t="str">
            <v>Part Time</v>
          </cell>
          <cell r="AZ692">
            <v>3</v>
          </cell>
          <cell r="BA692" t="str">
            <v>A.S. Rao Nagar Cluster</v>
          </cell>
        </row>
        <row r="693">
          <cell r="M693" t="str">
            <v>Madinaguda - 112</v>
          </cell>
          <cell r="N693" t="str">
            <v>Hematology, Cytopathology, Clinical Pathology</v>
          </cell>
          <cell r="O693" t="str">
            <v>Pathology</v>
          </cell>
          <cell r="P693" t="str">
            <v>Consultant Pathologist</v>
          </cell>
          <cell r="Q693" t="str">
            <v>Dr. Shashikanth</v>
          </cell>
          <cell r="R693">
            <v>44662</v>
          </cell>
          <cell r="S693">
            <v>44662</v>
          </cell>
          <cell r="T693">
            <v>45392</v>
          </cell>
          <cell r="U693">
            <v>45393</v>
          </cell>
          <cell r="V693">
            <v>2007</v>
          </cell>
          <cell r="W693" t="str">
            <v>Zaporozhye State Medical University</v>
          </cell>
          <cell r="X693">
            <v>2010</v>
          </cell>
          <cell r="Y693" t="str">
            <v xml:space="preserve">Kamineni Institute of Medical Sciences, Narketpally </v>
          </cell>
          <cell r="Z693" t="str">
            <v>NA</v>
          </cell>
          <cell r="AA693" t="str">
            <v>MBBS, MD Pathology</v>
          </cell>
          <cell r="AB693">
            <v>56915</v>
          </cell>
          <cell r="AC693" t="str">
            <v>Telangana Medical Council</v>
          </cell>
          <cell r="AD693">
            <v>44273</v>
          </cell>
          <cell r="AE693">
            <v>46098</v>
          </cell>
          <cell r="AF693">
            <v>9885848749</v>
          </cell>
          <cell r="AG693" t="str">
            <v>ramnathmajety@hotmail.com</v>
          </cell>
          <cell r="AH693" t="str">
            <v>ICICI Bank</v>
          </cell>
          <cell r="AI693">
            <v>4001602520</v>
          </cell>
          <cell r="AJ693" t="str">
            <v>ICIC0000040</v>
          </cell>
          <cell r="AK693" t="str">
            <v>AHUPM3761B</v>
          </cell>
          <cell r="AL693" t="str">
            <v>723210385289</v>
          </cell>
          <cell r="AN693">
            <v>45443</v>
          </cell>
          <cell r="AP693" t="str">
            <v>Performance issues, asked to leave from our end</v>
          </cell>
          <cell r="AU693">
            <v>0.33333333333333331</v>
          </cell>
          <cell r="AV693">
            <v>0.66666666666666663</v>
          </cell>
          <cell r="AW693">
            <v>28451</v>
          </cell>
          <cell r="AX693" t="str">
            <v>Male</v>
          </cell>
          <cell r="AY693" t="str">
            <v>Full Time</v>
          </cell>
          <cell r="AZ693">
            <v>8</v>
          </cell>
          <cell r="BA693" t="str">
            <v>Madhapur Cluster</v>
          </cell>
        </row>
        <row r="694">
          <cell r="M694" t="str">
            <v>Madinaguda - 112</v>
          </cell>
          <cell r="O694" t="str">
            <v>Pathology</v>
          </cell>
          <cell r="P694" t="str">
            <v>Consultant Pathologist</v>
          </cell>
          <cell r="Q694" t="str">
            <v>Dr. Shashikanth</v>
          </cell>
          <cell r="R694">
            <v>44662</v>
          </cell>
          <cell r="S694">
            <v>44662</v>
          </cell>
          <cell r="T694">
            <v>45392</v>
          </cell>
          <cell r="U694">
            <v>45393</v>
          </cell>
          <cell r="AK694" t="str">
            <v>AQOPC9348M</v>
          </cell>
          <cell r="AL694" t="str">
            <v>588252497215</v>
          </cell>
          <cell r="AX694" t="str">
            <v>Female</v>
          </cell>
          <cell r="AY694" t="str">
            <v>Part Time</v>
          </cell>
          <cell r="AZ694">
            <v>4</v>
          </cell>
          <cell r="BA694" t="str">
            <v>Madhapur Cluster</v>
          </cell>
        </row>
        <row r="695">
          <cell r="M695" t="str">
            <v>Motinagar - 19</v>
          </cell>
          <cell r="N695" t="str">
            <v>Basic USG, Tiffa, USG Guided procedures,  IVP, RGU, MCGU, Barium Swallow, Barium Enemma, HSG, X-Ray</v>
          </cell>
          <cell r="O695" t="str">
            <v>Radiology</v>
          </cell>
          <cell r="P695" t="str">
            <v>Consultant Radiologist</v>
          </cell>
          <cell r="Q695" t="str">
            <v>Dr. Krishna Mohan Pottala</v>
          </cell>
          <cell r="R695">
            <v>44419</v>
          </cell>
          <cell r="S695">
            <v>45142</v>
          </cell>
          <cell r="T695">
            <v>45872</v>
          </cell>
          <cell r="U695">
            <v>45873</v>
          </cell>
          <cell r="V695">
            <v>2012</v>
          </cell>
          <cell r="W695" t="str">
            <v>SRM Medical College</v>
          </cell>
          <cell r="X695">
            <v>2020</v>
          </cell>
          <cell r="Y695" t="str">
            <v>Deccan College of Medical Science</v>
          </cell>
          <cell r="Z695" t="str">
            <v>NA</v>
          </cell>
          <cell r="AA695" t="str">
            <v>MBBS, MD - Radio Diagnosis</v>
          </cell>
          <cell r="AB695" t="str">
            <v>TSMC/FMR/02581</v>
          </cell>
          <cell r="AC695" t="str">
            <v>Telangana State Medical Council</v>
          </cell>
          <cell r="AD695">
            <v>44497</v>
          </cell>
          <cell r="AE695">
            <v>46322</v>
          </cell>
          <cell r="AF695">
            <v>9000419603</v>
          </cell>
          <cell r="AG695" t="str">
            <v>jameelkairos@gmail.com</v>
          </cell>
          <cell r="AH695" t="str">
            <v>Canara Bank</v>
          </cell>
          <cell r="AI695" t="str">
            <v>30442010212228</v>
          </cell>
          <cell r="AJ695" t="str">
            <v>CNRB0013044</v>
          </cell>
          <cell r="AK695" t="str">
            <v>CBAPM4874K</v>
          </cell>
          <cell r="AL695" t="str">
            <v>406257701478</v>
          </cell>
          <cell r="AM695" t="str">
            <v>Mohd Sikandar</v>
          </cell>
          <cell r="AN695">
            <v>45491</v>
          </cell>
          <cell r="AO695" t="str">
            <v>NA</v>
          </cell>
          <cell r="AP695" t="str">
            <v>Notice issued from Vijaya</v>
          </cell>
          <cell r="AU695">
            <v>0.375</v>
          </cell>
          <cell r="AV695">
            <v>0.70833333333333337</v>
          </cell>
          <cell r="AW695">
            <v>32288</v>
          </cell>
          <cell r="AX695" t="str">
            <v>Male</v>
          </cell>
          <cell r="AY695" t="str">
            <v>Part Time</v>
          </cell>
          <cell r="AZ695">
            <v>8</v>
          </cell>
          <cell r="BA695" t="str">
            <v>Punjagutta Cluster</v>
          </cell>
        </row>
        <row r="696">
          <cell r="M696" t="str">
            <v>Musheerbad - 36</v>
          </cell>
          <cell r="N696" t="str">
            <v>USG, Tiffa,  TRUS, Guided Procedures,  IVP, RGU, MCGU, Barium Swallow, Barium Enemma, HSG, X Ray,  Mammography,  Basic CT, All Angios, Virtual Entoscopy,  CT Perfusion, CT Enterclysis,  CT Guided procedures,  MRI Basic, MR Flow Study, MR Perfusion, Fetal MR,  MR Prostrate and MR Neurography</v>
          </cell>
          <cell r="O696" t="str">
            <v>Radiology</v>
          </cell>
          <cell r="P696" t="str">
            <v>Consultant Radiologist</v>
          </cell>
          <cell r="Q696" t="str">
            <v>Dr. Krishna Mohan Pottala</v>
          </cell>
          <cell r="R696">
            <v>44664</v>
          </cell>
          <cell r="S696">
            <v>44664</v>
          </cell>
          <cell r="T696">
            <v>45394</v>
          </cell>
          <cell r="U696">
            <v>45395</v>
          </cell>
          <cell r="V696">
            <v>2015</v>
          </cell>
          <cell r="W696" t="str">
            <v>Osmania Medical College</v>
          </cell>
          <cell r="X696">
            <v>2019</v>
          </cell>
          <cell r="Y696" t="str">
            <v>PGIMER, Chandigarh</v>
          </cell>
          <cell r="Z696" t="str">
            <v>NA</v>
          </cell>
          <cell r="AA696" t="str">
            <v>MBBS, MD</v>
          </cell>
          <cell r="AF696">
            <v>9391687368</v>
          </cell>
          <cell r="AH696" t="str">
            <v>STATE BANK OF INDIA</v>
          </cell>
          <cell r="AI696" t="str">
            <v>00000020205715281</v>
          </cell>
          <cell r="AJ696" t="str">
            <v>SBIN0010356</v>
          </cell>
          <cell r="AK696" t="str">
            <v>CHOPR5407F</v>
          </cell>
          <cell r="AL696" t="str">
            <v>869234040385</v>
          </cell>
          <cell r="AX696" t="str">
            <v>Female</v>
          </cell>
          <cell r="AY696" t="str">
            <v>Part Time</v>
          </cell>
          <cell r="AZ696">
            <v>3</v>
          </cell>
          <cell r="BA696" t="str">
            <v>Secunderabad Cluster</v>
          </cell>
        </row>
        <row r="697">
          <cell r="M697" t="str">
            <v>Gachibowli-66</v>
          </cell>
          <cell r="O697" t="str">
            <v>NA</v>
          </cell>
          <cell r="BA697" t="str">
            <v>Madhapur Cluster</v>
          </cell>
        </row>
        <row r="698">
          <cell r="M698" t="str">
            <v>Attapur - 34</v>
          </cell>
          <cell r="N698" t="str">
            <v>USG, Xray</v>
          </cell>
          <cell r="O698" t="str">
            <v>Radiology</v>
          </cell>
          <cell r="P698" t="str">
            <v>Consultant Radiologist</v>
          </cell>
          <cell r="Q698" t="str">
            <v>Dr. L T Kishore</v>
          </cell>
          <cell r="R698">
            <v>44669</v>
          </cell>
          <cell r="S698">
            <v>44669</v>
          </cell>
          <cell r="T698">
            <v>45399</v>
          </cell>
          <cell r="U698">
            <v>45400</v>
          </cell>
          <cell r="AH698" t="str">
            <v>HDFC</v>
          </cell>
          <cell r="AI698" t="str">
            <v>50100471010038</v>
          </cell>
          <cell r="AJ698" t="str">
            <v>HDFC0005104</v>
          </cell>
          <cell r="AK698" t="str">
            <v>AHGPC5817L</v>
          </cell>
          <cell r="AL698" t="str">
            <v>595024099555</v>
          </cell>
          <cell r="AX698" t="str">
            <v>Male</v>
          </cell>
          <cell r="AY698" t="str">
            <v>Part Time</v>
          </cell>
          <cell r="AZ698">
            <v>2.5</v>
          </cell>
          <cell r="BA698" t="str">
            <v>Tolichowki Cluster</v>
          </cell>
        </row>
        <row r="699">
          <cell r="M699" t="str">
            <v>Yousufguda - 42</v>
          </cell>
          <cell r="N699" t="str">
            <v>Basis USG, MSK, Basic CT, All Angios, Basic MRI, Xray, Mammography</v>
          </cell>
          <cell r="O699" t="str">
            <v>Radiology</v>
          </cell>
          <cell r="P699" t="str">
            <v>Consultant Radiologist</v>
          </cell>
          <cell r="Q699" t="str">
            <v>Dr. L T Kishore</v>
          </cell>
          <cell r="R699">
            <v>44671</v>
          </cell>
          <cell r="S699">
            <v>44671</v>
          </cell>
          <cell r="T699">
            <v>45401</v>
          </cell>
          <cell r="U699">
            <v>45402</v>
          </cell>
          <cell r="V699">
            <v>2013</v>
          </cell>
          <cell r="W699" t="str">
            <v>Chalmeda Ananda Rao Institute of Medical Science</v>
          </cell>
          <cell r="X699">
            <v>2018</v>
          </cell>
          <cell r="Y699" t="str">
            <v xml:space="preserve">Yashoda Hospital, Somajiguda, Hyderabad </v>
          </cell>
          <cell r="Z699" t="str">
            <v>NA</v>
          </cell>
          <cell r="AA699" t="str">
            <v>MBBS, DNB</v>
          </cell>
          <cell r="AF699">
            <v>9100836865</v>
          </cell>
          <cell r="AG699" t="str">
            <v>chinkychatur@gmail.com</v>
          </cell>
          <cell r="AH699" t="str">
            <v>ICICI</v>
          </cell>
          <cell r="AI699" t="str">
            <v>004801621369</v>
          </cell>
          <cell r="AJ699" t="str">
            <v>ICIC0000048</v>
          </cell>
          <cell r="AK699" t="str">
            <v>AJBPC5842L</v>
          </cell>
          <cell r="AL699" t="str">
            <v>350794668315</v>
          </cell>
          <cell r="AS699" t="e">
            <v>#REF!</v>
          </cell>
          <cell r="AX699" t="str">
            <v>Female</v>
          </cell>
          <cell r="AY699" t="str">
            <v>Part Time</v>
          </cell>
          <cell r="AZ699">
            <v>4</v>
          </cell>
          <cell r="BA699" t="str">
            <v>Punjagutta Cluster</v>
          </cell>
        </row>
        <row r="700">
          <cell r="M700" t="str">
            <v>Hanamkonda - 40</v>
          </cell>
          <cell r="O700" t="str">
            <v>Microbiology</v>
          </cell>
          <cell r="P700" t="str">
            <v>Consultant Microbiologist</v>
          </cell>
          <cell r="Q700" t="str">
            <v>Dr. Shashikanth</v>
          </cell>
          <cell r="R700">
            <v>44671</v>
          </cell>
          <cell r="S700">
            <v>44671</v>
          </cell>
          <cell r="T700">
            <v>45401</v>
          </cell>
          <cell r="U700">
            <v>45402</v>
          </cell>
          <cell r="V700">
            <v>2008</v>
          </cell>
          <cell r="W700" t="str">
            <v>Sri Venkatewara Medical College, Tirupathi</v>
          </cell>
          <cell r="X700">
            <v>2015</v>
          </cell>
          <cell r="Y700" t="str">
            <v>Sri Venkatewara Medical College, Tirupathi</v>
          </cell>
          <cell r="Z700" t="str">
            <v>NA</v>
          </cell>
          <cell r="AA700" t="str">
            <v>MBBS, MD</v>
          </cell>
          <cell r="AB700">
            <v>65163</v>
          </cell>
          <cell r="AC700" t="str">
            <v>Andhra Pradesh Medical Council</v>
          </cell>
          <cell r="AF700">
            <v>9492032184</v>
          </cell>
          <cell r="AH700" t="str">
            <v>STATE BANK OF INDIA</v>
          </cell>
          <cell r="AI700" t="str">
            <v>30531455270</v>
          </cell>
          <cell r="AJ700" t="str">
            <v>SBIN0021991</v>
          </cell>
          <cell r="AK700" t="str">
            <v>ANCPC5437C</v>
          </cell>
          <cell r="AL700" t="str">
            <v>548497553515</v>
          </cell>
          <cell r="AX700" t="str">
            <v>Female</v>
          </cell>
          <cell r="AY700" t="str">
            <v>Part Time</v>
          </cell>
          <cell r="AZ700">
            <v>4</v>
          </cell>
          <cell r="BA700">
            <v>4</v>
          </cell>
        </row>
        <row r="701">
          <cell r="M701" t="str">
            <v>Habsiguda - 17</v>
          </cell>
          <cell r="N701" t="str">
            <v>Basic USG, Guided Procedures, Xray, Mammography, IVP, RGU, MCGU, Barium Swallow, Barium Enema, HSG</v>
          </cell>
          <cell r="O701" t="str">
            <v>Radiology</v>
          </cell>
          <cell r="P701" t="str">
            <v>Consultant Radiologist</v>
          </cell>
          <cell r="Q701" t="str">
            <v>Dr. Krishna Mohan Pottala</v>
          </cell>
          <cell r="R701">
            <v>44673</v>
          </cell>
          <cell r="S701">
            <v>44673</v>
          </cell>
          <cell r="T701">
            <v>45403</v>
          </cell>
          <cell r="U701">
            <v>45404</v>
          </cell>
          <cell r="V701">
            <v>2013</v>
          </cell>
          <cell r="W701" t="str">
            <v xml:space="preserve"> GSL Medical College, Rajahmundry, AP</v>
          </cell>
          <cell r="X701">
            <v>2018</v>
          </cell>
          <cell r="Y701" t="str">
            <v xml:space="preserve"> GSL Medical College, Rajahmundry, AP</v>
          </cell>
          <cell r="Z701" t="str">
            <v>NA</v>
          </cell>
          <cell r="AA701" t="str">
            <v>MBBS, DMRD</v>
          </cell>
          <cell r="AB701" t="str">
            <v>APMC/ FMR/80963</v>
          </cell>
          <cell r="AC701" t="str">
            <v>Telangana State Medical Council</v>
          </cell>
          <cell r="AD701">
            <v>44200</v>
          </cell>
          <cell r="AE701">
            <v>46025</v>
          </cell>
          <cell r="AF701">
            <v>9182812280</v>
          </cell>
          <cell r="AG701" t="str">
            <v>sruthieatukuri@gmail.com</v>
          </cell>
          <cell r="AH701" t="str">
            <v>Andhra Bank</v>
          </cell>
          <cell r="AI701" t="str">
            <v>59150015102021</v>
          </cell>
          <cell r="AJ701" t="str">
            <v>HDFC0000368</v>
          </cell>
          <cell r="AK701" t="str">
            <v>ABBPE0194M</v>
          </cell>
          <cell r="AL701" t="str">
            <v>717447615277</v>
          </cell>
          <cell r="AN701">
            <v>45404</v>
          </cell>
          <cell r="AO701">
            <v>45398</v>
          </cell>
          <cell r="AP701" t="str">
            <v>Personal Reason</v>
          </cell>
          <cell r="AU701">
            <v>0.5</v>
          </cell>
          <cell r="AV701">
            <v>0.83333333333333337</v>
          </cell>
          <cell r="AW701">
            <v>32718</v>
          </cell>
          <cell r="AX701" t="str">
            <v>Female</v>
          </cell>
          <cell r="AY701" t="str">
            <v>Part Time</v>
          </cell>
          <cell r="AZ701">
            <v>8</v>
          </cell>
          <cell r="BA701">
            <v>8</v>
          </cell>
        </row>
        <row r="702">
          <cell r="M702" t="str">
            <v>Habsiguda</v>
          </cell>
          <cell r="N702" t="str">
            <v>Hematology, Cytopathology, Clinical Pathology</v>
          </cell>
          <cell r="O702" t="str">
            <v>Pathology</v>
          </cell>
          <cell r="P702" t="str">
            <v>Consultant Pathologist</v>
          </cell>
          <cell r="Q702" t="str">
            <v>Dr. Shashikanth</v>
          </cell>
          <cell r="R702">
            <v>44676</v>
          </cell>
          <cell r="S702">
            <v>44676</v>
          </cell>
          <cell r="T702">
            <v>45406</v>
          </cell>
          <cell r="U702">
            <v>45407</v>
          </cell>
          <cell r="AH702" t="str">
            <v>ICICI</v>
          </cell>
          <cell r="AI702" t="str">
            <v>058801513043</v>
          </cell>
          <cell r="AJ702" t="str">
            <v>ICIC0000588</v>
          </cell>
          <cell r="AK702" t="str">
            <v>AXVPN4015A</v>
          </cell>
          <cell r="AL702" t="str">
            <v>230003091828</v>
          </cell>
          <cell r="AX702" t="str">
            <v>Female</v>
          </cell>
          <cell r="AY702" t="str">
            <v>Full Time</v>
          </cell>
          <cell r="AZ702">
            <v>8</v>
          </cell>
          <cell r="BA702" t="str">
            <v>A.S. Rao Nagar Cluster</v>
          </cell>
        </row>
        <row r="703">
          <cell r="M703" t="str">
            <v>Kurnool - 43</v>
          </cell>
          <cell r="O703" t="str">
            <v>Pathology</v>
          </cell>
          <cell r="P703" t="str">
            <v>Consultant Pathologist</v>
          </cell>
          <cell r="Q703" t="str">
            <v>Dr. Shashikanth</v>
          </cell>
          <cell r="R703">
            <v>44676</v>
          </cell>
          <cell r="S703">
            <v>44676</v>
          </cell>
          <cell r="T703">
            <v>45406</v>
          </cell>
          <cell r="U703">
            <v>45407</v>
          </cell>
          <cell r="V703">
            <v>2012</v>
          </cell>
          <cell r="W703" t="str">
            <v xml:space="preserve">DR.B.R.AMBEDKAR MEDICAL COLLEGE, BANGALORE. </v>
          </cell>
          <cell r="X703">
            <v>2016</v>
          </cell>
          <cell r="Y703" t="str">
            <v xml:space="preserve">KMC, Manipal </v>
          </cell>
          <cell r="Z703" t="str">
            <v>NA</v>
          </cell>
          <cell r="AC703" t="str">
            <v>Andhra Pradesh Medical Council</v>
          </cell>
          <cell r="AF703">
            <v>9901046009</v>
          </cell>
          <cell r="AG703" t="str">
            <v>drahimabindu@gmail.com</v>
          </cell>
          <cell r="AH703" t="str">
            <v>HDFC</v>
          </cell>
          <cell r="AI703" t="str">
            <v>50100517895702</v>
          </cell>
          <cell r="AJ703" t="str">
            <v>HDFC0000742</v>
          </cell>
          <cell r="AK703" t="str">
            <v>AWYPA9674J</v>
          </cell>
          <cell r="AL703" t="str">
            <v>254113030764</v>
          </cell>
          <cell r="AX703" t="str">
            <v>Female</v>
          </cell>
          <cell r="AY703" t="str">
            <v>Full Time</v>
          </cell>
          <cell r="AZ703">
            <v>8</v>
          </cell>
          <cell r="BA703" t="str">
            <v>Kurnool Cluster</v>
          </cell>
        </row>
        <row r="704">
          <cell r="M704" t="str">
            <v>Dilsukhnagar - 12</v>
          </cell>
          <cell r="N704" t="str">
            <v>Hematology, Cytopathology, Clinical Pathology</v>
          </cell>
          <cell r="O704" t="str">
            <v>Pathology</v>
          </cell>
          <cell r="P704" t="str">
            <v>Consultant Pathologist</v>
          </cell>
          <cell r="Q704" t="str">
            <v>Dr. Shashikanth</v>
          </cell>
          <cell r="R704">
            <v>44683</v>
          </cell>
          <cell r="S704">
            <v>44683</v>
          </cell>
          <cell r="T704">
            <v>45413</v>
          </cell>
          <cell r="U704">
            <v>45414</v>
          </cell>
          <cell r="V704">
            <v>2010</v>
          </cell>
          <cell r="W704" t="str">
            <v>M N R Medical College, Sangareddy, Telangana</v>
          </cell>
          <cell r="X704">
            <v>2020</v>
          </cell>
          <cell r="Y704" t="str">
            <v>Gandhi Medical College, Secunderabad</v>
          </cell>
          <cell r="Z704" t="str">
            <v>NA</v>
          </cell>
          <cell r="AA704" t="str">
            <v>MBBS, MD - Pathology</v>
          </cell>
          <cell r="AB704">
            <v>68502</v>
          </cell>
          <cell r="AC704" t="str">
            <v>Telangana Medical Council</v>
          </cell>
          <cell r="AD704">
            <v>44629</v>
          </cell>
          <cell r="AE704">
            <v>46454</v>
          </cell>
          <cell r="AF704">
            <v>7337462523</v>
          </cell>
          <cell r="AG704" t="str">
            <v>abdhija.h@gmail.com</v>
          </cell>
          <cell r="AH704" t="str">
            <v>State Bank Of India</v>
          </cell>
          <cell r="AI704" t="str">
            <v>20244019287</v>
          </cell>
          <cell r="AJ704" t="str">
            <v>SBIN0011667</v>
          </cell>
          <cell r="AK704" t="str">
            <v>AEPPH9158F</v>
          </cell>
          <cell r="AL704">
            <v>677943992263</v>
          </cell>
          <cell r="AM704" t="str">
            <v>Balaraju Hanumandla</v>
          </cell>
          <cell r="AN704">
            <v>45088</v>
          </cell>
          <cell r="AO704" t="str">
            <v>NA</v>
          </cell>
          <cell r="AS704" t="e">
            <v>#N/A</v>
          </cell>
          <cell r="AW704">
            <v>31236</v>
          </cell>
          <cell r="AX704" t="str">
            <v>Female</v>
          </cell>
          <cell r="AY704" t="str">
            <v>Full Time</v>
          </cell>
          <cell r="AZ704">
            <v>8</v>
          </cell>
          <cell r="BA704" t="str">
            <v>Dilshuknagar Cluster</v>
          </cell>
        </row>
        <row r="705">
          <cell r="M705" t="str">
            <v>LBNagar - 87</v>
          </cell>
          <cell r="N705" t="str">
            <v>USG, Tiffa, MSK, Guided Procedures,  IVP, RGU, MCGU, Barium Swallow, Barium Enemma, HSG, X Ray,  Mammography,  Basic CT, All Angios, CT Enterclysis,  CT Guided procedures,  MRI Basic, Cardiac MRI, CSF Flow Study, MR Perfusion, Fetal MR, MR Defacography,  MR Prostrate and MR Neurography</v>
          </cell>
          <cell r="O705" t="str">
            <v>Radiology</v>
          </cell>
          <cell r="P705" t="str">
            <v>Consultant Radiologist</v>
          </cell>
          <cell r="Q705" t="str">
            <v>Dr. Krishna Mohan Pottala</v>
          </cell>
          <cell r="R705">
            <v>44683</v>
          </cell>
          <cell r="S705">
            <v>44683</v>
          </cell>
          <cell r="T705">
            <v>45413</v>
          </cell>
          <cell r="U705">
            <v>45414</v>
          </cell>
          <cell r="V705">
            <v>2010</v>
          </cell>
          <cell r="W705" t="str">
            <v>Guntur Medical College</v>
          </cell>
          <cell r="X705">
            <v>2016</v>
          </cell>
          <cell r="Y705" t="str">
            <v>DMRD - Kurnool Medical College</v>
          </cell>
          <cell r="Z705" t="str">
            <v>DNB - KIMS Hospitals, 2019</v>
          </cell>
          <cell r="AA705" t="str">
            <v>MBBS, DMRD, DNB</v>
          </cell>
          <cell r="AB705">
            <v>70747</v>
          </cell>
          <cell r="AC705" t="str">
            <v>Telangana Medical Council</v>
          </cell>
          <cell r="AD705">
            <v>44681</v>
          </cell>
          <cell r="AE705">
            <v>46506</v>
          </cell>
          <cell r="AF705">
            <v>9491876839</v>
          </cell>
          <cell r="AG705" t="str">
            <v>drgupendra@gmail.com</v>
          </cell>
          <cell r="AH705" t="str">
            <v>State Bank Of India</v>
          </cell>
          <cell r="AI705" t="str">
            <v>31187448095</v>
          </cell>
          <cell r="AJ705" t="str">
            <v>SBIN0011080</v>
          </cell>
          <cell r="AK705" t="str">
            <v>BCMPG0089E</v>
          </cell>
          <cell r="AL705">
            <v>769830479464</v>
          </cell>
          <cell r="AM705" t="str">
            <v>Rajeswara Rao Goparaju</v>
          </cell>
          <cell r="AN705" t="str">
            <v>NA</v>
          </cell>
          <cell r="AO705" t="str">
            <v>NA</v>
          </cell>
          <cell r="AW705">
            <v>32069</v>
          </cell>
          <cell r="AX705" t="str">
            <v>Male</v>
          </cell>
          <cell r="AY705" t="str">
            <v>Full Time</v>
          </cell>
          <cell r="AZ705">
            <v>8</v>
          </cell>
          <cell r="BA705" t="str">
            <v>Dilshuknagar Cluster</v>
          </cell>
        </row>
        <row r="706">
          <cell r="M706" t="str">
            <v>Safilguda - 58</v>
          </cell>
          <cell r="N706" t="str">
            <v>USG Basic, Tiffa, Fetal Echo, MSK, Guided Procedures, X Ray, IVP, RGU, MCGU, Barium Swallow, Barium Enema, HSG</v>
          </cell>
          <cell r="O706" t="str">
            <v>Radiology</v>
          </cell>
          <cell r="P706" t="str">
            <v>Consultant Radiologist</v>
          </cell>
          <cell r="Q706" t="str">
            <v>Dr. Krishna Mohan Pottala</v>
          </cell>
          <cell r="R706">
            <v>44683</v>
          </cell>
          <cell r="S706">
            <v>44683</v>
          </cell>
          <cell r="T706">
            <v>45413</v>
          </cell>
          <cell r="U706">
            <v>45414</v>
          </cell>
          <cell r="V706">
            <v>2012</v>
          </cell>
          <cell r="W706" t="str">
            <v>M N R Medical College, Sangareddy, Telangana</v>
          </cell>
          <cell r="X706">
            <v>2017</v>
          </cell>
          <cell r="Y706" t="str">
            <v>M N R Medical College, Sangareddy, Telangana</v>
          </cell>
          <cell r="Z706" t="str">
            <v>NA</v>
          </cell>
          <cell r="AA706" t="str">
            <v>MBBS, MD - Radiodiagnosis</v>
          </cell>
          <cell r="AB706" t="str">
            <v>APMC/FMR/83475</v>
          </cell>
          <cell r="AC706" t="str">
            <v>Telangana Medical Council</v>
          </cell>
          <cell r="AD706">
            <v>43348</v>
          </cell>
          <cell r="AE706">
            <v>45173</v>
          </cell>
          <cell r="AF706">
            <v>9959546834</v>
          </cell>
          <cell r="AG706" t="str">
            <v>minilss15@gmail.com</v>
          </cell>
          <cell r="AH706" t="str">
            <v>ICICI Bank</v>
          </cell>
          <cell r="AI706" t="str">
            <v>131501501989</v>
          </cell>
          <cell r="AJ706" t="str">
            <v>ICIC0001315</v>
          </cell>
          <cell r="AK706" t="str">
            <v>BMNPP1754J</v>
          </cell>
          <cell r="AL706">
            <v>664862865826</v>
          </cell>
          <cell r="AM706" t="str">
            <v>P Narender</v>
          </cell>
          <cell r="AN706" t="str">
            <v>NA</v>
          </cell>
          <cell r="AO706" t="str">
            <v>NA</v>
          </cell>
          <cell r="AW706">
            <v>32821</v>
          </cell>
          <cell r="AX706" t="str">
            <v>Male</v>
          </cell>
          <cell r="AY706" t="str">
            <v>Part Time</v>
          </cell>
          <cell r="AZ706">
            <v>4</v>
          </cell>
          <cell r="BA706">
            <v>4</v>
          </cell>
        </row>
        <row r="707">
          <cell r="M707" t="str">
            <v>Manikonda - 59</v>
          </cell>
          <cell r="N707" t="str">
            <v>USG Basic, Tiffa, Fetal Echo, Guided Procedures, X Ray, Mamography, IVP, RGU, MCGU, Barium Swallow, Barium Enema, HSG, Basic CT, All angios except coronary, CT Perfusion, CT Enteroclysis, MRI, MR Perfusion, Fetal MR, MR Prostrate</v>
          </cell>
          <cell r="O707" t="str">
            <v>Radiology</v>
          </cell>
          <cell r="P707" t="str">
            <v>Consultant Radiologist</v>
          </cell>
          <cell r="Q707" t="str">
            <v>Dr. Krishna Mohan Pottala</v>
          </cell>
          <cell r="R707">
            <v>44683</v>
          </cell>
          <cell r="S707">
            <v>44683</v>
          </cell>
          <cell r="T707">
            <v>45413</v>
          </cell>
          <cell r="U707">
            <v>45414</v>
          </cell>
          <cell r="V707">
            <v>2013</v>
          </cell>
          <cell r="W707" t="str">
            <v>Kamineni Institute of Medical Sciences, Narketpally</v>
          </cell>
          <cell r="X707">
            <v>2017</v>
          </cell>
          <cell r="Y707" t="str">
            <v>Kamineni Institute of Medical Sciences, Narketpally</v>
          </cell>
          <cell r="Z707" t="str">
            <v>NA</v>
          </cell>
          <cell r="AA707" t="str">
            <v>MBBS, MD</v>
          </cell>
          <cell r="AB707" t="str">
            <v>APMC/FMR/80447</v>
          </cell>
          <cell r="AC707" t="str">
            <v>Telangana Medical Council</v>
          </cell>
          <cell r="AD707">
            <v>44473</v>
          </cell>
          <cell r="AE707">
            <v>46298</v>
          </cell>
          <cell r="AF707">
            <v>8074629796</v>
          </cell>
          <cell r="AG707" t="str">
            <v>anushavarma41@gmail.com</v>
          </cell>
          <cell r="AH707" t="str">
            <v>HDFC Bank</v>
          </cell>
          <cell r="AI707" t="str">
            <v>50100516952521</v>
          </cell>
          <cell r="AJ707" t="str">
            <v>HDFC0005391</v>
          </cell>
          <cell r="AK707" t="str">
            <v>EMCPM6476C</v>
          </cell>
          <cell r="AL707">
            <v>996610671774</v>
          </cell>
          <cell r="AM707" t="str">
            <v>Ramesh Mekala</v>
          </cell>
          <cell r="AN707">
            <v>45108</v>
          </cell>
          <cell r="AO707" t="str">
            <v>NA</v>
          </cell>
          <cell r="AS707" t="e">
            <v>#N/A</v>
          </cell>
          <cell r="AW707">
            <v>32721</v>
          </cell>
          <cell r="AX707" t="str">
            <v>Female</v>
          </cell>
          <cell r="AY707" t="str">
            <v>Part Time</v>
          </cell>
          <cell r="AZ707">
            <v>4</v>
          </cell>
          <cell r="BA707" t="str">
            <v>Tolichowki Cluster</v>
          </cell>
        </row>
        <row r="708">
          <cell r="M708" t="str">
            <v>Gurgaon - 54</v>
          </cell>
          <cell r="N708" t="str">
            <v>Hematology, Cytopathology, Clinical Pathology</v>
          </cell>
          <cell r="O708" t="str">
            <v>Pathology</v>
          </cell>
          <cell r="P708" t="str">
            <v>Consultant Pathologist</v>
          </cell>
          <cell r="Q708" t="str">
            <v>Dr. Shashikanth</v>
          </cell>
          <cell r="R708">
            <v>44686</v>
          </cell>
          <cell r="S708">
            <v>44686</v>
          </cell>
          <cell r="T708">
            <v>45416</v>
          </cell>
          <cell r="U708">
            <v>45417</v>
          </cell>
          <cell r="V708">
            <v>2012</v>
          </cell>
          <cell r="W708" t="str">
            <v xml:space="preserve">Muzaffarnagar Medical College &amp; Hospital, Muzaffarnagar </v>
          </cell>
          <cell r="X708">
            <v>2018</v>
          </cell>
          <cell r="Y708" t="str">
            <v>Saraswathi Institute of Medical Sciences, Hapur, Chaudhary Charan Singh University, Meerut</v>
          </cell>
          <cell r="Z708" t="str">
            <v>NA</v>
          </cell>
          <cell r="AA708" t="str">
            <v>MBBS, MD - Pathology</v>
          </cell>
          <cell r="AB708">
            <v>63452</v>
          </cell>
          <cell r="AC708" t="str">
            <v>Delhi Medical Council</v>
          </cell>
          <cell r="AD708">
            <v>2013</v>
          </cell>
          <cell r="AE708">
            <v>2018</v>
          </cell>
          <cell r="AF708">
            <v>9873971444</v>
          </cell>
          <cell r="AG708" t="str">
            <v>atkeshvi23@gmail.com</v>
          </cell>
          <cell r="AH708" t="str">
            <v>State Bank Of India</v>
          </cell>
          <cell r="AI708" t="str">
            <v>30251664723</v>
          </cell>
          <cell r="AJ708" t="str">
            <v>SBIN0003111</v>
          </cell>
          <cell r="AK708" t="str">
            <v>ABAPU6193M</v>
          </cell>
          <cell r="AL708">
            <v>590163169717</v>
          </cell>
          <cell r="AM708" t="str">
            <v>Ramesh Chand Upadhyay</v>
          </cell>
          <cell r="AN708">
            <v>44930</v>
          </cell>
          <cell r="AO708">
            <v>44930</v>
          </cell>
          <cell r="AW708">
            <v>32490</v>
          </cell>
          <cell r="AX708" t="str">
            <v>Male</v>
          </cell>
          <cell r="AY708" t="str">
            <v>Full Time</v>
          </cell>
          <cell r="AZ708">
            <v>8</v>
          </cell>
          <cell r="BA708">
            <v>8</v>
          </cell>
        </row>
        <row r="709">
          <cell r="M709" t="str">
            <v>Madinaguda - 112</v>
          </cell>
          <cell r="N709" t="str">
            <v>Biochemistry</v>
          </cell>
          <cell r="O709" t="str">
            <v>Biochemistry</v>
          </cell>
          <cell r="P709" t="str">
            <v>Consultant Biochemist</v>
          </cell>
          <cell r="Q709" t="str">
            <v>Dr. Bikash Chowdhary</v>
          </cell>
          <cell r="R709">
            <v>44693</v>
          </cell>
          <cell r="S709">
            <v>44693</v>
          </cell>
          <cell r="T709">
            <v>45423</v>
          </cell>
          <cell r="U709">
            <v>45424</v>
          </cell>
          <cell r="V709">
            <v>2010</v>
          </cell>
          <cell r="W709" t="str">
            <v>Mamata Medical College, Khammam, Telangana</v>
          </cell>
          <cell r="X709">
            <v>2013</v>
          </cell>
          <cell r="Y709" t="str">
            <v>ASRAM medical college, Eluru, Andhra Pradesh</v>
          </cell>
          <cell r="Z709" t="str">
            <v>NA</v>
          </cell>
          <cell r="AA709" t="str">
            <v>MBBS, MD - Biochemistry</v>
          </cell>
          <cell r="AB709">
            <v>64643</v>
          </cell>
          <cell r="AC709" t="str">
            <v>Telangana Medical Council</v>
          </cell>
          <cell r="AD709">
            <v>44144</v>
          </cell>
          <cell r="AE709">
            <v>45969</v>
          </cell>
          <cell r="AF709">
            <v>9703656086</v>
          </cell>
          <cell r="AG709" t="str">
            <v>anila.sushma@gmail.com</v>
          </cell>
          <cell r="AN709">
            <v>44944</v>
          </cell>
          <cell r="AO709">
            <v>44926</v>
          </cell>
          <cell r="AS709" t="e">
            <v>#REF!</v>
          </cell>
          <cell r="AW709">
            <v>30771</v>
          </cell>
          <cell r="AX709" t="str">
            <v>Female</v>
          </cell>
          <cell r="AY709" t="str">
            <v>Part Time</v>
          </cell>
          <cell r="AZ709">
            <v>8</v>
          </cell>
          <cell r="BA709" t="str">
            <v>Madhapur Cluster</v>
          </cell>
        </row>
        <row r="710">
          <cell r="M710" t="str">
            <v>Ramji Nagar - 106</v>
          </cell>
          <cell r="N710" t="str">
            <v>Hematology, Cytology, Clinical Pathology</v>
          </cell>
          <cell r="O710" t="str">
            <v>Pathology</v>
          </cell>
          <cell r="P710" t="str">
            <v>Consultant Pathologist</v>
          </cell>
          <cell r="Q710" t="str">
            <v>Dr. Shashikanth</v>
          </cell>
          <cell r="R710">
            <v>44697</v>
          </cell>
          <cell r="S710">
            <v>44697</v>
          </cell>
          <cell r="T710">
            <v>45427</v>
          </cell>
          <cell r="U710">
            <v>45428</v>
          </cell>
          <cell r="V710">
            <v>2010</v>
          </cell>
          <cell r="W710" t="str">
            <v>Pinnamanenisiddhartha Institute  of Medical Sciences</v>
          </cell>
          <cell r="X710">
            <v>2016</v>
          </cell>
          <cell r="Y710" t="str">
            <v>Siddhartha Medical College</v>
          </cell>
          <cell r="Z710" t="str">
            <v>NA</v>
          </cell>
          <cell r="AA710" t="str">
            <v>MBBS, MD - Pathology</v>
          </cell>
          <cell r="AB710">
            <v>66457</v>
          </cell>
          <cell r="AC710" t="str">
            <v>Andhra Pradesh Medical Council</v>
          </cell>
          <cell r="AD710">
            <v>42979</v>
          </cell>
          <cell r="AE710">
            <v>44804</v>
          </cell>
          <cell r="AF710">
            <v>9491703229</v>
          </cell>
          <cell r="AG710" t="str">
            <v>jigeeshagutti@gmail.com</v>
          </cell>
          <cell r="AH710" t="str">
            <v>HDFC Bank</v>
          </cell>
          <cell r="AI710" t="str">
            <v>50100418430916</v>
          </cell>
          <cell r="AJ710" t="str">
            <v>HDFC0005088</v>
          </cell>
          <cell r="AK710" t="str">
            <v>AVWPG0792N</v>
          </cell>
          <cell r="AL710">
            <v>723110610086</v>
          </cell>
          <cell r="AM710" t="str">
            <v>Venkata rao</v>
          </cell>
          <cell r="AN710">
            <v>44886</v>
          </cell>
          <cell r="AO710">
            <v>44826</v>
          </cell>
          <cell r="AS710" t="e">
            <v>#REF!</v>
          </cell>
          <cell r="AW710">
            <v>31650</v>
          </cell>
          <cell r="AX710" t="str">
            <v>Female</v>
          </cell>
          <cell r="AY710" t="str">
            <v>Part Time</v>
          </cell>
          <cell r="AZ710">
            <v>4</v>
          </cell>
          <cell r="BA710">
            <v>4</v>
          </cell>
        </row>
        <row r="711">
          <cell r="M711" t="str">
            <v>Ramji Nagar - 106</v>
          </cell>
          <cell r="O711" t="str">
            <v>Microbiology</v>
          </cell>
          <cell r="P711" t="str">
            <v>Consultant Microbiologist</v>
          </cell>
          <cell r="Q711" t="str">
            <v>Dr. Manisha Singh</v>
          </cell>
          <cell r="R711">
            <v>44704</v>
          </cell>
          <cell r="S711">
            <v>44704</v>
          </cell>
          <cell r="T711">
            <v>45434</v>
          </cell>
          <cell r="U711">
            <v>45435</v>
          </cell>
          <cell r="V711">
            <v>2009</v>
          </cell>
          <cell r="W711" t="str">
            <v>SVMC, Tirupathi</v>
          </cell>
          <cell r="X711">
            <v>2021</v>
          </cell>
          <cell r="Y711" t="str">
            <v>Sri Venkateswara Institute of Medical Sciences, Tirupathi</v>
          </cell>
          <cell r="Z711" t="str">
            <v>NA</v>
          </cell>
          <cell r="AA711" t="str">
            <v>MBBS, MD - Microbiology</v>
          </cell>
          <cell r="AB711">
            <v>65688</v>
          </cell>
          <cell r="AC711" t="str">
            <v>Andhra Pradesh Medical Council</v>
          </cell>
          <cell r="AD711">
            <v>44323</v>
          </cell>
          <cell r="AE711">
            <v>46148</v>
          </cell>
          <cell r="AF711">
            <v>9440270466</v>
          </cell>
          <cell r="AG711" t="str">
            <v>srikalasanangula@gmail.com</v>
          </cell>
          <cell r="AH711" t="str">
            <v>Karur Vysya Bank</v>
          </cell>
          <cell r="AI711" t="str">
            <v>1440166000033560</v>
          </cell>
          <cell r="AJ711" t="str">
            <v>KVBL0001440</v>
          </cell>
          <cell r="AK711" t="str">
            <v>AMNPV 3401D</v>
          </cell>
          <cell r="AL711">
            <v>990689528794</v>
          </cell>
          <cell r="AM711" t="str">
            <v>V. S. Siddaiah</v>
          </cell>
          <cell r="AN711" t="str">
            <v>NA</v>
          </cell>
          <cell r="AO711" t="str">
            <v>NA</v>
          </cell>
          <cell r="AW711">
            <v>30362</v>
          </cell>
          <cell r="AX711" t="str">
            <v>Female</v>
          </cell>
          <cell r="AY711" t="str">
            <v>Part Time</v>
          </cell>
          <cell r="AZ711">
            <v>3</v>
          </cell>
          <cell r="BA711">
            <v>4</v>
          </cell>
        </row>
        <row r="712">
          <cell r="M712" t="str">
            <v>Himayatnagar</v>
          </cell>
          <cell r="N712" t="str">
            <v>Histopathology</v>
          </cell>
          <cell r="O712" t="str">
            <v>Histopathology</v>
          </cell>
          <cell r="P712" t="str">
            <v>Consultant Histopathologist</v>
          </cell>
          <cell r="Q712" t="str">
            <v>Dr. Shashikanth</v>
          </cell>
          <cell r="R712">
            <v>44704</v>
          </cell>
          <cell r="S712">
            <v>44704</v>
          </cell>
          <cell r="T712">
            <v>45434</v>
          </cell>
          <cell r="U712">
            <v>45435</v>
          </cell>
          <cell r="V712">
            <v>2014</v>
          </cell>
          <cell r="W712" t="str">
            <v>Kakatiya Medical College, Warangal</v>
          </cell>
          <cell r="X712">
            <v>2018</v>
          </cell>
          <cell r="Y712" t="str">
            <v>Nizam's Institute of Medical Sciences</v>
          </cell>
          <cell r="Z712" t="str">
            <v>NA</v>
          </cell>
          <cell r="AA712" t="str">
            <v>MBBS, MD - Pathology</v>
          </cell>
          <cell r="AB712" t="str">
            <v>APMC/FMR/86023</v>
          </cell>
          <cell r="AC712" t="str">
            <v>Telangana State Medical Council</v>
          </cell>
          <cell r="AD712">
            <v>43307</v>
          </cell>
          <cell r="AE712">
            <v>45132</v>
          </cell>
          <cell r="AF712">
            <v>9491382273</v>
          </cell>
          <cell r="AG712" t="str">
            <v>sobiya6691@gmail.com</v>
          </cell>
          <cell r="AH712" t="str">
            <v>Union Bank</v>
          </cell>
          <cell r="AI712" t="str">
            <v>107910100049954</v>
          </cell>
          <cell r="AJ712" t="str">
            <v>UBIN0810797</v>
          </cell>
          <cell r="AK712" t="str">
            <v>BQZPA5075P</v>
          </cell>
          <cell r="AL712">
            <v>637498912418</v>
          </cell>
          <cell r="AM712" t="str">
            <v>Khaja Gulam Mohammed Haqqani</v>
          </cell>
          <cell r="AN712">
            <v>44851</v>
          </cell>
          <cell r="AO712">
            <v>44790</v>
          </cell>
          <cell r="AS712" t="e">
            <v>#REF!</v>
          </cell>
          <cell r="AW712">
            <v>33395</v>
          </cell>
          <cell r="AX712" t="str">
            <v>Female</v>
          </cell>
          <cell r="AY712" t="str">
            <v>Full Time</v>
          </cell>
          <cell r="AZ712">
            <v>8</v>
          </cell>
          <cell r="BA712">
            <v>8</v>
          </cell>
        </row>
        <row r="713">
          <cell r="M713" t="str">
            <v>Madinaguda - 112</v>
          </cell>
          <cell r="N713" t="str">
            <v>Hematology, Cytopathology, Clinical Pathology</v>
          </cell>
          <cell r="O713" t="str">
            <v>Pathology</v>
          </cell>
          <cell r="P713" t="str">
            <v>Consultant Pathologist</v>
          </cell>
          <cell r="Q713" t="str">
            <v>Dr. Shashikanth</v>
          </cell>
          <cell r="R713">
            <v>44704</v>
          </cell>
          <cell r="S713">
            <v>44704</v>
          </cell>
          <cell r="T713">
            <v>45434</v>
          </cell>
          <cell r="U713">
            <v>45435</v>
          </cell>
          <cell r="V713">
            <v>2002</v>
          </cell>
          <cell r="W713" t="str">
            <v>Adichuchanagiri Institute Of Medical Sciences, Bellur</v>
          </cell>
          <cell r="X713">
            <v>2020</v>
          </cell>
          <cell r="Y713" t="str">
            <v>Dharmasthala Manjunatheshwara Medical College, Dharwad</v>
          </cell>
          <cell r="Z713" t="str">
            <v>DMCH</v>
          </cell>
          <cell r="AA713" t="str">
            <v>MBBS, MD - Pathology</v>
          </cell>
          <cell r="AF713">
            <v>9535324163</v>
          </cell>
          <cell r="AG713" t="str">
            <v>drlgrajesh@Yahoo.co.in</v>
          </cell>
          <cell r="AH713" t="str">
            <v>HDFC Bank</v>
          </cell>
          <cell r="AI713" t="str">
            <v>50100501496000</v>
          </cell>
          <cell r="AJ713" t="str">
            <v>HDFC0000813</v>
          </cell>
          <cell r="AK713" t="str">
            <v>ALJPR7854H</v>
          </cell>
          <cell r="AL713">
            <v>618150503909</v>
          </cell>
          <cell r="AM713" t="str">
            <v>L N Gangadarappa</v>
          </cell>
          <cell r="AN713">
            <v>44942</v>
          </cell>
          <cell r="AO713">
            <v>44942</v>
          </cell>
          <cell r="AS713" t="e">
            <v>#REF!</v>
          </cell>
          <cell r="AW713">
            <v>27631</v>
          </cell>
          <cell r="AX713" t="str">
            <v>Male</v>
          </cell>
          <cell r="AY713" t="str">
            <v>Part Time</v>
          </cell>
          <cell r="AZ713">
            <v>4</v>
          </cell>
          <cell r="BA713" t="str">
            <v>Madhapur Cluster</v>
          </cell>
        </row>
        <row r="714">
          <cell r="M714" t="str">
            <v>Habsiguda - 17</v>
          </cell>
          <cell r="N714" t="str">
            <v>Hematology, Cytopathology, Clinical Pathology</v>
          </cell>
          <cell r="O714" t="str">
            <v>Pathology</v>
          </cell>
          <cell r="P714" t="str">
            <v>Consultant Pathologist</v>
          </cell>
          <cell r="Q714" t="str">
            <v>Dr. Shashikanth</v>
          </cell>
          <cell r="R714">
            <v>44704</v>
          </cell>
          <cell r="S714">
            <v>44704</v>
          </cell>
          <cell r="T714">
            <v>45434</v>
          </cell>
          <cell r="U714">
            <v>45435</v>
          </cell>
          <cell r="V714">
            <v>2012</v>
          </cell>
          <cell r="W714" t="str">
            <v>Kakatiya Medical College, Warangal</v>
          </cell>
          <cell r="X714">
            <v>2020</v>
          </cell>
          <cell r="Y714" t="str">
            <v>Rajarajeswari Medical College, Bangaluru, Karnataka</v>
          </cell>
          <cell r="Z714" t="str">
            <v>NA</v>
          </cell>
          <cell r="AA714" t="str">
            <v>MBBS, MD - Pathology</v>
          </cell>
          <cell r="AB714" t="str">
            <v>APMC/FMR/80149</v>
          </cell>
          <cell r="AC714" t="str">
            <v>Telangana State Medical Council</v>
          </cell>
          <cell r="AD714">
            <v>44466</v>
          </cell>
          <cell r="AE714">
            <v>46291</v>
          </cell>
          <cell r="AF714">
            <v>7358207703</v>
          </cell>
          <cell r="AG714" t="str">
            <v>madhuri.kukunoor@gmail.com</v>
          </cell>
          <cell r="AH714" t="str">
            <v>SBI Bank</v>
          </cell>
          <cell r="AI714" t="str">
            <v>20055861819</v>
          </cell>
          <cell r="AJ714" t="str">
            <v>SBIN0011079</v>
          </cell>
          <cell r="AK714" t="str">
            <v>DNEPK1148B</v>
          </cell>
          <cell r="AL714">
            <v>349292440236</v>
          </cell>
          <cell r="AM714" t="str">
            <v>Kukunoor Shyam</v>
          </cell>
          <cell r="AN714">
            <v>44815</v>
          </cell>
          <cell r="AO714">
            <v>44754</v>
          </cell>
          <cell r="AS714" t="e">
            <v>#REF!</v>
          </cell>
          <cell r="AW714">
            <v>32515</v>
          </cell>
          <cell r="AX714" t="str">
            <v>Female</v>
          </cell>
          <cell r="AY714" t="str">
            <v>Part Time</v>
          </cell>
          <cell r="AZ714">
            <v>4</v>
          </cell>
          <cell r="BA714">
            <v>8</v>
          </cell>
        </row>
        <row r="715">
          <cell r="M715" t="str">
            <v>Gachibowli-66</v>
          </cell>
          <cell r="N715" t="str">
            <v>Physician Services</v>
          </cell>
          <cell r="O715" t="str">
            <v>Physician Services</v>
          </cell>
          <cell r="P715" t="str">
            <v>Consultant Physician</v>
          </cell>
          <cell r="Q715" t="str">
            <v>Ms. Suprita Reddy</v>
          </cell>
          <cell r="R715">
            <v>44713</v>
          </cell>
          <cell r="S715">
            <v>44713</v>
          </cell>
          <cell r="T715">
            <v>45443</v>
          </cell>
          <cell r="U715">
            <v>45444</v>
          </cell>
          <cell r="V715">
            <v>2016</v>
          </cell>
          <cell r="W715" t="str">
            <v>Shadan Medical College, Hyderabad, Telangana</v>
          </cell>
          <cell r="X715" t="str">
            <v>NA</v>
          </cell>
          <cell r="Y715" t="str">
            <v>NA</v>
          </cell>
          <cell r="Z715" t="str">
            <v>NA</v>
          </cell>
          <cell r="AA715" t="str">
            <v>MBBS</v>
          </cell>
          <cell r="AB715" t="str">
            <v>TSMC/FMR/05715</v>
          </cell>
          <cell r="AC715" t="str">
            <v>Telangana State Medical Council</v>
          </cell>
          <cell r="AD715">
            <v>43265</v>
          </cell>
          <cell r="AE715">
            <v>45091</v>
          </cell>
          <cell r="AF715">
            <v>9618627121</v>
          </cell>
          <cell r="AG715" t="str">
            <v>tasmiyaelensar1518@gmail.com</v>
          </cell>
          <cell r="AH715" t="str">
            <v>HDFC Bank</v>
          </cell>
          <cell r="AI715" t="str">
            <v>50100211328904</v>
          </cell>
          <cell r="AJ715" t="str">
            <v>HDFC0003788</v>
          </cell>
          <cell r="AK715" t="str">
            <v>BDNPT6971J</v>
          </cell>
          <cell r="AL715">
            <v>547030849796</v>
          </cell>
          <cell r="AM715" t="str">
            <v>Jalal Khan Abdul</v>
          </cell>
          <cell r="AN715" t="str">
            <v>NA</v>
          </cell>
          <cell r="AO715" t="str">
            <v>NA</v>
          </cell>
          <cell r="AW715">
            <v>33944</v>
          </cell>
          <cell r="AX715" t="str">
            <v>Female</v>
          </cell>
          <cell r="AY715" t="str">
            <v>Part Time</v>
          </cell>
          <cell r="AZ715">
            <v>2</v>
          </cell>
          <cell r="BA715" t="str">
            <v>Madhapur Cluster</v>
          </cell>
        </row>
        <row r="716">
          <cell r="M716" t="str">
            <v>Film Nagar - 38</v>
          </cell>
          <cell r="N716" t="str">
            <v>Basic USG, Tiffa, MSK, Penile Dopplers/TRUS, Guided Procedures, X-Ray, Mammography, IVP, RGU, MCGU, Barium Swallow, Barium Enema, HSG</v>
          </cell>
          <cell r="O716" t="str">
            <v>Radiology</v>
          </cell>
          <cell r="P716" t="str">
            <v>Consultant Radiologist</v>
          </cell>
          <cell r="Q716" t="str">
            <v>Dr. Krishna Mohan Pottala</v>
          </cell>
          <cell r="R716">
            <v>44713</v>
          </cell>
          <cell r="S716">
            <v>44713</v>
          </cell>
          <cell r="T716">
            <v>45443</v>
          </cell>
          <cell r="U716">
            <v>45444</v>
          </cell>
          <cell r="V716">
            <v>2011</v>
          </cell>
          <cell r="W716" t="str">
            <v>Ningxia Medical College</v>
          </cell>
          <cell r="X716">
            <v>2021</v>
          </cell>
          <cell r="Y716" t="str">
            <v>Sri Manakula Vinayagar Medical College, Pondicherry University</v>
          </cell>
          <cell r="Z716" t="str">
            <v>NA</v>
          </cell>
          <cell r="AA716" t="str">
            <v>MBBS, MD</v>
          </cell>
          <cell r="AB716" t="str">
            <v>MCI/11-42018 (PG Not yet registered)</v>
          </cell>
          <cell r="AC716" t="str">
            <v>Medical council Of India</v>
          </cell>
          <cell r="AF716">
            <v>9910286055</v>
          </cell>
          <cell r="AG716" t="str">
            <v>namburuhari16@yahoo.com</v>
          </cell>
          <cell r="AH716" t="str">
            <v>Axis Bank</v>
          </cell>
          <cell r="AI716">
            <v>322201001713</v>
          </cell>
          <cell r="AJ716" t="str">
            <v>ICIC0003222</v>
          </cell>
          <cell r="AK716" t="str">
            <v>AHQPN6514M</v>
          </cell>
          <cell r="AL716">
            <v>594346811933</v>
          </cell>
          <cell r="AM716" t="str">
            <v>Subba naidu Namburi</v>
          </cell>
          <cell r="AN716">
            <v>45130</v>
          </cell>
          <cell r="AO716" t="str">
            <v>NA</v>
          </cell>
          <cell r="AQ716" t="str">
            <v>Posted in Kavuri Hills in June 2022</v>
          </cell>
          <cell r="AW716">
            <v>29967</v>
          </cell>
          <cell r="AX716" t="str">
            <v>Male</v>
          </cell>
          <cell r="AY716" t="str">
            <v>Full Time</v>
          </cell>
          <cell r="AZ716">
            <v>8</v>
          </cell>
          <cell r="BA716" t="str">
            <v>Himayathnagar Cluster</v>
          </cell>
        </row>
        <row r="717">
          <cell r="M717" t="str">
            <v>Kavuri Hills-5</v>
          </cell>
          <cell r="N717" t="str">
            <v>USG, X-ray</v>
          </cell>
          <cell r="O717" t="str">
            <v>Radiology</v>
          </cell>
          <cell r="P717" t="str">
            <v>Consultant Radiologist</v>
          </cell>
          <cell r="Q717" t="str">
            <v>Dr L T Kishore</v>
          </cell>
          <cell r="R717">
            <v>44734</v>
          </cell>
          <cell r="S717">
            <v>44734</v>
          </cell>
          <cell r="T717">
            <v>45464</v>
          </cell>
          <cell r="U717">
            <v>45465</v>
          </cell>
          <cell r="V717">
            <v>2013</v>
          </cell>
          <cell r="W717" t="str">
            <v>Datta Meghe Institute of Medical Sciences</v>
          </cell>
          <cell r="X717">
            <v>2019</v>
          </cell>
          <cell r="Y717" t="str">
            <v>Dr. D Y Patil Institute of Medical Sciences, Pune, Maharashtra</v>
          </cell>
          <cell r="Z717" t="str">
            <v>NA</v>
          </cell>
          <cell r="AA717" t="str">
            <v>MBBS,MD-Radiodiagnosis</v>
          </cell>
          <cell r="AB717" t="str">
            <v>TSMC/FMR/14998</v>
          </cell>
          <cell r="AC717" t="str">
            <v>Telangana State Medical Council</v>
          </cell>
          <cell r="AD717">
            <v>44198</v>
          </cell>
          <cell r="AE717">
            <v>46023</v>
          </cell>
          <cell r="AF717">
            <v>9390516945</v>
          </cell>
          <cell r="AG717" t="str">
            <v>reddyjyoti145@gmail.com</v>
          </cell>
          <cell r="AH717" t="str">
            <v>Karur Vysya Bank</v>
          </cell>
          <cell r="AI717" t="str">
            <v>1460175000000655</v>
          </cell>
          <cell r="AJ717" t="str">
            <v>KVBL0001460</v>
          </cell>
          <cell r="AK717" t="str">
            <v>BTZPR6245K</v>
          </cell>
          <cell r="AL717">
            <v>374518043799</v>
          </cell>
          <cell r="AM717" t="str">
            <v>Dwaram Mallikarjun Reddy</v>
          </cell>
          <cell r="AN717">
            <v>44413</v>
          </cell>
          <cell r="AS717" t="e">
            <v>#REF!</v>
          </cell>
          <cell r="AW717">
            <v>32734</v>
          </cell>
          <cell r="AX717" t="str">
            <v>Female</v>
          </cell>
          <cell r="AY717" t="str">
            <v>Part Time</v>
          </cell>
          <cell r="AZ717">
            <v>4</v>
          </cell>
          <cell r="BA717" t="str">
            <v>Madhapur Cluster</v>
          </cell>
        </row>
        <row r="718">
          <cell r="M718" t="str">
            <v>Dilsukhnagar - 12</v>
          </cell>
          <cell r="N718" t="str">
            <v>Hematology, Cytopathology, Clinical Pathology</v>
          </cell>
          <cell r="O718" t="str">
            <v>Pathology</v>
          </cell>
          <cell r="P718" t="str">
            <v>Consultant Pathologist</v>
          </cell>
          <cell r="Q718" t="str">
            <v>Dr. Shashikanth</v>
          </cell>
          <cell r="R718">
            <v>44715</v>
          </cell>
          <cell r="S718">
            <v>44715</v>
          </cell>
          <cell r="T718">
            <v>45445</v>
          </cell>
          <cell r="U718">
            <v>45446</v>
          </cell>
          <cell r="V718">
            <v>2011</v>
          </cell>
          <cell r="W718" t="str">
            <v>Chalmeda Anand Rao Institute of Medical Sciences, Karimnagar, Telangana</v>
          </cell>
          <cell r="X718">
            <v>2020</v>
          </cell>
          <cell r="Y718" t="str">
            <v>Gandhi Medical College, Hyderabad, Telangana</v>
          </cell>
          <cell r="Z718" t="str">
            <v>NA</v>
          </cell>
          <cell r="AA718" t="str">
            <v>MBBS, MD Pathology</v>
          </cell>
          <cell r="AB718">
            <v>72498</v>
          </cell>
          <cell r="AC718" t="str">
            <v>Telangana State Medical Council</v>
          </cell>
          <cell r="AF718">
            <v>9676147575</v>
          </cell>
          <cell r="AG718" t="str">
            <v>jyothi.mazzu@gmail.com</v>
          </cell>
          <cell r="AN718">
            <v>44713</v>
          </cell>
          <cell r="AO718" t="str">
            <v>NA</v>
          </cell>
          <cell r="AP718" t="str">
            <v>Absconded</v>
          </cell>
          <cell r="AX718" t="str">
            <v>Female</v>
          </cell>
          <cell r="AY718" t="str">
            <v>Full Time</v>
          </cell>
          <cell r="AZ718">
            <v>1</v>
          </cell>
          <cell r="BA718" t="str">
            <v>Dilshuknagar Cluster</v>
          </cell>
        </row>
        <row r="719">
          <cell r="M719" t="str">
            <v>Dilsukhnagar - 12</v>
          </cell>
          <cell r="N719" t="str">
            <v>Basic USG, Tiffa, IVP, RGU, MCGU, Barium Swallow, Barium Enema, HSG, Xray, Mammography, Basic CT, All Angios Except Coronary, CT Enteroclysis, Basic MRI, MRI Prostrate</v>
          </cell>
          <cell r="O719" t="str">
            <v>Radiology</v>
          </cell>
          <cell r="P719" t="str">
            <v>Consultant Radiologist</v>
          </cell>
          <cell r="Q719" t="str">
            <v>Dr. Krishna Mohan Pottala</v>
          </cell>
          <cell r="R719">
            <v>44713</v>
          </cell>
          <cell r="S719">
            <v>44713</v>
          </cell>
          <cell r="T719">
            <v>45443</v>
          </cell>
          <cell r="U719">
            <v>45444</v>
          </cell>
          <cell r="V719">
            <v>2011</v>
          </cell>
          <cell r="W719" t="str">
            <v>Shadaan Institute of Medical Sciences</v>
          </cell>
          <cell r="X719">
            <v>2022</v>
          </cell>
          <cell r="Y719" t="str">
            <v>Max Super Speciality Hospital, Mohali, Punjab</v>
          </cell>
          <cell r="Z719" t="str">
            <v>NA</v>
          </cell>
          <cell r="AA719" t="str">
            <v>MBBS, DNB - Radiodiagnosis</v>
          </cell>
          <cell r="AB719" t="str">
            <v>TSMC/FMR/03825</v>
          </cell>
          <cell r="AC719" t="str">
            <v>Telangana State Medical Council</v>
          </cell>
          <cell r="AD719">
            <v>44807</v>
          </cell>
          <cell r="AE719">
            <v>46632</v>
          </cell>
          <cell r="AF719">
            <v>8121553360</v>
          </cell>
          <cell r="AG719" t="str">
            <v>syedsalman66@yahoo.com</v>
          </cell>
          <cell r="AH719" t="str">
            <v>Axis Bank</v>
          </cell>
          <cell r="AI719" t="str">
            <v>918010080885752</v>
          </cell>
          <cell r="AJ719" t="str">
            <v>UTIB0001305</v>
          </cell>
          <cell r="AK719" t="str">
            <v>JUDPS7653K</v>
          </cell>
          <cell r="AL719">
            <v>796420368086</v>
          </cell>
          <cell r="AM719" t="str">
            <v>Syed Baber</v>
          </cell>
          <cell r="AN719">
            <v>45349</v>
          </cell>
          <cell r="AO719">
            <v>45289</v>
          </cell>
          <cell r="AW719">
            <v>34126</v>
          </cell>
          <cell r="AX719" t="str">
            <v>Male</v>
          </cell>
          <cell r="AY719" t="str">
            <v>Part Time</v>
          </cell>
          <cell r="AZ719">
            <v>2</v>
          </cell>
          <cell r="BA719" t="str">
            <v>Dilshuknagar Cluster</v>
          </cell>
        </row>
        <row r="720">
          <cell r="M720" t="str">
            <v>BN Reddy Nagar- 110</v>
          </cell>
          <cell r="N720" t="str">
            <v>Basic USG, Tiffa, IVP, RGU, MCGU, Barium Swallow, Barium Enema, HSG, Xray, Mammography, Basic CT, All Angios Except Coronary, CT Enteroclysis, Basic MRI, MRI Prostrate</v>
          </cell>
          <cell r="O720" t="str">
            <v>Radiology</v>
          </cell>
          <cell r="P720" t="str">
            <v>Consultant Radiologist</v>
          </cell>
          <cell r="Q720" t="str">
            <v>Dr. Krishna Mohan Pottala</v>
          </cell>
          <cell r="R720">
            <v>44713</v>
          </cell>
          <cell r="S720">
            <v>44713</v>
          </cell>
          <cell r="T720">
            <v>45443</v>
          </cell>
          <cell r="U720">
            <v>45444</v>
          </cell>
          <cell r="V720">
            <v>2011</v>
          </cell>
          <cell r="W720" t="str">
            <v>Shadaan Institute of Medical Sciences</v>
          </cell>
          <cell r="X720">
            <v>2022</v>
          </cell>
          <cell r="Y720" t="str">
            <v>Max Super Speciality Hospital, Mohali, Punjab</v>
          </cell>
          <cell r="Z720" t="str">
            <v>NA</v>
          </cell>
          <cell r="AA720" t="str">
            <v>MBBS, DNB - Radiodiagnosis</v>
          </cell>
          <cell r="AB720" t="str">
            <v xml:space="preserve">TSMC/FMR/03825 </v>
          </cell>
          <cell r="AC720" t="str">
            <v>Telangana State Medical Council</v>
          </cell>
          <cell r="AD720">
            <v>44807</v>
          </cell>
          <cell r="AE720">
            <v>46632</v>
          </cell>
          <cell r="AF720">
            <v>8121553360</v>
          </cell>
          <cell r="AG720" t="str">
            <v>syedsalman66@yahoo.com</v>
          </cell>
          <cell r="AH720" t="str">
            <v>Axis Bank</v>
          </cell>
          <cell r="AI720" t="str">
            <v>918010080885752</v>
          </cell>
          <cell r="AJ720" t="str">
            <v>UTIB0001305</v>
          </cell>
          <cell r="AK720" t="str">
            <v>JUDPS7653K</v>
          </cell>
          <cell r="AL720">
            <v>796420368086</v>
          </cell>
          <cell r="AM720" t="str">
            <v>Syed Baber</v>
          </cell>
          <cell r="AN720">
            <v>45182</v>
          </cell>
          <cell r="AW720">
            <v>34126</v>
          </cell>
          <cell r="AX720" t="str">
            <v>Male</v>
          </cell>
          <cell r="AY720" t="str">
            <v>Part Time</v>
          </cell>
          <cell r="AZ720">
            <v>8</v>
          </cell>
          <cell r="BA720" t="str">
            <v>Dilshuknagar Cluster</v>
          </cell>
        </row>
        <row r="721">
          <cell r="M721" t="str">
            <v>Medipally - 101</v>
          </cell>
          <cell r="N721" t="str">
            <v>Basic USG, Tiffa, Guided Procedured,  X- Ray, Mammography, IVP, RGU, MCGU, Barium Swallow, Barium Enemma, HSG, Basic CT, CT Guided Procedures and Basic MRI</v>
          </cell>
          <cell r="O721" t="str">
            <v>Radiology</v>
          </cell>
          <cell r="P721" t="str">
            <v>Consultant Radiologist</v>
          </cell>
          <cell r="R721">
            <v>44958</v>
          </cell>
          <cell r="S721">
            <v>44958</v>
          </cell>
          <cell r="T721">
            <v>45688</v>
          </cell>
          <cell r="U721">
            <v>45689</v>
          </cell>
          <cell r="V721">
            <v>2016</v>
          </cell>
          <cell r="W721" t="str">
            <v>Rajiv Gandhi Institute of Medical Scineces</v>
          </cell>
          <cell r="X721">
            <v>2021</v>
          </cell>
          <cell r="Y721" t="str">
            <v>Maharaja Institute Of Medical Sciences(MIMS)</v>
          </cell>
          <cell r="Z721" t="str">
            <v>NA</v>
          </cell>
          <cell r="AA721" t="str">
            <v>MBBS, MD</v>
          </cell>
          <cell r="AB721" t="str">
            <v>TSMC/FMR/05233</v>
          </cell>
          <cell r="AC721" t="str">
            <v>Telangana State Medical Council</v>
          </cell>
          <cell r="AD721">
            <v>44698</v>
          </cell>
          <cell r="AE721">
            <v>46523</v>
          </cell>
          <cell r="AF721">
            <v>9182624935</v>
          </cell>
          <cell r="AG721" t="str">
            <v>shilpaba555@gmail.com</v>
          </cell>
          <cell r="AH721" t="str">
            <v>HDFC Bank</v>
          </cell>
          <cell r="AI721" t="str">
            <v>50100438876897</v>
          </cell>
          <cell r="AJ721" t="str">
            <v>HDFC0009610</v>
          </cell>
          <cell r="AK721" t="str">
            <v>EONPK6746C</v>
          </cell>
          <cell r="AL721">
            <v>259090289795</v>
          </cell>
          <cell r="AM721" t="str">
            <v>Kommidi Mahendar Reddy</v>
          </cell>
          <cell r="AN721">
            <v>45112</v>
          </cell>
          <cell r="AW721">
            <v>32895</v>
          </cell>
          <cell r="AX721" t="str">
            <v>Female</v>
          </cell>
          <cell r="AY721" t="str">
            <v>Part Time</v>
          </cell>
          <cell r="AZ721">
            <v>3</v>
          </cell>
          <cell r="BA721" t="str">
            <v>Dilshuknagar Cluster</v>
          </cell>
        </row>
        <row r="722">
          <cell r="M722" t="str">
            <v>Kompally - 65</v>
          </cell>
          <cell r="N722" t="str">
            <v>Physician Services</v>
          </cell>
          <cell r="O722" t="str">
            <v>Physician Services</v>
          </cell>
          <cell r="P722" t="str">
            <v>Consultant Physician</v>
          </cell>
          <cell r="Q722" t="str">
            <v>Ms. Suprita Reddy</v>
          </cell>
          <cell r="R722">
            <v>44718</v>
          </cell>
          <cell r="S722">
            <v>44718</v>
          </cell>
          <cell r="T722">
            <v>45448</v>
          </cell>
          <cell r="U722">
            <v>45449</v>
          </cell>
          <cell r="V722">
            <v>2012</v>
          </cell>
          <cell r="W722" t="str">
            <v>Soochow University, China</v>
          </cell>
          <cell r="X722" t="str">
            <v>NA</v>
          </cell>
          <cell r="Y722" t="str">
            <v>NA</v>
          </cell>
          <cell r="Z722" t="str">
            <v>NA</v>
          </cell>
          <cell r="AA722" t="str">
            <v>MBBS</v>
          </cell>
          <cell r="AB722" t="str">
            <v>APMC/FMR/84177</v>
          </cell>
          <cell r="AC722" t="str">
            <v>Telangana State Medical Council</v>
          </cell>
          <cell r="AD722">
            <v>43836</v>
          </cell>
          <cell r="AE722">
            <v>45662</v>
          </cell>
          <cell r="AF722">
            <v>9618248923</v>
          </cell>
          <cell r="AG722" t="str">
            <v>drkavithareddy7@gmail.com</v>
          </cell>
          <cell r="AH722" t="str">
            <v>ICICI Bank</v>
          </cell>
          <cell r="AI722">
            <v>4801606030</v>
          </cell>
          <cell r="AJ722" t="str">
            <v>ICIC0001117</v>
          </cell>
          <cell r="AK722" t="str">
            <v>CUIPK6433K</v>
          </cell>
          <cell r="AL722">
            <v>735698778228</v>
          </cell>
          <cell r="AM722" t="str">
            <v>Mandapati Yalamanda Reddy</v>
          </cell>
          <cell r="AN722" t="str">
            <v>NA</v>
          </cell>
          <cell r="AO722" t="str">
            <v>NA</v>
          </cell>
          <cell r="AW722">
            <v>31960</v>
          </cell>
          <cell r="AX722" t="str">
            <v>Female</v>
          </cell>
          <cell r="AY722" t="str">
            <v>Part Time</v>
          </cell>
          <cell r="AZ722">
            <v>1</v>
          </cell>
          <cell r="BA722">
            <v>1</v>
          </cell>
        </row>
        <row r="723">
          <cell r="M723" t="str">
            <v>Gurgaon - 54</v>
          </cell>
          <cell r="N723" t="str">
            <v>Hematology, Cytopathology, Clinical Pathology</v>
          </cell>
          <cell r="O723" t="str">
            <v>Pathology</v>
          </cell>
          <cell r="P723" t="str">
            <v>Consultant Pathologist</v>
          </cell>
          <cell r="Q723" t="str">
            <v>Dr. Shashikanth</v>
          </cell>
          <cell r="R723">
            <v>44718</v>
          </cell>
          <cell r="S723">
            <v>44718</v>
          </cell>
          <cell r="T723">
            <v>45448</v>
          </cell>
          <cell r="U723">
            <v>45449</v>
          </cell>
          <cell r="V723">
            <v>2001</v>
          </cell>
          <cell r="W723" t="str">
            <v>Pt. BD Sharma Post Graduate Institute Of Medical
Sciences (PGIMS), Rohtak, Haryana</v>
          </cell>
          <cell r="X723">
            <v>2020</v>
          </cell>
          <cell r="Y723" t="str">
            <v xml:space="preserve">Pt. BD Sharma Post Graduate Institute Of Medical
Sciences (PGIMS), Rohtak, Haryana </v>
          </cell>
          <cell r="Z723" t="str">
            <v>NA</v>
          </cell>
          <cell r="AA723" t="str">
            <v>MBBS, MD- Pathology</v>
          </cell>
          <cell r="AB723" t="str">
            <v>HN17349</v>
          </cell>
          <cell r="AC723" t="str">
            <v>Haryana Medical Council</v>
          </cell>
          <cell r="AD723">
            <v>44186</v>
          </cell>
          <cell r="AE723">
            <v>46011</v>
          </cell>
          <cell r="AF723">
            <v>9650180810</v>
          </cell>
          <cell r="AG723" t="str">
            <v>drlovekesh_monga@yahoo.com</v>
          </cell>
          <cell r="AH723" t="str">
            <v>Punjab National Bank</v>
          </cell>
          <cell r="AI723" t="str">
            <v>4099000100156730</v>
          </cell>
          <cell r="AJ723" t="str">
            <v>PUNB0409900</v>
          </cell>
          <cell r="AK723" t="str">
            <v>ANGPM0756L</v>
          </cell>
          <cell r="AL723">
            <v>204515481975</v>
          </cell>
          <cell r="AM723" t="str">
            <v>Suresh Kumar Monga</v>
          </cell>
          <cell r="AN723" t="str">
            <v>NA</v>
          </cell>
          <cell r="AO723" t="str">
            <v>NA</v>
          </cell>
          <cell r="AS723" t="e">
            <v>#REF!</v>
          </cell>
          <cell r="AW723">
            <v>28371</v>
          </cell>
          <cell r="AX723" t="str">
            <v>Male</v>
          </cell>
          <cell r="AY723" t="str">
            <v>Part Time</v>
          </cell>
          <cell r="AZ723">
            <v>2</v>
          </cell>
          <cell r="BA723">
            <v>8</v>
          </cell>
        </row>
        <row r="724">
          <cell r="M724" t="str">
            <v>Madhapur-2 - 70</v>
          </cell>
          <cell r="N724" t="str">
            <v>Physician Services</v>
          </cell>
          <cell r="O724" t="str">
            <v>Physician Services</v>
          </cell>
          <cell r="P724" t="str">
            <v>Consultant Physician</v>
          </cell>
          <cell r="R724">
            <v>44725</v>
          </cell>
          <cell r="S724">
            <v>44725</v>
          </cell>
          <cell r="T724">
            <v>45455</v>
          </cell>
          <cell r="U724">
            <v>45456</v>
          </cell>
          <cell r="V724">
            <v>2016</v>
          </cell>
          <cell r="W724" t="str">
            <v>Shadan Institute of Medical Sciences, Hyderbad, Telangana</v>
          </cell>
          <cell r="X724" t="str">
            <v>NA</v>
          </cell>
          <cell r="Y724" t="str">
            <v>NA</v>
          </cell>
          <cell r="Z724" t="str">
            <v>NA</v>
          </cell>
          <cell r="AA724" t="str">
            <v>MBBS</v>
          </cell>
          <cell r="AB724" t="str">
            <v>TSMC/FMR/00334</v>
          </cell>
          <cell r="AC724" t="str">
            <v>Telangana State Medical Council</v>
          </cell>
          <cell r="AD724">
            <v>44385</v>
          </cell>
          <cell r="AE724">
            <v>46210</v>
          </cell>
          <cell r="AF724">
            <v>9701672044</v>
          </cell>
          <cell r="AG724" t="str">
            <v>dr.rahelafzal@gmail.com</v>
          </cell>
          <cell r="AH724" t="str">
            <v>State Bank of India</v>
          </cell>
          <cell r="AI724">
            <v>40031081769</v>
          </cell>
          <cell r="AJ724" t="str">
            <v>SBIN0020534</v>
          </cell>
          <cell r="AK724" t="str">
            <v>COUPA5864G</v>
          </cell>
          <cell r="AL724">
            <v>259633110045</v>
          </cell>
          <cell r="AM724" t="str">
            <v>Mohd Abdul Bari</v>
          </cell>
          <cell r="AN724">
            <v>44895</v>
          </cell>
          <cell r="AO724">
            <v>44885</v>
          </cell>
          <cell r="AS724" t="e">
            <v>#REF!</v>
          </cell>
          <cell r="AW724">
            <v>33115</v>
          </cell>
          <cell r="AX724" t="str">
            <v>Male</v>
          </cell>
          <cell r="AY724" t="str">
            <v>Part Time</v>
          </cell>
          <cell r="AZ724">
            <v>2</v>
          </cell>
          <cell r="BA724" t="str">
            <v>Madhapur Cluster</v>
          </cell>
        </row>
        <row r="725">
          <cell r="M725" t="str">
            <v>Vizag - 37</v>
          </cell>
          <cell r="N725" t="str">
            <v>Physician Services</v>
          </cell>
          <cell r="O725" t="str">
            <v>Physician Services</v>
          </cell>
          <cell r="P725" t="str">
            <v>Consultant Physician</v>
          </cell>
          <cell r="Q725" t="str">
            <v>Ms. Suprita Reddy</v>
          </cell>
          <cell r="R725">
            <v>44725</v>
          </cell>
          <cell r="S725">
            <v>44725</v>
          </cell>
          <cell r="T725">
            <v>45455</v>
          </cell>
          <cell r="U725">
            <v>45456</v>
          </cell>
          <cell r="V725">
            <v>2008</v>
          </cell>
          <cell r="W725" t="str">
            <v>Andhra Medical College, Vizag</v>
          </cell>
          <cell r="X725" t="str">
            <v>NA</v>
          </cell>
          <cell r="Y725" t="str">
            <v>NA</v>
          </cell>
          <cell r="Z725" t="str">
            <v>NA</v>
          </cell>
          <cell r="AA725" t="str">
            <v>MBBS</v>
          </cell>
          <cell r="AB725">
            <v>69343</v>
          </cell>
          <cell r="AC725" t="str">
            <v>Andhra Pradesh Medical Council</v>
          </cell>
          <cell r="AD725">
            <v>44223</v>
          </cell>
          <cell r="AE725">
            <v>46048</v>
          </cell>
          <cell r="AF725">
            <v>9502956667</v>
          </cell>
          <cell r="AG725" t="str">
            <v>amusri81@gmail.com</v>
          </cell>
          <cell r="AH725" t="str">
            <v>ICICI Bank</v>
          </cell>
          <cell r="AI725">
            <v>131901507160</v>
          </cell>
          <cell r="AJ725" t="str">
            <v>ICIC0001319</v>
          </cell>
          <cell r="AK725" t="str">
            <v>AWQPA0164M</v>
          </cell>
          <cell r="AL725">
            <v>558837138553</v>
          </cell>
          <cell r="AM725" t="str">
            <v>Kesava Sahu Amudala</v>
          </cell>
          <cell r="AO725" t="str">
            <v>NA</v>
          </cell>
          <cell r="AW725">
            <v>30494</v>
          </cell>
          <cell r="AX725" t="str">
            <v>Male</v>
          </cell>
          <cell r="AY725" t="str">
            <v>Part Time</v>
          </cell>
          <cell r="AZ725">
            <v>1</v>
          </cell>
          <cell r="BA725" t="str">
            <v>Visakhapatnam Cluster</v>
          </cell>
        </row>
        <row r="726">
          <cell r="M726" t="str">
            <v>Attapur - 34</v>
          </cell>
          <cell r="N726" t="str">
            <v>Physician Services</v>
          </cell>
          <cell r="O726" t="str">
            <v>Physician Services</v>
          </cell>
          <cell r="P726" t="str">
            <v>Consultant Physician</v>
          </cell>
          <cell r="Q726" t="str">
            <v>Ms. Suprita Reddy</v>
          </cell>
          <cell r="R726">
            <v>44725</v>
          </cell>
          <cell r="S726">
            <v>44725</v>
          </cell>
          <cell r="T726">
            <v>45455</v>
          </cell>
          <cell r="U726">
            <v>45456</v>
          </cell>
          <cell r="V726">
            <v>2018</v>
          </cell>
          <cell r="W726" t="str">
            <v>Tianjin Medical University, China</v>
          </cell>
          <cell r="X726" t="str">
            <v>NA</v>
          </cell>
          <cell r="Y726" t="str">
            <v>NA</v>
          </cell>
          <cell r="Z726" t="str">
            <v>NA</v>
          </cell>
          <cell r="AA726" t="str">
            <v>MBBS</v>
          </cell>
          <cell r="AB726" t="str">
            <v>TSMC/FMR/ 09602</v>
          </cell>
          <cell r="AC726" t="str">
            <v>Telangana State Medical Council</v>
          </cell>
          <cell r="AD726">
            <v>43734</v>
          </cell>
          <cell r="AE726">
            <v>45560</v>
          </cell>
          <cell r="AF726">
            <v>7093583282</v>
          </cell>
          <cell r="AG726" t="str">
            <v>shravanalavanya03@gmail.com</v>
          </cell>
          <cell r="AH726" t="str">
            <v>IDBI Bank</v>
          </cell>
          <cell r="AI726" t="str">
            <v>1048104000143981</v>
          </cell>
          <cell r="AJ726" t="str">
            <v>IBKL0001048</v>
          </cell>
          <cell r="AK726" t="str">
            <v>BLZPB4514R</v>
          </cell>
          <cell r="AL726">
            <v>306165506827</v>
          </cell>
          <cell r="AM726" t="str">
            <v>Tirumala Simhachary Bukkapatnam</v>
          </cell>
          <cell r="AW726">
            <v>34822</v>
          </cell>
          <cell r="AX726" t="str">
            <v>Female</v>
          </cell>
          <cell r="AY726" t="str">
            <v>Part Time</v>
          </cell>
          <cell r="AZ726">
            <v>1</v>
          </cell>
          <cell r="BA726" t="str">
            <v>Tolichowki Cluster</v>
          </cell>
        </row>
        <row r="727">
          <cell r="N727" t="str">
            <v>KPHB Phase 6</v>
          </cell>
          <cell r="O727" t="str">
            <v>Physician Services</v>
          </cell>
          <cell r="P727" t="str">
            <v>Consultant Physician</v>
          </cell>
          <cell r="R727">
            <v>44729</v>
          </cell>
          <cell r="S727">
            <v>44729</v>
          </cell>
          <cell r="T727">
            <v>45459</v>
          </cell>
          <cell r="U727">
            <v>45460</v>
          </cell>
          <cell r="V727">
            <v>2021</v>
          </cell>
          <cell r="W727" t="str">
            <v>Chalmeda Institute of Medical Sciences, Karimnagar</v>
          </cell>
          <cell r="X727" t="str">
            <v>NA</v>
          </cell>
          <cell r="Y727" t="str">
            <v>NA</v>
          </cell>
          <cell r="AA727" t="str">
            <v>MBBS</v>
          </cell>
          <cell r="AB727" t="str">
            <v>TSMC/FMR/19333</v>
          </cell>
          <cell r="AC727" t="str">
            <v>Telangana State Medical Council</v>
          </cell>
          <cell r="AD727">
            <v>44590</v>
          </cell>
          <cell r="AE727">
            <v>46415</v>
          </cell>
          <cell r="AF727">
            <v>7981932584</v>
          </cell>
          <cell r="AG727" t="str">
            <v>chandasaikrishna@gmail.com</v>
          </cell>
          <cell r="AH727" t="str">
            <v>State Bank of India</v>
          </cell>
          <cell r="AI727">
            <v>20167906185</v>
          </cell>
          <cell r="AJ727" t="str">
            <v>SBIN0012905</v>
          </cell>
          <cell r="AK727" t="str">
            <v>BCGPC5306N</v>
          </cell>
          <cell r="AL727">
            <v>957798494141</v>
          </cell>
          <cell r="AM727" t="str">
            <v>Nagender Chanda</v>
          </cell>
          <cell r="AN727">
            <v>44739</v>
          </cell>
          <cell r="AO727" t="str">
            <v>NA</v>
          </cell>
          <cell r="AW727">
            <v>33072</v>
          </cell>
          <cell r="AX727" t="str">
            <v>Male</v>
          </cell>
          <cell r="AY727" t="str">
            <v>Part Time</v>
          </cell>
          <cell r="AZ727">
            <v>1</v>
          </cell>
        </row>
        <row r="728">
          <cell r="M728" t="str">
            <v>Film Nagar - 38</v>
          </cell>
          <cell r="N728" t="str">
            <v>Basic USG, Guided Procedures, X-Ray, Basic CT, All Angios CT Enterclysis, Basic MRI, IVP, RGU, MCGU, Barium Swallow, Barium Enema, HSG</v>
          </cell>
          <cell r="O728" t="str">
            <v>Radiology</v>
          </cell>
          <cell r="P728" t="str">
            <v>Consultant Radiologist</v>
          </cell>
          <cell r="Q728" t="str">
            <v>Dr L T Kishore</v>
          </cell>
          <cell r="R728">
            <v>44727</v>
          </cell>
          <cell r="S728">
            <v>44727</v>
          </cell>
          <cell r="T728">
            <v>45457</v>
          </cell>
          <cell r="U728">
            <v>45458</v>
          </cell>
          <cell r="V728">
            <v>2017</v>
          </cell>
          <cell r="W728" t="str">
            <v>BLJ Medical College, Ahmedabad, Gujarat University</v>
          </cell>
          <cell r="X728">
            <v>2022</v>
          </cell>
          <cell r="Y728" t="str">
            <v>N H L Medial College, V S General Hospital, SVP Hospital, Gujarat University</v>
          </cell>
          <cell r="Z728" t="str">
            <v>NA</v>
          </cell>
          <cell r="AA728" t="str">
            <v>MBBS, MD - Radiology</v>
          </cell>
          <cell r="AB728" t="str">
            <v>TSMC/FMR/20391</v>
          </cell>
          <cell r="AC728" t="str">
            <v>Telangana Medical Council</v>
          </cell>
          <cell r="AD728">
            <v>44735</v>
          </cell>
          <cell r="AE728">
            <v>46560</v>
          </cell>
          <cell r="AF728">
            <v>8347570221</v>
          </cell>
          <cell r="AG728" t="str">
            <v>hirmodi95@gmail.com</v>
          </cell>
          <cell r="AH728" t="str">
            <v>Axis Bank</v>
          </cell>
          <cell r="AI728" t="str">
            <v>912010043067731</v>
          </cell>
          <cell r="AJ728" t="str">
            <v>UTIB0000449</v>
          </cell>
          <cell r="AK728" t="str">
            <v>CVVPM7450G</v>
          </cell>
          <cell r="AL728">
            <v>478614435013</v>
          </cell>
          <cell r="AM728" t="str">
            <v>Narendrakumar Modi</v>
          </cell>
          <cell r="AN728">
            <v>44880</v>
          </cell>
          <cell r="AO728">
            <v>44791</v>
          </cell>
          <cell r="AS728" t="e">
            <v>#REF!</v>
          </cell>
          <cell r="AW728">
            <v>34962</v>
          </cell>
          <cell r="AX728" t="str">
            <v>Female</v>
          </cell>
          <cell r="AY728" t="str">
            <v>Full Time</v>
          </cell>
          <cell r="AZ728">
            <v>8</v>
          </cell>
          <cell r="BA728" t="str">
            <v>Himayathnagar Cluster</v>
          </cell>
        </row>
        <row r="729">
          <cell r="M729" t="str">
            <v>Madinaguda - 112</v>
          </cell>
          <cell r="N729" t="str">
            <v xml:space="preserve">USG, CT, X-RAY, MAMMOGRAPHY, FNAC </v>
          </cell>
          <cell r="O729" t="str">
            <v>Radiology</v>
          </cell>
          <cell r="P729" t="str">
            <v>Consultant Radiologist</v>
          </cell>
          <cell r="Q729" t="str">
            <v>Dr L T Kishore</v>
          </cell>
          <cell r="R729">
            <v>44727</v>
          </cell>
          <cell r="S729">
            <v>44727</v>
          </cell>
          <cell r="T729">
            <v>45457</v>
          </cell>
          <cell r="U729">
            <v>45458</v>
          </cell>
          <cell r="V729">
            <v>2010</v>
          </cell>
          <cell r="W729" t="str">
            <v>Narayana Medical College, Nellore</v>
          </cell>
          <cell r="X729">
            <v>2015</v>
          </cell>
          <cell r="Y729" t="str">
            <v>Santhiram Medical College, Nandyal, Andhra Pradesh</v>
          </cell>
          <cell r="Z729" t="str">
            <v>NA</v>
          </cell>
          <cell r="AA729" t="str">
            <v>MBBS, MD - Radiodiagnosis</v>
          </cell>
          <cell r="AB729">
            <v>69466</v>
          </cell>
          <cell r="AC729" t="str">
            <v>Telangana State Medical Council</v>
          </cell>
          <cell r="AD729">
            <v>44659</v>
          </cell>
          <cell r="AE729">
            <v>46484</v>
          </cell>
          <cell r="AF729">
            <v>9985077082</v>
          </cell>
          <cell r="AG729" t="str">
            <v>renukapasupala@gmail.com</v>
          </cell>
          <cell r="AH729" t="str">
            <v>Indian Overseas Bank</v>
          </cell>
          <cell r="AI729" t="str">
            <v>039201000021199</v>
          </cell>
          <cell r="AJ729" t="str">
            <v>IOBA0000392</v>
          </cell>
          <cell r="AK729" t="str">
            <v>BNOPD5269G</v>
          </cell>
          <cell r="AL729">
            <v>435856754146</v>
          </cell>
          <cell r="AM729" t="str">
            <v>Pasupala Jagadish</v>
          </cell>
          <cell r="AN729" t="str">
            <v>NA</v>
          </cell>
          <cell r="AO729" t="str">
            <v>NA</v>
          </cell>
          <cell r="AS729" t="e">
            <v>#REF!</v>
          </cell>
          <cell r="AW729">
            <v>31552</v>
          </cell>
          <cell r="AX729" t="str">
            <v>Female</v>
          </cell>
          <cell r="AY729" t="str">
            <v>Part Time</v>
          </cell>
          <cell r="AZ729">
            <v>8</v>
          </cell>
          <cell r="BA729" t="str">
            <v>Madhapur Cluster</v>
          </cell>
        </row>
        <row r="730">
          <cell r="M730" t="str">
            <v>Kukatpally - 20</v>
          </cell>
          <cell r="N730" t="str">
            <v>Basic USG, Tiffa, MSK, Guided Procedures, X-Ray, Basic CT, All Angios except Coronary, CT Enteroclysis, Basic MRI, IVP, RGU, MCGU, Barium Swallow, Barium Enema, HSG</v>
          </cell>
          <cell r="O730" t="str">
            <v>Radiology</v>
          </cell>
          <cell r="P730" t="str">
            <v>Consultant Radiologist</v>
          </cell>
          <cell r="Q730" t="str">
            <v>Dr L T Kishore</v>
          </cell>
          <cell r="R730">
            <v>44728</v>
          </cell>
          <cell r="S730">
            <v>44728</v>
          </cell>
          <cell r="T730">
            <v>45458</v>
          </cell>
          <cell r="U730">
            <v>45459</v>
          </cell>
          <cell r="V730">
            <v>2014</v>
          </cell>
          <cell r="W730" t="str">
            <v>Jawaharlal Nehru Medical College, Belgaum, Karnataka</v>
          </cell>
          <cell r="X730">
            <v>2022</v>
          </cell>
          <cell r="Y730" t="str">
            <v>MNR Medical College, Sangareddy, Telangana</v>
          </cell>
          <cell r="Z730" t="str">
            <v>NA</v>
          </cell>
          <cell r="AA730" t="str">
            <v>MBBS, MD - Radiodiagnosis</v>
          </cell>
          <cell r="AB730" t="str">
            <v>TSMC/FMR/10348</v>
          </cell>
          <cell r="AC730" t="str">
            <v>Telangana State Medical Council</v>
          </cell>
          <cell r="AD730">
            <v>43764</v>
          </cell>
          <cell r="AE730">
            <v>45591</v>
          </cell>
          <cell r="AF730">
            <v>7981539501</v>
          </cell>
          <cell r="AG730" t="str">
            <v>sindhurareddy91@gmail.com</v>
          </cell>
          <cell r="AH730" t="str">
            <v>HDFC Bank</v>
          </cell>
          <cell r="AI730" t="str">
            <v>50100281030538</v>
          </cell>
          <cell r="AJ730" t="str">
            <v>HDFC0000813</v>
          </cell>
          <cell r="AK730" t="str">
            <v>BIRPM2610N</v>
          </cell>
          <cell r="AL730">
            <v>832099209992</v>
          </cell>
          <cell r="AM730" t="str">
            <v>Venkatdas Reddy Mettu</v>
          </cell>
          <cell r="AN730" t="str">
            <v>NA</v>
          </cell>
          <cell r="AO730" t="str">
            <v>NA</v>
          </cell>
          <cell r="AS730" t="e">
            <v>#REF!</v>
          </cell>
          <cell r="AW730">
            <v>33479</v>
          </cell>
          <cell r="AX730" t="str">
            <v>Female</v>
          </cell>
          <cell r="AY730" t="str">
            <v>Part Time</v>
          </cell>
          <cell r="AZ730">
            <v>4</v>
          </cell>
          <cell r="BA730" t="str">
            <v>Kukatpally Cluster</v>
          </cell>
        </row>
        <row r="731">
          <cell r="M731" t="str">
            <v>Vijayanagar - 51</v>
          </cell>
          <cell r="N731" t="str">
            <v>Physician Services</v>
          </cell>
          <cell r="O731" t="str">
            <v>Physician Services</v>
          </cell>
          <cell r="P731" t="str">
            <v>Consultant Physician</v>
          </cell>
          <cell r="Q731" t="str">
            <v>Ms. Suprita Reddy</v>
          </cell>
          <cell r="R731">
            <v>44728</v>
          </cell>
          <cell r="S731">
            <v>44728</v>
          </cell>
          <cell r="T731">
            <v>45458</v>
          </cell>
          <cell r="U731">
            <v>45459</v>
          </cell>
          <cell r="V731">
            <v>2021</v>
          </cell>
          <cell r="W731" t="str">
            <v>Khaja Banda Nawaz Institute of Medical Sciences, Gulbarga</v>
          </cell>
          <cell r="X731" t="str">
            <v>NA</v>
          </cell>
          <cell r="Y731" t="str">
            <v>NA</v>
          </cell>
          <cell r="Z731" t="str">
            <v>NA</v>
          </cell>
          <cell r="AA731" t="str">
            <v>MBBS</v>
          </cell>
          <cell r="AB731" t="str">
            <v>TSMC/FMR/ 17135</v>
          </cell>
          <cell r="AC731" t="str">
            <v>Telangana State Medical Council</v>
          </cell>
          <cell r="AD731">
            <v>44413</v>
          </cell>
          <cell r="AE731">
            <v>46238</v>
          </cell>
          <cell r="AF731">
            <v>9030901808</v>
          </cell>
          <cell r="AG731" t="str">
            <v>tabib36@gmail.com</v>
          </cell>
          <cell r="AH731" t="str">
            <v>State Bank of India</v>
          </cell>
          <cell r="AI731" t="str">
            <v>20199122954</v>
          </cell>
          <cell r="AJ731" t="str">
            <v>SBIN0005322</v>
          </cell>
          <cell r="AK731" t="str">
            <v>ERJPK5896Q</v>
          </cell>
          <cell r="AL731">
            <v>605966808380</v>
          </cell>
          <cell r="AM731" t="str">
            <v>Mohammed Kaleemuddin</v>
          </cell>
          <cell r="AN731" t="str">
            <v>NA</v>
          </cell>
          <cell r="AO731" t="str">
            <v>NA</v>
          </cell>
          <cell r="AW731">
            <v>34556</v>
          </cell>
          <cell r="AX731" t="str">
            <v>Male</v>
          </cell>
          <cell r="AY731" t="str">
            <v>Part Time</v>
          </cell>
          <cell r="AZ731">
            <v>1</v>
          </cell>
          <cell r="BA731">
            <v>1</v>
          </cell>
        </row>
        <row r="732">
          <cell r="M732" t="str">
            <v>A S Rao Nagar - 18</v>
          </cell>
          <cell r="N732" t="str">
            <v>Physician Services</v>
          </cell>
          <cell r="O732" t="str">
            <v>Physician Services</v>
          </cell>
          <cell r="P732" t="str">
            <v>Consultant Physician</v>
          </cell>
          <cell r="Q732" t="str">
            <v>Ms. Suprita Reddy</v>
          </cell>
          <cell r="R732">
            <v>44733</v>
          </cell>
          <cell r="S732">
            <v>44733</v>
          </cell>
          <cell r="T732">
            <v>45463</v>
          </cell>
          <cell r="U732">
            <v>45464</v>
          </cell>
          <cell r="V732">
            <v>2015</v>
          </cell>
          <cell r="W732" t="str">
            <v>Kamineni Institute of Medical Sciences, Narketpally</v>
          </cell>
          <cell r="X732" t="str">
            <v>NA</v>
          </cell>
          <cell r="Y732" t="str">
            <v>NA</v>
          </cell>
          <cell r="Z732" t="str">
            <v>NA</v>
          </cell>
          <cell r="AA732" t="str">
            <v>MBBS</v>
          </cell>
          <cell r="AB732" t="str">
            <v>APMC/FMR/93640</v>
          </cell>
          <cell r="AC732" t="str">
            <v>Telangana State Medical Council</v>
          </cell>
          <cell r="AD732">
            <v>44142</v>
          </cell>
          <cell r="AE732">
            <v>45967</v>
          </cell>
          <cell r="AF732">
            <v>9959431212</v>
          </cell>
          <cell r="AG732" t="str">
            <v>saikiranballikonda@gmail.com</v>
          </cell>
          <cell r="AH732" t="str">
            <v>Bank of India</v>
          </cell>
          <cell r="AI732">
            <v>571016310004744</v>
          </cell>
          <cell r="AJ732" t="str">
            <v>BKID0005710</v>
          </cell>
          <cell r="AK732" t="str">
            <v>EHGPS9297J</v>
          </cell>
          <cell r="AL732">
            <v>560263133243</v>
          </cell>
          <cell r="AM732" t="str">
            <v>Ballikonda Narsaiah</v>
          </cell>
          <cell r="AN732" t="str">
            <v>NA</v>
          </cell>
          <cell r="AO732" t="str">
            <v>NA</v>
          </cell>
          <cell r="AW732">
            <v>32823</v>
          </cell>
          <cell r="AX732" t="str">
            <v>Male</v>
          </cell>
          <cell r="AY732" t="str">
            <v>Part Time</v>
          </cell>
          <cell r="AZ732">
            <v>2</v>
          </cell>
          <cell r="BA732" t="str">
            <v>A.S. Rao Nagar Cluster</v>
          </cell>
        </row>
        <row r="733">
          <cell r="M733" t="str">
            <v>Santosh Nagar-15</v>
          </cell>
          <cell r="N733" t="str">
            <v>Physician Services</v>
          </cell>
          <cell r="O733" t="str">
            <v>Physician Services</v>
          </cell>
          <cell r="P733" t="str">
            <v>Consultant Physician</v>
          </cell>
          <cell r="Q733" t="str">
            <v>Ms. Suprita Reddy</v>
          </cell>
          <cell r="R733">
            <v>44735</v>
          </cell>
          <cell r="S733">
            <v>44735</v>
          </cell>
          <cell r="T733">
            <v>45465</v>
          </cell>
          <cell r="U733">
            <v>45466</v>
          </cell>
          <cell r="V733">
            <v>2018</v>
          </cell>
          <cell r="W733" t="str">
            <v>SVS Medical College, Mahaboobnagar</v>
          </cell>
          <cell r="X733" t="str">
            <v>NA</v>
          </cell>
          <cell r="Y733" t="str">
            <v>NA</v>
          </cell>
          <cell r="Z733" t="str">
            <v>NA</v>
          </cell>
          <cell r="AA733" t="str">
            <v>MBBS</v>
          </cell>
          <cell r="AB733" t="str">
            <v>TSMC/FMR/11665</v>
          </cell>
          <cell r="AC733" t="str">
            <v>Telangana State Medical Council</v>
          </cell>
          <cell r="AD733">
            <v>43871</v>
          </cell>
          <cell r="AE733">
            <v>45698</v>
          </cell>
          <cell r="AF733">
            <v>7330877113</v>
          </cell>
          <cell r="AG733" t="str">
            <v>sindhureddy1017@gmail.com</v>
          </cell>
          <cell r="AH733" t="str">
            <v>State Bank of India</v>
          </cell>
          <cell r="AI733">
            <v>20102473326</v>
          </cell>
          <cell r="AJ733" t="str">
            <v>SBIN0008026</v>
          </cell>
          <cell r="AK733" t="str">
            <v>HVZPK1202F</v>
          </cell>
          <cell r="AL733">
            <v>522310716326</v>
          </cell>
          <cell r="AM733" t="str">
            <v>Venkata Ramana Reddy Kothi</v>
          </cell>
          <cell r="AW733">
            <v>34502</v>
          </cell>
          <cell r="AX733" t="str">
            <v>Female</v>
          </cell>
          <cell r="AY733" t="str">
            <v>Part Time</v>
          </cell>
          <cell r="AZ733">
            <v>1</v>
          </cell>
          <cell r="BA733" t="str">
            <v>Santosh Nagar Cluster</v>
          </cell>
        </row>
        <row r="734">
          <cell r="M734" t="str">
            <v>Manikonda - 59</v>
          </cell>
          <cell r="N734" t="str">
            <v>Physician Services</v>
          </cell>
          <cell r="O734" t="str">
            <v>Physician Services</v>
          </cell>
          <cell r="P734" t="str">
            <v>Consultant Physician</v>
          </cell>
          <cell r="Q734" t="str">
            <v>Ms. Suprita Reddy</v>
          </cell>
          <cell r="R734">
            <v>44739</v>
          </cell>
          <cell r="S734">
            <v>44739</v>
          </cell>
          <cell r="T734">
            <v>45469</v>
          </cell>
          <cell r="U734">
            <v>45470</v>
          </cell>
          <cell r="V734">
            <v>2016</v>
          </cell>
          <cell r="W734" t="str">
            <v>JJM Medical College, Davangere, Karnataka</v>
          </cell>
          <cell r="X734" t="str">
            <v>NA</v>
          </cell>
          <cell r="Y734" t="str">
            <v>NA</v>
          </cell>
          <cell r="Z734" t="str">
            <v>NA</v>
          </cell>
          <cell r="AA734" t="str">
            <v>MBBS</v>
          </cell>
          <cell r="AB734" t="str">
            <v>TSMC/FMR/22164</v>
          </cell>
          <cell r="AC734" t="str">
            <v>Telangana State Medical Council</v>
          </cell>
          <cell r="AD734">
            <v>44832</v>
          </cell>
          <cell r="AE734">
            <v>46657</v>
          </cell>
          <cell r="AF734">
            <v>9663210666</v>
          </cell>
          <cell r="AG734" t="str">
            <v>tajammul99@gmail.com</v>
          </cell>
          <cell r="AH734" t="str">
            <v>HDFC Bank</v>
          </cell>
          <cell r="AI734">
            <v>50100329254270</v>
          </cell>
          <cell r="AJ734" t="str">
            <v>HDFC0004684</v>
          </cell>
          <cell r="AK734" t="str">
            <v>AYTPA1973F</v>
          </cell>
          <cell r="AL734">
            <v>748081861277</v>
          </cell>
          <cell r="AM734" t="str">
            <v>Syed Yusuf Ali Patel</v>
          </cell>
          <cell r="AN734" t="str">
            <v>NA</v>
          </cell>
          <cell r="AO734" t="str">
            <v>NA</v>
          </cell>
          <cell r="AW734">
            <v>33569</v>
          </cell>
          <cell r="AX734" t="str">
            <v>Male</v>
          </cell>
          <cell r="AY734" t="str">
            <v>Part Time</v>
          </cell>
          <cell r="AZ734">
            <v>1</v>
          </cell>
          <cell r="BA734" t="str">
            <v>Tolichowki Cluster</v>
          </cell>
        </row>
        <row r="735">
          <cell r="M735" t="str">
            <v>Gachibowli-66</v>
          </cell>
          <cell r="N735" t="str">
            <v>Basic USG, Tiffa, MSK, Basic CT, Basic MRI, Xray, Mammography</v>
          </cell>
          <cell r="O735" t="str">
            <v>Radiology</v>
          </cell>
          <cell r="P735" t="str">
            <v>Consultant Radiologist</v>
          </cell>
          <cell r="Q735" t="str">
            <v>Dr. Krishna Mohan Pottala</v>
          </cell>
          <cell r="R735">
            <v>44739</v>
          </cell>
          <cell r="S735">
            <v>44739</v>
          </cell>
          <cell r="T735">
            <v>45469</v>
          </cell>
          <cell r="U735">
            <v>45470</v>
          </cell>
          <cell r="V735">
            <v>2009</v>
          </cell>
          <cell r="W735" t="str">
            <v xml:space="preserve">Mamata Medical Collage, Khammam, Telangana </v>
          </cell>
          <cell r="X735">
            <v>2013</v>
          </cell>
          <cell r="Y735" t="str">
            <v>DMRD-Chalmeda Anada Rao Institute of Medical Sciences, Karimnagar</v>
          </cell>
          <cell r="Z735" t="str">
            <v>DNB- Yashoda Hospital, Somajiguda, Hyderabad, Telangana - 2021</v>
          </cell>
          <cell r="AA735" t="str">
            <v>MBBS, DMRD, DNB Radiology</v>
          </cell>
          <cell r="AB735">
            <v>69493</v>
          </cell>
          <cell r="AC735" t="str">
            <v>Telangana State Medical Council</v>
          </cell>
          <cell r="AD735">
            <v>43497</v>
          </cell>
          <cell r="AE735">
            <v>45322</v>
          </cell>
          <cell r="AF735">
            <v>6309345659</v>
          </cell>
          <cell r="AG735" t="str">
            <v>nsushma28@gmail.com</v>
          </cell>
          <cell r="AH735" t="str">
            <v>HDFC Bank</v>
          </cell>
          <cell r="AI735" t="str">
            <v>50100024696633</v>
          </cell>
          <cell r="AJ735" t="str">
            <v>HDFC0000743</v>
          </cell>
          <cell r="AK735" t="str">
            <v>AKCPN3585B</v>
          </cell>
          <cell r="AL735">
            <v>914719898201</v>
          </cell>
          <cell r="AM735" t="str">
            <v>Lakshmi Kantha Rao Nadipelli</v>
          </cell>
          <cell r="AN735" t="str">
            <v>NA</v>
          </cell>
          <cell r="AO735" t="str">
            <v>NA</v>
          </cell>
          <cell r="AW735">
            <v>31560</v>
          </cell>
          <cell r="AX735" t="str">
            <v>Female</v>
          </cell>
          <cell r="AY735" t="str">
            <v>Part Time</v>
          </cell>
          <cell r="AZ735">
            <v>5</v>
          </cell>
          <cell r="BA735" t="str">
            <v>Madhapur Cluster</v>
          </cell>
        </row>
        <row r="736">
          <cell r="M736" t="str">
            <v>Lothukunta-90</v>
          </cell>
          <cell r="N736" t="str">
            <v>Basic USG, Tiffa, Fetal Echo, MSK, Penile Doppler, USG Guided Procedures, Basic CT, All Angios, Virtual Endoscopy, CT Enterclysis, CT Guided Procedures, Basic MRI, Fetal MRI, MR Prostate, IVP, RGU, MCGU, Barium Swallow, Barium Enema, HSG, Xray, Mammography</v>
          </cell>
          <cell r="O736" t="str">
            <v>Radiology</v>
          </cell>
          <cell r="P736" t="str">
            <v>Consultant Radiologist</v>
          </cell>
          <cell r="Q736" t="str">
            <v>Dr. LT Kishore</v>
          </cell>
          <cell r="R736">
            <v>44743</v>
          </cell>
          <cell r="S736">
            <v>44743</v>
          </cell>
          <cell r="T736">
            <v>45473</v>
          </cell>
          <cell r="U736">
            <v>45474</v>
          </cell>
          <cell r="V736">
            <v>2012</v>
          </cell>
          <cell r="W736" t="str">
            <v>Kamineni Institute of Medical Sciences, Narketpally</v>
          </cell>
          <cell r="X736">
            <v>2017</v>
          </cell>
          <cell r="Y736" t="str">
            <v>MNR Medical College, Sangareddy</v>
          </cell>
          <cell r="Z736" t="str">
            <v>NA</v>
          </cell>
          <cell r="AA736" t="str">
            <v>MBBS, MD Radiology</v>
          </cell>
          <cell r="AB736" t="str">
            <v>TSMC/FMR/81589</v>
          </cell>
          <cell r="AC736" t="str">
            <v>Telangana State Medical Council</v>
          </cell>
          <cell r="AD736">
            <v>43211</v>
          </cell>
          <cell r="AE736">
            <v>45036</v>
          </cell>
          <cell r="AF736">
            <v>9966769088</v>
          </cell>
          <cell r="AG736" t="str">
            <v>abhijithkotte@gmail.com</v>
          </cell>
          <cell r="AH736" t="str">
            <v>ICICI Bank</v>
          </cell>
          <cell r="AI736" t="str">
            <v>007201532802</v>
          </cell>
          <cell r="AJ736" t="str">
            <v>ICIC0001318</v>
          </cell>
          <cell r="AK736" t="str">
            <v>BRMPK0305G</v>
          </cell>
          <cell r="AL736" t="str">
            <v>236809879923</v>
          </cell>
          <cell r="AM736" t="str">
            <v>Kotte Anjaiah</v>
          </cell>
          <cell r="AN736">
            <v>44941</v>
          </cell>
          <cell r="AO736">
            <v>44881</v>
          </cell>
          <cell r="AS736" t="e">
            <v>#REF!</v>
          </cell>
          <cell r="AW736">
            <v>32715</v>
          </cell>
          <cell r="AX736" t="str">
            <v>Male</v>
          </cell>
          <cell r="AY736" t="str">
            <v>Full Time</v>
          </cell>
          <cell r="AZ736">
            <v>8</v>
          </cell>
          <cell r="BA736" t="str">
            <v>Secunderabad Cluster</v>
          </cell>
        </row>
        <row r="737">
          <cell r="M737" t="str">
            <v>Vanasthalipuram - 33</v>
          </cell>
          <cell r="N737" t="str">
            <v>Basic USG, Tiffa,  MSK,USG Guided Procedures, Basic CT, Xray</v>
          </cell>
          <cell r="O737" t="str">
            <v>Radiology</v>
          </cell>
          <cell r="P737" t="str">
            <v>Consultant Radiologist</v>
          </cell>
          <cell r="Q737" t="str">
            <v>Dr. Krishna Mohan Pottala</v>
          </cell>
          <cell r="R737">
            <v>44743</v>
          </cell>
          <cell r="S737">
            <v>44743</v>
          </cell>
          <cell r="T737">
            <v>45473</v>
          </cell>
          <cell r="U737">
            <v>45474</v>
          </cell>
          <cell r="V737">
            <v>2006</v>
          </cell>
          <cell r="W737" t="str">
            <v>Kakatiya University, Warangal</v>
          </cell>
          <cell r="X737">
            <v>2013</v>
          </cell>
          <cell r="Y737" t="str">
            <v>SVS Medical college, Mahabubnagar</v>
          </cell>
          <cell r="Z737" t="str">
            <v>NA</v>
          </cell>
          <cell r="AA737" t="str">
            <v>MBBS, DMRD</v>
          </cell>
          <cell r="AB737">
            <v>57013</v>
          </cell>
          <cell r="AC737" t="str">
            <v>Telangana State Medical Council</v>
          </cell>
          <cell r="AD737">
            <v>44037</v>
          </cell>
          <cell r="AE737">
            <v>45862</v>
          </cell>
          <cell r="AF737">
            <v>9502784500</v>
          </cell>
          <cell r="AG737" t="str">
            <v>santhoshinikarine@gmail.com</v>
          </cell>
          <cell r="AH737" t="str">
            <v>Canara Bank</v>
          </cell>
          <cell r="AI737" t="str">
            <v>0670101031505</v>
          </cell>
          <cell r="AJ737" t="str">
            <v>CRNB0001825</v>
          </cell>
          <cell r="AK737" t="str">
            <v>BNAPK5662C</v>
          </cell>
          <cell r="AL737">
            <v>473965430651</v>
          </cell>
          <cell r="AM737" t="str">
            <v>Mallepalli Rajesh</v>
          </cell>
          <cell r="AW737">
            <v>29943</v>
          </cell>
          <cell r="AX737" t="str">
            <v>Female</v>
          </cell>
          <cell r="AY737" t="str">
            <v>Part Time</v>
          </cell>
          <cell r="AZ737">
            <v>2</v>
          </cell>
          <cell r="BA737">
            <v>2</v>
          </cell>
        </row>
        <row r="738">
          <cell r="M738" t="str">
            <v>Kurnool - 43</v>
          </cell>
          <cell r="N738" t="str">
            <v>Basic USG, Tiffa,  Fetal Echo, MSK, Basic CT, Xray and Mammography</v>
          </cell>
          <cell r="O738" t="str">
            <v>Radiology</v>
          </cell>
          <cell r="P738" t="str">
            <v>Consultant Radiologist</v>
          </cell>
          <cell r="Q738" t="str">
            <v>Dr. LT Kishore</v>
          </cell>
          <cell r="R738">
            <v>44743</v>
          </cell>
          <cell r="S738">
            <v>44743</v>
          </cell>
          <cell r="T738">
            <v>45473</v>
          </cell>
          <cell r="V738">
            <v>2007</v>
          </cell>
          <cell r="W738" t="str">
            <v>Narayana Medical College, Nellore, Andhra Pradesh</v>
          </cell>
          <cell r="X738">
            <v>2016</v>
          </cell>
          <cell r="Y738" t="str">
            <v>Rangaraya Medical College, Kakinada, Andhra Pradesh</v>
          </cell>
          <cell r="Z738" t="str">
            <v>NA</v>
          </cell>
          <cell r="AA738" t="str">
            <v>MBBS, DMRD</v>
          </cell>
          <cell r="AC738" t="str">
            <v>Andhra Pradesh Medical Council</v>
          </cell>
          <cell r="AF738">
            <v>9491848996</v>
          </cell>
          <cell r="AG738" t="str">
            <v>dgopinath789@gmail.com</v>
          </cell>
          <cell r="AX738" t="str">
            <v>Male</v>
          </cell>
          <cell r="AY738" t="str">
            <v>Part Time</v>
          </cell>
          <cell r="AZ738">
            <v>3</v>
          </cell>
          <cell r="BA738" t="str">
            <v>Kurnool Cluster</v>
          </cell>
        </row>
        <row r="739">
          <cell r="M739" t="str">
            <v>Kavuri Hills-5</v>
          </cell>
          <cell r="N739" t="str">
            <v>Basic USG, Tiffa,  Fetal Echo, MSK, Basic CT, Xray and Mammography</v>
          </cell>
          <cell r="O739" t="str">
            <v>Radiology</v>
          </cell>
          <cell r="P739" t="str">
            <v>Consultant Radiologist</v>
          </cell>
          <cell r="Q739" t="str">
            <v>Dr. LT Kishore</v>
          </cell>
          <cell r="R739">
            <v>44743</v>
          </cell>
          <cell r="S739">
            <v>44743</v>
          </cell>
          <cell r="T739">
            <v>45473</v>
          </cell>
          <cell r="U739">
            <v>45474</v>
          </cell>
          <cell r="V739">
            <v>2013</v>
          </cell>
          <cell r="W739" t="str">
            <v>Datta Meghe Institute of Medical Sciences</v>
          </cell>
          <cell r="X739">
            <v>2019</v>
          </cell>
          <cell r="Y739" t="str">
            <v xml:space="preserve">Dr. D Y Patil Institute of Medical Sciences, Pune, Maharashtra </v>
          </cell>
          <cell r="Z739" t="str">
            <v>NA</v>
          </cell>
          <cell r="AA739" t="str">
            <v>MBBS, MD Radiology</v>
          </cell>
          <cell r="AC739" t="str">
            <v>Telangana State Medical Council</v>
          </cell>
          <cell r="AD739">
            <v>44198</v>
          </cell>
          <cell r="AE739">
            <v>46023</v>
          </cell>
          <cell r="AF739">
            <v>9390516945</v>
          </cell>
          <cell r="AG739" t="str">
            <v>reddyjyoti145@gmail.com</v>
          </cell>
          <cell r="AH739" t="str">
            <v>Karur Vysya Bank</v>
          </cell>
          <cell r="AI739" t="str">
            <v>1460175000000655</v>
          </cell>
          <cell r="AJ739" t="str">
            <v>KVBL0001460</v>
          </cell>
          <cell r="AK739" t="str">
            <v>BTZPR6245K</v>
          </cell>
          <cell r="AL739" t="str">
            <v>374518043799</v>
          </cell>
          <cell r="AM739" t="str">
            <v>Mallikarjun Reddy</v>
          </cell>
          <cell r="AS739" t="e">
            <v>#REF!</v>
          </cell>
          <cell r="AW739">
            <v>32734</v>
          </cell>
          <cell r="AX739" t="str">
            <v>Female</v>
          </cell>
          <cell r="AY739" t="str">
            <v>Part Time</v>
          </cell>
          <cell r="AZ739">
            <v>4</v>
          </cell>
          <cell r="BA739" t="str">
            <v>Madhapur Cluster</v>
          </cell>
        </row>
        <row r="740">
          <cell r="M740" t="str">
            <v>Rajahmundry-118</v>
          </cell>
          <cell r="N740" t="str">
            <v>Basic USG, Tiffa, Basic CT, All Angios except Coronary, Basic MRI,  Xray and Mammography</v>
          </cell>
          <cell r="O740" t="str">
            <v>Radiology</v>
          </cell>
          <cell r="P740" t="str">
            <v>Consultant Radiologist</v>
          </cell>
          <cell r="Q740" t="str">
            <v>Dr. Krishna Mohan Pottala</v>
          </cell>
          <cell r="R740">
            <v>44746</v>
          </cell>
          <cell r="S740">
            <v>44746</v>
          </cell>
          <cell r="T740">
            <v>45476</v>
          </cell>
          <cell r="U740">
            <v>45477</v>
          </cell>
          <cell r="V740">
            <v>2017</v>
          </cell>
          <cell r="W740" t="str">
            <v>Alluri Sitaramaraju Academy of Medical Sciences, Eluru</v>
          </cell>
          <cell r="X740">
            <v>2020</v>
          </cell>
          <cell r="Y740" t="str">
            <v>Narayana Medical College, Nellore</v>
          </cell>
          <cell r="Z740" t="str">
            <v>NA</v>
          </cell>
          <cell r="AA740" t="str">
            <v>MBBS, MD Radiology</v>
          </cell>
          <cell r="AC740" t="str">
            <v>Andhra Pradesh Medical Council</v>
          </cell>
          <cell r="AD740">
            <v>44112</v>
          </cell>
          <cell r="AE740">
            <v>45938</v>
          </cell>
          <cell r="AF740">
            <v>9989237125</v>
          </cell>
          <cell r="AG740" t="str">
            <v>gedaanusha@gmail.com</v>
          </cell>
          <cell r="AH740" t="str">
            <v>HDFC Bank</v>
          </cell>
          <cell r="AI740" t="str">
            <v>50100284641209</v>
          </cell>
          <cell r="AJ740" t="str">
            <v>HDFC0004124</v>
          </cell>
          <cell r="AK740" t="str">
            <v>BSMPG9686B</v>
          </cell>
          <cell r="AL740">
            <v>501473161991</v>
          </cell>
          <cell r="AM740" t="str">
            <v>Bhaskara Rao</v>
          </cell>
          <cell r="AW740">
            <v>34291</v>
          </cell>
          <cell r="AX740" t="str">
            <v>Female</v>
          </cell>
          <cell r="AY740" t="str">
            <v>Full Time</v>
          </cell>
          <cell r="AZ740">
            <v>8</v>
          </cell>
          <cell r="BA740" t="str">
            <v>Visakhapatnam Cluster</v>
          </cell>
        </row>
        <row r="741">
          <cell r="M741" t="str">
            <v>Karimnagar-75</v>
          </cell>
          <cell r="N741" t="str">
            <v>Hematology, Cytopathology, Clinical Pathology</v>
          </cell>
          <cell r="O741" t="str">
            <v>Pathology</v>
          </cell>
          <cell r="P741" t="str">
            <v>Consultant Pathologist</v>
          </cell>
          <cell r="Q741" t="str">
            <v>Dr. Shashikanth</v>
          </cell>
          <cell r="R741">
            <v>44748</v>
          </cell>
          <cell r="S741">
            <v>44748</v>
          </cell>
          <cell r="T741">
            <v>45478</v>
          </cell>
          <cell r="U741">
            <v>45479</v>
          </cell>
          <cell r="V741">
            <v>2014</v>
          </cell>
          <cell r="W741" t="str">
            <v xml:space="preserve">Katmandu University, Nepal </v>
          </cell>
          <cell r="X741">
            <v>2020</v>
          </cell>
          <cell r="Y741" t="str">
            <v>Navodaya Medical College, Raichur, Karnataka</v>
          </cell>
          <cell r="Z741" t="str">
            <v>NA</v>
          </cell>
          <cell r="AA741" t="str">
            <v>MBBS, MD Pathology</v>
          </cell>
          <cell r="AC741" t="str">
            <v>Telangana State Medical Council</v>
          </cell>
          <cell r="AD741">
            <v>44658</v>
          </cell>
          <cell r="AE741">
            <v>46483</v>
          </cell>
          <cell r="AF741" t="str">
            <v>9573427442, 9654311539</v>
          </cell>
          <cell r="AG741" t="str">
            <v>pettemvenkat@gmail.com</v>
          </cell>
          <cell r="AH741" t="str">
            <v>State Bank of India</v>
          </cell>
          <cell r="AI741">
            <v>20046667563</v>
          </cell>
          <cell r="AJ741" t="str">
            <v>SBIN0012967</v>
          </cell>
          <cell r="AK741" t="str">
            <v>CRQPP7180P</v>
          </cell>
          <cell r="AL741">
            <v>267213717269</v>
          </cell>
          <cell r="AM741" t="str">
            <v>Bheemaiah</v>
          </cell>
          <cell r="AN741">
            <v>45006</v>
          </cell>
          <cell r="AO741">
            <v>44946</v>
          </cell>
          <cell r="AW741">
            <v>30128</v>
          </cell>
          <cell r="AX741" t="str">
            <v>Male</v>
          </cell>
          <cell r="AY741" t="str">
            <v>Full Time</v>
          </cell>
          <cell r="AZ741">
            <v>8</v>
          </cell>
          <cell r="BA741" t="str">
            <v>TS - Upcountry</v>
          </cell>
        </row>
        <row r="742">
          <cell r="M742" t="str">
            <v>Mehdipatnam - 8</v>
          </cell>
          <cell r="N742" t="str">
            <v>Basic USG, Tiffa, MSK, Guided Procedures, Basic CT, Xray, IVP</v>
          </cell>
          <cell r="O742" t="str">
            <v>Radiology</v>
          </cell>
          <cell r="P742" t="str">
            <v>Consultant Radiologist</v>
          </cell>
          <cell r="Q742" t="str">
            <v>Dr. LT Kishore</v>
          </cell>
          <cell r="R742">
            <v>44750</v>
          </cell>
          <cell r="S742">
            <v>44750</v>
          </cell>
          <cell r="T742">
            <v>45480</v>
          </cell>
          <cell r="V742">
            <v>2010</v>
          </cell>
          <cell r="W742" t="str">
            <v>Chalmeda Anand Rao Medical College, Karimnagar -2010</v>
          </cell>
          <cell r="X742">
            <v>2019</v>
          </cell>
          <cell r="Y742" t="str">
            <v>Shadan Medical College, Hyderabad</v>
          </cell>
          <cell r="Z742" t="str">
            <v>NA</v>
          </cell>
          <cell r="AA742" t="str">
            <v>MBBS, MD Radiology</v>
          </cell>
          <cell r="AB742">
            <v>68775</v>
          </cell>
          <cell r="AC742" t="str">
            <v>Telangana State Medical Council</v>
          </cell>
          <cell r="AF742">
            <v>9885636907</v>
          </cell>
          <cell r="AG742" t="str">
            <v>drwesamsyed@gmail.com</v>
          </cell>
          <cell r="AX742" t="str">
            <v>Male</v>
          </cell>
          <cell r="AY742" t="str">
            <v>Part Time</v>
          </cell>
          <cell r="AZ742">
            <v>6</v>
          </cell>
          <cell r="BA742" t="str">
            <v>Tolichowki Cluster</v>
          </cell>
        </row>
        <row r="743">
          <cell r="M743" t="str">
            <v>Kurnool - 43</v>
          </cell>
          <cell r="N743" t="str">
            <v>Hematology, Cytopathology, Clinical Pathology</v>
          </cell>
          <cell r="O743" t="str">
            <v>Pathology</v>
          </cell>
          <cell r="P743" t="str">
            <v>Consultant Pathologist</v>
          </cell>
          <cell r="Q743" t="str">
            <v>Dr. Shashikanth</v>
          </cell>
          <cell r="R743">
            <v>44754</v>
          </cell>
          <cell r="S743">
            <v>44754</v>
          </cell>
          <cell r="T743">
            <v>45484</v>
          </cell>
          <cell r="U743">
            <v>45485</v>
          </cell>
          <cell r="V743">
            <v>2014</v>
          </cell>
          <cell r="W743" t="str">
            <v>Aarupadai Veedu Medical College &amp; Hospital, Puducherry, Vinayaka Missions University</v>
          </cell>
          <cell r="X743">
            <v>2019</v>
          </cell>
          <cell r="Y743" t="str">
            <v>Sree Balaji Medical College &amp; Hospital, Chennai, BIHER University</v>
          </cell>
          <cell r="Z743" t="str">
            <v>NA</v>
          </cell>
          <cell r="AA743" t="str">
            <v>MBBS, MD Pathology</v>
          </cell>
          <cell r="AC743" t="str">
            <v>Andhra Pradesh Medical Council</v>
          </cell>
          <cell r="AD743" t="str">
            <v>07-jul-2022-</v>
          </cell>
          <cell r="AE743">
            <v>46574</v>
          </cell>
          <cell r="AF743">
            <v>8133954262</v>
          </cell>
          <cell r="AG743" t="str">
            <v>moumita.dam.md@gmail.com</v>
          </cell>
          <cell r="AH743" t="str">
            <v>HDFC Bank</v>
          </cell>
          <cell r="AI743" t="str">
            <v>50100332583446</v>
          </cell>
          <cell r="AJ743" t="str">
            <v>HDFC0001063</v>
          </cell>
          <cell r="AK743" t="str">
            <v>APBPD8182N</v>
          </cell>
          <cell r="AL743" t="str">
            <v>867341031273</v>
          </cell>
          <cell r="AM743" t="str">
            <v>Sitangshu Dam</v>
          </cell>
          <cell r="AN743">
            <v>45138</v>
          </cell>
          <cell r="AS743" t="e">
            <v>#N/A</v>
          </cell>
          <cell r="AW743">
            <v>32616</v>
          </cell>
          <cell r="AX743" t="str">
            <v>Female</v>
          </cell>
          <cell r="AY743" t="str">
            <v>Full Time</v>
          </cell>
          <cell r="AZ743">
            <v>8</v>
          </cell>
          <cell r="BA743" t="str">
            <v>Kurnool Cluster</v>
          </cell>
        </row>
        <row r="744">
          <cell r="M744" t="str">
            <v>A S Rao Nagar - 18</v>
          </cell>
          <cell r="N744" t="str">
            <v>Semen Analysis and FNAC</v>
          </cell>
          <cell r="O744" t="str">
            <v>Pathology</v>
          </cell>
          <cell r="P744" t="str">
            <v>Consultant Pathologist</v>
          </cell>
          <cell r="Q744" t="str">
            <v>Dr. Shashikanth</v>
          </cell>
          <cell r="R744">
            <v>44754</v>
          </cell>
          <cell r="S744">
            <v>44754</v>
          </cell>
          <cell r="T744">
            <v>45484</v>
          </cell>
          <cell r="U744">
            <v>45485</v>
          </cell>
          <cell r="V744">
            <v>2002</v>
          </cell>
          <cell r="W744" t="str">
            <v>KMC, Mangalore, Karnataka</v>
          </cell>
          <cell r="X744">
            <v>2020</v>
          </cell>
          <cell r="Y744" t="str">
            <v>Army Hospital, R and R, Delhi Cant</v>
          </cell>
          <cell r="Z744" t="str">
            <v>NA</v>
          </cell>
          <cell r="AA744" t="str">
            <v>MBBS, MD Pathology</v>
          </cell>
          <cell r="AB744" t="str">
            <v>1681, Haryana Medical Council</v>
          </cell>
          <cell r="AC744" t="str">
            <v>National Medical Commission</v>
          </cell>
          <cell r="AD744">
            <v>44718</v>
          </cell>
          <cell r="AE744">
            <v>46224</v>
          </cell>
          <cell r="AF744">
            <v>8870008934</v>
          </cell>
          <cell r="AG744" t="str">
            <v>neeti28413@gmail.com</v>
          </cell>
          <cell r="AH744" t="str">
            <v>State Bank of India</v>
          </cell>
          <cell r="AI744">
            <v>20008009799</v>
          </cell>
          <cell r="AJ744" t="str">
            <v>SBIN0001535</v>
          </cell>
          <cell r="AK744" t="str">
            <v>BNBPS4134C</v>
          </cell>
          <cell r="AL744">
            <v>433863132124</v>
          </cell>
          <cell r="AM744" t="str">
            <v>Inder kumar Sindhwani</v>
          </cell>
          <cell r="AN744">
            <v>44948</v>
          </cell>
          <cell r="AO744">
            <v>44888</v>
          </cell>
          <cell r="AS744" t="e">
            <v>#REF!</v>
          </cell>
          <cell r="AW744">
            <v>28412</v>
          </cell>
          <cell r="AX744" t="str">
            <v>Female</v>
          </cell>
          <cell r="AY744" t="str">
            <v>Part Time</v>
          </cell>
          <cell r="AZ744">
            <v>2</v>
          </cell>
          <cell r="BA744" t="str">
            <v>A.S. Rao Nagar Cluster</v>
          </cell>
        </row>
        <row r="745">
          <cell r="M745" t="str">
            <v>Madhapur-2 - 70</v>
          </cell>
          <cell r="N745" t="str">
            <v>Basic USG, Tiffa, Guided Procedures, Basic CT, X Ray, Plain Radiology, Mammography, IVP, RGU, MCGU, Barium Swallow, Barium Anema, HSG</v>
          </cell>
          <cell r="O745" t="str">
            <v>Radiology</v>
          </cell>
          <cell r="P745" t="str">
            <v>Consultant Radiologist</v>
          </cell>
          <cell r="Q745" t="str">
            <v>Dr.Krishna Mohan</v>
          </cell>
          <cell r="R745">
            <v>45257</v>
          </cell>
          <cell r="S745">
            <v>45257</v>
          </cell>
          <cell r="T745">
            <v>45987</v>
          </cell>
          <cell r="U745">
            <v>45988</v>
          </cell>
          <cell r="V745">
            <v>2013</v>
          </cell>
          <cell r="W745" t="str">
            <v>Sri Ramachandra Medical College &amp; Research Institute, Porur, Chennai</v>
          </cell>
          <cell r="X745">
            <v>2017</v>
          </cell>
          <cell r="Y745" t="str">
            <v>Sri Ramachandra Medical College</v>
          </cell>
          <cell r="Z745" t="str">
            <v>NA</v>
          </cell>
          <cell r="AA745" t="str">
            <v>MBBS,MD</v>
          </cell>
          <cell r="AB745" t="str">
            <v>TSMC/FMR/05064</v>
          </cell>
          <cell r="AC745" t="str">
            <v>Telangana State Medical Council</v>
          </cell>
          <cell r="AD745">
            <v>43470</v>
          </cell>
          <cell r="AE745">
            <v>45295</v>
          </cell>
          <cell r="AF745">
            <v>9059688543</v>
          </cell>
          <cell r="AG745" t="str">
            <v>dr.niharikakadiyalaa@gmail.com</v>
          </cell>
          <cell r="AH745" t="str">
            <v>ICICI Bank</v>
          </cell>
          <cell r="AI745" t="str">
            <v>004001039998</v>
          </cell>
          <cell r="AJ745" t="str">
            <v>ICIC0000040</v>
          </cell>
          <cell r="AK745" t="str">
            <v>DJUPK9013B</v>
          </cell>
          <cell r="AL745">
            <v>929116456643</v>
          </cell>
          <cell r="AN745">
            <v>45491</v>
          </cell>
          <cell r="AO745" t="str">
            <v>NA</v>
          </cell>
          <cell r="AP745" t="str">
            <v>Asked to leave</v>
          </cell>
          <cell r="AQ745" t="str">
            <v>5-3-211/1, Shanthi Nagar, Near Ramalayam, Kukatpally, Hyderabad, Telangana - 500072</v>
          </cell>
          <cell r="AS745" t="str">
            <v>5-3-211/1, Shanthi Nagar, Near Ramalayam, Kukatpally, Hyderabad, Telangana - 500072</v>
          </cell>
          <cell r="AU745">
            <v>0.33333333333333331</v>
          </cell>
          <cell r="AV745">
            <v>0.45833333333333331</v>
          </cell>
          <cell r="AW745">
            <v>32977</v>
          </cell>
          <cell r="AX745" t="str">
            <v>Female</v>
          </cell>
          <cell r="AY745" t="str">
            <v>Part Time</v>
          </cell>
          <cell r="AZ745">
            <v>2</v>
          </cell>
          <cell r="BA745" t="str">
            <v>Madhapur Cluster</v>
          </cell>
        </row>
        <row r="746">
          <cell r="M746" t="str">
            <v>Tolichowki - 23</v>
          </cell>
          <cell r="N746" t="str">
            <v>Basic USG, Guided Procedures, Basic CT, Basic MRI, X-ray, IVP, RGU, MCGU, Barium Swallow, Barium Enema, HSG</v>
          </cell>
          <cell r="O746" t="str">
            <v>Radiology</v>
          </cell>
          <cell r="P746" t="str">
            <v>Consultant Radiologist</v>
          </cell>
          <cell r="Q746" t="str">
            <v>Dr. LT Kishore</v>
          </cell>
          <cell r="R746">
            <v>44755</v>
          </cell>
          <cell r="S746">
            <v>44755</v>
          </cell>
          <cell r="T746">
            <v>45485</v>
          </cell>
          <cell r="U746">
            <v>45486</v>
          </cell>
          <cell r="V746">
            <v>2014</v>
          </cell>
          <cell r="W746" t="str">
            <v>Mahadevappa Rampure Medical College, Gulbarga, Karnataka</v>
          </cell>
          <cell r="X746">
            <v>2019</v>
          </cell>
          <cell r="Y746" t="str">
            <v>Alameen Medical College, Bijapur</v>
          </cell>
          <cell r="Z746" t="str">
            <v>NA</v>
          </cell>
          <cell r="AA746" t="str">
            <v>MBBS, MD</v>
          </cell>
          <cell r="AB746" t="str">
            <v>TSMC/FMR/ 18715</v>
          </cell>
          <cell r="AC746" t="str">
            <v>Telangana State Medical Council</v>
          </cell>
          <cell r="AD746">
            <v>44534</v>
          </cell>
          <cell r="AE746">
            <v>46359</v>
          </cell>
          <cell r="AF746">
            <v>9663456556</v>
          </cell>
          <cell r="AG746" t="str">
            <v>soharwardi9723@gmail.com</v>
          </cell>
          <cell r="AH746" t="str">
            <v>State Bank of India</v>
          </cell>
          <cell r="AI746">
            <v>20320395948</v>
          </cell>
          <cell r="AJ746" t="str">
            <v>SBIN0003304</v>
          </cell>
          <cell r="AK746" t="str">
            <v>GSJPS8276M</v>
          </cell>
          <cell r="AL746">
            <v>728001138681</v>
          </cell>
          <cell r="AM746" t="str">
            <v>Mohammed Showkat</v>
          </cell>
          <cell r="AS746" t="e">
            <v>#REF!</v>
          </cell>
          <cell r="AW746">
            <v>33406</v>
          </cell>
          <cell r="AX746" t="str">
            <v>Male</v>
          </cell>
          <cell r="AY746" t="str">
            <v>Part Time</v>
          </cell>
          <cell r="AZ746">
            <v>3</v>
          </cell>
          <cell r="BA746">
            <v>3</v>
          </cell>
        </row>
        <row r="747">
          <cell r="M747" t="str">
            <v>Panjagutta-121</v>
          </cell>
          <cell r="N747" t="str">
            <v>Basic USG, Tiffa, MSK, Penile Dopplers/TRUS, Guided Procedures, Basic CT, All Angios, Virtual Endoscopy, CT Perfusion, CT Enteroclysis, CT Guided Procedures, Basic MRI, CSF Flow Study, MR Prostate,  MR Neurography, MR Defacography, MR Perfusion, Fetal MR, X-ray, IVP, RGU, MCGU, Barium Swallow, Barium Enema, HSG, XRay, Mammography</v>
          </cell>
          <cell r="O747" t="str">
            <v>Radiology</v>
          </cell>
          <cell r="P747" t="str">
            <v>Consultant Radiologist</v>
          </cell>
          <cell r="Q747" t="str">
            <v>Dr. LT Kishore</v>
          </cell>
          <cell r="R747">
            <v>44760</v>
          </cell>
          <cell r="S747">
            <v>44760</v>
          </cell>
          <cell r="T747">
            <v>45490</v>
          </cell>
          <cell r="U747">
            <v>45491</v>
          </cell>
          <cell r="V747">
            <v>2012</v>
          </cell>
          <cell r="W747" t="str">
            <v xml:space="preserve">Vydehi Institute of Medical Sciences &amp; Research Centre, Bangalore </v>
          </cell>
          <cell r="X747">
            <v>2020</v>
          </cell>
          <cell r="Y747" t="str">
            <v>JJM Medical college, Bangalore</v>
          </cell>
          <cell r="Z747" t="str">
            <v>NA</v>
          </cell>
          <cell r="AA747" t="str">
            <v>MBBS, MD Rdio diagnosis</v>
          </cell>
          <cell r="AB747" t="str">
            <v>TSMC/ FMR/ 18251</v>
          </cell>
          <cell r="AC747" t="str">
            <v>Telangana State Medical Council</v>
          </cell>
          <cell r="AD747">
            <v>44496</v>
          </cell>
          <cell r="AE747">
            <v>46316</v>
          </cell>
          <cell r="AF747">
            <v>7338647333</v>
          </cell>
          <cell r="AG747" t="str">
            <v>shashank@radiologist.net</v>
          </cell>
          <cell r="AH747" t="str">
            <v>ICIC BANK</v>
          </cell>
          <cell r="AI747" t="str">
            <v>736501500231</v>
          </cell>
          <cell r="AJ747" t="str">
            <v>ICIC0007565</v>
          </cell>
          <cell r="AK747" t="str">
            <v>BETPD0381R</v>
          </cell>
          <cell r="AL747">
            <v>288810979257</v>
          </cell>
          <cell r="AM747" t="str">
            <v>Sreenivasulu D</v>
          </cell>
          <cell r="AN747">
            <v>44904</v>
          </cell>
          <cell r="AO747">
            <v>44844</v>
          </cell>
          <cell r="AS747" t="e">
            <v>#REF!</v>
          </cell>
          <cell r="AW747">
            <v>32322</v>
          </cell>
          <cell r="AX747" t="str">
            <v>Male</v>
          </cell>
          <cell r="AY747" t="str">
            <v>Full Time</v>
          </cell>
          <cell r="AZ747">
            <v>8</v>
          </cell>
          <cell r="BA747" t="str">
            <v>Punjagutta Cluster</v>
          </cell>
        </row>
        <row r="748">
          <cell r="M748" t="str">
            <v>BN Reddy Nagar- 110</v>
          </cell>
          <cell r="N748" t="str">
            <v>Basic USG, Tiffa, MSK, Guided Procedures, Basic CT, All Angios except coronary, CT Perfusion, CT Enteroclysis, Basic MRI, Xray, IVP, RGU, MCUG, Barium Swallow, Barium Enemma, HSG</v>
          </cell>
          <cell r="O748" t="str">
            <v>Radiology</v>
          </cell>
          <cell r="P748" t="str">
            <v>Consultant Radiologist</v>
          </cell>
          <cell r="Q748" t="str">
            <v>Dr. Krishna Mohan Pottala</v>
          </cell>
          <cell r="R748">
            <v>44760</v>
          </cell>
          <cell r="S748">
            <v>44760</v>
          </cell>
          <cell r="T748">
            <v>45490</v>
          </cell>
          <cell r="U748">
            <v>45491</v>
          </cell>
          <cell r="V748">
            <v>2011</v>
          </cell>
          <cell r="W748" t="str">
            <v>Gandhi Medical College</v>
          </cell>
          <cell r="X748">
            <v>2022</v>
          </cell>
          <cell r="Y748" t="str">
            <v xml:space="preserve"> AFMC- Command hospital Airforce Bangalore</v>
          </cell>
          <cell r="Z748" t="str">
            <v>NA</v>
          </cell>
          <cell r="AA748" t="str">
            <v>MBBS, MD</v>
          </cell>
          <cell r="AB748" t="str">
            <v>APMC/FMR/ 77008 (MBBS only)</v>
          </cell>
          <cell r="AC748" t="str">
            <v>Telangana State Medical Council</v>
          </cell>
          <cell r="AD748">
            <v>43554</v>
          </cell>
          <cell r="AE748">
            <v>45380</v>
          </cell>
          <cell r="AF748">
            <v>9985364765</v>
          </cell>
          <cell r="AG748" t="str">
            <v>srikanth.nalla123@gmail.com</v>
          </cell>
          <cell r="AH748" t="str">
            <v>Axis bank</v>
          </cell>
          <cell r="AI748" t="str">
            <v>914010042479513</v>
          </cell>
          <cell r="AJ748" t="str">
            <v>UTIB0002962</v>
          </cell>
          <cell r="AK748" t="str">
            <v>APIPN8809D</v>
          </cell>
          <cell r="AL748">
            <v>595169492368</v>
          </cell>
          <cell r="AM748" t="str">
            <v>Nalla Mogulaiah</v>
          </cell>
          <cell r="AW748">
            <v>32383</v>
          </cell>
          <cell r="AX748" t="str">
            <v>Male</v>
          </cell>
          <cell r="AY748" t="str">
            <v>Full Time</v>
          </cell>
          <cell r="AZ748">
            <v>8</v>
          </cell>
          <cell r="BA748" t="str">
            <v>Dilshuknagar Cluster</v>
          </cell>
        </row>
        <row r="749">
          <cell r="M749" t="str">
            <v>Kukatpally - 20</v>
          </cell>
          <cell r="N749" t="str">
            <v>Basic USG, Tiffa, MSK, Basic CT, All Angios except Coronary, CT Enterclysis, Xray, Mammography</v>
          </cell>
          <cell r="O749" t="str">
            <v>Radiology</v>
          </cell>
          <cell r="P749" t="str">
            <v>Consultant Radiologist</v>
          </cell>
          <cell r="Q749" t="str">
            <v>Dr. Krishna Mohan Pottala</v>
          </cell>
          <cell r="R749">
            <v>44762</v>
          </cell>
          <cell r="S749">
            <v>44762</v>
          </cell>
          <cell r="T749">
            <v>45492</v>
          </cell>
          <cell r="U749">
            <v>45493</v>
          </cell>
          <cell r="V749">
            <v>2014</v>
          </cell>
          <cell r="W749" t="str">
            <v>Kamineni Institute of Medical Sciences, Narketpally</v>
          </cell>
          <cell r="X749">
            <v>2022</v>
          </cell>
          <cell r="Y749" t="str">
            <v>Rajarajeswari Medical College, Bangalore</v>
          </cell>
          <cell r="Z749" t="str">
            <v>NA</v>
          </cell>
          <cell r="AA749" t="str">
            <v>MBBS, MD Rdio diagnosis</v>
          </cell>
          <cell r="AB749" t="str">
            <v>TSMC/FMR/05146</v>
          </cell>
          <cell r="AC749" t="str">
            <v>Telangana State Medical Council</v>
          </cell>
          <cell r="AD749">
            <v>44805</v>
          </cell>
          <cell r="AE749">
            <v>46630</v>
          </cell>
          <cell r="AF749">
            <v>9618949027</v>
          </cell>
          <cell r="AG749" t="str">
            <v>daidaalekya@gmail.com</v>
          </cell>
          <cell r="AH749" t="str">
            <v>HDFC Bank</v>
          </cell>
          <cell r="AI749" t="str">
            <v>50100494634812</v>
          </cell>
          <cell r="AJ749" t="str">
            <v>HDFC0007059</v>
          </cell>
          <cell r="AK749" t="str">
            <v>DSZPD0337M</v>
          </cell>
          <cell r="AL749">
            <v>783219738106</v>
          </cell>
          <cell r="AM749" t="str">
            <v>Sudarshan Daida</v>
          </cell>
          <cell r="AN749">
            <v>45382</v>
          </cell>
          <cell r="AO749">
            <v>45382</v>
          </cell>
          <cell r="AP749" t="str">
            <v>Meternety Leave</v>
          </cell>
          <cell r="AQ749" t="str">
            <v>Wants to change in (Old Shift from 10:00 AM - 06:00 PM to New Shift 11:00 AM to 07:00 PM)</v>
          </cell>
          <cell r="AU749">
            <v>0.41666666666666669</v>
          </cell>
          <cell r="AV749">
            <v>0.75</v>
          </cell>
          <cell r="AW749">
            <v>33922</v>
          </cell>
          <cell r="AX749" t="str">
            <v>Female</v>
          </cell>
          <cell r="AY749" t="str">
            <v>Full Time</v>
          </cell>
          <cell r="AZ749">
            <v>8</v>
          </cell>
          <cell r="BA749" t="str">
            <v>Kukatpally Cluster</v>
          </cell>
        </row>
        <row r="750">
          <cell r="M750" t="str">
            <v>Kismatpur</v>
          </cell>
          <cell r="N750" t="str">
            <v>Basic USG, Tiffa, Guided Procedures, Basic CT, XRay, IVP, RGU, MCGU, Barium Swallow, Barium Enema, HSG</v>
          </cell>
          <cell r="O750" t="str">
            <v>Radiology</v>
          </cell>
          <cell r="P750" t="str">
            <v>Consultant Radiologist</v>
          </cell>
          <cell r="Q750" t="str">
            <v>Dr. Krishna Mohan Pottala</v>
          </cell>
          <cell r="R750">
            <v>44764</v>
          </cell>
          <cell r="S750">
            <v>44764</v>
          </cell>
          <cell r="T750">
            <v>45494</v>
          </cell>
          <cell r="U750">
            <v>45495</v>
          </cell>
          <cell r="V750">
            <v>2011</v>
          </cell>
          <cell r="W750" t="str">
            <v>Odessa National Medical University, Odessa, Ukraine</v>
          </cell>
          <cell r="X750">
            <v>2022</v>
          </cell>
          <cell r="Y750" t="str">
            <v>Deccan Medical College, Hyderabad, Telangana</v>
          </cell>
          <cell r="Z750" t="str">
            <v>NA</v>
          </cell>
          <cell r="AA750" t="str">
            <v>MBBS, MD</v>
          </cell>
          <cell r="AB750" t="str">
            <v>APMC/FMR/83019</v>
          </cell>
          <cell r="AC750" t="str">
            <v>Telangana Medical Countil</v>
          </cell>
          <cell r="AD750">
            <v>44716</v>
          </cell>
          <cell r="AE750">
            <v>46541</v>
          </cell>
          <cell r="AF750">
            <v>9985187860</v>
          </cell>
          <cell r="AG750" t="str">
            <v>dr_moinrahman@yahoo.com</v>
          </cell>
          <cell r="AH750" t="str">
            <v>Karur Vysya Bank</v>
          </cell>
          <cell r="AI750" t="str">
            <v>1457155000005769</v>
          </cell>
          <cell r="AJ750" t="str">
            <v>KVBL0001457</v>
          </cell>
          <cell r="AK750" t="str">
            <v>EBMPK1706E</v>
          </cell>
          <cell r="AL750">
            <v>790349104598</v>
          </cell>
          <cell r="AM750" t="str">
            <v>Dr K Abdul Rahman</v>
          </cell>
          <cell r="AS750" t="e">
            <v>#REF!</v>
          </cell>
          <cell r="AW750">
            <v>30856</v>
          </cell>
          <cell r="AX750" t="str">
            <v>Male</v>
          </cell>
          <cell r="AY750" t="str">
            <v>Part Time</v>
          </cell>
          <cell r="AZ750">
            <v>2.5</v>
          </cell>
          <cell r="BA750" t="str">
            <v>Tolichowki Cluster</v>
          </cell>
        </row>
        <row r="751">
          <cell r="M751" t="str">
            <v>Kphb-Malaysian - 77</v>
          </cell>
          <cell r="N751" t="str">
            <v>Physician Services</v>
          </cell>
          <cell r="O751" t="str">
            <v>Physician Services</v>
          </cell>
          <cell r="P751" t="str">
            <v>Consultant Physician</v>
          </cell>
          <cell r="Q751" t="str">
            <v>Ms. Suprita Reddy</v>
          </cell>
          <cell r="R751">
            <v>44764</v>
          </cell>
          <cell r="S751">
            <v>44764</v>
          </cell>
          <cell r="T751">
            <v>45494</v>
          </cell>
          <cell r="U751">
            <v>45495</v>
          </cell>
          <cell r="V751">
            <v>2010</v>
          </cell>
          <cell r="W751" t="str">
            <v>North Sichuan medical college</v>
          </cell>
          <cell r="Z751" t="str">
            <v>NA</v>
          </cell>
          <cell r="AA751" t="str">
            <v>MBBS, MD</v>
          </cell>
          <cell r="AB751" t="str">
            <v>APMC/FMR/82460</v>
          </cell>
          <cell r="AC751" t="str">
            <v>Andhra Pradesh Medical Council</v>
          </cell>
          <cell r="AD751">
            <v>44811</v>
          </cell>
          <cell r="AE751">
            <v>45541</v>
          </cell>
          <cell r="AF751">
            <v>7095467778</v>
          </cell>
          <cell r="AG751" t="str">
            <v>coolalekhya@gmail.com</v>
          </cell>
          <cell r="AH751" t="str">
            <v>ICIC BANK</v>
          </cell>
          <cell r="AI751" t="str">
            <v>059801541350</v>
          </cell>
          <cell r="AJ751" t="str">
            <v>ICIC0000598</v>
          </cell>
          <cell r="AK751" t="str">
            <v>ALXPY2365A</v>
          </cell>
          <cell r="AL751">
            <v>739056668029</v>
          </cell>
          <cell r="AM751" t="str">
            <v>Kumar Yelamanchili</v>
          </cell>
          <cell r="AW751">
            <v>32694</v>
          </cell>
          <cell r="AX751" t="str">
            <v>Female</v>
          </cell>
          <cell r="AY751" t="str">
            <v>Part Time</v>
          </cell>
          <cell r="AZ751">
            <v>1</v>
          </cell>
          <cell r="BA751" t="str">
            <v>Kukatpally Cluster</v>
          </cell>
        </row>
        <row r="752">
          <cell r="M752" t="str">
            <v>Yapral - 88</v>
          </cell>
          <cell r="N752" t="str">
            <v>Basic USG, Tiffa, MSK, Basic CT, Basic MRI, Xray, Mammography, IVP, RGU, MCGU, Barium Swallow, Barium Enema, HSG</v>
          </cell>
          <cell r="O752" t="str">
            <v>Radiology</v>
          </cell>
          <cell r="P752" t="str">
            <v>Consultant Radiologist</v>
          </cell>
          <cell r="Q752" t="str">
            <v>Dr. Krishna Mohan Pottala</v>
          </cell>
          <cell r="R752">
            <v>44767</v>
          </cell>
          <cell r="S752">
            <v>44767</v>
          </cell>
          <cell r="T752">
            <v>45497</v>
          </cell>
          <cell r="U752">
            <v>45498</v>
          </cell>
          <cell r="V752">
            <v>2017</v>
          </cell>
          <cell r="W752" t="str">
            <v>Navodaya Medical College and Hospital, Raichur, karnataka</v>
          </cell>
          <cell r="X752">
            <v>2022</v>
          </cell>
          <cell r="Y752" t="str">
            <v>JSS Academy of Higher Education and Research</v>
          </cell>
          <cell r="Z752" t="str">
            <v>NA</v>
          </cell>
          <cell r="AA752" t="str">
            <v>MBBS, MD</v>
          </cell>
          <cell r="AB752" t="str">
            <v>TSMC/FMR/20387</v>
          </cell>
          <cell r="AC752" t="str">
            <v>Telangana Medical Countil</v>
          </cell>
          <cell r="AD752">
            <v>44735</v>
          </cell>
          <cell r="AE752">
            <v>46560</v>
          </cell>
          <cell r="AF752">
            <v>9705425828</v>
          </cell>
          <cell r="AG752" t="str">
            <v>cyrilsrk@gmail.com</v>
          </cell>
          <cell r="AH752" t="str">
            <v>Canara Bank</v>
          </cell>
          <cell r="AI752" t="str">
            <v>1976101019076</v>
          </cell>
          <cell r="AJ752" t="str">
            <v>CNRB0001976</v>
          </cell>
          <cell r="AK752" t="str">
            <v>ISAPS3156P</v>
          </cell>
          <cell r="AL752">
            <v>314790251177</v>
          </cell>
          <cell r="AM752" t="str">
            <v>S E Susheel Kumar Sandrugu</v>
          </cell>
          <cell r="AW752">
            <v>34494</v>
          </cell>
          <cell r="AX752" t="str">
            <v>Male</v>
          </cell>
          <cell r="AY752" t="str">
            <v>Part Time</v>
          </cell>
          <cell r="AZ752">
            <v>3</v>
          </cell>
          <cell r="BA752" t="str">
            <v>A.S. Rao Nagar Cluster</v>
          </cell>
        </row>
        <row r="753">
          <cell r="M753" t="str">
            <v>Safilguda - 58</v>
          </cell>
          <cell r="N753" t="str">
            <v>Physician Services</v>
          </cell>
          <cell r="O753" t="str">
            <v>Physician Services</v>
          </cell>
          <cell r="P753" t="str">
            <v>Consultant Physician</v>
          </cell>
          <cell r="R753">
            <v>44768</v>
          </cell>
          <cell r="S753">
            <v>44768</v>
          </cell>
          <cell r="T753">
            <v>45498</v>
          </cell>
          <cell r="U753">
            <v>45499</v>
          </cell>
          <cell r="V753">
            <v>2017</v>
          </cell>
          <cell r="W753" t="str">
            <v>Zaporozhye State Medical University, Ukraine</v>
          </cell>
          <cell r="X753" t="str">
            <v>NA</v>
          </cell>
          <cell r="Y753" t="str">
            <v>NA</v>
          </cell>
          <cell r="Z753" t="str">
            <v>NA</v>
          </cell>
          <cell r="AA753" t="str">
            <v>MBBS</v>
          </cell>
          <cell r="AB753" t="str">
            <v>TSMC/FMR/15855</v>
          </cell>
          <cell r="AC753" t="str">
            <v>Telangana Medical Countil</v>
          </cell>
          <cell r="AD753">
            <v>44277</v>
          </cell>
          <cell r="AE753">
            <v>46103</v>
          </cell>
          <cell r="AF753">
            <v>8639897184</v>
          </cell>
          <cell r="AG753" t="str">
            <v>samyukthamaradi2625ps@gmail.com</v>
          </cell>
          <cell r="AH753" t="str">
            <v>State Bank of India</v>
          </cell>
          <cell r="AI753" t="str">
            <v>384867456149</v>
          </cell>
          <cell r="AJ753" t="str">
            <v>SBIN0020822</v>
          </cell>
          <cell r="AK753" t="str">
            <v>CSMPA5542H</v>
          </cell>
          <cell r="AL753">
            <v>272566330190</v>
          </cell>
          <cell r="AM753" t="str">
            <v>Amaradi Raju</v>
          </cell>
          <cell r="AN753">
            <v>44884</v>
          </cell>
          <cell r="AS753" t="e">
            <v>#REF!</v>
          </cell>
          <cell r="AW753">
            <v>34267</v>
          </cell>
          <cell r="AX753" t="str">
            <v>Male</v>
          </cell>
          <cell r="AY753" t="str">
            <v>Part Time</v>
          </cell>
          <cell r="AZ753">
            <v>1</v>
          </cell>
          <cell r="BA753">
            <v>1</v>
          </cell>
        </row>
        <row r="754">
          <cell r="M754" t="str">
            <v>Ameerpet - 14</v>
          </cell>
          <cell r="N754" t="str">
            <v>Basic USG, Tiffa, USG Guided procedures,  IVP, RGU, MCGU, Barium Swallow, Barium Enemma, HSG, X-Ray</v>
          </cell>
          <cell r="O754" t="str">
            <v>Radiology</v>
          </cell>
          <cell r="P754" t="str">
            <v>Consultant Radiologist</v>
          </cell>
          <cell r="Q754" t="str">
            <v>Dr. Krishna Mohan Pottala</v>
          </cell>
          <cell r="R754">
            <v>44768</v>
          </cell>
          <cell r="S754">
            <v>44768</v>
          </cell>
          <cell r="T754">
            <v>45498</v>
          </cell>
          <cell r="U754">
            <v>45499</v>
          </cell>
          <cell r="V754">
            <v>2012</v>
          </cell>
          <cell r="W754" t="str">
            <v>SRM Medical College</v>
          </cell>
          <cell r="X754">
            <v>2020</v>
          </cell>
          <cell r="Y754" t="str">
            <v>Deccan College of Medical Science</v>
          </cell>
          <cell r="Z754" t="str">
            <v>NA</v>
          </cell>
          <cell r="AA754" t="str">
            <v>MBBS, MD - Radio Diagnosis</v>
          </cell>
          <cell r="AB754" t="str">
            <v>TSMC/FMR/02581</v>
          </cell>
          <cell r="AC754" t="str">
            <v>Telangana State Medical Council</v>
          </cell>
          <cell r="AD754">
            <v>44497</v>
          </cell>
          <cell r="AE754">
            <v>46322</v>
          </cell>
          <cell r="AF754">
            <v>9000419603</v>
          </cell>
          <cell r="AG754" t="str">
            <v>jameelkairos@gmail.com</v>
          </cell>
          <cell r="AH754" t="str">
            <v>Canara Bank</v>
          </cell>
          <cell r="AI754" t="str">
            <v>30442010212228</v>
          </cell>
          <cell r="AJ754" t="str">
            <v>CNRB0013044</v>
          </cell>
          <cell r="AK754" t="str">
            <v>CBAPM4874K</v>
          </cell>
          <cell r="AL754">
            <v>406257701478</v>
          </cell>
          <cell r="AM754" t="str">
            <v>Mohd Sikandar</v>
          </cell>
          <cell r="AW754">
            <v>32288</v>
          </cell>
          <cell r="AX754" t="str">
            <v>Male</v>
          </cell>
          <cell r="AY754" t="str">
            <v>Part Time</v>
          </cell>
          <cell r="AZ754">
            <v>2</v>
          </cell>
          <cell r="BA754" t="str">
            <v>Himayathnagar Cluster</v>
          </cell>
        </row>
        <row r="755">
          <cell r="M755" t="str">
            <v>Kompally - 65</v>
          </cell>
          <cell r="N755" t="str">
            <v>N/A</v>
          </cell>
          <cell r="O755" t="str">
            <v>Physician Services</v>
          </cell>
          <cell r="P755" t="str">
            <v>Consultant Physician</v>
          </cell>
          <cell r="Q755" t="str">
            <v>N/A</v>
          </cell>
          <cell r="R755">
            <v>45429</v>
          </cell>
          <cell r="S755">
            <v>45429</v>
          </cell>
          <cell r="T755">
            <v>46158</v>
          </cell>
          <cell r="U755">
            <v>46159</v>
          </cell>
          <cell r="V755">
            <v>2022</v>
          </cell>
          <cell r="W755" t="str">
            <v>NRI Medical College</v>
          </cell>
          <cell r="X755" t="str">
            <v>N/A</v>
          </cell>
          <cell r="Y755" t="str">
            <v>N/A</v>
          </cell>
          <cell r="Z755" t="str">
            <v>NA</v>
          </cell>
          <cell r="AA755" t="str">
            <v>MBBS</v>
          </cell>
          <cell r="AB755" t="str">
            <v>APMC/FMR/122818</v>
          </cell>
          <cell r="AC755" t="str">
            <v>Andhra Pradesh Medical Council</v>
          </cell>
          <cell r="AD755">
            <v>44914</v>
          </cell>
          <cell r="AE755">
            <v>46739</v>
          </cell>
          <cell r="AF755">
            <v>8501851143</v>
          </cell>
          <cell r="AG755" t="str">
            <v>sabeerabegum79@gmail.com</v>
          </cell>
          <cell r="AH755" t="str">
            <v>STATE BANK OF INDIA</v>
          </cell>
          <cell r="AI755">
            <v>35992724901</v>
          </cell>
          <cell r="AJ755" t="str">
            <v>SBIN0004758</v>
          </cell>
          <cell r="AK755" t="str">
            <v>HEYPB1534M</v>
          </cell>
          <cell r="AL755">
            <v>843376154589</v>
          </cell>
          <cell r="AN755">
            <v>45494</v>
          </cell>
          <cell r="AO755" t="str">
            <v>NA</v>
          </cell>
          <cell r="AP755" t="str">
            <v>Abscond</v>
          </cell>
          <cell r="AQ755" t="str">
            <v>27-64, Gandhi Nagar, Quthbullahpur Mandal, Medchal District VTC, Chintal, PO HMT township, TS 500054</v>
          </cell>
          <cell r="AS755" t="str">
            <v>27-64, Gandhi Nagar, Quthbullahpur Mandal, Medchal District VTC, Chintal, PO HMT township, TS 500054</v>
          </cell>
          <cell r="AW755">
            <v>35605</v>
          </cell>
          <cell r="AX755" t="str">
            <v>Female</v>
          </cell>
          <cell r="AY755" t="str">
            <v>Part Time</v>
          </cell>
          <cell r="AZ755">
            <v>2</v>
          </cell>
          <cell r="BA755" t="str">
            <v>Secunderabad Cluster</v>
          </cell>
        </row>
        <row r="756">
          <cell r="M756" t="str">
            <v>BHEL-30</v>
          </cell>
          <cell r="N756" t="str">
            <v>Basic USG,  Xray, Mammography</v>
          </cell>
          <cell r="O756" t="str">
            <v>Radiology</v>
          </cell>
          <cell r="P756" t="str">
            <v>Consultant  Sonologist</v>
          </cell>
          <cell r="Q756" t="str">
            <v>Dr. L T Kishore</v>
          </cell>
          <cell r="R756">
            <v>44774</v>
          </cell>
          <cell r="S756">
            <v>44774</v>
          </cell>
          <cell r="T756">
            <v>45504</v>
          </cell>
          <cell r="U756">
            <v>45505</v>
          </cell>
          <cell r="V756">
            <v>2016</v>
          </cell>
          <cell r="W756" t="str">
            <v>Osmania Medical College</v>
          </cell>
          <cell r="X756">
            <v>2022</v>
          </cell>
          <cell r="Y756" t="str">
            <v>Kakatiya Medical College</v>
          </cell>
          <cell r="Z756" t="str">
            <v>NA</v>
          </cell>
          <cell r="AA756" t="str">
            <v>NA</v>
          </cell>
          <cell r="AB756" t="str">
            <v>TSMC/FMR/04126</v>
          </cell>
          <cell r="AC756" t="str">
            <v>Telangana State Medical Council</v>
          </cell>
          <cell r="AD756">
            <v>43017</v>
          </cell>
          <cell r="AE756">
            <v>44843</v>
          </cell>
          <cell r="AF756">
            <v>8500264807</v>
          </cell>
          <cell r="AG756" t="str">
            <v>gpriyanka855@gmail.com</v>
          </cell>
          <cell r="AH756" t="str">
            <v>State Bank of India</v>
          </cell>
          <cell r="AI756">
            <v>62209638491</v>
          </cell>
          <cell r="AJ756" t="str">
            <v>SBIN0021110</v>
          </cell>
          <cell r="AK756" t="str">
            <v>BKPPG4244J</v>
          </cell>
          <cell r="AL756">
            <v>835541539717</v>
          </cell>
          <cell r="AM756" t="str">
            <v>Gangaram Gudala</v>
          </cell>
          <cell r="AN756" t="str">
            <v>NA</v>
          </cell>
          <cell r="AO756" t="str">
            <v>NA</v>
          </cell>
          <cell r="AW756">
            <v>34501</v>
          </cell>
          <cell r="AX756" t="str">
            <v>Female</v>
          </cell>
          <cell r="AY756" t="str">
            <v>Part Time</v>
          </cell>
          <cell r="AZ756">
            <v>4</v>
          </cell>
          <cell r="BA756" t="str">
            <v>Madhapur Cluster</v>
          </cell>
        </row>
        <row r="757">
          <cell r="M757" t="str">
            <v>Boduppal - 45</v>
          </cell>
          <cell r="N757" t="str">
            <v>Physician Services</v>
          </cell>
          <cell r="O757" t="str">
            <v>Physician Services</v>
          </cell>
          <cell r="P757" t="str">
            <v>Consultant Physician</v>
          </cell>
          <cell r="Q757" t="str">
            <v>Ms. Suprita Reddy</v>
          </cell>
          <cell r="R757">
            <v>44774</v>
          </cell>
          <cell r="S757">
            <v>44774</v>
          </cell>
          <cell r="T757">
            <v>45504</v>
          </cell>
          <cell r="U757">
            <v>45505</v>
          </cell>
          <cell r="V757">
            <v>1988</v>
          </cell>
          <cell r="W757" t="str">
            <v>ANDHRA MEDICAL COLLEGE,VIZAG</v>
          </cell>
          <cell r="X757" t="str">
            <v>NA</v>
          </cell>
          <cell r="Y757" t="str">
            <v>NA</v>
          </cell>
          <cell r="Z757" t="str">
            <v>NA</v>
          </cell>
          <cell r="AA757" t="str">
            <v>NA</v>
          </cell>
          <cell r="AB757" t="str">
            <v>AMC19484</v>
          </cell>
          <cell r="AC757" t="str">
            <v>Telangana State Medical Council</v>
          </cell>
          <cell r="AD757">
            <v>44459</v>
          </cell>
          <cell r="AE757">
            <v>46284</v>
          </cell>
          <cell r="AF757">
            <v>9676883581</v>
          </cell>
          <cell r="AG757" t="str">
            <v>sampathiraov@gmail.com</v>
          </cell>
          <cell r="AH757" t="str">
            <v>Axis Bank</v>
          </cell>
          <cell r="AI757" t="str">
            <v>918010083876898</v>
          </cell>
          <cell r="AJ757" t="str">
            <v>UTIB0000890</v>
          </cell>
          <cell r="AK757" t="str">
            <v>AWAPN6691E</v>
          </cell>
          <cell r="AL757">
            <v>674864384886</v>
          </cell>
          <cell r="AM757" t="str">
            <v>Sampath Rao Dilleswar rao</v>
          </cell>
          <cell r="AN757">
            <v>45138</v>
          </cell>
          <cell r="AO757" t="str">
            <v>NA</v>
          </cell>
          <cell r="AW757">
            <v>23121</v>
          </cell>
          <cell r="AX757" t="str">
            <v>Male</v>
          </cell>
          <cell r="AY757" t="str">
            <v>Part Time</v>
          </cell>
          <cell r="AZ757">
            <v>1</v>
          </cell>
          <cell r="BA757" t="str">
            <v>Dilshuknagar Cluster</v>
          </cell>
        </row>
        <row r="758">
          <cell r="M758" t="str">
            <v>Musheerbad - 36</v>
          </cell>
          <cell r="N758" t="str">
            <v>Physician Services</v>
          </cell>
          <cell r="O758" t="str">
            <v>Physician Services</v>
          </cell>
          <cell r="P758" t="str">
            <v>Consultant Physician</v>
          </cell>
          <cell r="Q758" t="str">
            <v>Ms. Suprita Reddy</v>
          </cell>
          <cell r="R758">
            <v>44777</v>
          </cell>
          <cell r="S758">
            <v>44777</v>
          </cell>
          <cell r="T758">
            <v>45507</v>
          </cell>
          <cell r="U758">
            <v>45508</v>
          </cell>
          <cell r="V758">
            <v>2020</v>
          </cell>
          <cell r="W758" t="str">
            <v>Shadan Institute of Medical Sciences - Hyderabad, Telangana</v>
          </cell>
          <cell r="X758" t="str">
            <v>N/A</v>
          </cell>
          <cell r="Y758" t="str">
            <v>N/A</v>
          </cell>
          <cell r="Z758" t="str">
            <v>NA</v>
          </cell>
          <cell r="AA758" t="str">
            <v>MBBS</v>
          </cell>
          <cell r="AB758" t="str">
            <v>TSMC/FMR/18765</v>
          </cell>
          <cell r="AC758" t="str">
            <v>Telangana State Medical Council</v>
          </cell>
          <cell r="AD758">
            <v>44538</v>
          </cell>
          <cell r="AE758">
            <v>46363</v>
          </cell>
          <cell r="AF758">
            <v>8790348007</v>
          </cell>
          <cell r="AG758" t="str">
            <v>mustafaahmedghouri@gmail.com</v>
          </cell>
          <cell r="AH758" t="str">
            <v>Union Bank of India</v>
          </cell>
          <cell r="AI758" t="str">
            <v>054510100078479</v>
          </cell>
          <cell r="AJ758" t="str">
            <v>UBIN0805459</v>
          </cell>
          <cell r="AK758" t="str">
            <v>DFZPG9447A</v>
          </cell>
          <cell r="AL758">
            <v>920550346879</v>
          </cell>
          <cell r="AM758" t="str">
            <v>Mohammed Javeed Ghouri</v>
          </cell>
          <cell r="AN758">
            <v>45382</v>
          </cell>
          <cell r="AO758">
            <v>45327</v>
          </cell>
          <cell r="AP758" t="str">
            <v>Personal Reasons</v>
          </cell>
          <cell r="AU758">
            <v>0.33333333333333331</v>
          </cell>
          <cell r="AV758">
            <v>0.375</v>
          </cell>
          <cell r="AW758">
            <v>35072</v>
          </cell>
          <cell r="AX758" t="str">
            <v>Male</v>
          </cell>
          <cell r="AY758" t="str">
            <v>Part Time</v>
          </cell>
          <cell r="AZ758">
            <v>1</v>
          </cell>
          <cell r="BA758" t="str">
            <v>Secunderabad Cluster</v>
          </cell>
        </row>
        <row r="759">
          <cell r="M759" t="str">
            <v>Ameerpet - 14</v>
          </cell>
          <cell r="N759" t="str">
            <v>FNAC, Semen Analysis</v>
          </cell>
          <cell r="O759" t="str">
            <v>Pathology</v>
          </cell>
          <cell r="P759" t="str">
            <v>Consultant Pathologist</v>
          </cell>
          <cell r="Q759" t="str">
            <v>Dr. Shashikanth</v>
          </cell>
          <cell r="R759">
            <v>44777</v>
          </cell>
          <cell r="S759">
            <v>44777</v>
          </cell>
          <cell r="T759">
            <v>45507</v>
          </cell>
          <cell r="U759">
            <v>45508</v>
          </cell>
          <cell r="V759">
            <v>2016</v>
          </cell>
          <cell r="W759" t="str">
            <v>VRK Women's Medical College</v>
          </cell>
          <cell r="X759">
            <v>2020</v>
          </cell>
          <cell r="Y759" t="str">
            <v>Deccan College of Medical Science</v>
          </cell>
          <cell r="Z759" t="str">
            <v>NA</v>
          </cell>
          <cell r="AA759" t="str">
            <v>NA</v>
          </cell>
          <cell r="AB759" t="str">
            <v>TSMC/FMR/03072</v>
          </cell>
          <cell r="AC759" t="str">
            <v>Telangana State Medical Council</v>
          </cell>
          <cell r="AD759">
            <v>44508</v>
          </cell>
          <cell r="AE759">
            <v>46333</v>
          </cell>
          <cell r="AF759">
            <v>9848808699</v>
          </cell>
          <cell r="AG759" t="str">
            <v>sznam93@gmail.com</v>
          </cell>
          <cell r="AH759" t="str">
            <v>SBI Bank</v>
          </cell>
          <cell r="AI759">
            <v>72204749022</v>
          </cell>
          <cell r="AJ759" t="str">
            <v>SBIN0005322</v>
          </cell>
          <cell r="AK759" t="str">
            <v>BKHPN9622H</v>
          </cell>
          <cell r="AL759">
            <v>359925628390</v>
          </cell>
          <cell r="AM759" t="str">
            <v>Mohd Mujjab Ali Faruq</v>
          </cell>
          <cell r="AO759" t="str">
            <v>NA</v>
          </cell>
          <cell r="AW759">
            <v>34561</v>
          </cell>
          <cell r="AX759" t="str">
            <v>Female</v>
          </cell>
          <cell r="AY759" t="str">
            <v>Part Time</v>
          </cell>
          <cell r="AZ759">
            <v>3</v>
          </cell>
          <cell r="BA759" t="str">
            <v>Himayathnagar Cluster</v>
          </cell>
        </row>
        <row r="760">
          <cell r="M760" t="str">
            <v>Film Nagar - 38</v>
          </cell>
          <cell r="N760" t="str">
            <v>N/A</v>
          </cell>
          <cell r="O760" t="str">
            <v>Physician Services</v>
          </cell>
          <cell r="P760" t="str">
            <v>Consultant Physician</v>
          </cell>
          <cell r="Q760" t="str">
            <v>N/A</v>
          </cell>
          <cell r="R760">
            <v>45467</v>
          </cell>
          <cell r="S760">
            <v>45467</v>
          </cell>
          <cell r="T760">
            <v>46196</v>
          </cell>
          <cell r="U760">
            <v>46197</v>
          </cell>
          <cell r="V760">
            <v>2024</v>
          </cell>
          <cell r="W760" t="str">
            <v>Osmania medical College</v>
          </cell>
          <cell r="X760" t="str">
            <v>N/A</v>
          </cell>
          <cell r="Y760" t="str">
            <v>N/A</v>
          </cell>
          <cell r="Z760" t="str">
            <v>N/A</v>
          </cell>
          <cell r="AA760" t="str">
            <v>MBBS</v>
          </cell>
          <cell r="AB760" t="str">
            <v>TSMC/FMR/31839</v>
          </cell>
          <cell r="AC760" t="str">
            <v>Telangana State Medical Council</v>
          </cell>
          <cell r="AD760">
            <v>45462</v>
          </cell>
          <cell r="AE760">
            <v>47287</v>
          </cell>
          <cell r="AF760">
            <v>9100786307</v>
          </cell>
          <cell r="AG760" t="str">
            <v>hashmiasadullah@yahoo.com</v>
          </cell>
          <cell r="AH760" t="str">
            <v>Union Bank of India</v>
          </cell>
          <cell r="AI760">
            <v>133610100071430</v>
          </cell>
          <cell r="AJ760" t="str">
            <v>UBIN0813362</v>
          </cell>
          <cell r="AK760" t="str">
            <v>AZWPH6448J</v>
          </cell>
          <cell r="AL760">
            <v>764509031793</v>
          </cell>
          <cell r="AM760" t="str">
            <v>Syed Khaleel Hashmi</v>
          </cell>
          <cell r="AN760">
            <v>45500</v>
          </cell>
          <cell r="AO760">
            <v>45502</v>
          </cell>
          <cell r="AP760" t="str">
            <v>Accident</v>
          </cell>
          <cell r="AQ760" t="str">
            <v>2-7-628, Mukurampura, Karimnagar, Telangana-505001.</v>
          </cell>
          <cell r="AS760" t="str">
            <v>2-7-628, Mukurampura, Karimnagar, Telangana-505001.</v>
          </cell>
          <cell r="AW760">
            <v>36847</v>
          </cell>
          <cell r="AX760" t="str">
            <v>Male</v>
          </cell>
          <cell r="AY760" t="str">
            <v>Part Time</v>
          </cell>
          <cell r="AZ760">
            <v>1</v>
          </cell>
          <cell r="BA760" t="str">
            <v>Himayathnagar Cluster</v>
          </cell>
        </row>
        <row r="761">
          <cell r="M761" t="str">
            <v>NR Pet 1-Krnl - 80</v>
          </cell>
          <cell r="N761" t="str">
            <v>Basic USG, Xray</v>
          </cell>
          <cell r="O761" t="str">
            <v>Radiology</v>
          </cell>
          <cell r="P761" t="str">
            <v>Consultant Radiologist</v>
          </cell>
          <cell r="Q761" t="str">
            <v>Dr. Krishna Mohan Pottala</v>
          </cell>
          <cell r="R761">
            <v>44777</v>
          </cell>
          <cell r="S761">
            <v>44777</v>
          </cell>
          <cell r="T761">
            <v>45507</v>
          </cell>
          <cell r="U761">
            <v>45508</v>
          </cell>
          <cell r="V761">
            <v>2012</v>
          </cell>
          <cell r="W761" t="str">
            <v>KURNOOL MEDICAL COLLEGE</v>
          </cell>
          <cell r="X761">
            <v>2020</v>
          </cell>
          <cell r="Y761" t="str">
            <v>KURNOOL MEDICAL COLLEGE</v>
          </cell>
          <cell r="Z761" t="str">
            <v>NA</v>
          </cell>
          <cell r="AA761" t="str">
            <v>MBBS, MD</v>
          </cell>
          <cell r="AB761" t="str">
            <v>APMC/FMR/81880</v>
          </cell>
          <cell r="AC761" t="str">
            <v>Andhra Pradesh Medical Council</v>
          </cell>
          <cell r="AD761">
            <v>44118</v>
          </cell>
          <cell r="AE761">
            <v>45943</v>
          </cell>
          <cell r="AF761">
            <v>8978492182</v>
          </cell>
          <cell r="AG761" t="str">
            <v>arekal.j@gmail.com</v>
          </cell>
          <cell r="AH761" t="str">
            <v>Andhra Bank</v>
          </cell>
          <cell r="AI761" t="str">
            <v>137910100034730</v>
          </cell>
          <cell r="AJ761" t="str">
            <v xml:space="preserve">UBIN0813796
</v>
          </cell>
          <cell r="AK761" t="str">
            <v>AUZPJ4293P</v>
          </cell>
          <cell r="AL761">
            <v>221636668714</v>
          </cell>
          <cell r="AM761" t="str">
            <v>Linganna</v>
          </cell>
          <cell r="AN761">
            <v>45203</v>
          </cell>
          <cell r="AO761" t="str">
            <v>NA</v>
          </cell>
          <cell r="AW761">
            <v>32635</v>
          </cell>
          <cell r="AX761" t="str">
            <v>Female</v>
          </cell>
          <cell r="AY761" t="str">
            <v>Part Time</v>
          </cell>
          <cell r="AZ761">
            <v>3</v>
          </cell>
          <cell r="BA761" t="str">
            <v>Kurnool Cluster</v>
          </cell>
        </row>
        <row r="762">
          <cell r="M762" t="str">
            <v>Kphb-Malaysian - 77</v>
          </cell>
          <cell r="N762" t="str">
            <v>Basic USG, Tiffa, Guided Procedures, Basic CT, Basic MRI, X-Ray, Mammography,  IVP, RGU, MCGU, Barium Swallow, Barium Enema, HSG</v>
          </cell>
          <cell r="O762" t="str">
            <v>Radiology</v>
          </cell>
          <cell r="P762" t="str">
            <v>Consultant Radiologist</v>
          </cell>
          <cell r="Q762" t="str">
            <v>Dr. Krishna Mohan Pottala</v>
          </cell>
          <cell r="R762">
            <v>44784</v>
          </cell>
          <cell r="S762">
            <v>44784</v>
          </cell>
          <cell r="T762">
            <v>45514</v>
          </cell>
          <cell r="U762">
            <v>45515</v>
          </cell>
          <cell r="V762">
            <v>2014</v>
          </cell>
          <cell r="W762" t="str">
            <v>Kamineni Institute of Medical Sciences, Narketpally- 2016</v>
          </cell>
          <cell r="X762">
            <v>2022</v>
          </cell>
          <cell r="Y762" t="str">
            <v>Sri Siddhartha Medical College, Tumkur, Karnataka - 2022</v>
          </cell>
          <cell r="Z762" t="str">
            <v>NA</v>
          </cell>
          <cell r="AA762" t="str">
            <v>MBBS, MD</v>
          </cell>
          <cell r="AB762" t="str">
            <v>TSMC/FMR/01279</v>
          </cell>
          <cell r="AC762" t="str">
            <v>Telangana State Medical Council</v>
          </cell>
          <cell r="AD762">
            <v>44770</v>
          </cell>
          <cell r="AE762">
            <v>46595</v>
          </cell>
          <cell r="AF762">
            <v>9550334516</v>
          </cell>
          <cell r="AG762" t="str">
            <v>dr.roshikamaddeti@gmail.com</v>
          </cell>
          <cell r="AK762" t="str">
            <v>CBOPM7692G</v>
          </cell>
          <cell r="AL762">
            <v>793674364360</v>
          </cell>
          <cell r="AM762" t="str">
            <v>Maddeti Roshika Yadav</v>
          </cell>
          <cell r="AN762" t="str">
            <v>NA</v>
          </cell>
          <cell r="AO762" t="str">
            <v>NA</v>
          </cell>
          <cell r="AW762">
            <v>33369</v>
          </cell>
          <cell r="AX762" t="str">
            <v>Female</v>
          </cell>
          <cell r="AY762" t="str">
            <v>Part Time</v>
          </cell>
          <cell r="AZ762">
            <v>6</v>
          </cell>
          <cell r="BA762" t="str">
            <v>Kukatpally Cluster</v>
          </cell>
        </row>
        <row r="763">
          <cell r="M763" t="str">
            <v>Gurgaon - 54</v>
          </cell>
          <cell r="N763" t="str">
            <v>N/A</v>
          </cell>
          <cell r="O763" t="str">
            <v>Microbiology</v>
          </cell>
          <cell r="P763" t="str">
            <v>Consultant Microbiologist</v>
          </cell>
          <cell r="Q763" t="str">
            <v>Dr P T S Shashikant</v>
          </cell>
          <cell r="R763">
            <v>45215</v>
          </cell>
          <cell r="S763">
            <v>45215</v>
          </cell>
          <cell r="T763">
            <v>45945</v>
          </cell>
          <cell r="U763">
            <v>45946</v>
          </cell>
          <cell r="V763">
            <v>2013</v>
          </cell>
          <cell r="W763" t="str">
            <v>Bharati Vidyapeeth Deemed University</v>
          </cell>
          <cell r="X763">
            <v>2018</v>
          </cell>
          <cell r="Y763" t="str">
            <v>SAIMS &amp; PGI</v>
          </cell>
          <cell r="Z763" t="str">
            <v>NA</v>
          </cell>
          <cell r="AA763" t="str">
            <v>MBBS,MD</v>
          </cell>
          <cell r="AB763">
            <v>86325</v>
          </cell>
          <cell r="AC763" t="str">
            <v>Delhi Medical Council</v>
          </cell>
          <cell r="AD763">
            <v>45194</v>
          </cell>
          <cell r="AE763">
            <v>47020</v>
          </cell>
          <cell r="AF763">
            <v>8978745545</v>
          </cell>
          <cell r="AG763" t="str">
            <v>draparna29@gmail.com</v>
          </cell>
          <cell r="AH763" t="str">
            <v>Kotak Mahindra Bank</v>
          </cell>
          <cell r="AI763" t="str">
            <v>2713805576</v>
          </cell>
          <cell r="AJ763" t="str">
            <v>KKBK0000287</v>
          </cell>
          <cell r="AK763" t="str">
            <v>CUHPP6712K</v>
          </cell>
          <cell r="AL763">
            <v>868509258318</v>
          </cell>
          <cell r="AN763">
            <v>45504</v>
          </cell>
          <cell r="AO763">
            <v>45510</v>
          </cell>
          <cell r="AP763" t="str">
            <v>Personal Reasons</v>
          </cell>
          <cell r="AQ763" t="str">
            <v>Tower 14, Flat 1201, Emaar Gurgaon Greens, Dwarka Expressway, Dhankot Village, Sector 102, Gurgaon, Haryana - 122505</v>
          </cell>
          <cell r="AS763" t="str">
            <v>Tower 14, Flat 1201, Emaar Gurgaon Greens, Dwarka Expressway, Dhankot Village, Sector 102, Gurgaon, Haryana - 122505</v>
          </cell>
          <cell r="AU763">
            <v>0.75</v>
          </cell>
          <cell r="AV763">
            <v>0.83333333333333337</v>
          </cell>
          <cell r="AW763">
            <v>32417</v>
          </cell>
          <cell r="AX763" t="str">
            <v>Female</v>
          </cell>
          <cell r="AY763" t="str">
            <v>Part Time</v>
          </cell>
          <cell r="AZ763">
            <v>2</v>
          </cell>
          <cell r="BA763" t="str">
            <v>Haryana Cluster</v>
          </cell>
        </row>
        <row r="764">
          <cell r="M764" t="str">
            <v>LBNagar - 87</v>
          </cell>
          <cell r="N764" t="str">
            <v>Physician Services</v>
          </cell>
          <cell r="O764" t="str">
            <v>Physician Services</v>
          </cell>
          <cell r="P764" t="str">
            <v>Consultant Physician</v>
          </cell>
          <cell r="R764">
            <v>44784</v>
          </cell>
          <cell r="S764">
            <v>44784</v>
          </cell>
          <cell r="T764">
            <v>45514</v>
          </cell>
          <cell r="U764">
            <v>45515</v>
          </cell>
          <cell r="V764">
            <v>2021</v>
          </cell>
          <cell r="W764" t="str">
            <v>Zaporozhye State Medical University, Ukraine</v>
          </cell>
          <cell r="Y764" t="str">
            <v>NA</v>
          </cell>
          <cell r="Z764" t="str">
            <v>NA</v>
          </cell>
          <cell r="AA764" t="str">
            <v>NA</v>
          </cell>
          <cell r="AB764" t="str">
            <v>TSMC/FMR/16007</v>
          </cell>
          <cell r="AC764" t="str">
            <v>Telangana State Medical Council</v>
          </cell>
          <cell r="AD764">
            <v>44308</v>
          </cell>
          <cell r="AE764">
            <v>46134</v>
          </cell>
          <cell r="AF764">
            <v>7386369553</v>
          </cell>
          <cell r="AG764" t="str">
            <v>sweetvallepu@gmail.com</v>
          </cell>
          <cell r="AH764" t="str">
            <v>State Bank of India</v>
          </cell>
          <cell r="AI764">
            <v>33876224351</v>
          </cell>
          <cell r="AJ764" t="str">
            <v>SBIN0011984</v>
          </cell>
          <cell r="AK764" t="str">
            <v>ATEPV0831F</v>
          </cell>
          <cell r="AL764">
            <v>289158442193</v>
          </cell>
          <cell r="AM764" t="str">
            <v>Vallepu Anjaneyulu</v>
          </cell>
          <cell r="AN764">
            <v>44819</v>
          </cell>
          <cell r="AO764" t="str">
            <v>NA</v>
          </cell>
          <cell r="AW764">
            <v>34937</v>
          </cell>
          <cell r="AX764" t="str">
            <v>Female</v>
          </cell>
          <cell r="AY764" t="str">
            <v>Part Time</v>
          </cell>
          <cell r="AZ764">
            <v>1</v>
          </cell>
          <cell r="BA764" t="str">
            <v>Dilshuknagar Cluster</v>
          </cell>
        </row>
        <row r="765">
          <cell r="M765" t="str">
            <v>BN Reddy Nagar- 110</v>
          </cell>
          <cell r="N765" t="str">
            <v>Physician Services</v>
          </cell>
          <cell r="O765" t="str">
            <v>Physician Services</v>
          </cell>
          <cell r="P765" t="str">
            <v>Consultant Physician</v>
          </cell>
          <cell r="Q765" t="str">
            <v>Ms. Suprita Reddy</v>
          </cell>
          <cell r="R765">
            <v>44786</v>
          </cell>
          <cell r="S765">
            <v>44786</v>
          </cell>
          <cell r="T765">
            <v>45516</v>
          </cell>
          <cell r="U765">
            <v>45515</v>
          </cell>
          <cell r="V765">
            <v>2020</v>
          </cell>
          <cell r="W765" t="str">
            <v>Bharath vidyapeeth deemed University and medical college</v>
          </cell>
          <cell r="Z765" t="str">
            <v>NA</v>
          </cell>
          <cell r="AA765" t="str">
            <v>NA</v>
          </cell>
          <cell r="AB765" t="str">
            <v>TSMC/FMR/20415</v>
          </cell>
          <cell r="AC765" t="str">
            <v>Telangana State Medical Council</v>
          </cell>
          <cell r="AD765">
            <v>44737</v>
          </cell>
          <cell r="AE765">
            <v>45467</v>
          </cell>
          <cell r="AF765">
            <v>7799090050</v>
          </cell>
          <cell r="AG765" t="str">
            <v xml:space="preserve"> anil.kamisetty5868@gmail.com</v>
          </cell>
          <cell r="AH765" t="str">
            <v>State Bank of India</v>
          </cell>
          <cell r="AI765">
            <v>33017438146</v>
          </cell>
          <cell r="AJ765" t="str">
            <v>SBIN0006648</v>
          </cell>
          <cell r="AK765" t="str">
            <v>BZWPA9053P</v>
          </cell>
          <cell r="AL765">
            <v>860641654677</v>
          </cell>
          <cell r="AM765" t="str">
            <v>Kamisetty Srinivasulu</v>
          </cell>
          <cell r="AN765" t="str">
            <v>NA</v>
          </cell>
          <cell r="AO765" t="str">
            <v>NA</v>
          </cell>
          <cell r="AW765">
            <v>34496</v>
          </cell>
          <cell r="AX765" t="str">
            <v>Male</v>
          </cell>
          <cell r="AY765" t="str">
            <v>Part Time</v>
          </cell>
          <cell r="AZ765">
            <v>1</v>
          </cell>
          <cell r="BA765" t="str">
            <v>Dilshuknagar Cluster</v>
          </cell>
        </row>
        <row r="766">
          <cell r="M766" t="str">
            <v>Malkajgiri-134</v>
          </cell>
          <cell r="N766" t="str">
            <v>Basic USG, Tiffa, MSK, Guided Procedures, Basic CT, X-Ray, Mammography,  IVP, RGU, MCGU, Barium Swallow, Barium Enema, HSG</v>
          </cell>
          <cell r="O766" t="str">
            <v>Radiology</v>
          </cell>
          <cell r="P766" t="str">
            <v>Consultant Radiologist</v>
          </cell>
          <cell r="Q766" t="str">
            <v>Dr. L T Kishore</v>
          </cell>
          <cell r="R766">
            <v>44795</v>
          </cell>
          <cell r="S766">
            <v>44795</v>
          </cell>
          <cell r="T766">
            <v>45525</v>
          </cell>
          <cell r="U766">
            <v>45526</v>
          </cell>
          <cell r="V766">
            <v>2017</v>
          </cell>
          <cell r="W766" t="str">
            <v>Kakatiya Medical College, MGM Hospital, Warangal</v>
          </cell>
          <cell r="X766">
            <v>2022</v>
          </cell>
          <cell r="Y766" t="str">
            <v>Mamatha Medical College, Khammam</v>
          </cell>
          <cell r="Z766" t="str">
            <v>NA</v>
          </cell>
          <cell r="AA766" t="str">
            <v>NA</v>
          </cell>
          <cell r="AB766" t="str">
            <v>TSMC/FMR/04406</v>
          </cell>
          <cell r="AC766" t="str">
            <v>Telangana State Medical Council</v>
          </cell>
          <cell r="AD766">
            <v>43021</v>
          </cell>
          <cell r="AE766">
            <v>44847</v>
          </cell>
          <cell r="AF766">
            <v>8367310728</v>
          </cell>
          <cell r="AG766" t="str">
            <v>shalinie580@gmail.com</v>
          </cell>
          <cell r="AH766" t="str">
            <v xml:space="preserve">DCB Bank </v>
          </cell>
          <cell r="AI766" t="str">
            <v>05111500008105</v>
          </cell>
          <cell r="AJ766" t="str">
            <v>DCBL0000051</v>
          </cell>
          <cell r="AK766" t="str">
            <v>AECPE4646J</v>
          </cell>
          <cell r="AL766">
            <v>518994650180</v>
          </cell>
          <cell r="AM766" t="str">
            <v>Shankar Ega</v>
          </cell>
          <cell r="AN766">
            <v>44883</v>
          </cell>
          <cell r="AO766">
            <v>44823</v>
          </cell>
          <cell r="AW766">
            <v>33319</v>
          </cell>
          <cell r="AX766" t="str">
            <v>Female</v>
          </cell>
          <cell r="AY766" t="str">
            <v>Part Time</v>
          </cell>
          <cell r="AZ766">
            <v>5</v>
          </cell>
          <cell r="BA766" t="str">
            <v>A.S. Rao Nagar Cluster</v>
          </cell>
        </row>
        <row r="767">
          <cell r="M767" t="str">
            <v>Vanasthalipuram - 33</v>
          </cell>
          <cell r="N767" t="str">
            <v>Physician Services</v>
          </cell>
          <cell r="O767" t="str">
            <v>Physician Services</v>
          </cell>
          <cell r="P767" t="str">
            <v>Consultant Physician</v>
          </cell>
          <cell r="Q767" t="str">
            <v>Ms. Suprita Reddy</v>
          </cell>
          <cell r="R767">
            <v>44792</v>
          </cell>
          <cell r="S767">
            <v>44792</v>
          </cell>
          <cell r="T767">
            <v>45522</v>
          </cell>
          <cell r="U767">
            <v>45523</v>
          </cell>
          <cell r="V767">
            <v>2020</v>
          </cell>
          <cell r="W767" t="str">
            <v>Bharath Vidyapeeth Deemed University and Medical College</v>
          </cell>
          <cell r="Z767" t="str">
            <v>NA</v>
          </cell>
          <cell r="AA767" t="str">
            <v>NA</v>
          </cell>
          <cell r="AB767" t="str">
            <v>TSMC/FMR/20415</v>
          </cell>
          <cell r="AC767" t="str">
            <v>Telangana State Medical Council</v>
          </cell>
          <cell r="AD767">
            <v>44737</v>
          </cell>
          <cell r="AE767">
            <v>45467</v>
          </cell>
          <cell r="AF767">
            <v>7799090050</v>
          </cell>
          <cell r="AG767" t="str">
            <v xml:space="preserve"> anil.kamisetty5868@gmail.com</v>
          </cell>
          <cell r="AH767" t="str">
            <v>State Bank of India</v>
          </cell>
          <cell r="AI767">
            <v>33017438146</v>
          </cell>
          <cell r="AJ767" t="str">
            <v>SBIN0006648</v>
          </cell>
          <cell r="AK767" t="str">
            <v>BZWPA9053P</v>
          </cell>
          <cell r="AL767">
            <v>860641654677</v>
          </cell>
          <cell r="AM767" t="str">
            <v>Kamisetty Srinivasulu</v>
          </cell>
          <cell r="AN767" t="str">
            <v>NA</v>
          </cell>
          <cell r="AO767" t="str">
            <v>NA</v>
          </cell>
          <cell r="AW767">
            <v>34496</v>
          </cell>
          <cell r="AX767" t="str">
            <v>Male</v>
          </cell>
          <cell r="AY767" t="str">
            <v>Part Time</v>
          </cell>
          <cell r="AZ767">
            <v>1</v>
          </cell>
          <cell r="BA767" t="str">
            <v>Dilshuknagar Cluster</v>
          </cell>
        </row>
        <row r="768">
          <cell r="M768" t="str">
            <v>Sec II S D Road - 13</v>
          </cell>
          <cell r="N768" t="str">
            <v>Physician Services</v>
          </cell>
          <cell r="O768" t="str">
            <v>Physician Services</v>
          </cell>
          <cell r="P768" t="str">
            <v>Consultant Physician</v>
          </cell>
          <cell r="Q768" t="str">
            <v>Ms. Suprita Reddy</v>
          </cell>
          <cell r="R768">
            <v>44798</v>
          </cell>
          <cell r="S768">
            <v>44798</v>
          </cell>
          <cell r="T768">
            <v>45528</v>
          </cell>
          <cell r="U768">
            <v>45527</v>
          </cell>
          <cell r="V768">
            <v>2020</v>
          </cell>
          <cell r="W768" t="str">
            <v>Bhaskar Medical College, Yenkapally</v>
          </cell>
          <cell r="Z768" t="str">
            <v>NA</v>
          </cell>
          <cell r="AA768" t="str">
            <v>NA</v>
          </cell>
          <cell r="AB768" t="str">
            <v>TSMC/FMR/11673</v>
          </cell>
          <cell r="AC768" t="str">
            <v>Telangana State Medical Council</v>
          </cell>
          <cell r="AD768">
            <v>43872</v>
          </cell>
          <cell r="AE768">
            <v>45699</v>
          </cell>
          <cell r="AF768">
            <v>9849973366</v>
          </cell>
          <cell r="AG768" t="str">
            <v>exploreall94@gmail.com</v>
          </cell>
          <cell r="AH768" t="str">
            <v>UNION BANK</v>
          </cell>
          <cell r="AI768" t="str">
            <v>007610100049592</v>
          </cell>
          <cell r="AJ768" t="str">
            <v>UBIN0800767</v>
          </cell>
          <cell r="AK768" t="str">
            <v>EFAPP3398B</v>
          </cell>
          <cell r="AL768">
            <v>41166651563</v>
          </cell>
          <cell r="AM768" t="str">
            <v>Pattapotri Naveen</v>
          </cell>
          <cell r="AN768" t="str">
            <v>NA</v>
          </cell>
          <cell r="AO768" t="str">
            <v>NA</v>
          </cell>
          <cell r="AW768">
            <v>34512</v>
          </cell>
          <cell r="AX768" t="str">
            <v>Female</v>
          </cell>
          <cell r="AY768" t="str">
            <v>Part Time</v>
          </cell>
          <cell r="AZ768">
            <v>2</v>
          </cell>
          <cell r="BA768" t="str">
            <v>Secunderabad Cluster</v>
          </cell>
        </row>
        <row r="769">
          <cell r="M769" t="str">
            <v>Vijayanagar - 51</v>
          </cell>
          <cell r="N769" t="str">
            <v>Physician Services</v>
          </cell>
          <cell r="O769" t="str">
            <v>Physician Services</v>
          </cell>
          <cell r="P769" t="str">
            <v>Consultant Physician</v>
          </cell>
          <cell r="Q769" t="str">
            <v>Ms. Suprita Reddy</v>
          </cell>
          <cell r="R769">
            <v>44806</v>
          </cell>
          <cell r="S769">
            <v>44806</v>
          </cell>
          <cell r="T769">
            <v>45536</v>
          </cell>
          <cell r="U769">
            <v>45537</v>
          </cell>
          <cell r="V769">
            <v>2019</v>
          </cell>
          <cell r="W769" t="str">
            <v>Dr VRK Womens Medical College and Hospital, Aziznagar</v>
          </cell>
          <cell r="X769" t="str">
            <v>NA</v>
          </cell>
          <cell r="Y769" t="str">
            <v>NA</v>
          </cell>
          <cell r="Z769" t="str">
            <v>NA</v>
          </cell>
          <cell r="AA769" t="str">
            <v>NA</v>
          </cell>
          <cell r="AB769" t="str">
            <v>TSMC/FMR/09930</v>
          </cell>
          <cell r="AC769" t="str">
            <v>Telangana State Medical Council</v>
          </cell>
          <cell r="AD769">
            <v>43755</v>
          </cell>
          <cell r="AE769">
            <v>45582</v>
          </cell>
          <cell r="AF769">
            <v>9676877672</v>
          </cell>
          <cell r="AG769" t="str">
            <v>shaikkhuteja@gmail.com</v>
          </cell>
          <cell r="AH769" t="str">
            <v>State bank india</v>
          </cell>
          <cell r="AI769">
            <v>31266823895</v>
          </cell>
          <cell r="AJ769" t="str">
            <v>SBIN0008026</v>
          </cell>
          <cell r="AK769" t="str">
            <v>KZYPS4671A</v>
          </cell>
          <cell r="AL769">
            <v>299581027429</v>
          </cell>
          <cell r="AM769" t="str">
            <v>Sk Dawood Ali</v>
          </cell>
          <cell r="AW769">
            <v>34998</v>
          </cell>
          <cell r="AX769" t="str">
            <v>Female</v>
          </cell>
          <cell r="AY769" t="str">
            <v>Part Time</v>
          </cell>
          <cell r="AZ769">
            <v>1</v>
          </cell>
          <cell r="BA769" t="str">
            <v>Himayathnagar Cluster</v>
          </cell>
        </row>
        <row r="770">
          <cell r="M770" t="str">
            <v>Madinaguda - 112</v>
          </cell>
          <cell r="N770" t="str">
            <v>Basic USG, Tiffa, Fetal Echo, MSK, Guided Procedures, Basic CT, All Angios except Coronary Angios, CT guided procedures, X-Ray, Mammography,  IVP, RGU, MCGU, Barium Swallow, Barium Enema, HSG</v>
          </cell>
          <cell r="O770" t="str">
            <v>Radiology</v>
          </cell>
          <cell r="P770" t="str">
            <v>Consultant Radiologist</v>
          </cell>
          <cell r="Q770" t="str">
            <v>Dr. Krishna Mohan Pottala</v>
          </cell>
          <cell r="R770">
            <v>44805</v>
          </cell>
          <cell r="S770">
            <v>44805</v>
          </cell>
          <cell r="T770">
            <v>45536</v>
          </cell>
          <cell r="U770">
            <v>45535</v>
          </cell>
          <cell r="V770">
            <v>2011</v>
          </cell>
          <cell r="W770" t="str">
            <v>Siddhartha Medical College, Tumkur, Karnantaka</v>
          </cell>
          <cell r="X770">
            <v>2015</v>
          </cell>
          <cell r="Y770" t="str">
            <v>Narayana Medical College, Nellore</v>
          </cell>
          <cell r="Z770" t="str">
            <v>NA</v>
          </cell>
          <cell r="AA770" t="str">
            <v>MBBS, MD</v>
          </cell>
          <cell r="AB770" t="str">
            <v>APMC/FMR/74337</v>
          </cell>
          <cell r="AC770" t="str">
            <v>Telangana State Medical Council</v>
          </cell>
          <cell r="AD770">
            <v>43297</v>
          </cell>
          <cell r="AE770">
            <v>45122</v>
          </cell>
          <cell r="AF770">
            <v>9505757517</v>
          </cell>
          <cell r="AG770" t="str">
            <v>vgrk@icloud.com</v>
          </cell>
          <cell r="AH770" t="str">
            <v>HDFC Bank</v>
          </cell>
          <cell r="AI770" t="str">
            <v>50100263419022</v>
          </cell>
          <cell r="AJ770" t="str">
            <v>HDFC0001228</v>
          </cell>
          <cell r="AK770" t="str">
            <v>ATUPK6850B</v>
          </cell>
          <cell r="AL770">
            <v>927072892482</v>
          </cell>
          <cell r="AM770" t="str">
            <v>Kodali Rama krishna</v>
          </cell>
          <cell r="AN770">
            <v>45077</v>
          </cell>
          <cell r="AW770">
            <v>32384</v>
          </cell>
          <cell r="AX770" t="str">
            <v>Male</v>
          </cell>
          <cell r="AY770" t="str">
            <v>Full Time</v>
          </cell>
          <cell r="AZ770">
            <v>8</v>
          </cell>
          <cell r="BA770" t="str">
            <v>Madhapur Cluster</v>
          </cell>
        </row>
        <row r="771">
          <cell r="M771" t="str">
            <v>Dilsukhnagar - 12</v>
          </cell>
          <cell r="N771" t="str">
            <v>Gamma Camera</v>
          </cell>
          <cell r="O771" t="str">
            <v>Nuclear Medicine</v>
          </cell>
          <cell r="P771" t="str">
            <v>Consultant Nuclear Medicine</v>
          </cell>
          <cell r="Q771" t="str">
            <v>Dr. Anuj Jain</v>
          </cell>
          <cell r="R771">
            <v>44805</v>
          </cell>
          <cell r="S771">
            <v>44805</v>
          </cell>
          <cell r="T771">
            <v>45535</v>
          </cell>
          <cell r="U771">
            <v>45536</v>
          </cell>
          <cell r="V771">
            <v>1978</v>
          </cell>
          <cell r="W771" t="str">
            <v>Guntur Medical College</v>
          </cell>
          <cell r="X771">
            <v>1984</v>
          </cell>
          <cell r="Y771" t="str">
            <v>MD BioPhysicis and Nuclear Medicine from AIIMS, New Drlhi</v>
          </cell>
          <cell r="Z771" t="str">
            <v>DNB Nuclear Medicine</v>
          </cell>
          <cell r="AF771">
            <v>9989650137</v>
          </cell>
          <cell r="AG771" t="str">
            <v>drchirala@gmail.com</v>
          </cell>
          <cell r="AX771" t="str">
            <v>Male</v>
          </cell>
          <cell r="AY771" t="str">
            <v>Part Time</v>
          </cell>
          <cell r="AZ771">
            <v>4</v>
          </cell>
          <cell r="BA771" t="str">
            <v>Dilshuknagar Cluster</v>
          </cell>
        </row>
        <row r="772">
          <cell r="M772" t="str">
            <v>Nallagandla - 84</v>
          </cell>
          <cell r="N772" t="str">
            <v>Basic USG, USG Guided procedures, Basic CT, All Angios, Guided procedures, X-Ray, Mammography, IVP, RGU, MCGU, Barium Swallow, Barium Enema, HSG</v>
          </cell>
          <cell r="O772" t="str">
            <v>Radiology</v>
          </cell>
          <cell r="P772" t="str">
            <v>Consultant Radiologist</v>
          </cell>
          <cell r="Q772" t="str">
            <v>Dr. Krishna Mohan Pottala</v>
          </cell>
          <cell r="R772">
            <v>44805</v>
          </cell>
          <cell r="S772">
            <v>44805</v>
          </cell>
          <cell r="T772">
            <v>45535</v>
          </cell>
          <cell r="U772">
            <v>45536</v>
          </cell>
          <cell r="V772">
            <v>1983</v>
          </cell>
          <cell r="W772" t="str">
            <v>Andhra Medical College, Vizag</v>
          </cell>
          <cell r="X772">
            <v>1989</v>
          </cell>
          <cell r="Y772" t="str">
            <v>Aligarh Muslim University</v>
          </cell>
          <cell r="Z772" t="str">
            <v>MD- Radiology - Rangaraya Medical College, Kakinada - 1993</v>
          </cell>
          <cell r="AA772" t="str">
            <v>MBBS, DMRD, MD</v>
          </cell>
          <cell r="AB772" t="str">
            <v>AMC16534</v>
          </cell>
          <cell r="AC772" t="str">
            <v>Telangana State Medical Council</v>
          </cell>
          <cell r="AD772">
            <v>44730</v>
          </cell>
          <cell r="AE772">
            <v>46555</v>
          </cell>
          <cell r="AF772">
            <v>8639010696</v>
          </cell>
          <cell r="AG772" t="str">
            <v>drsalimpasha@gmail.com</v>
          </cell>
          <cell r="AH772" t="str">
            <v>HDFC Bank</v>
          </cell>
          <cell r="AI772" t="str">
            <v>00502020001165</v>
          </cell>
          <cell r="AJ772" t="str">
            <v>HDFC0004064</v>
          </cell>
          <cell r="AK772" t="str">
            <v>AGSPM6034E</v>
          </cell>
          <cell r="AL772">
            <v>883059294639</v>
          </cell>
          <cell r="AM772" t="str">
            <v>Jilani Mohammed</v>
          </cell>
          <cell r="AW772">
            <v>21894</v>
          </cell>
          <cell r="AX772" t="str">
            <v>Male</v>
          </cell>
          <cell r="AY772" t="str">
            <v>Part Time</v>
          </cell>
          <cell r="AZ772">
            <v>4</v>
          </cell>
          <cell r="BA772" t="str">
            <v>Madhapur Cluster</v>
          </cell>
        </row>
        <row r="773">
          <cell r="M773" t="str">
            <v>Karmanghat - 68</v>
          </cell>
          <cell r="N773" t="str">
            <v>Physician Services</v>
          </cell>
          <cell r="O773" t="str">
            <v>Physician Services</v>
          </cell>
          <cell r="P773" t="str">
            <v>Consultant Physician</v>
          </cell>
          <cell r="Q773" t="str">
            <v>Ms. Suprita Reddy</v>
          </cell>
          <cell r="R773">
            <v>44805</v>
          </cell>
          <cell r="S773">
            <v>44805</v>
          </cell>
          <cell r="T773">
            <v>45535</v>
          </cell>
          <cell r="U773">
            <v>45536</v>
          </cell>
          <cell r="V773">
            <v>2022</v>
          </cell>
          <cell r="W773" t="str">
            <v>Mediciti Institute of Medical Sciences, Ghanpur</v>
          </cell>
          <cell r="X773" t="str">
            <v>NA</v>
          </cell>
          <cell r="Y773" t="str">
            <v>NA</v>
          </cell>
          <cell r="Z773" t="str">
            <v>NA</v>
          </cell>
          <cell r="AA773" t="str">
            <v xml:space="preserve">MBBS </v>
          </cell>
          <cell r="AB773" t="str">
            <v xml:space="preserve">TSMC/FMR/21333 </v>
          </cell>
          <cell r="AC773" t="str">
            <v>Telangana State Medical Council</v>
          </cell>
          <cell r="AD773">
            <v>44799</v>
          </cell>
          <cell r="AE773">
            <v>46624</v>
          </cell>
          <cell r="AF773">
            <v>8074294054</v>
          </cell>
          <cell r="AG773" t="str">
            <v>vandanathummala98@gmail.com</v>
          </cell>
          <cell r="AH773" t="str">
            <v>State bank india</v>
          </cell>
          <cell r="AI773">
            <v>20337774531</v>
          </cell>
          <cell r="AJ773" t="str">
            <v>SBIN0004347</v>
          </cell>
          <cell r="AK773" t="str">
            <v>CESPT7789B</v>
          </cell>
          <cell r="AL773">
            <v>247089392940</v>
          </cell>
          <cell r="AM773" t="str">
            <v>Sanjeev Kumar</v>
          </cell>
          <cell r="AW773">
            <v>35956</v>
          </cell>
          <cell r="AX773" t="str">
            <v>Female</v>
          </cell>
          <cell r="AY773" t="str">
            <v>Part Time</v>
          </cell>
          <cell r="AZ773">
            <v>1</v>
          </cell>
          <cell r="BA773" t="str">
            <v>Santosh Nagar Cluster</v>
          </cell>
        </row>
        <row r="774">
          <cell r="M774" t="str">
            <v>Madinaguda - 112</v>
          </cell>
          <cell r="N774" t="str">
            <v>Physician Services</v>
          </cell>
          <cell r="O774" t="str">
            <v>Physician Services</v>
          </cell>
          <cell r="P774" t="str">
            <v>Consultant Physician</v>
          </cell>
          <cell r="Q774" t="str">
            <v>Ms. Suprita Reddy</v>
          </cell>
          <cell r="R774">
            <v>44805</v>
          </cell>
          <cell r="S774">
            <v>44805</v>
          </cell>
          <cell r="T774">
            <v>45535</v>
          </cell>
          <cell r="U774">
            <v>45536</v>
          </cell>
          <cell r="V774">
            <v>2018</v>
          </cell>
          <cell r="W774" t="str">
            <v>Zaporizhzhya State Medical University, China</v>
          </cell>
          <cell r="X774" t="str">
            <v>NA</v>
          </cell>
          <cell r="Y774" t="str">
            <v>NA</v>
          </cell>
          <cell r="Z774" t="str">
            <v>NA</v>
          </cell>
          <cell r="AA774" t="str">
            <v>NA</v>
          </cell>
          <cell r="AB774" t="str">
            <v>TSMC/FMR/16260</v>
          </cell>
          <cell r="AC774" t="str">
            <v>Telangana State Medical Council</v>
          </cell>
          <cell r="AD774">
            <v>44356</v>
          </cell>
          <cell r="AE774">
            <v>45817</v>
          </cell>
          <cell r="AF774">
            <v>8297602319</v>
          </cell>
          <cell r="AG774" t="str">
            <v>vani.naidus16@gmail.com</v>
          </cell>
          <cell r="AH774" t="str">
            <v>Union bank of india</v>
          </cell>
          <cell r="AI774" t="str">
            <v>052210100105339</v>
          </cell>
          <cell r="AJ774" t="str">
            <v>UBIN08O5220</v>
          </cell>
          <cell r="AK774" t="str">
            <v>AROPV7792H</v>
          </cell>
          <cell r="AL774">
            <v>728516517007</v>
          </cell>
          <cell r="AM774" t="str">
            <v>Yedukondalu velakkayala</v>
          </cell>
          <cell r="AW774">
            <v>34562</v>
          </cell>
          <cell r="AX774" t="str">
            <v>Female</v>
          </cell>
          <cell r="AY774" t="str">
            <v>Part Time</v>
          </cell>
          <cell r="AZ774">
            <v>1</v>
          </cell>
          <cell r="BA774" t="str">
            <v>Madhapur Cluster</v>
          </cell>
        </row>
        <row r="775">
          <cell r="M775" t="str">
            <v>Nallakunta - 67</v>
          </cell>
          <cell r="N775" t="str">
            <v>Physician Services</v>
          </cell>
          <cell r="O775" t="str">
            <v>Physician Services</v>
          </cell>
          <cell r="P775" t="str">
            <v>Consultant Physician</v>
          </cell>
          <cell r="Q775" t="str">
            <v>Ms. Suprita Reddy</v>
          </cell>
          <cell r="R775">
            <v>44805</v>
          </cell>
          <cell r="S775">
            <v>44805</v>
          </cell>
          <cell r="T775">
            <v>45535</v>
          </cell>
          <cell r="U775">
            <v>45536</v>
          </cell>
          <cell r="V775">
            <v>2015</v>
          </cell>
          <cell r="W775" t="str">
            <v>Gandhi Medical College, Secunderabad</v>
          </cell>
          <cell r="X775" t="str">
            <v>NA</v>
          </cell>
          <cell r="Y775" t="str">
            <v>NA</v>
          </cell>
          <cell r="Z775" t="str">
            <v>NA</v>
          </cell>
          <cell r="AA775" t="str">
            <v>MBBS</v>
          </cell>
          <cell r="AB775" t="str">
            <v>TSMC/FMR/00868</v>
          </cell>
          <cell r="AC775" t="str">
            <v>Telangana State Medical Council</v>
          </cell>
          <cell r="AD775">
            <v>44397</v>
          </cell>
          <cell r="AE775">
            <v>46222</v>
          </cell>
          <cell r="AF775">
            <v>9652438180</v>
          </cell>
          <cell r="AG775" t="str">
            <v>dr.shalini868@gmail.com</v>
          </cell>
          <cell r="AH775" t="str">
            <v>HDFC Bank</v>
          </cell>
          <cell r="AI775" t="str">
            <v>50100266468584</v>
          </cell>
          <cell r="AJ775" t="str">
            <v>HDFC0000045</v>
          </cell>
          <cell r="AK775" t="str">
            <v>CIOPM8505L</v>
          </cell>
          <cell r="AL775">
            <v>517245385463</v>
          </cell>
          <cell r="AM775" t="str">
            <v>Mandamula Nivarthi Dev</v>
          </cell>
          <cell r="AN775">
            <v>45327</v>
          </cell>
          <cell r="AO775">
            <v>45327</v>
          </cell>
          <cell r="AU775">
            <v>0.33333333333333331</v>
          </cell>
          <cell r="AV775">
            <v>0.375</v>
          </cell>
          <cell r="AW775">
            <v>33845</v>
          </cell>
          <cell r="AX775" t="str">
            <v>Female</v>
          </cell>
          <cell r="AY775" t="str">
            <v>Part Time</v>
          </cell>
          <cell r="AZ775">
            <v>1</v>
          </cell>
          <cell r="BA775" t="str">
            <v>Himayathnagar Cluster</v>
          </cell>
        </row>
        <row r="776">
          <cell r="M776" t="str">
            <v>Balapur - 63</v>
          </cell>
          <cell r="N776" t="str">
            <v>Physician Services</v>
          </cell>
          <cell r="O776" t="str">
            <v>Physician Services</v>
          </cell>
          <cell r="P776" t="str">
            <v>Consultant Physician</v>
          </cell>
          <cell r="Q776" t="str">
            <v>Ms. Suprita Reddy</v>
          </cell>
          <cell r="R776">
            <v>44813</v>
          </cell>
          <cell r="S776">
            <v>44813</v>
          </cell>
          <cell r="T776">
            <v>45543</v>
          </cell>
          <cell r="U776">
            <v>45544</v>
          </cell>
          <cell r="V776">
            <v>2016</v>
          </cell>
          <cell r="W776" t="str">
            <v>Dr P.S.I. Medical College, Chinoutpalli </v>
          </cell>
          <cell r="X776" t="str">
            <v>NA</v>
          </cell>
          <cell r="Y776" t="str">
            <v>NA</v>
          </cell>
          <cell r="Z776" t="str">
            <v>NA</v>
          </cell>
          <cell r="AA776" t="str">
            <v>NA</v>
          </cell>
          <cell r="AB776" t="str">
            <v>TSMC/FMR/20613</v>
          </cell>
          <cell r="AC776" t="str">
            <v>Telangana State Medical Council</v>
          </cell>
          <cell r="AD776">
            <v>44758</v>
          </cell>
          <cell r="AE776">
            <v>46583</v>
          </cell>
          <cell r="AF776">
            <v>8106376772</v>
          </cell>
          <cell r="AG776" t="str">
            <v>snigdhalakka9@gmail.com</v>
          </cell>
          <cell r="AH776" t="str">
            <v>Union bank of india</v>
          </cell>
          <cell r="AI776" t="str">
            <v>151410100115062</v>
          </cell>
          <cell r="AJ776" t="str">
            <v>UBIN0815144</v>
          </cell>
          <cell r="AK776" t="str">
            <v>APNPL6883J</v>
          </cell>
          <cell r="AL776">
            <v>532228266952</v>
          </cell>
          <cell r="AM776" t="str">
            <v>Bhushanam</v>
          </cell>
          <cell r="AW776">
            <v>33350</v>
          </cell>
          <cell r="AX776" t="str">
            <v>Female</v>
          </cell>
          <cell r="AY776" t="str">
            <v>Part Time</v>
          </cell>
          <cell r="AZ776">
            <v>1</v>
          </cell>
          <cell r="BA776" t="str">
            <v>Santosh Nagar Cluster</v>
          </cell>
        </row>
        <row r="777">
          <cell r="M777" t="str">
            <v>Yousufguda - 42</v>
          </cell>
          <cell r="N777" t="str">
            <v>Basic USG, Tiffa, Fetal Echo, MSK, TRUS, Guided procedures,  X-Ray, Mammography, IVP, RGU, MCGU, Barium Swallow, Barium Enema, HSG</v>
          </cell>
          <cell r="O777" t="str">
            <v>Radiology</v>
          </cell>
          <cell r="P777" t="str">
            <v>Consultant Radiologist</v>
          </cell>
          <cell r="Q777" t="str">
            <v xml:space="preserve">Dr. L. T. Kishore </v>
          </cell>
          <cell r="V777">
            <v>2013</v>
          </cell>
          <cell r="W777" t="str">
            <v xml:space="preserve">Government Medical College, Miraj, Sangli, Maharashtra </v>
          </cell>
          <cell r="X777">
            <v>2020</v>
          </cell>
          <cell r="Y777" t="str">
            <v>Indira Gandhi Medical College and Hospital, Nagpur, Maharahtra</v>
          </cell>
          <cell r="Z777" t="str">
            <v>NA</v>
          </cell>
          <cell r="AA777" t="str">
            <v>NA</v>
          </cell>
          <cell r="AB777" t="str">
            <v>TSMC/FMR/21023</v>
          </cell>
          <cell r="AC777" t="str">
            <v>Telangana State Medical Council</v>
          </cell>
          <cell r="AD777">
            <v>44784</v>
          </cell>
          <cell r="AE777">
            <v>46609</v>
          </cell>
          <cell r="AF777" t="str">
            <v>7410063644, 9309478693</v>
          </cell>
          <cell r="AG777" t="str">
            <v>inmanadesana1184@gmail.com</v>
          </cell>
          <cell r="AH777" t="str">
            <v>Axis Bank</v>
          </cell>
          <cell r="AI777" t="str">
            <v>919010081424098</v>
          </cell>
          <cell r="AJ777" t="str">
            <v>UTIB0000048</v>
          </cell>
          <cell r="AK777" t="str">
            <v>ARIPT0967C</v>
          </cell>
          <cell r="AL777">
            <v>496521594312</v>
          </cell>
          <cell r="AM777" t="str">
            <v>Narayana Naganna Totawar</v>
          </cell>
          <cell r="AO777" t="str">
            <v>NA</v>
          </cell>
          <cell r="AW777">
            <v>32854</v>
          </cell>
          <cell r="AX777" t="str">
            <v>Male</v>
          </cell>
          <cell r="AY777" t="str">
            <v>Full Time</v>
          </cell>
          <cell r="AZ777">
            <v>4</v>
          </cell>
          <cell r="BA777" t="str">
            <v>Punjagutta Cluster</v>
          </cell>
        </row>
        <row r="778">
          <cell r="M778" t="str">
            <v>Pragathi Nagar-89</v>
          </cell>
          <cell r="N778" t="str">
            <v>Basic USG, Tiffa, Fetal Echo, MSK,  Guided procedures,  X-Ray, Mammography, HSG, Basic CT, Basic MRI</v>
          </cell>
          <cell r="O778" t="str">
            <v>Radiology</v>
          </cell>
          <cell r="P778" t="str">
            <v>Consultant Radiologist</v>
          </cell>
          <cell r="Q778" t="str">
            <v xml:space="preserve">Dr. L. T. Kishore </v>
          </cell>
          <cell r="R778">
            <v>44811</v>
          </cell>
          <cell r="S778">
            <v>44811</v>
          </cell>
          <cell r="T778">
            <v>45541</v>
          </cell>
          <cell r="U778">
            <v>45542</v>
          </cell>
          <cell r="V778">
            <v>2015</v>
          </cell>
          <cell r="W778" t="str">
            <v>Maharaja Institute of Medical Sciences, Vizianagaram</v>
          </cell>
          <cell r="X778">
            <v>2019</v>
          </cell>
          <cell r="Y778" t="str">
            <v>Maharaja Institute of Medical Sciences, Vizianagaram</v>
          </cell>
          <cell r="Z778" t="str">
            <v>NA</v>
          </cell>
          <cell r="AA778" t="str">
            <v>NA</v>
          </cell>
          <cell r="AB778" t="str">
            <v>APMC/FMR/86212</v>
          </cell>
          <cell r="AC778" t="str">
            <v>Telangana State Medical Council</v>
          </cell>
          <cell r="AD778">
            <v>44818</v>
          </cell>
          <cell r="AE778">
            <v>46643</v>
          </cell>
          <cell r="AF778">
            <v>8309633498</v>
          </cell>
          <cell r="AG778" t="str">
            <v>madhavileo9@gmail.com</v>
          </cell>
          <cell r="AH778" t="str">
            <v>Union bank of india</v>
          </cell>
          <cell r="AI778" t="str">
            <v>456202010728195</v>
          </cell>
          <cell r="AJ778" t="str">
            <v>UBIN0545627</v>
          </cell>
          <cell r="AK778" t="str">
            <v>AOWPC0515N</v>
          </cell>
          <cell r="AL778">
            <v>792699181443</v>
          </cell>
          <cell r="AM778" t="str">
            <v>Apparao Chitiboina</v>
          </cell>
          <cell r="AW778">
            <v>32729</v>
          </cell>
          <cell r="AX778" t="str">
            <v>Female</v>
          </cell>
          <cell r="AY778" t="str">
            <v>Part Time</v>
          </cell>
          <cell r="AZ778">
            <v>6</v>
          </cell>
          <cell r="BA778" t="str">
            <v>Kukatpally Cluster</v>
          </cell>
        </row>
        <row r="779">
          <cell r="M779" t="str">
            <v>Gachibowli-66</v>
          </cell>
          <cell r="N779" t="str">
            <v>N/A</v>
          </cell>
          <cell r="O779" t="str">
            <v>Physician Services</v>
          </cell>
          <cell r="P779" t="str">
            <v>Consultant Physician</v>
          </cell>
          <cell r="Q779" t="str">
            <v>N/A</v>
          </cell>
          <cell r="R779">
            <v>45327</v>
          </cell>
          <cell r="S779">
            <v>45327</v>
          </cell>
          <cell r="T779">
            <v>46057</v>
          </cell>
          <cell r="U779">
            <v>46058</v>
          </cell>
          <cell r="V779">
            <v>2020</v>
          </cell>
          <cell r="W779" t="str">
            <v>CEBU Doctors University College of Medicine</v>
          </cell>
          <cell r="X779" t="str">
            <v>NA</v>
          </cell>
          <cell r="Y779" t="str">
            <v>NA</v>
          </cell>
          <cell r="Z779" t="str">
            <v>NA</v>
          </cell>
          <cell r="AA779" t="str">
            <v>MBBS</v>
          </cell>
          <cell r="AB779" t="str">
            <v>TSMC/FMR/15620</v>
          </cell>
          <cell r="AC779" t="str">
            <v>Telangana State Medical Council</v>
          </cell>
          <cell r="AD779">
            <v>44246</v>
          </cell>
          <cell r="AE779">
            <v>46072</v>
          </cell>
          <cell r="AF779">
            <v>8885664433</v>
          </cell>
          <cell r="AG779" t="str">
            <v>swathikilari@yahoo.com</v>
          </cell>
          <cell r="AH779" t="str">
            <v>AXIS BANK</v>
          </cell>
          <cell r="AI779" t="str">
            <v>914010045789947</v>
          </cell>
          <cell r="AJ779" t="str">
            <v>UTIB0000193</v>
          </cell>
          <cell r="AK779" t="str">
            <v>ENXPK3103E</v>
          </cell>
          <cell r="AL779">
            <v>557319368450</v>
          </cell>
          <cell r="AN779">
            <v>45504</v>
          </cell>
          <cell r="AO779">
            <v>45463</v>
          </cell>
          <cell r="AP779" t="str">
            <v>Higher studies</v>
          </cell>
          <cell r="AQ779" t="str">
            <v>16-31-464/302, Phase 6, KPHB Colony, Kukatpally, Hyderabad, Telangana - 500072</v>
          </cell>
          <cell r="AS779" t="str">
            <v>16-31-464/302, Phase 6, KPHB Colony, Kukatpally, Hyderabad, Telangana - 500072</v>
          </cell>
          <cell r="AU779">
            <v>0.375</v>
          </cell>
          <cell r="AV779">
            <v>0.41666666666666669</v>
          </cell>
          <cell r="AW779">
            <v>35220</v>
          </cell>
          <cell r="AX779" t="str">
            <v>Female</v>
          </cell>
          <cell r="AY779" t="str">
            <v>Part Time</v>
          </cell>
          <cell r="AZ779">
            <v>1</v>
          </cell>
          <cell r="BA779" t="str">
            <v>Madhapur Cluster</v>
          </cell>
        </row>
        <row r="780">
          <cell r="M780" t="str">
            <v>Ameerpet - 14</v>
          </cell>
          <cell r="N780" t="str">
            <v>Physician Services</v>
          </cell>
          <cell r="O780" t="str">
            <v>Physician Services</v>
          </cell>
          <cell r="P780" t="str">
            <v>Consultant Physician</v>
          </cell>
          <cell r="Q780" t="str">
            <v>Ms. Suprita Reddy</v>
          </cell>
          <cell r="R780">
            <v>44817</v>
          </cell>
          <cell r="S780">
            <v>44817</v>
          </cell>
          <cell r="T780">
            <v>45547</v>
          </cell>
          <cell r="U780">
            <v>45548</v>
          </cell>
          <cell r="V780">
            <v>2020</v>
          </cell>
          <cell r="W780" t="str">
            <v>Bhaskar Medical College, Yenkapally</v>
          </cell>
          <cell r="X780" t="str">
            <v>NA</v>
          </cell>
          <cell r="Y780" t="str">
            <v>NA</v>
          </cell>
          <cell r="Z780" t="str">
            <v>NA</v>
          </cell>
          <cell r="AA780" t="str">
            <v>NA</v>
          </cell>
          <cell r="AB780" t="str">
            <v>TSMC/FMR/18489</v>
          </cell>
          <cell r="AC780" t="str">
            <v>Telangana State Medical Council</v>
          </cell>
          <cell r="AD780">
            <v>44523</v>
          </cell>
          <cell r="AE780">
            <v>46346</v>
          </cell>
          <cell r="AF780">
            <v>9390157714</v>
          </cell>
          <cell r="AG780" t="str">
            <v>drsindhuja0906@gmail.com</v>
          </cell>
          <cell r="AH780" t="str">
            <v>Canara Bank</v>
          </cell>
          <cell r="AI780" t="str">
            <v>30832200057453</v>
          </cell>
          <cell r="AJ780" t="str">
            <v>CNRB0013083</v>
          </cell>
          <cell r="AL780">
            <v>768943650992</v>
          </cell>
          <cell r="AM780" t="str">
            <v>Desu Vijay Kumar</v>
          </cell>
          <cell r="AW780" t="str">
            <v>096-feb-1997</v>
          </cell>
          <cell r="AX780" t="str">
            <v>Female</v>
          </cell>
          <cell r="AY780" t="str">
            <v>Part Time</v>
          </cell>
          <cell r="AZ780">
            <v>2</v>
          </cell>
          <cell r="BA780" t="str">
            <v>Himayathnagar Cluster</v>
          </cell>
        </row>
        <row r="781">
          <cell r="M781" t="str">
            <v>Kompally - 65</v>
          </cell>
          <cell r="N781" t="str">
            <v>Basic USG, Tiffa, Fetal Echo, MSK, Guided Procedures, Basic CT, All Angios, Basic MRI, X Ray, Plain Radiology, Mammography, IVP, RGU, MCGU, Barium Swallow, Barium Anema, HSG</v>
          </cell>
          <cell r="O781" t="str">
            <v>Radiology</v>
          </cell>
          <cell r="P781" t="str">
            <v>Consultant Radiologist</v>
          </cell>
          <cell r="Q781" t="str">
            <v>Dr. Krishna Mohan Pottala</v>
          </cell>
          <cell r="R781">
            <v>45139</v>
          </cell>
          <cell r="S781">
            <v>45139</v>
          </cell>
          <cell r="T781">
            <v>45869</v>
          </cell>
          <cell r="U781">
            <v>45870</v>
          </cell>
          <cell r="V781">
            <v>2010</v>
          </cell>
          <cell r="W781" t="str">
            <v>Luzhou Medical College</v>
          </cell>
          <cell r="X781">
            <v>2017</v>
          </cell>
          <cell r="Y781" t="str">
            <v>Chalmeda Anand Rao Institute of Medical Sciences</v>
          </cell>
          <cell r="Z781" t="str">
            <v>N/A</v>
          </cell>
          <cell r="AA781" t="str">
            <v>MBBS, MD</v>
          </cell>
          <cell r="AB781" t="str">
            <v>APMC/FMR/82466</v>
          </cell>
          <cell r="AC781" t="str">
            <v>Telangana State Medical Council</v>
          </cell>
          <cell r="AD781">
            <v>45267</v>
          </cell>
          <cell r="AE781">
            <v>47093</v>
          </cell>
          <cell r="AF781">
            <v>8790757456</v>
          </cell>
          <cell r="AG781" t="str">
            <v>swapnareddy.aalla@gmail.com</v>
          </cell>
          <cell r="AH781" t="str">
            <v>HDFC Bank</v>
          </cell>
          <cell r="AI781">
            <v>50100285724093</v>
          </cell>
          <cell r="AJ781" t="str">
            <v>HDFC0004343</v>
          </cell>
          <cell r="AK781" t="str">
            <v>AZTPA9122D</v>
          </cell>
          <cell r="AL781">
            <v>746901085077</v>
          </cell>
          <cell r="AN781">
            <v>45506</v>
          </cell>
          <cell r="AO781" t="str">
            <v>NA</v>
          </cell>
          <cell r="AP781" t="str">
            <v xml:space="preserve">Maternity </v>
          </cell>
          <cell r="AQ781" t="str">
            <v xml:space="preserve">#522, Trident grande apt, Gundlapochamapally road, Kompalle, Hyderabad – 500014
</v>
          </cell>
          <cell r="AS781" t="str">
            <v xml:space="preserve">#522, Trident grande apt, Gundlapochamapally road, Kompalle, Hyderabad – 500014
</v>
          </cell>
          <cell r="AU781">
            <v>0.375</v>
          </cell>
          <cell r="AV781">
            <v>0.70833333333333337</v>
          </cell>
          <cell r="AW781">
            <v>31594</v>
          </cell>
          <cell r="AX781" t="str">
            <v>Female</v>
          </cell>
          <cell r="AY781" t="str">
            <v>Full Time</v>
          </cell>
          <cell r="AZ781">
            <v>8</v>
          </cell>
          <cell r="BA781" t="str">
            <v>Secunderabad Cluster</v>
          </cell>
        </row>
        <row r="782">
          <cell r="M782" t="str">
            <v>A S Rao Nagar - 18</v>
          </cell>
          <cell r="N782" t="str">
            <v>Physician Services</v>
          </cell>
          <cell r="O782" t="str">
            <v>Physician Services</v>
          </cell>
          <cell r="P782" t="str">
            <v>Consultant Physician</v>
          </cell>
          <cell r="Q782" t="str">
            <v>Ms. Suprita Reddy</v>
          </cell>
          <cell r="R782">
            <v>44820</v>
          </cell>
          <cell r="S782">
            <v>44820</v>
          </cell>
          <cell r="T782">
            <v>45550</v>
          </cell>
          <cell r="U782">
            <v>45551</v>
          </cell>
          <cell r="V782">
            <v>2019</v>
          </cell>
          <cell r="W782" t="str">
            <v>Jinzhou Medical University, China</v>
          </cell>
          <cell r="X782" t="str">
            <v>NA</v>
          </cell>
          <cell r="Y782" t="str">
            <v>NA</v>
          </cell>
          <cell r="Z782" t="str">
            <v>NA</v>
          </cell>
          <cell r="AA782" t="str">
            <v>MBBS</v>
          </cell>
          <cell r="AB782" t="str">
            <v>TSMC/FMR/12106</v>
          </cell>
          <cell r="AC782" t="str">
            <v>Telangana State Medical Council</v>
          </cell>
          <cell r="AD782">
            <v>43992</v>
          </cell>
          <cell r="AE782">
            <v>45818</v>
          </cell>
          <cell r="AF782">
            <v>8978014496</v>
          </cell>
          <cell r="AG782" t="str">
            <v>vaishnavi.koppolu@gmail.com</v>
          </cell>
          <cell r="AH782" t="str">
            <v>HDFC Bank</v>
          </cell>
          <cell r="AI782" t="str">
            <v>50100345714704</v>
          </cell>
          <cell r="AJ782" t="str">
            <v>HDFC0001996</v>
          </cell>
          <cell r="AK782" t="str">
            <v>DHTPK0396C</v>
          </cell>
          <cell r="AL782">
            <v>241405023897</v>
          </cell>
          <cell r="AM782" t="str">
            <v>Koppolu Rama Koteshwarao</v>
          </cell>
          <cell r="AU782">
            <v>0.375</v>
          </cell>
          <cell r="AV782">
            <v>0.45833333333333331</v>
          </cell>
          <cell r="AW782">
            <v>34373</v>
          </cell>
          <cell r="AX782" t="str">
            <v>Female</v>
          </cell>
          <cell r="AY782" t="str">
            <v>Part Time</v>
          </cell>
          <cell r="AZ782">
            <v>2</v>
          </cell>
          <cell r="BA782" t="str">
            <v>A.S. Rao Nagar Cluster</v>
          </cell>
        </row>
        <row r="783">
          <cell r="M783" t="str">
            <v>Mehdipatnam - 8</v>
          </cell>
          <cell r="O783" t="str">
            <v>Radiology</v>
          </cell>
          <cell r="P783" t="str">
            <v>Consultant Radiologist</v>
          </cell>
          <cell r="Q783" t="str">
            <v xml:space="preserve">Dr. L. T. Kishore </v>
          </cell>
          <cell r="R783">
            <v>44821</v>
          </cell>
          <cell r="S783">
            <v>44821</v>
          </cell>
          <cell r="T783">
            <v>45551</v>
          </cell>
          <cell r="U783">
            <v>45552</v>
          </cell>
          <cell r="V783">
            <v>2018</v>
          </cell>
          <cell r="W783" t="str">
            <v xml:space="preserve"> Shantiram Medical College, Nandyal</v>
          </cell>
          <cell r="X783">
            <v>2022</v>
          </cell>
          <cell r="Y783" t="str">
            <v>Narayana Medical College, Nellore</v>
          </cell>
          <cell r="Z783" t="str">
            <v>NA</v>
          </cell>
          <cell r="AA783" t="str">
            <v>NA</v>
          </cell>
          <cell r="AB783" t="str">
            <v xml:space="preserve">APMC/FMR/106094 (PG not yet registerred) </v>
          </cell>
          <cell r="AC783" t="str">
            <v>Andhra Pradesh Medical Council</v>
          </cell>
          <cell r="AD783">
            <v>43731</v>
          </cell>
          <cell r="AE783">
            <v>45557</v>
          </cell>
          <cell r="AF783">
            <v>9963863044</v>
          </cell>
          <cell r="AG783" t="str">
            <v>pavanireddybasam@gmail.com</v>
          </cell>
          <cell r="AW783">
            <v>35387</v>
          </cell>
          <cell r="AX783" t="str">
            <v>Female</v>
          </cell>
          <cell r="AY783" t="str">
            <v>Part Time</v>
          </cell>
          <cell r="AZ783">
            <v>6</v>
          </cell>
          <cell r="BA783" t="str">
            <v>Tolichowki Cluster</v>
          </cell>
        </row>
        <row r="784">
          <cell r="M784" t="str">
            <v>Chandrayangutta - 71</v>
          </cell>
          <cell r="N784" t="str">
            <v>Physician Services</v>
          </cell>
          <cell r="O784" t="str">
            <v>Physician Services</v>
          </cell>
          <cell r="P784" t="str">
            <v>Consultant Physician</v>
          </cell>
          <cell r="Q784" t="str">
            <v>Ms. Suprita Reddy</v>
          </cell>
          <cell r="R784">
            <v>44820</v>
          </cell>
          <cell r="S784">
            <v>44820</v>
          </cell>
          <cell r="T784">
            <v>45550</v>
          </cell>
          <cell r="U784">
            <v>45551</v>
          </cell>
          <cell r="V784">
            <v>2016</v>
          </cell>
          <cell r="W784" t="str">
            <v>Deccan Medical College, Hyderabad</v>
          </cell>
          <cell r="X784" t="str">
            <v>NA</v>
          </cell>
          <cell r="Y784" t="str">
            <v>NA</v>
          </cell>
          <cell r="Z784" t="str">
            <v>NA</v>
          </cell>
          <cell r="AA784" t="str">
            <v>NA</v>
          </cell>
          <cell r="AB784" t="str">
            <v>TSMC/FMR/04759</v>
          </cell>
          <cell r="AC784" t="str">
            <v>Telangana State Medical Council</v>
          </cell>
          <cell r="AF784">
            <v>8374247237</v>
          </cell>
          <cell r="AG784" t="str">
            <v>tahniyat2010@gmail.com</v>
          </cell>
          <cell r="AH784" t="str">
            <v>HDFC Bank</v>
          </cell>
          <cell r="AI784" t="str">
            <v>50100226166698</v>
          </cell>
          <cell r="AJ784" t="str">
            <v>HDFC0004125</v>
          </cell>
          <cell r="AK784" t="str">
            <v>GBQPK0940G</v>
          </cell>
          <cell r="AL784">
            <v>622692727295</v>
          </cell>
          <cell r="AM784" t="str">
            <v>Mohammed Abdul Yameen</v>
          </cell>
          <cell r="AN784">
            <v>45240</v>
          </cell>
          <cell r="AU784" t="e">
            <v>#N/A</v>
          </cell>
          <cell r="AW784">
            <v>33629</v>
          </cell>
          <cell r="AX784" t="str">
            <v>Female</v>
          </cell>
          <cell r="AY784" t="str">
            <v>Part Time</v>
          </cell>
          <cell r="AZ784">
            <v>1</v>
          </cell>
          <cell r="BA784" t="str">
            <v>Santosh Nagar Cluster</v>
          </cell>
        </row>
        <row r="785">
          <cell r="M785" t="str">
            <v>Dwarakanagar - 6</v>
          </cell>
          <cell r="N785" t="str">
            <v>Physician Services</v>
          </cell>
          <cell r="O785" t="str">
            <v>Physician Services</v>
          </cell>
          <cell r="P785" t="str">
            <v>Consultant Physician</v>
          </cell>
          <cell r="Q785" t="str">
            <v>Ms. Suprita Reddy</v>
          </cell>
          <cell r="R785">
            <v>44823</v>
          </cell>
          <cell r="S785">
            <v>44823</v>
          </cell>
          <cell r="T785">
            <v>45553</v>
          </cell>
          <cell r="U785">
            <v>45554</v>
          </cell>
          <cell r="V785">
            <v>2008</v>
          </cell>
          <cell r="W785" t="str">
            <v>Andhra Medical College, Vizag</v>
          </cell>
          <cell r="X785" t="str">
            <v>NA</v>
          </cell>
          <cell r="Y785" t="str">
            <v>NA</v>
          </cell>
          <cell r="Z785" t="str">
            <v>NA</v>
          </cell>
          <cell r="AA785" t="str">
            <v>MBBS</v>
          </cell>
          <cell r="AB785">
            <v>69343</v>
          </cell>
          <cell r="AC785" t="str">
            <v>Andhra Pradesh Medical Council</v>
          </cell>
          <cell r="AD785">
            <v>44223</v>
          </cell>
          <cell r="AE785">
            <v>46048</v>
          </cell>
          <cell r="AF785">
            <v>9502956667</v>
          </cell>
          <cell r="AG785" t="str">
            <v>amusri81@gmail.com</v>
          </cell>
          <cell r="AH785" t="str">
            <v>ICICI Bank</v>
          </cell>
          <cell r="AI785" t="str">
            <v>131901507160</v>
          </cell>
          <cell r="AJ785" t="str">
            <v>ICIC0001319</v>
          </cell>
          <cell r="AK785" t="str">
            <v>AWQPA0164M</v>
          </cell>
          <cell r="AL785">
            <v>558837138553</v>
          </cell>
          <cell r="AM785" t="str">
            <v>Kesava Sahu Amudala</v>
          </cell>
          <cell r="AO785" t="str">
            <v>NA</v>
          </cell>
          <cell r="AW785">
            <v>30494</v>
          </cell>
          <cell r="AX785" t="str">
            <v>Male</v>
          </cell>
          <cell r="AY785" t="str">
            <v>Part Time</v>
          </cell>
          <cell r="AZ785">
            <v>1</v>
          </cell>
          <cell r="BA785" t="str">
            <v>Visakhapatnam Cluster</v>
          </cell>
        </row>
        <row r="786">
          <cell r="M786" t="str">
            <v>Habsiguda - 17</v>
          </cell>
          <cell r="N786" t="str">
            <v>Hematology, Cytopathology, Clinical Pathology</v>
          </cell>
          <cell r="O786" t="str">
            <v>Pathology</v>
          </cell>
          <cell r="P786" t="str">
            <v>Consultant Pathologist</v>
          </cell>
          <cell r="Q786" t="str">
            <v>Dr. Shashikanth</v>
          </cell>
          <cell r="R786">
            <v>44954</v>
          </cell>
          <cell r="S786">
            <v>44954</v>
          </cell>
          <cell r="T786">
            <v>45684</v>
          </cell>
          <cell r="U786">
            <v>45685</v>
          </cell>
          <cell r="V786">
            <v>2015</v>
          </cell>
          <cell r="W786" t="str">
            <v>GSL Medical College, Rajahmundry</v>
          </cell>
          <cell r="X786">
            <v>2022</v>
          </cell>
          <cell r="Y786" t="str">
            <v>Jawaharlal Nehru Medical College, Belgaum</v>
          </cell>
          <cell r="Z786" t="str">
            <v>NA</v>
          </cell>
          <cell r="AA786" t="str">
            <v>NA</v>
          </cell>
          <cell r="AB786" t="str">
            <v>APMC/FMR/91013</v>
          </cell>
          <cell r="AC786" t="str">
            <v>Andhra Pradesh Medical Council</v>
          </cell>
          <cell r="AD786">
            <v>44741</v>
          </cell>
          <cell r="AE786">
            <v>46566</v>
          </cell>
          <cell r="AF786">
            <v>7659884548</v>
          </cell>
          <cell r="AG786" t="str">
            <v>klgayatri9@gmail.com</v>
          </cell>
          <cell r="AH786" t="str">
            <v>SBI Bank</v>
          </cell>
          <cell r="AI786">
            <v>35976728532</v>
          </cell>
          <cell r="AJ786" t="str">
            <v>SBIN0001424</v>
          </cell>
          <cell r="AK786" t="str">
            <v>BVJPG3076R</v>
          </cell>
          <cell r="AL786">
            <v>532565907243</v>
          </cell>
          <cell r="AM786" t="str">
            <v>Krishna Murthy</v>
          </cell>
          <cell r="AN786">
            <v>45173</v>
          </cell>
          <cell r="AO786">
            <v>45112</v>
          </cell>
          <cell r="AW786">
            <v>33199</v>
          </cell>
          <cell r="AX786" t="str">
            <v>Female</v>
          </cell>
          <cell r="AY786" t="str">
            <v>Full Time</v>
          </cell>
          <cell r="AZ786">
            <v>8</v>
          </cell>
          <cell r="BA786" t="str">
            <v>A.S. Rao Nagar Cluster</v>
          </cell>
        </row>
        <row r="787">
          <cell r="M787" t="str">
            <v>Himayatnagar</v>
          </cell>
          <cell r="N787" t="str">
            <v>NA</v>
          </cell>
          <cell r="O787" t="str">
            <v>Pathology</v>
          </cell>
          <cell r="P787" t="str">
            <v>Consultant Pathologist</v>
          </cell>
          <cell r="Q787" t="str">
            <v>Dr P T S Shashikant</v>
          </cell>
          <cell r="R787">
            <v>44972</v>
          </cell>
          <cell r="S787">
            <v>44972</v>
          </cell>
          <cell r="T787">
            <v>45702</v>
          </cell>
          <cell r="U787">
            <v>45703</v>
          </cell>
          <cell r="V787">
            <v>2014</v>
          </cell>
          <cell r="W787" t="str">
            <v>Mediciti Institute of Medical Sciences, Medchal  - 2014</v>
          </cell>
          <cell r="X787">
            <v>2020</v>
          </cell>
          <cell r="Y787" t="str">
            <v>Kakatiya Medical College - 2020</v>
          </cell>
          <cell r="Z787" t="str">
            <v>NA</v>
          </cell>
          <cell r="AA787" t="str">
            <v>MBBS, MD</v>
          </cell>
          <cell r="AB787" t="str">
            <v>APMC/FMR/94643</v>
          </cell>
          <cell r="AC787" t="str">
            <v>Telangana State Medical Council</v>
          </cell>
          <cell r="AD787">
            <v>44420</v>
          </cell>
          <cell r="AE787">
            <v>46245</v>
          </cell>
          <cell r="AF787">
            <v>9701547311</v>
          </cell>
          <cell r="AG787" t="str">
            <v>khushbooghanshyani@gmail.com</v>
          </cell>
          <cell r="AH787" t="str">
            <v>ICICI Bank</v>
          </cell>
          <cell r="AI787" t="str">
            <v>630501542265</v>
          </cell>
          <cell r="AJ787" t="str">
            <v>ICIC0006305</v>
          </cell>
          <cell r="AK787" t="str">
            <v>BRCPG1930K</v>
          </cell>
          <cell r="AL787">
            <v>402496671530</v>
          </cell>
          <cell r="AM787" t="str">
            <v>Tikamdar Lekhraj Ghanshyani</v>
          </cell>
          <cell r="AN787">
            <v>45511</v>
          </cell>
          <cell r="AO787">
            <v>45451</v>
          </cell>
          <cell r="AP787" t="str">
            <v>Personal Reason</v>
          </cell>
          <cell r="AU787">
            <v>0.33333333333333331</v>
          </cell>
          <cell r="AV787">
            <v>0.66666666666666663</v>
          </cell>
          <cell r="AW787">
            <v>33555</v>
          </cell>
          <cell r="AX787" t="str">
            <v>Female</v>
          </cell>
          <cell r="AY787" t="str">
            <v>Full Time</v>
          </cell>
          <cell r="AZ787">
            <v>8</v>
          </cell>
          <cell r="BA787" t="str">
            <v>Himayathnagar Cluster</v>
          </cell>
        </row>
        <row r="788">
          <cell r="M788" t="str">
            <v>Madinaguda - 112</v>
          </cell>
          <cell r="N788" t="str">
            <v>Biochemistry</v>
          </cell>
          <cell r="O788" t="str">
            <v>Biochemistry</v>
          </cell>
          <cell r="P788" t="str">
            <v>Consultant Biochemist</v>
          </cell>
          <cell r="Q788" t="str">
            <v>Dr. Bikash Chowdhary</v>
          </cell>
          <cell r="R788">
            <v>44830</v>
          </cell>
          <cell r="S788">
            <v>44830</v>
          </cell>
          <cell r="T788">
            <v>45560</v>
          </cell>
          <cell r="U788">
            <v>45561</v>
          </cell>
          <cell r="V788">
            <v>2012</v>
          </cell>
          <cell r="W788" t="str">
            <v>Mamata medical college, Khammam</v>
          </cell>
          <cell r="X788">
            <v>2021</v>
          </cell>
          <cell r="Y788" t="str">
            <v>BIOCHEMISTRY Osmania medical college, Hyderabad</v>
          </cell>
          <cell r="Z788" t="str">
            <v>NA</v>
          </cell>
          <cell r="AA788" t="str">
            <v>MBBS, MD Biochemistry</v>
          </cell>
          <cell r="AB788" t="str">
            <v>APMC/FMR/84082</v>
          </cell>
          <cell r="AC788" t="str">
            <v>Telangana State Medical Council</v>
          </cell>
          <cell r="AD788">
            <v>44819</v>
          </cell>
          <cell r="AE788">
            <v>46644</v>
          </cell>
          <cell r="AF788">
            <v>9908411044</v>
          </cell>
          <cell r="AG788" t="str">
            <v>gmk044@outlook.com</v>
          </cell>
          <cell r="AH788" t="str">
            <v>State bank india</v>
          </cell>
          <cell r="AI788" t="str">
            <v>00000020303053518</v>
          </cell>
          <cell r="AJ788" t="str">
            <v>SBIN0021110</v>
          </cell>
          <cell r="AK788" t="str">
            <v>BQHPG7254C</v>
          </cell>
          <cell r="AL788">
            <v>498246391137</v>
          </cell>
          <cell r="AM788" t="str">
            <v>Garikala Pedda Munaiah</v>
          </cell>
          <cell r="AW788">
            <v>30915</v>
          </cell>
          <cell r="AX788" t="str">
            <v>Male</v>
          </cell>
          <cell r="AY788" t="str">
            <v>Part Time</v>
          </cell>
          <cell r="AZ788">
            <v>4</v>
          </cell>
          <cell r="BA788" t="str">
            <v>Madhapur Cluster</v>
          </cell>
        </row>
        <row r="789">
          <cell r="M789" t="str">
            <v>Film Nagar - 38</v>
          </cell>
          <cell r="N789" t="str">
            <v>Physician Services</v>
          </cell>
          <cell r="O789" t="str">
            <v>Physician Services</v>
          </cell>
          <cell r="P789" t="str">
            <v>Consultant Physician</v>
          </cell>
          <cell r="Q789" t="str">
            <v>Ms. Suprita Reddy</v>
          </cell>
          <cell r="R789">
            <v>44833</v>
          </cell>
          <cell r="S789">
            <v>44833</v>
          </cell>
          <cell r="T789">
            <v>45563</v>
          </cell>
          <cell r="U789">
            <v>45564</v>
          </cell>
          <cell r="V789">
            <v>2016</v>
          </cell>
          <cell r="W789" t="str">
            <v>JJM Medical College, Davangere, Karnataka</v>
          </cell>
          <cell r="X789" t="str">
            <v>NA</v>
          </cell>
          <cell r="Y789" t="str">
            <v>NA</v>
          </cell>
          <cell r="Z789" t="str">
            <v>NA</v>
          </cell>
          <cell r="AA789" t="str">
            <v>MBBS</v>
          </cell>
          <cell r="AB789" t="str">
            <v>TSMC/FMR/22164</v>
          </cell>
          <cell r="AC789" t="str">
            <v>Telangana State Medical Council</v>
          </cell>
          <cell r="AD789">
            <v>44832</v>
          </cell>
          <cell r="AE789">
            <v>46657</v>
          </cell>
          <cell r="AF789">
            <v>9663210666</v>
          </cell>
          <cell r="AG789" t="str">
            <v>tajammul99@gmail.com</v>
          </cell>
          <cell r="AH789" t="str">
            <v>HDFC Bank</v>
          </cell>
          <cell r="AI789" t="str">
            <v>50100329254270</v>
          </cell>
          <cell r="AJ789" t="str">
            <v>HDFC0004684</v>
          </cell>
          <cell r="AK789" t="str">
            <v>AYTPA1973F</v>
          </cell>
          <cell r="AL789">
            <v>748081861277</v>
          </cell>
          <cell r="AM789" t="str">
            <v>Syed Yusuf Ali Patel</v>
          </cell>
          <cell r="AN789">
            <v>45199</v>
          </cell>
          <cell r="AO789" t="str">
            <v>NA</v>
          </cell>
          <cell r="AW789">
            <v>33569</v>
          </cell>
          <cell r="AX789" t="str">
            <v>Male</v>
          </cell>
          <cell r="AY789" t="str">
            <v>Part Time</v>
          </cell>
          <cell r="AZ789">
            <v>1</v>
          </cell>
          <cell r="BA789" t="str">
            <v>Himayathnagar Cluster</v>
          </cell>
        </row>
        <row r="790">
          <cell r="M790" t="str">
            <v>Himayatnagar</v>
          </cell>
          <cell r="N790" t="str">
            <v>Biochemistry</v>
          </cell>
          <cell r="O790" t="str">
            <v>Biochemistry</v>
          </cell>
          <cell r="P790" t="str">
            <v>Consultant Biochemist</v>
          </cell>
          <cell r="Q790" t="str">
            <v>Dr. Bikash Chowdhary</v>
          </cell>
          <cell r="R790">
            <v>44835</v>
          </cell>
          <cell r="S790">
            <v>44835</v>
          </cell>
          <cell r="T790">
            <v>45565</v>
          </cell>
          <cell r="U790">
            <v>45566</v>
          </cell>
          <cell r="V790">
            <v>2013</v>
          </cell>
          <cell r="W790" t="str">
            <v>Konaseema Institute of Medical Sciences, Amalapuram</v>
          </cell>
          <cell r="X790">
            <v>2019</v>
          </cell>
          <cell r="Y790" t="str">
            <v xml:space="preserve">Nizam’s  Institute of Medical Sciences,Hyderabad </v>
          </cell>
          <cell r="Z790" t="str">
            <v>NA</v>
          </cell>
          <cell r="AA790" t="str">
            <v>NA</v>
          </cell>
          <cell r="AB790" t="str">
            <v>APMC/FMR/85821</v>
          </cell>
          <cell r="AC790" t="str">
            <v>Telangana State Medical Council</v>
          </cell>
          <cell r="AD790">
            <v>44203</v>
          </cell>
          <cell r="AE790">
            <v>46028</v>
          </cell>
          <cell r="AF790">
            <v>9441953762</v>
          </cell>
          <cell r="AG790" t="str">
            <v>deepika.yarlagadda50@gmail.com</v>
          </cell>
          <cell r="AH790" t="str">
            <v>Axis Bank</v>
          </cell>
          <cell r="AI790" t="str">
            <v>919010033542610</v>
          </cell>
          <cell r="AJ790" t="str">
            <v>UTIB0000698</v>
          </cell>
          <cell r="AK790" t="str">
            <v>AIIPY5385N</v>
          </cell>
          <cell r="AL790">
            <v>930357091681</v>
          </cell>
          <cell r="AM790" t="str">
            <v>Koteswararao</v>
          </cell>
          <cell r="AN790">
            <v>45157</v>
          </cell>
          <cell r="AO790">
            <v>45137</v>
          </cell>
          <cell r="AW790">
            <v>32831</v>
          </cell>
          <cell r="AX790" t="str">
            <v>Female</v>
          </cell>
          <cell r="AY790" t="str">
            <v>Full Time</v>
          </cell>
          <cell r="AZ790">
            <v>8</v>
          </cell>
          <cell r="BA790" t="str">
            <v>Himayathnagar Cluster</v>
          </cell>
        </row>
        <row r="791">
          <cell r="M791" t="str">
            <v>Sec II S D Road - 13</v>
          </cell>
          <cell r="N791" t="str">
            <v>Basic USG, Tiffa, MSK, Penile Doppler/TRUS, Guided Procedures, Basic CT, All Angios except Coronary, CT Enteroclysis, X-Ray, Mammography, IVP, RGU, MCGU, Barium Swallow, Barium Enema HSG</v>
          </cell>
          <cell r="O791" t="str">
            <v>Radiology</v>
          </cell>
          <cell r="P791" t="str">
            <v>Consultant Radiologist</v>
          </cell>
          <cell r="Q791" t="str">
            <v>Dr. Krishna Mohan Pottala</v>
          </cell>
          <cell r="R791">
            <v>44835</v>
          </cell>
          <cell r="S791">
            <v>44835</v>
          </cell>
          <cell r="T791">
            <v>45565</v>
          </cell>
          <cell r="U791">
            <v>45566</v>
          </cell>
          <cell r="V791">
            <v>2012</v>
          </cell>
          <cell r="W791" t="str">
            <v>Southern Medical College, China</v>
          </cell>
          <cell r="X791">
            <v>2016</v>
          </cell>
          <cell r="Y791" t="str">
            <v>Madras Medical College, Tamil Nadu</v>
          </cell>
          <cell r="Z791" t="str">
            <v>DNB-2019</v>
          </cell>
          <cell r="AA791" t="str">
            <v>Apollo Jubli Hills</v>
          </cell>
          <cell r="AB791" t="str">
            <v>APMC/FMR/83991</v>
          </cell>
          <cell r="AC791" t="str">
            <v>Telangana State Medical Council</v>
          </cell>
          <cell r="AD791">
            <v>43361</v>
          </cell>
          <cell r="AE791">
            <v>45186</v>
          </cell>
          <cell r="AF791" t="str">
            <v>9398729479, 7799423671</v>
          </cell>
          <cell r="AG791" t="str">
            <v xml:space="preserve"> docgoutham@gmail.com</v>
          </cell>
          <cell r="AH791" t="str">
            <v>HDFC Bank</v>
          </cell>
          <cell r="AI791" t="str">
            <v>50100201807694</v>
          </cell>
          <cell r="AJ791" t="str">
            <v>HDFC0000317</v>
          </cell>
          <cell r="AK791" t="str">
            <v>CUJPP6994B</v>
          </cell>
          <cell r="AL791">
            <v>371199269060</v>
          </cell>
          <cell r="AM791" t="str">
            <v>Poreddy Surendere reddy</v>
          </cell>
          <cell r="AN791">
            <v>45169</v>
          </cell>
          <cell r="AW791">
            <v>32719</v>
          </cell>
          <cell r="AX791" t="str">
            <v>Male</v>
          </cell>
          <cell r="AY791" t="str">
            <v>Part Time</v>
          </cell>
          <cell r="AZ791">
            <v>4</v>
          </cell>
          <cell r="BA791" t="str">
            <v>Secunderabad Cluster</v>
          </cell>
        </row>
        <row r="792">
          <cell r="M792" t="str">
            <v>Attapur - 34</v>
          </cell>
          <cell r="N792" t="str">
            <v>Basic USG, Tiffa, Guided Procedures, Basic CT, XRay, IVP, RGU, MCGU, Barium Swallow, Barium Enema, HSG</v>
          </cell>
          <cell r="O792" t="str">
            <v>Radiology</v>
          </cell>
          <cell r="P792" t="str">
            <v>Consultant Radiologist</v>
          </cell>
          <cell r="Q792" t="str">
            <v>Dr. Krishna Mohan Pottala</v>
          </cell>
          <cell r="R792">
            <v>44837</v>
          </cell>
          <cell r="S792">
            <v>44837</v>
          </cell>
          <cell r="T792">
            <v>45567</v>
          </cell>
          <cell r="U792">
            <v>45568</v>
          </cell>
          <cell r="V792">
            <v>2011</v>
          </cell>
          <cell r="W792" t="str">
            <v>Odessa National Medical University, Odessa, Ukraine</v>
          </cell>
          <cell r="X792">
            <v>2022</v>
          </cell>
          <cell r="Y792" t="str">
            <v>Deccan Medical College, Hyderabad, Telangana</v>
          </cell>
          <cell r="Z792" t="str">
            <v>NA</v>
          </cell>
          <cell r="AA792" t="str">
            <v>MBBS, MD</v>
          </cell>
          <cell r="AB792" t="str">
            <v>APMC/FMR/83019</v>
          </cell>
          <cell r="AC792" t="str">
            <v>Telangana State Medical Countil</v>
          </cell>
          <cell r="AD792">
            <v>44716</v>
          </cell>
          <cell r="AE792">
            <v>46541</v>
          </cell>
          <cell r="AF792">
            <v>9985187860</v>
          </cell>
          <cell r="AG792" t="str">
            <v>dr_moinrahman@yahoo.com</v>
          </cell>
          <cell r="AH792" t="str">
            <v>Karur Vysya Bank</v>
          </cell>
          <cell r="AI792" t="str">
            <v>1457155000005769</v>
          </cell>
          <cell r="AJ792" t="str">
            <v>KVBL0001457</v>
          </cell>
          <cell r="AK792" t="str">
            <v>EBMPK1706E</v>
          </cell>
          <cell r="AL792">
            <v>790349104598</v>
          </cell>
          <cell r="AM792" t="str">
            <v>Dr K Abdul Rahman</v>
          </cell>
          <cell r="AN792">
            <v>45209</v>
          </cell>
          <cell r="AO792">
            <v>45147</v>
          </cell>
          <cell r="AW792">
            <v>30856</v>
          </cell>
          <cell r="AX792" t="str">
            <v>Male</v>
          </cell>
          <cell r="AY792" t="str">
            <v>Part Time</v>
          </cell>
          <cell r="AZ792">
            <v>8</v>
          </cell>
          <cell r="BA792" t="str">
            <v>Tolichowki Cluster</v>
          </cell>
        </row>
        <row r="793">
          <cell r="M793" t="str">
            <v>Himayatnagar</v>
          </cell>
          <cell r="N793" t="str">
            <v>Hematology, Cytopathology, Clinical Pathology</v>
          </cell>
          <cell r="O793" t="str">
            <v>Pathology</v>
          </cell>
          <cell r="P793" t="str">
            <v>Consultant Pathologist</v>
          </cell>
          <cell r="Q793" t="str">
            <v>Dr. Shashikanth</v>
          </cell>
          <cell r="R793">
            <v>44840</v>
          </cell>
          <cell r="S793">
            <v>44840</v>
          </cell>
          <cell r="T793">
            <v>45570</v>
          </cell>
          <cell r="U793">
            <v>45571</v>
          </cell>
          <cell r="V793">
            <v>2012</v>
          </cell>
          <cell r="W793" t="str">
            <v>Bidar Institute of Medical Sciences, Bidar, Karnataka</v>
          </cell>
          <cell r="X793">
            <v>2018</v>
          </cell>
          <cell r="Y793" t="str">
            <v>Karnataka Institute of Medical Sciences, Karnataka</v>
          </cell>
          <cell r="Z793" t="str">
            <v>NA</v>
          </cell>
          <cell r="AA793" t="str">
            <v>NA</v>
          </cell>
          <cell r="AB793">
            <v>99009</v>
          </cell>
          <cell r="AC793" t="str">
            <v>Karnataka Medical Sciences</v>
          </cell>
          <cell r="AD793">
            <v>43319</v>
          </cell>
          <cell r="AE793">
            <v>45144</v>
          </cell>
          <cell r="AF793">
            <v>7204867765</v>
          </cell>
          <cell r="AG793" t="str">
            <v>mdshareef.ahmed12@gmail.com</v>
          </cell>
          <cell r="AH793" t="str">
            <v>ICICI Bank</v>
          </cell>
          <cell r="AI793" t="str">
            <v>112401508874</v>
          </cell>
          <cell r="AJ793" t="str">
            <v>ICIC0001124</v>
          </cell>
          <cell r="AK793" t="str">
            <v>BBSPA9911J</v>
          </cell>
          <cell r="AL793">
            <v>283557305098</v>
          </cell>
          <cell r="AM793" t="str">
            <v>Md Ibrahim</v>
          </cell>
          <cell r="AN793">
            <v>45260</v>
          </cell>
          <cell r="AO793">
            <v>45220</v>
          </cell>
          <cell r="AU793" t="e">
            <v>#N/A</v>
          </cell>
          <cell r="AW793">
            <v>32509</v>
          </cell>
          <cell r="AX793" t="str">
            <v>Male</v>
          </cell>
          <cell r="AY793" t="str">
            <v>Full Time</v>
          </cell>
          <cell r="AZ793">
            <v>8</v>
          </cell>
          <cell r="BA793" t="str">
            <v>Himayathnagar Cluster</v>
          </cell>
        </row>
        <row r="794">
          <cell r="M794" t="str">
            <v>Sec II S D Road - 13</v>
          </cell>
          <cell r="N794" t="str">
            <v>FNAC, Semen Analysis</v>
          </cell>
          <cell r="O794" t="str">
            <v>Pathology</v>
          </cell>
          <cell r="P794" t="str">
            <v>Consultant Pathologist</v>
          </cell>
          <cell r="Q794" t="str">
            <v>Dr. Shashikanth</v>
          </cell>
          <cell r="R794">
            <v>44841</v>
          </cell>
          <cell r="S794">
            <v>44841</v>
          </cell>
          <cell r="T794">
            <v>45571</v>
          </cell>
          <cell r="U794">
            <v>45572</v>
          </cell>
          <cell r="V794">
            <v>2010</v>
          </cell>
          <cell r="W794" t="str">
            <v>Vinayaka Mission Medical College, Salem, Tamil Nadu</v>
          </cell>
          <cell r="X794">
            <v>2019</v>
          </cell>
          <cell r="Y794" t="str">
            <v>Sri Ramachandra Medical College, Porur, Tamil Nadu</v>
          </cell>
          <cell r="Z794" t="str">
            <v>NA</v>
          </cell>
          <cell r="AA794" t="str">
            <v>MBBS, MD</v>
          </cell>
          <cell r="AB794" t="str">
            <v>APMC/FMR/82829</v>
          </cell>
          <cell r="AC794" t="str">
            <v>Telangana State Medical Council</v>
          </cell>
          <cell r="AD794">
            <v>44135</v>
          </cell>
          <cell r="AE794">
            <v>45960</v>
          </cell>
          <cell r="AF794">
            <v>9894852183</v>
          </cell>
          <cell r="AG794" t="str">
            <v>therypriyadarshini@gmail.com</v>
          </cell>
          <cell r="AH794" t="str">
            <v>Indian bank</v>
          </cell>
          <cell r="AI794">
            <v>6337568875</v>
          </cell>
          <cell r="AJ794" t="str">
            <v>IDIB000M256</v>
          </cell>
          <cell r="AK794" t="str">
            <v>BDDPP7331Q</v>
          </cell>
          <cell r="AL794">
            <v>536917902430</v>
          </cell>
          <cell r="AM794" t="str">
            <v>S Thery Babu</v>
          </cell>
          <cell r="AN794">
            <v>45243</v>
          </cell>
          <cell r="AO794">
            <v>45182</v>
          </cell>
          <cell r="AU794" t="e">
            <v>#N/A</v>
          </cell>
          <cell r="AW794">
            <v>31050</v>
          </cell>
          <cell r="AX794" t="str">
            <v>Female</v>
          </cell>
          <cell r="AY794" t="str">
            <v>Part Time</v>
          </cell>
          <cell r="AZ794">
            <v>2</v>
          </cell>
          <cell r="BA794" t="str">
            <v>Secunderabad Cluster</v>
          </cell>
        </row>
        <row r="795">
          <cell r="M795" t="str">
            <v>Gurgaon - 54</v>
          </cell>
          <cell r="N795" t="str">
            <v>Basic USG, Tiffa, Fetal Echo, MSK, Penile Dopplers, TRUS, Guided Procedures, Basic CT, All Angios, CT Enterclysis, Guided Procedures, Basic MRI, Cardiac MR, MR Defacography, MR Prostate, X Ray, Mammography, IVP, RGU, MCGU, Barium Swallow, Barium Anema, HSG</v>
          </cell>
          <cell r="O795" t="str">
            <v>Radiology</v>
          </cell>
          <cell r="P795" t="str">
            <v>Consultant Radiologist</v>
          </cell>
          <cell r="Q795" t="str">
            <v>Dr. Krishna Mohan Pottala</v>
          </cell>
          <cell r="R795">
            <v>44844</v>
          </cell>
          <cell r="S795">
            <v>44844</v>
          </cell>
          <cell r="T795">
            <v>45574</v>
          </cell>
          <cell r="U795">
            <v>45575</v>
          </cell>
          <cell r="V795">
            <v>2016</v>
          </cell>
          <cell r="W795" t="str">
            <v>Sawai Man Singh Medical College, Jaipur</v>
          </cell>
          <cell r="X795">
            <v>2021</v>
          </cell>
          <cell r="Y795" t="str">
            <v>Jahangir Hospital Pune</v>
          </cell>
          <cell r="Z795" t="str">
            <v>NA</v>
          </cell>
          <cell r="AA795" t="str">
            <v>MBBS, DNB</v>
          </cell>
          <cell r="AB795" t="str">
            <v>HN-21555</v>
          </cell>
          <cell r="AC795" t="str">
            <v>Haryana Medical Council</v>
          </cell>
          <cell r="AD795">
            <v>44832</v>
          </cell>
          <cell r="AE795">
            <v>46657</v>
          </cell>
          <cell r="AF795">
            <v>9414865656</v>
          </cell>
          <cell r="AG795" t="str">
            <v>neerajrao10@gmail.com</v>
          </cell>
          <cell r="AH795" t="str">
            <v>Axis Bank</v>
          </cell>
          <cell r="AI795" t="str">
            <v>917010046265151</v>
          </cell>
          <cell r="AJ795" t="str">
            <v>UTIB0001387</v>
          </cell>
          <cell r="AK795" t="str">
            <v>BZFPR0052Q</v>
          </cell>
          <cell r="AL795">
            <v>592535204767</v>
          </cell>
          <cell r="AM795" t="str">
            <v>Jile Singha Rao</v>
          </cell>
          <cell r="AW795">
            <v>33693</v>
          </cell>
          <cell r="AX795" t="str">
            <v>Male</v>
          </cell>
          <cell r="AY795" t="str">
            <v>Part Time</v>
          </cell>
          <cell r="AZ795">
            <v>2</v>
          </cell>
          <cell r="BA795" t="str">
            <v>Haryana Cluster</v>
          </cell>
        </row>
        <row r="796">
          <cell r="M796" t="str">
            <v>Himayatnagar</v>
          </cell>
          <cell r="N796" t="str">
            <v>Hematology, Cytopathology, Clinical Pathology</v>
          </cell>
          <cell r="O796" t="str">
            <v>Pathology</v>
          </cell>
          <cell r="P796" t="str">
            <v>Consultant -Head of the department- Hematology</v>
          </cell>
          <cell r="Q796" t="str">
            <v>Dr. Anil Tarigopula</v>
          </cell>
          <cell r="R796">
            <v>44851</v>
          </cell>
          <cell r="S796">
            <v>44851</v>
          </cell>
          <cell r="T796">
            <v>45581</v>
          </cell>
          <cell r="U796">
            <v>45582</v>
          </cell>
          <cell r="V796">
            <v>1998</v>
          </cell>
          <cell r="W796" t="str">
            <v>Sri Siddartha Medical College, Tumkur</v>
          </cell>
          <cell r="X796">
            <v>2003</v>
          </cell>
          <cell r="Y796" t="str">
            <v>JIPMER, Pondicherry University</v>
          </cell>
          <cell r="Z796" t="str">
            <v>DNB-2007</v>
          </cell>
          <cell r="AA796" t="str">
            <v>MBBS, MD, DNB</v>
          </cell>
          <cell r="AC796" t="str">
            <v>Applied for Telangana Medical Council</v>
          </cell>
          <cell r="AF796">
            <v>9360545940</v>
          </cell>
          <cell r="AG796" t="str">
            <v>drvani001@gmail.com</v>
          </cell>
          <cell r="AH796" t="str">
            <v>Indian Overseas Bank</v>
          </cell>
          <cell r="AI796" t="str">
            <v>167501000016701</v>
          </cell>
          <cell r="AJ796" t="str">
            <v>IOBA0001675</v>
          </cell>
          <cell r="AK796" t="str">
            <v>AHYPC5381P</v>
          </cell>
          <cell r="AL796">
            <v>483588581584</v>
          </cell>
          <cell r="AM796" t="str">
            <v>Chandrashekar Hande</v>
          </cell>
          <cell r="AW796">
            <v>27846</v>
          </cell>
          <cell r="AX796" t="str">
            <v>Female</v>
          </cell>
          <cell r="AY796" t="str">
            <v>Full Time</v>
          </cell>
          <cell r="AZ796">
            <v>8</v>
          </cell>
          <cell r="BA796" t="str">
            <v>Himayathnagar Cluster</v>
          </cell>
        </row>
        <row r="797">
          <cell r="M797" t="str">
            <v>Himayatnagar</v>
          </cell>
          <cell r="N797" t="str">
            <v>Lab Services</v>
          </cell>
          <cell r="O797" t="str">
            <v>Lab Services</v>
          </cell>
          <cell r="P797" t="str">
            <v>Consultant Director Lab Services</v>
          </cell>
          <cell r="Q797" t="str">
            <v>Ms. Suprita Reddy</v>
          </cell>
          <cell r="R797">
            <v>44851</v>
          </cell>
          <cell r="S797">
            <v>44851</v>
          </cell>
          <cell r="T797">
            <v>45581</v>
          </cell>
          <cell r="U797">
            <v>45582</v>
          </cell>
          <cell r="V797">
            <v>2002</v>
          </cell>
          <cell r="W797" t="str">
            <v>JIPMER, Pondicherry University</v>
          </cell>
          <cell r="X797">
            <v>2007</v>
          </cell>
          <cell r="Y797" t="str">
            <v>JIPMER, Pondicherry University</v>
          </cell>
          <cell r="Z797" t="str">
            <v>DNB</v>
          </cell>
          <cell r="AA797" t="str">
            <v>MBBS, MD, DNB</v>
          </cell>
          <cell r="AC797" t="str">
            <v>Applied for Telangana Medical Council</v>
          </cell>
          <cell r="AF797">
            <v>9345428362</v>
          </cell>
          <cell r="AG797" t="str">
            <v>dranilt@gmail.com</v>
          </cell>
          <cell r="AH797" t="str">
            <v>Indian Overseas Bank</v>
          </cell>
          <cell r="AI797" t="str">
            <v>167501000016702</v>
          </cell>
          <cell r="AJ797" t="str">
            <v>IOBA0001675</v>
          </cell>
          <cell r="AK797" t="str">
            <v>AEEPT9724J</v>
          </cell>
          <cell r="AL797">
            <v>245473935801</v>
          </cell>
          <cell r="AM797" t="str">
            <v>T S S Rao</v>
          </cell>
          <cell r="AW797">
            <v>28682</v>
          </cell>
          <cell r="AX797" t="str">
            <v>Male</v>
          </cell>
          <cell r="AY797" t="str">
            <v>Full Time</v>
          </cell>
          <cell r="AZ797">
            <v>8</v>
          </cell>
          <cell r="BA797" t="str">
            <v>Himayathnagar Cluster</v>
          </cell>
        </row>
        <row r="798">
          <cell r="M798" t="str">
            <v>Gopalapatnam - 49</v>
          </cell>
          <cell r="N798" t="str">
            <v>Basic USG, Tiffa, Basic CT,   X Ray, IVP, RGU, MCGU</v>
          </cell>
          <cell r="O798" t="str">
            <v>Radiology</v>
          </cell>
          <cell r="P798" t="str">
            <v>Consultant Radiologist</v>
          </cell>
          <cell r="Q798" t="str">
            <v>Dr. Krishna Mohan Pottala</v>
          </cell>
          <cell r="R798">
            <v>44851</v>
          </cell>
          <cell r="S798">
            <v>44851</v>
          </cell>
          <cell r="T798">
            <v>45581</v>
          </cell>
          <cell r="U798">
            <v>45582</v>
          </cell>
          <cell r="V798">
            <v>2014</v>
          </cell>
          <cell r="W798" t="str">
            <v>Ramachandra Medical College, Chennai, Tamil Nadu</v>
          </cell>
          <cell r="X798">
            <v>2018</v>
          </cell>
          <cell r="Y798" t="str">
            <v>Mahaveer Jain Medical College, RGUHS, Bangalore, Karnataka</v>
          </cell>
          <cell r="Z798" t="str">
            <v>NA</v>
          </cell>
          <cell r="AA798" t="str">
            <v>MBBS, MD</v>
          </cell>
          <cell r="AF798">
            <v>9840328710</v>
          </cell>
          <cell r="AG798" t="str">
            <v>tejaswanipenmetsa@gmail.com</v>
          </cell>
          <cell r="AH798" t="str">
            <v>State bank of india</v>
          </cell>
          <cell r="AI798">
            <v>20204253906</v>
          </cell>
          <cell r="AJ798" t="str">
            <v>SBIN0004202</v>
          </cell>
          <cell r="AK798" t="str">
            <v>BFUPP9492P</v>
          </cell>
          <cell r="AL798">
            <v>521405805875</v>
          </cell>
          <cell r="AM798" t="str">
            <v>Penmesta Sury Mangapathi Raju</v>
          </cell>
          <cell r="AW798">
            <v>33244</v>
          </cell>
          <cell r="AX798" t="str">
            <v>Female</v>
          </cell>
          <cell r="AY798" t="str">
            <v>Part Time</v>
          </cell>
          <cell r="AZ798">
            <v>5</v>
          </cell>
          <cell r="BA798" t="str">
            <v>Visakhapatnam Cluster</v>
          </cell>
        </row>
        <row r="799">
          <cell r="M799" t="str">
            <v>Vijayanagar - 51</v>
          </cell>
          <cell r="N799" t="str">
            <v>Basic USG, Tiffa, Fetal Echo, MSK, Guided Procedure, Basic CT, Basic MRI, Xray, Sono-Mammography, IVP, RGU, MCGU, Barium Swallow, Barium Anema, HSG</v>
          </cell>
          <cell r="O799" t="str">
            <v>Radiology</v>
          </cell>
          <cell r="P799" t="str">
            <v>Consultant Radiologist</v>
          </cell>
          <cell r="Q799" t="str">
            <v>Dr. Krishna Mohan Pottala</v>
          </cell>
          <cell r="R799">
            <v>44852</v>
          </cell>
          <cell r="S799">
            <v>44852</v>
          </cell>
          <cell r="T799">
            <v>45582</v>
          </cell>
          <cell r="U799">
            <v>45583</v>
          </cell>
          <cell r="V799">
            <v>2018</v>
          </cell>
          <cell r="W799" t="str">
            <v>Apollo Institute Of Medical Sciences</v>
          </cell>
          <cell r="X799">
            <v>2022</v>
          </cell>
          <cell r="Y799" t="str">
            <v>Deccan College Of Medical sciences, Hyderabad, Telangana</v>
          </cell>
          <cell r="Z799" t="str">
            <v>NA</v>
          </cell>
          <cell r="AA799" t="str">
            <v>MBBS, MD</v>
          </cell>
          <cell r="AB799" t="str">
            <v>TSMC/FMR/03097</v>
          </cell>
          <cell r="AC799" t="str">
            <v>Telangana State Medical Council</v>
          </cell>
          <cell r="AF799">
            <v>9398970845</v>
          </cell>
          <cell r="AG799" t="str">
            <v>priyankasingh1804@yahoo.in/priyankasingh0418@gmail.com</v>
          </cell>
          <cell r="AH799" t="str">
            <v>HDFC Bank</v>
          </cell>
          <cell r="AI799" t="str">
            <v>50100268087860</v>
          </cell>
          <cell r="AJ799" t="str">
            <v>HDFC0001996</v>
          </cell>
          <cell r="AK799" t="str">
            <v>GZKPP5870C</v>
          </cell>
          <cell r="AL799">
            <v>842495952712</v>
          </cell>
          <cell r="AM799" t="str">
            <v>Madhu Sudhan</v>
          </cell>
          <cell r="AN799">
            <v>45201</v>
          </cell>
          <cell r="AU799" t="e">
            <v>#N/A</v>
          </cell>
          <cell r="AW799">
            <v>33346</v>
          </cell>
          <cell r="AX799" t="str">
            <v>Female</v>
          </cell>
          <cell r="AY799" t="str">
            <v>Part Time</v>
          </cell>
          <cell r="AZ799">
            <v>2</v>
          </cell>
          <cell r="BA799" t="str">
            <v>Himayathnagar Cluster</v>
          </cell>
        </row>
        <row r="800">
          <cell r="M800" t="str">
            <v>Shamshabad 2- 113</v>
          </cell>
          <cell r="N800" t="str">
            <v>Basic USG, Tiffa, Basic CT, Basic MRI, X-Ray, IVP, RGU, MCGU, Barium Swallow, Barium Enema, HSG</v>
          </cell>
          <cell r="O800" t="str">
            <v>Radiology</v>
          </cell>
          <cell r="P800" t="str">
            <v>Consultant Radiologist</v>
          </cell>
          <cell r="Q800" t="str">
            <v>Dr. Krishna Mohan Pottala</v>
          </cell>
          <cell r="R800">
            <v>44854</v>
          </cell>
          <cell r="S800">
            <v>44854</v>
          </cell>
          <cell r="T800">
            <v>45584</v>
          </cell>
          <cell r="U800">
            <v>45585</v>
          </cell>
          <cell r="V800">
            <v>2009</v>
          </cell>
          <cell r="W800" t="str">
            <v>College of Medical Sciences, Bharatpur, Chitwan District, Nepal</v>
          </cell>
          <cell r="X800">
            <v>2017</v>
          </cell>
          <cell r="Y800" t="str">
            <v>A J Institute of Medical Sciences and Research Centre, RGUHS, Karnataka</v>
          </cell>
          <cell r="Z800" t="str">
            <v>NA</v>
          </cell>
          <cell r="AA800" t="str">
            <v>MBBS, MD</v>
          </cell>
          <cell r="AB800" t="str">
            <v>APMC/FMR/74402</v>
          </cell>
          <cell r="AC800" t="str">
            <v>Telangana State Medical Sciences</v>
          </cell>
          <cell r="AD800">
            <v>43573</v>
          </cell>
          <cell r="AE800">
            <v>45398</v>
          </cell>
          <cell r="AF800" t="str">
            <v>9740284229/9493320299</v>
          </cell>
          <cell r="AG800" t="str">
            <v>psamuel18@yahoo.co.in/psamuel82@gmail.com</v>
          </cell>
          <cell r="AH800" t="str">
            <v>HSBC Bank</v>
          </cell>
          <cell r="AI800" t="str">
            <v>081168775006</v>
          </cell>
          <cell r="AJ800" t="str">
            <v>HSBC0500002</v>
          </cell>
          <cell r="AK800" t="str">
            <v>CVUPS1204H</v>
          </cell>
          <cell r="AL800">
            <v>789295915195</v>
          </cell>
          <cell r="AM800" t="str">
            <v>Perumall Benjanain Arnold</v>
          </cell>
          <cell r="AN800">
            <v>45291</v>
          </cell>
          <cell r="AO800">
            <v>45261</v>
          </cell>
          <cell r="AU800">
            <v>0.75</v>
          </cell>
          <cell r="AV800">
            <v>0.83333333333333337</v>
          </cell>
          <cell r="AW800">
            <v>30017</v>
          </cell>
          <cell r="AX800" t="str">
            <v>Male</v>
          </cell>
          <cell r="AY800" t="str">
            <v>Part Time</v>
          </cell>
          <cell r="AZ800">
            <v>2</v>
          </cell>
          <cell r="BA800" t="str">
            <v>Tolichowki Cluster</v>
          </cell>
        </row>
        <row r="801">
          <cell r="M801" t="str">
            <v>Nizampet - 46</v>
          </cell>
          <cell r="N801" t="str">
            <v>Physician Services</v>
          </cell>
          <cell r="O801" t="str">
            <v>Physician Services</v>
          </cell>
          <cell r="P801" t="str">
            <v>Consultant Physician</v>
          </cell>
          <cell r="Q801" t="str">
            <v>Ms. Suprita Reddy</v>
          </cell>
          <cell r="R801">
            <v>44860</v>
          </cell>
          <cell r="S801">
            <v>44860</v>
          </cell>
          <cell r="T801">
            <v>45590</v>
          </cell>
          <cell r="U801">
            <v>45591</v>
          </cell>
          <cell r="V801">
            <v>2018</v>
          </cell>
          <cell r="W801" t="str">
            <v>Kamineni Institute of Medical Science Narketpally</v>
          </cell>
          <cell r="Z801" t="str">
            <v>NA</v>
          </cell>
          <cell r="AB801" t="str">
            <v>TSMC/FMR/08483</v>
          </cell>
          <cell r="AC801" t="str">
            <v>Telangana State Medical Council</v>
          </cell>
          <cell r="AD801">
            <v>43580</v>
          </cell>
          <cell r="AE801">
            <v>45407</v>
          </cell>
          <cell r="AF801">
            <v>9494129058</v>
          </cell>
          <cell r="AG801" t="str">
            <v>vuru.sai@gmail.com</v>
          </cell>
          <cell r="AH801" t="str">
            <v>Federal Bank</v>
          </cell>
          <cell r="AI801" t="str">
            <v>15550100051835</v>
          </cell>
          <cell r="AJ801" t="str">
            <v>FDRL0001555</v>
          </cell>
          <cell r="AK801" t="str">
            <v>DHYPP5359B</v>
          </cell>
          <cell r="AL801">
            <v>510704651529</v>
          </cell>
          <cell r="AM801" t="str">
            <v>Vurubandi Siva Prasad</v>
          </cell>
          <cell r="AW801">
            <v>34148</v>
          </cell>
          <cell r="AX801" t="str">
            <v>Female</v>
          </cell>
          <cell r="AY801" t="str">
            <v>Part Time</v>
          </cell>
          <cell r="AZ801">
            <v>1</v>
          </cell>
          <cell r="BA801" t="str">
            <v>Kukatpally Cluster</v>
          </cell>
        </row>
        <row r="802">
          <cell r="M802" t="str">
            <v>Sangareddy - 4</v>
          </cell>
          <cell r="N802" t="str">
            <v>Basic USG, Tiffa, Fetal Echo, MSK Shoulder, Guided Procedures, Basic CT, Basic MRI, Xray, IVP, RGU, MCGU</v>
          </cell>
          <cell r="O802" t="str">
            <v>Radiology</v>
          </cell>
          <cell r="P802" t="str">
            <v>Consultant Radiologist</v>
          </cell>
          <cell r="Q802" t="str">
            <v>Dr. Krishna Mohan Pottala</v>
          </cell>
          <cell r="R802">
            <v>44866</v>
          </cell>
          <cell r="S802">
            <v>44866</v>
          </cell>
          <cell r="T802">
            <v>45596</v>
          </cell>
          <cell r="U802">
            <v>45597</v>
          </cell>
          <cell r="V802">
            <v>2016</v>
          </cell>
          <cell r="W802" t="str">
            <v>MNR Medical College, Sangareddy, Hyderabad</v>
          </cell>
          <cell r="X802">
            <v>2022</v>
          </cell>
          <cell r="Y802" t="str">
            <v>Mahatma Gandhi medical college, Puducherry</v>
          </cell>
          <cell r="Z802" t="str">
            <v>NA</v>
          </cell>
          <cell r="AA802" t="str">
            <v>MBBS, MD</v>
          </cell>
          <cell r="AB802" t="str">
            <v>TSMC/FMR/01004 - Only MBBS (not valid)</v>
          </cell>
          <cell r="AC802" t="str">
            <v>Telangana State Medical Council</v>
          </cell>
          <cell r="AF802">
            <v>9494861526</v>
          </cell>
          <cell r="AG802" t="str">
            <v>polasaaditya5@gmail.com</v>
          </cell>
          <cell r="AH802" t="str">
            <v>HDFC Bank</v>
          </cell>
          <cell r="AI802">
            <v>50100016798528</v>
          </cell>
          <cell r="AJ802" t="str">
            <v>HDFC0001982</v>
          </cell>
          <cell r="AK802" t="str">
            <v>CNBPP5144E</v>
          </cell>
          <cell r="AL802">
            <v>565661927844</v>
          </cell>
          <cell r="AM802" t="str">
            <v>Polasa Suresh</v>
          </cell>
          <cell r="AW802">
            <v>33008</v>
          </cell>
          <cell r="AX802" t="str">
            <v>Male</v>
          </cell>
          <cell r="AY802" t="str">
            <v>Part Time</v>
          </cell>
          <cell r="AZ802">
            <v>2</v>
          </cell>
          <cell r="BA802" t="str">
            <v>Kukatpally Cluster</v>
          </cell>
        </row>
        <row r="803">
          <cell r="M803" t="str">
            <v>Karimnagar-75</v>
          </cell>
          <cell r="N803" t="str">
            <v>Basic USG, Tiffa, Guided Procedures, Basic CT, Basic MRI, X-Ray, IVP, RGU, MCGU</v>
          </cell>
          <cell r="O803" t="str">
            <v>Radiology</v>
          </cell>
          <cell r="P803" t="str">
            <v>Consultant Radiologist</v>
          </cell>
          <cell r="Q803" t="str">
            <v>Dr. Krishna Mohan Pottala</v>
          </cell>
          <cell r="R803">
            <v>44866</v>
          </cell>
          <cell r="S803">
            <v>44866</v>
          </cell>
          <cell r="T803">
            <v>45596</v>
          </cell>
          <cell r="U803">
            <v>45597</v>
          </cell>
          <cell r="V803">
            <v>2018</v>
          </cell>
          <cell r="W803" t="str">
            <v>MNR Medical College, Sangareddy, Telangana</v>
          </cell>
          <cell r="X803">
            <v>2022</v>
          </cell>
          <cell r="Y803" t="str">
            <v xml:space="preserve">Prathima Institute of Medical Sciences, Karimnagar </v>
          </cell>
          <cell r="Z803" t="str">
            <v>NA</v>
          </cell>
          <cell r="AA803" t="str">
            <v>MBBS, MD</v>
          </cell>
          <cell r="AB803" t="str">
            <v>TSMC/FMR/08293- Only MBBS</v>
          </cell>
          <cell r="AC803" t="str">
            <v>Telangana State Medical Council</v>
          </cell>
          <cell r="AF803">
            <v>7995675438</v>
          </cell>
          <cell r="AG803" t="str">
            <v>akki.nelluri@gmail.com</v>
          </cell>
          <cell r="AH803" t="str">
            <v>State bank of india</v>
          </cell>
          <cell r="AI803">
            <v>62235523670</v>
          </cell>
          <cell r="AJ803" t="str">
            <v>SBIN0020181</v>
          </cell>
          <cell r="AK803" t="str">
            <v>BOJPN3038P</v>
          </cell>
          <cell r="AL803">
            <v>954975541910</v>
          </cell>
          <cell r="AM803" t="str">
            <v>Nelluri Mohan Rao</v>
          </cell>
          <cell r="AS803" t="e">
            <v>#N/A</v>
          </cell>
          <cell r="AW803">
            <v>34466</v>
          </cell>
          <cell r="AX803" t="str">
            <v>Male</v>
          </cell>
          <cell r="AY803" t="str">
            <v>Part Time</v>
          </cell>
          <cell r="AZ803">
            <v>3</v>
          </cell>
          <cell r="BA803" t="str">
            <v>TS - Upcountry</v>
          </cell>
        </row>
        <row r="804">
          <cell r="M804" t="str">
            <v>Ameerpet - 14</v>
          </cell>
          <cell r="N804" t="str">
            <v>Basic USG, Tiffa, Penile Doppler/TRUS, Guided Procedure, Doppler, Basic CT, All Angios, Basic MRI, X Ray, Radiography, Mammography, IVP, RGU, MCUG, Barium Swallow, Barium Anema, HSG</v>
          </cell>
          <cell r="O804" t="str">
            <v>Radiology</v>
          </cell>
          <cell r="P804" t="str">
            <v>Consultant Radiologist</v>
          </cell>
          <cell r="Q804" t="str">
            <v>Dr. Krishna Mohan Pottala</v>
          </cell>
          <cell r="R804">
            <v>45154</v>
          </cell>
          <cell r="S804">
            <v>45154</v>
          </cell>
          <cell r="T804">
            <v>45884</v>
          </cell>
          <cell r="U804">
            <v>45885</v>
          </cell>
          <cell r="V804">
            <v>2017</v>
          </cell>
          <cell r="W804" t="str">
            <v>Kamineni Institute of Medical Sciences, Narketpally</v>
          </cell>
          <cell r="X804">
            <v>2021</v>
          </cell>
          <cell r="Y804" t="str">
            <v>Amrita institute of medical sciences, Kochi (Kerala)</v>
          </cell>
          <cell r="Z804" t="str">
            <v>NA</v>
          </cell>
          <cell r="AA804" t="str">
            <v>MBBS,MD</v>
          </cell>
          <cell r="AB804" t="str">
            <v>TSMC/FMR/03567</v>
          </cell>
          <cell r="AC804" t="str">
            <v>Telangana State Medical Council</v>
          </cell>
          <cell r="AD804">
            <v>44739</v>
          </cell>
          <cell r="AE804">
            <v>46564</v>
          </cell>
          <cell r="AF804">
            <v>9696968670</v>
          </cell>
          <cell r="AG804" t="str">
            <v>saithejapaidipelly@gmail.com</v>
          </cell>
          <cell r="AH804" t="str">
            <v>SBI Bank</v>
          </cell>
          <cell r="AI804">
            <v>62391185674</v>
          </cell>
          <cell r="AJ804" t="str">
            <v>SBIN0021439</v>
          </cell>
          <cell r="AK804" t="str">
            <v>CYIPP8252P</v>
          </cell>
          <cell r="AL804">
            <v>679967224332</v>
          </cell>
          <cell r="AM804" t="str">
            <v>Paidipally Satyanarayana Rao</v>
          </cell>
          <cell r="AN804">
            <v>45511</v>
          </cell>
          <cell r="AO804" t="str">
            <v>NA</v>
          </cell>
          <cell r="AP804" t="str">
            <v>Personal Reason</v>
          </cell>
          <cell r="AQ804" t="str">
            <v>1-5-198/H, Ravindranath Tagore Nagar, Jagtial, TELANGANA – 505327</v>
          </cell>
          <cell r="AS804" t="str">
            <v>1-5-198/H, Ravindranath Tagore Nagar, Jagtial, TELANGANA – 505327</v>
          </cell>
          <cell r="AU804">
            <v>0.33333333333333331</v>
          </cell>
          <cell r="AV804">
            <v>0.45833333333333331</v>
          </cell>
          <cell r="AW804">
            <v>34393</v>
          </cell>
          <cell r="AX804" t="str">
            <v>Male</v>
          </cell>
          <cell r="AY804" t="str">
            <v>Part Time</v>
          </cell>
          <cell r="AZ804">
            <v>3</v>
          </cell>
          <cell r="BA804" t="str">
            <v>Himayathnagar Cluster</v>
          </cell>
        </row>
        <row r="805">
          <cell r="M805" t="str">
            <v>Himayatnagar</v>
          </cell>
          <cell r="N805" t="str">
            <v>N/A</v>
          </cell>
          <cell r="O805" t="str">
            <v>Microbiology</v>
          </cell>
          <cell r="P805" t="str">
            <v>Senior Consultant Microbiologist</v>
          </cell>
          <cell r="Q805" t="str">
            <v>Dr P T S Shashikant</v>
          </cell>
          <cell r="R805">
            <v>45082</v>
          </cell>
          <cell r="S805">
            <v>45082</v>
          </cell>
          <cell r="T805">
            <v>45081</v>
          </cell>
          <cell r="U805">
            <v>45813</v>
          </cell>
          <cell r="V805">
            <v>2001</v>
          </cell>
          <cell r="W805" t="str">
            <v>Dr. NTR University of Health and Science</v>
          </cell>
          <cell r="X805">
            <v>2010</v>
          </cell>
          <cell r="Y805" t="str">
            <v>NTR University</v>
          </cell>
          <cell r="Z805" t="str">
            <v>N/A</v>
          </cell>
          <cell r="AA805" t="str">
            <v>MBBS, MD</v>
          </cell>
          <cell r="AB805">
            <v>48289</v>
          </cell>
          <cell r="AC805" t="str">
            <v>Telangana State Medical Council</v>
          </cell>
          <cell r="AD805">
            <v>44443</v>
          </cell>
          <cell r="AE805">
            <v>46268</v>
          </cell>
          <cell r="AF805">
            <v>8886272761</v>
          </cell>
          <cell r="AG805" t="str">
            <v>drharoonhussain@gmail.com</v>
          </cell>
          <cell r="AH805" t="str">
            <v>HDFC Bank</v>
          </cell>
          <cell r="AI805" t="str">
            <v>50100080115941</v>
          </cell>
          <cell r="AJ805" t="str">
            <v>HDFC0002019</v>
          </cell>
          <cell r="AK805" t="str">
            <v>DANPS3759G</v>
          </cell>
          <cell r="AL805">
            <v>919860349039</v>
          </cell>
          <cell r="AM805" t="str">
            <v>Syed Mushtaq Hussain</v>
          </cell>
          <cell r="AN805">
            <v>45514</v>
          </cell>
          <cell r="AO805">
            <v>45512</v>
          </cell>
          <cell r="AP805" t="str">
            <v>Foreign opportunity</v>
          </cell>
          <cell r="AU805">
            <v>0.33333333333333331</v>
          </cell>
          <cell r="AV805">
            <v>0.66666666666666663</v>
          </cell>
          <cell r="AW805">
            <v>28817</v>
          </cell>
          <cell r="AX805" t="str">
            <v>Male</v>
          </cell>
          <cell r="AY805" t="str">
            <v>Full Time</v>
          </cell>
          <cell r="AZ805">
            <v>8</v>
          </cell>
          <cell r="BA805" t="str">
            <v>Himayathnagar Cluster</v>
          </cell>
        </row>
        <row r="806">
          <cell r="M806" t="str">
            <v>Madinaguda - 112</v>
          </cell>
          <cell r="N806" t="str">
            <v>Hematology, Cytopathology, Clinical Pathology</v>
          </cell>
          <cell r="O806" t="str">
            <v>Pathology</v>
          </cell>
          <cell r="P806" t="str">
            <v>Consultant Pathologist</v>
          </cell>
          <cell r="Q806" t="str">
            <v>Dr. Anil Tarigopula</v>
          </cell>
          <cell r="R806">
            <v>44868</v>
          </cell>
          <cell r="S806">
            <v>44868</v>
          </cell>
          <cell r="T806">
            <v>45598</v>
          </cell>
          <cell r="U806">
            <v>45599</v>
          </cell>
          <cell r="V806">
            <v>2018</v>
          </cell>
          <cell r="W806" t="str">
            <v>Alluri Sitaram Raju Academy of Medical Science, Eluru, Andhra Pradesh</v>
          </cell>
          <cell r="X806">
            <v>2021</v>
          </cell>
          <cell r="Y806" t="str">
            <v>Alluri Sitaram Raju Academy of Medical Science, Eluru, Andhra Pradesh</v>
          </cell>
          <cell r="Z806" t="str">
            <v>NA</v>
          </cell>
          <cell r="AA806" t="str">
            <v>MBBS, MD</v>
          </cell>
          <cell r="AB806" t="str">
            <v>TSMC/FMR/18359</v>
          </cell>
          <cell r="AC806" t="str">
            <v>Telangana State Medical Council</v>
          </cell>
          <cell r="AD806">
            <v>44784</v>
          </cell>
          <cell r="AE806">
            <v>46609</v>
          </cell>
          <cell r="AF806">
            <v>8143765563</v>
          </cell>
          <cell r="AG806" t="str">
            <v>pls.sarvani@gmail.com</v>
          </cell>
          <cell r="AH806" t="str">
            <v>Bank of Baroda</v>
          </cell>
          <cell r="AI806" t="str">
            <v>79260100007308</v>
          </cell>
          <cell r="AJ806" t="str">
            <v>BARB0VJMIYA</v>
          </cell>
          <cell r="AK806" t="str">
            <v>CVFPP7254R</v>
          </cell>
          <cell r="AL806">
            <v>876423381868</v>
          </cell>
          <cell r="AM806" t="str">
            <v>Suresh Puttumutu</v>
          </cell>
          <cell r="AN806">
            <v>45401</v>
          </cell>
          <cell r="AO806">
            <v>45395</v>
          </cell>
          <cell r="AP806" t="str">
            <v>Personal Reason</v>
          </cell>
          <cell r="AU806">
            <v>0.33333333333333331</v>
          </cell>
          <cell r="AV806">
            <v>0.66666666666666663</v>
          </cell>
          <cell r="AW806">
            <v>34614</v>
          </cell>
          <cell r="AX806" t="str">
            <v>Female</v>
          </cell>
          <cell r="AY806" t="str">
            <v>Full Time</v>
          </cell>
          <cell r="AZ806">
            <v>8</v>
          </cell>
          <cell r="BA806" t="str">
            <v>Madhapur Cluster</v>
          </cell>
        </row>
        <row r="807">
          <cell r="M807" t="str">
            <v>Karmanghat - 68</v>
          </cell>
          <cell r="N807" t="str">
            <v>Basic USG, Tiffa, Guided Procedures, Basic CT, X-Ray, IVP, RGU, MCGU, Barium Swallow, Barium Enema, HSG</v>
          </cell>
          <cell r="O807" t="str">
            <v>Radiology</v>
          </cell>
          <cell r="P807" t="str">
            <v>Consultant Radiologist</v>
          </cell>
          <cell r="Q807" t="str">
            <v>Dr. Krishna Mohan Pottala</v>
          </cell>
          <cell r="R807">
            <v>44872</v>
          </cell>
          <cell r="S807">
            <v>44872</v>
          </cell>
          <cell r="T807">
            <v>45602</v>
          </cell>
          <cell r="U807">
            <v>45603</v>
          </cell>
          <cell r="V807">
            <v>2016</v>
          </cell>
          <cell r="W807" t="str">
            <v>Prathima Institute of Medical Sciences, Karimnagar, Telangana</v>
          </cell>
          <cell r="X807">
            <v>2021</v>
          </cell>
          <cell r="Y807" t="str">
            <v>SRM Medical College Hospital and Research Center</v>
          </cell>
          <cell r="Z807" t="str">
            <v>NA</v>
          </cell>
          <cell r="AA807" t="str">
            <v>MBBS, MD</v>
          </cell>
          <cell r="AB807" t="str">
            <v>TSMC/FMR/04361</v>
          </cell>
          <cell r="AC807" t="str">
            <v>Telangana State Medical Council</v>
          </cell>
          <cell r="AD807">
            <v>44411</v>
          </cell>
          <cell r="AE807">
            <v>46236</v>
          </cell>
          <cell r="AF807">
            <v>7893336394</v>
          </cell>
          <cell r="AG807" t="str">
            <v>vinisharao8@gmail.com</v>
          </cell>
          <cell r="AH807" t="str">
            <v>SBI Bank</v>
          </cell>
          <cell r="AI807">
            <v>62096744731</v>
          </cell>
          <cell r="AJ807" t="str">
            <v>SBIN0020248</v>
          </cell>
          <cell r="AK807" t="str">
            <v>GZVPK7521L</v>
          </cell>
          <cell r="AL807">
            <v>510727456707</v>
          </cell>
          <cell r="AM807" t="str">
            <v>Kamadana Firoz Kumar</v>
          </cell>
          <cell r="AN807">
            <v>45166</v>
          </cell>
          <cell r="AW807">
            <v>34238</v>
          </cell>
          <cell r="AX807" t="str">
            <v>Female</v>
          </cell>
          <cell r="AY807" t="str">
            <v>Full Time</v>
          </cell>
          <cell r="AZ807">
            <v>8</v>
          </cell>
          <cell r="BA807" t="str">
            <v>Santosh Nagar Cluster</v>
          </cell>
        </row>
        <row r="808">
          <cell r="M808" t="str">
            <v>Dilsukhnagar - 12</v>
          </cell>
          <cell r="N808" t="str">
            <v>Hematology, Cytopathology, Clinical Pathology</v>
          </cell>
          <cell r="O808" t="str">
            <v>Pathology</v>
          </cell>
          <cell r="P808" t="str">
            <v>Consultant Pathologist</v>
          </cell>
          <cell r="Q808" t="str">
            <v>Dr. Anil Tarigopula</v>
          </cell>
          <cell r="R808">
            <v>44872</v>
          </cell>
          <cell r="S808">
            <v>44872</v>
          </cell>
          <cell r="T808">
            <v>45602</v>
          </cell>
          <cell r="U808">
            <v>45603</v>
          </cell>
          <cell r="V808">
            <v>2014</v>
          </cell>
          <cell r="W808" t="str">
            <v>Government Medical College, Akola</v>
          </cell>
          <cell r="X808">
            <v>2020</v>
          </cell>
          <cell r="Y808" t="str">
            <v>Annasaheb Chudaman Patil Memorial Medical College, Dhule, Maharashtra</v>
          </cell>
          <cell r="Z808" t="str">
            <v>NA</v>
          </cell>
          <cell r="AA808" t="str">
            <v>MBBS, MD</v>
          </cell>
          <cell r="AB808">
            <v>160252</v>
          </cell>
          <cell r="AC808" t="str">
            <v>Tamil Nadu Medical Council</v>
          </cell>
          <cell r="AF808">
            <v>9511859166</v>
          </cell>
          <cell r="AG808" t="str">
            <v>bhusare999@gmail.com</v>
          </cell>
          <cell r="AH808" t="str">
            <v>Punjab National Bank</v>
          </cell>
          <cell r="AI808" t="str">
            <v>0139006900005975</v>
          </cell>
          <cell r="AJ808" t="str">
            <v>PUNB0013900</v>
          </cell>
          <cell r="AK808" t="str">
            <v>BPXPB2759C</v>
          </cell>
          <cell r="AL808">
            <v>524580536460</v>
          </cell>
          <cell r="AM808" t="str">
            <v xml:space="preserve">Sadhashiv Pasram Bhushare </v>
          </cell>
          <cell r="AN808">
            <v>45181</v>
          </cell>
          <cell r="AW808">
            <v>32502</v>
          </cell>
          <cell r="AX808" t="str">
            <v>Female</v>
          </cell>
          <cell r="AY808" t="str">
            <v>Full Time</v>
          </cell>
          <cell r="AZ808">
            <v>8</v>
          </cell>
          <cell r="BA808" t="str">
            <v>Dilshuknagar Cluster</v>
          </cell>
        </row>
        <row r="809">
          <cell r="M809" t="str">
            <v>Hanamkonda - 40</v>
          </cell>
          <cell r="N809" t="str">
            <v>Basic USG, Tiffa, MSK, Penile Dopplers/TRUS, Guided Procedures, Basic CT, All Angios, CT Enteroclysis, Basic MRI, MR Perfusion, MR Prostate, X-Ray, Mammography, IVP, RGU, MCGU, Barium Swallow, Barium Enema, HSG</v>
          </cell>
          <cell r="O809" t="str">
            <v>Radiology</v>
          </cell>
          <cell r="P809" t="str">
            <v>Consultant Radiologist</v>
          </cell>
          <cell r="Q809" t="str">
            <v>Dr. Krishna Mohan Pottala</v>
          </cell>
          <cell r="R809">
            <v>44872</v>
          </cell>
          <cell r="S809">
            <v>44872</v>
          </cell>
          <cell r="T809">
            <v>45602</v>
          </cell>
          <cell r="U809">
            <v>45603</v>
          </cell>
          <cell r="W809" t="str">
            <v>Siddhartha Medical College, Vijayawada</v>
          </cell>
          <cell r="X809">
            <v>2020</v>
          </cell>
          <cell r="Y809" t="str">
            <v>JIPMER, Pondicherry</v>
          </cell>
          <cell r="Z809" t="str">
            <v>DNB-2020</v>
          </cell>
          <cell r="AA809" t="str">
            <v>MBBS, MD, DNB</v>
          </cell>
          <cell r="AB809" t="str">
            <v>APMC/FMR/92706</v>
          </cell>
          <cell r="AC809" t="str">
            <v>Telangana State Medical Council</v>
          </cell>
          <cell r="AF809">
            <v>9585227838</v>
          </cell>
          <cell r="AG809" t="str">
            <v>shivakrishnambbs@gmail.com</v>
          </cell>
          <cell r="AH809" t="str">
            <v>State bank of india</v>
          </cell>
          <cell r="AI809">
            <v>36573428299</v>
          </cell>
          <cell r="AJ809" t="str">
            <v>SBIN0001536</v>
          </cell>
          <cell r="AK809" t="str">
            <v>CQYPS3648N</v>
          </cell>
          <cell r="AL809">
            <v>222210265980</v>
          </cell>
          <cell r="AM809" t="str">
            <v>Shekar</v>
          </cell>
          <cell r="AN809">
            <v>44575</v>
          </cell>
          <cell r="AO809">
            <v>44880</v>
          </cell>
          <cell r="AW809">
            <v>33325</v>
          </cell>
          <cell r="AX809" t="str">
            <v>Male</v>
          </cell>
          <cell r="AY809" t="str">
            <v>Part Time</v>
          </cell>
          <cell r="AZ809">
            <v>4</v>
          </cell>
          <cell r="BA809" t="str">
            <v>TS - Upcountry</v>
          </cell>
        </row>
        <row r="810">
          <cell r="M810" t="str">
            <v>Gurgaon - 54</v>
          </cell>
          <cell r="N810" t="str">
            <v>Basic USG, Tiffa, MSK, Guided Procedures, Basic CT, All Angios, Virtual Endoscopy, CT Enterclysis, Guided Procedures, X-Ray, Mommography, Basic MRI, MR Perfusion, Fetal MRI, MR Prostate, IVP, RGU, MCGU, Barium Swallow, Barium Enema, HSG</v>
          </cell>
          <cell r="O810" t="str">
            <v>Radiology</v>
          </cell>
          <cell r="P810" t="str">
            <v>Consultant Radiologist</v>
          </cell>
          <cell r="Q810" t="str">
            <v>Dr. Krishna Mohan Pottala</v>
          </cell>
          <cell r="R810">
            <v>44880</v>
          </cell>
          <cell r="S810">
            <v>44880</v>
          </cell>
          <cell r="T810">
            <v>45610</v>
          </cell>
          <cell r="U810">
            <v>45611</v>
          </cell>
          <cell r="V810">
            <v>2009</v>
          </cell>
          <cell r="W810" t="str">
            <v>Government Medical College, Haldwani, Kumaun University, Uttarakhand</v>
          </cell>
          <cell r="X810">
            <v>2014</v>
          </cell>
          <cell r="Y810" t="str">
            <v>Tata Memorial Centre, Mumbai, Homi Bhabha National Institute</v>
          </cell>
          <cell r="Z810" t="str">
            <v>NA</v>
          </cell>
          <cell r="AA810" t="str">
            <v>MBBS, MD</v>
          </cell>
          <cell r="AB810" t="str">
            <v>HN-18772</v>
          </cell>
          <cell r="AC810" t="str">
            <v>Haryanana Medical Council</v>
          </cell>
          <cell r="AF810">
            <v>7530048397</v>
          </cell>
          <cell r="AG810" t="str">
            <v>sonaljoshi012@gmail.com</v>
          </cell>
          <cell r="AH810" t="str">
            <v>Kotak Mahindra Bank</v>
          </cell>
          <cell r="AI810" t="str">
            <v>041154918</v>
          </cell>
          <cell r="AJ810" t="str">
            <v>KKBK0000282</v>
          </cell>
          <cell r="AK810" t="str">
            <v>DFNPS0160A</v>
          </cell>
          <cell r="AL810">
            <v>271779227552</v>
          </cell>
          <cell r="AM810" t="str">
            <v>Nagendra</v>
          </cell>
          <cell r="AW810">
            <v>30956</v>
          </cell>
          <cell r="AX810" t="str">
            <v>Female</v>
          </cell>
          <cell r="AY810" t="str">
            <v>Part Time</v>
          </cell>
          <cell r="AZ810">
            <v>6</v>
          </cell>
          <cell r="BA810" t="str">
            <v>Haryana Cluster</v>
          </cell>
        </row>
        <row r="811">
          <cell r="M811" t="str">
            <v>BHEL-30</v>
          </cell>
          <cell r="N811" t="str">
            <v>Basic USG, Tiffa, X-Ray, Mammography</v>
          </cell>
          <cell r="O811" t="str">
            <v>Radiology</v>
          </cell>
          <cell r="P811" t="str">
            <v>Consultant Radiologist</v>
          </cell>
          <cell r="Q811" t="str">
            <v>Dr. Krishna Mohan Pottala</v>
          </cell>
          <cell r="R811">
            <v>44879</v>
          </cell>
          <cell r="S811">
            <v>44879</v>
          </cell>
          <cell r="T811">
            <v>45609</v>
          </cell>
          <cell r="U811">
            <v>45610</v>
          </cell>
          <cell r="V811">
            <v>2005</v>
          </cell>
          <cell r="W811" t="str">
            <v>Sri Ramachandra Medical College &amp; Research Institute, Porur, Chennai</v>
          </cell>
          <cell r="X811">
            <v>2011</v>
          </cell>
          <cell r="Y811" t="str">
            <v>Sri Ramachandra Medical College &amp; Research Institute, Porur, Chennai</v>
          </cell>
          <cell r="Z811" t="str">
            <v>NA</v>
          </cell>
          <cell r="AA811" t="str">
            <v>MBBS, MD</v>
          </cell>
          <cell r="AB811">
            <v>72908</v>
          </cell>
          <cell r="AC811" t="str">
            <v>Telangana State Medical Council</v>
          </cell>
          <cell r="AD811">
            <v>43157</v>
          </cell>
          <cell r="AE811">
            <v>44982</v>
          </cell>
          <cell r="AF811">
            <v>7702344881</v>
          </cell>
          <cell r="AG811" t="str">
            <v>dr.anusheela@gmail.com</v>
          </cell>
          <cell r="AH811" t="str">
            <v>SBI Bank</v>
          </cell>
          <cell r="AI811">
            <v>62178468215</v>
          </cell>
          <cell r="AJ811" t="str">
            <v>SBIN0020072</v>
          </cell>
          <cell r="AK811" t="str">
            <v>AAXPY0511B</v>
          </cell>
          <cell r="AL811">
            <v>854317701894</v>
          </cell>
          <cell r="AM811" t="str">
            <v>Yalavarthy Shyam Prasad</v>
          </cell>
          <cell r="AN811">
            <v>45297</v>
          </cell>
          <cell r="AO811">
            <v>45297</v>
          </cell>
          <cell r="AU811">
            <v>0.375</v>
          </cell>
          <cell r="AV811">
            <v>0.54166666666666663</v>
          </cell>
          <cell r="AW811">
            <v>29683</v>
          </cell>
          <cell r="AX811" t="str">
            <v>Female</v>
          </cell>
          <cell r="AY811" t="str">
            <v>Part Time</v>
          </cell>
          <cell r="AZ811">
            <v>4</v>
          </cell>
          <cell r="BA811" t="str">
            <v>Madhapur Cluster</v>
          </cell>
        </row>
        <row r="812">
          <cell r="M812" t="str">
            <v>Rajahmundry-118</v>
          </cell>
          <cell r="N812" t="str">
            <v>Hematology, Cytopathology, Clinical Pathology</v>
          </cell>
          <cell r="O812" t="str">
            <v>Pathology</v>
          </cell>
          <cell r="P812" t="str">
            <v>Consultant Pathologist</v>
          </cell>
          <cell r="Q812" t="str">
            <v>Dr. Anil Tarigopula</v>
          </cell>
          <cell r="R812">
            <v>44879</v>
          </cell>
          <cell r="S812">
            <v>44879</v>
          </cell>
          <cell r="T812">
            <v>45609</v>
          </cell>
          <cell r="U812">
            <v>45610</v>
          </cell>
          <cell r="V812">
            <v>2015</v>
          </cell>
          <cell r="W812" t="str">
            <v xml:space="preserve"> Kurnool Medical College</v>
          </cell>
          <cell r="X812">
            <v>2021</v>
          </cell>
          <cell r="Y812" t="str">
            <v>Kakatiya Medical College, Warangal</v>
          </cell>
          <cell r="Z812" t="str">
            <v>NA</v>
          </cell>
          <cell r="AA812" t="str">
            <v>MBBS, MD</v>
          </cell>
          <cell r="AB812" t="str">
            <v>APMC/FMR/95931</v>
          </cell>
          <cell r="AC812" t="str">
            <v>Andhra Pradesh Medical Council</v>
          </cell>
          <cell r="AD812">
            <v>44739</v>
          </cell>
          <cell r="AE812">
            <v>46564</v>
          </cell>
          <cell r="AF812">
            <v>9989249267</v>
          </cell>
          <cell r="AG812" t="str">
            <v>r.niharika122@icloud.com</v>
          </cell>
          <cell r="AH812" t="str">
            <v>Canara Bank</v>
          </cell>
          <cell r="AI812" t="str">
            <v>110045505440</v>
          </cell>
          <cell r="AJ812" t="str">
            <v>CNRB0000778</v>
          </cell>
          <cell r="AK812" t="str">
            <v>ALHPN6786E</v>
          </cell>
          <cell r="AL812">
            <v>851637589690</v>
          </cell>
          <cell r="AM812" t="str">
            <v>Nagendrappa Ravikumar</v>
          </cell>
          <cell r="AN812">
            <v>45118</v>
          </cell>
          <cell r="AW812">
            <v>33722</v>
          </cell>
          <cell r="AX812" t="str">
            <v>Female</v>
          </cell>
          <cell r="AY812" t="str">
            <v>Full Time</v>
          </cell>
          <cell r="AZ812">
            <v>8</v>
          </cell>
          <cell r="BA812" t="str">
            <v>Visakhapatnam Cluster</v>
          </cell>
        </row>
        <row r="813">
          <cell r="M813" t="str">
            <v>Shaikpet-127</v>
          </cell>
          <cell r="N813" t="str">
            <v>Basic USG, Tiffa, MSK, FNAC, Dopplers, Breast USG, Basic CT, All Angios, Basic MRI, X-Ray, IVP, RGU, MCGU, Barium Swallow, Barium Enema, HSG</v>
          </cell>
          <cell r="O813" t="str">
            <v>Radiology</v>
          </cell>
          <cell r="P813" t="str">
            <v>Consultant Radiologist</v>
          </cell>
          <cell r="Q813" t="str">
            <v>Dr. Krishna Mohan Pottala</v>
          </cell>
          <cell r="R813">
            <v>44881</v>
          </cell>
          <cell r="S813">
            <v>44881</v>
          </cell>
          <cell r="T813">
            <v>45611</v>
          </cell>
          <cell r="U813">
            <v>45612</v>
          </cell>
          <cell r="V813">
            <v>2015</v>
          </cell>
          <cell r="W813" t="str">
            <v>Sriramachandra Medical College, Chennai</v>
          </cell>
          <cell r="X813">
            <v>2019</v>
          </cell>
          <cell r="Y813" t="str">
            <v>Sriramachandra Medical College, Chennai</v>
          </cell>
          <cell r="Z813" t="str">
            <v>NA</v>
          </cell>
          <cell r="AA813" t="str">
            <v>MBBS, MD</v>
          </cell>
          <cell r="AB813" t="str">
            <v>TSMC/FMR/ 12784</v>
          </cell>
          <cell r="AC813" t="str">
            <v>Telangana State Medical Council</v>
          </cell>
          <cell r="AD813">
            <v>44076</v>
          </cell>
          <cell r="AE813">
            <v>45901</v>
          </cell>
          <cell r="AF813">
            <v>9003096615</v>
          </cell>
          <cell r="AG813" t="str">
            <v>mannesindhu92@gmail.com</v>
          </cell>
          <cell r="AH813" t="str">
            <v>HDFC Bank</v>
          </cell>
          <cell r="AI813">
            <v>50100301205926</v>
          </cell>
          <cell r="AJ813" t="str">
            <v>HDFC0003611</v>
          </cell>
          <cell r="AK813" t="str">
            <v>BMRP7771N</v>
          </cell>
          <cell r="AL813">
            <v>782339620606</v>
          </cell>
          <cell r="AM813" t="str">
            <v>Vijaya Karunakar Rao</v>
          </cell>
          <cell r="AN813">
            <v>45138</v>
          </cell>
          <cell r="AO813">
            <v>45107</v>
          </cell>
          <cell r="AW813">
            <v>33753</v>
          </cell>
          <cell r="AX813" t="str">
            <v>Female</v>
          </cell>
          <cell r="AY813" t="str">
            <v>Full Time</v>
          </cell>
          <cell r="AZ813">
            <v>8</v>
          </cell>
          <cell r="BA813" t="str">
            <v>Tolichowki Cluster</v>
          </cell>
        </row>
        <row r="814">
          <cell r="M814" t="str">
            <v>Dilsukhnagar - 12</v>
          </cell>
          <cell r="N814" t="str">
            <v>Hematology, Cytopathology, Clinical Pathology</v>
          </cell>
          <cell r="O814" t="str">
            <v>Pathology</v>
          </cell>
          <cell r="P814" t="str">
            <v>Consultant Pathologist</v>
          </cell>
          <cell r="Q814" t="str">
            <v>Dr. Anil Tarigopula</v>
          </cell>
          <cell r="R814">
            <v>44882</v>
          </cell>
          <cell r="S814">
            <v>44882</v>
          </cell>
          <cell r="T814">
            <v>45612</v>
          </cell>
          <cell r="U814">
            <v>45613</v>
          </cell>
          <cell r="V814">
            <v>2014</v>
          </cell>
          <cell r="W814" t="str">
            <v>MNR Medical College, Sangareddy</v>
          </cell>
          <cell r="X814">
            <v>2021</v>
          </cell>
          <cell r="Y814" t="str">
            <v>KIMS, Secunderabad</v>
          </cell>
          <cell r="Z814" t="str">
            <v>NA</v>
          </cell>
          <cell r="AA814" t="str">
            <v>MBBS, DNB</v>
          </cell>
          <cell r="AB814" t="str">
            <v>APMC/FMR/87452</v>
          </cell>
          <cell r="AC814" t="str">
            <v>Telangana State Medical Council</v>
          </cell>
          <cell r="AD814">
            <v>44547</v>
          </cell>
          <cell r="AE814">
            <v>46372</v>
          </cell>
          <cell r="AF814">
            <v>6302331983</v>
          </cell>
          <cell r="AG814" t="str">
            <v>priyanka.sonam17@gmail.com</v>
          </cell>
          <cell r="AH814" t="str">
            <v>Union Bank of India</v>
          </cell>
          <cell r="AI814" t="str">
            <v>219310100048432</v>
          </cell>
          <cell r="AJ814" t="str">
            <v>UBIN0821934</v>
          </cell>
          <cell r="AK814" t="str">
            <v>EJLPS8380F</v>
          </cell>
          <cell r="AL814">
            <v>827873697699</v>
          </cell>
          <cell r="AM814" t="str">
            <v>Ramesh Saxena</v>
          </cell>
          <cell r="AN814">
            <v>45319</v>
          </cell>
          <cell r="AO814">
            <v>45259</v>
          </cell>
          <cell r="AV814">
            <v>0.33333333333333331</v>
          </cell>
          <cell r="AW814">
            <v>32433</v>
          </cell>
          <cell r="AX814" t="str">
            <v>Female</v>
          </cell>
          <cell r="AY814" t="str">
            <v>Full Time</v>
          </cell>
          <cell r="AZ814">
            <v>8</v>
          </cell>
          <cell r="BA814" t="str">
            <v>Dilshuknagar Cluster</v>
          </cell>
        </row>
        <row r="815">
          <cell r="M815" t="str">
            <v>Warangal - 41</v>
          </cell>
          <cell r="N815" t="str">
            <v>Basic USG, Tiffa, MSK, Penile dopplers, FNAC, Dopplers,  X-Ray, Mammography, Basic CT, CT Pulminory Angios,  Guided Procedures, Basic MRI, MR Prostate,  IVP, RGU, MCGU, Barium Swallow, Barium Enema, HSG</v>
          </cell>
          <cell r="O815" t="str">
            <v>Radiology</v>
          </cell>
          <cell r="P815" t="str">
            <v>Consultant Radiologist</v>
          </cell>
          <cell r="Q815" t="str">
            <v>Dr. Krishna Mohan Pottala</v>
          </cell>
          <cell r="R815">
            <v>44886</v>
          </cell>
          <cell r="S815">
            <v>44886</v>
          </cell>
          <cell r="T815">
            <v>45616</v>
          </cell>
          <cell r="U815">
            <v>45617</v>
          </cell>
          <cell r="V815">
            <v>2022</v>
          </cell>
          <cell r="W815" t="str">
            <v>Osmania Medical College, Hyderabad, Telangana</v>
          </cell>
          <cell r="X815">
            <v>2017</v>
          </cell>
          <cell r="Y815" t="str">
            <v>Osmania Medical College, Hyderabad, Telangana</v>
          </cell>
          <cell r="Z815" t="str">
            <v>NA</v>
          </cell>
          <cell r="AA815" t="str">
            <v>MBBS, MD</v>
          </cell>
          <cell r="AB815" t="str">
            <v>TSMC/FMR/04654</v>
          </cell>
          <cell r="AC815" t="str">
            <v>Only MBBS -Telangana State Medical Council</v>
          </cell>
          <cell r="AF815" t="str">
            <v>8247062526, 8106525939</v>
          </cell>
          <cell r="AG815" t="str">
            <v>dr.mohanraorad@gmail.com</v>
          </cell>
          <cell r="AH815" t="str">
            <v>State bank of india</v>
          </cell>
          <cell r="AI815">
            <v>62207478313</v>
          </cell>
          <cell r="AJ815" t="str">
            <v>SBIN0021110</v>
          </cell>
          <cell r="AK815" t="str">
            <v>EDFPP1235Q</v>
          </cell>
          <cell r="AL815">
            <v>211330129670</v>
          </cell>
          <cell r="AM815" t="str">
            <v>Ramaswamy Perumadla</v>
          </cell>
          <cell r="AS815" t="e">
            <v>#N/A</v>
          </cell>
          <cell r="AW815">
            <v>34336</v>
          </cell>
          <cell r="AX815" t="str">
            <v>Male</v>
          </cell>
          <cell r="AY815" t="str">
            <v>Part Time</v>
          </cell>
          <cell r="AZ815">
            <v>5</v>
          </cell>
          <cell r="BA815" t="str">
            <v>TS - Upcountry</v>
          </cell>
        </row>
        <row r="816">
          <cell r="M816" t="str">
            <v>Balapur - 63</v>
          </cell>
          <cell r="N816" t="str">
            <v>Basic USG, Tiffa, MSK, Guided Procedures, X-Ray, Mammography, Basic CT, CT Enteroclysis, Basic MRI, IVP, RGU, MCGU, Barium Swallow, Barium Enema, HSG</v>
          </cell>
          <cell r="O816" t="str">
            <v>Radiology</v>
          </cell>
          <cell r="P816" t="str">
            <v>Consultant Radiologist</v>
          </cell>
          <cell r="Q816" t="str">
            <v>Dr. Krishna Mohan Pottala</v>
          </cell>
          <cell r="R816">
            <v>44893</v>
          </cell>
          <cell r="S816">
            <v>44893</v>
          </cell>
          <cell r="T816">
            <v>45623</v>
          </cell>
          <cell r="U816">
            <v>45624</v>
          </cell>
          <cell r="V816">
            <v>2017</v>
          </cell>
          <cell r="W816" t="str">
            <v xml:space="preserve">Kamineni Medical College, Narketpally </v>
          </cell>
          <cell r="X816">
            <v>2021</v>
          </cell>
          <cell r="Y816" t="str">
            <v>Mamatha Medical College, Khammam</v>
          </cell>
          <cell r="Z816" t="str">
            <v>NA</v>
          </cell>
          <cell r="AA816" t="str">
            <v>MBBS, MD</v>
          </cell>
          <cell r="AB816" t="str">
            <v>TSMC/FMR/02942</v>
          </cell>
          <cell r="AC816" t="str">
            <v>Telangana State Medical Council</v>
          </cell>
          <cell r="AD816">
            <v>44874</v>
          </cell>
          <cell r="AE816">
            <v>46699</v>
          </cell>
          <cell r="AF816">
            <v>9966377814</v>
          </cell>
          <cell r="AG816" t="str">
            <v>snigdhasamala@gmail.com</v>
          </cell>
          <cell r="AH816" t="str">
            <v>HDFC Bank</v>
          </cell>
          <cell r="AI816" t="str">
            <v>50100545480078</v>
          </cell>
          <cell r="AJ816" t="str">
            <v>HDFC0001636</v>
          </cell>
          <cell r="AK816" t="str">
            <v>CQEPS3351L</v>
          </cell>
          <cell r="AL816">
            <v>306624475679</v>
          </cell>
          <cell r="AM816" t="str">
            <v>Ramanadham</v>
          </cell>
          <cell r="AW816">
            <v>34464</v>
          </cell>
          <cell r="AX816" t="str">
            <v>Female</v>
          </cell>
          <cell r="AY816" t="str">
            <v>Full Time</v>
          </cell>
          <cell r="AZ816">
            <v>8</v>
          </cell>
          <cell r="BA816" t="str">
            <v>Santosh Nagar Cluster</v>
          </cell>
        </row>
        <row r="817">
          <cell r="M817" t="str">
            <v>Tolichowki - 23</v>
          </cell>
          <cell r="N817" t="str">
            <v>FNAC, Semen Analysis</v>
          </cell>
          <cell r="O817" t="str">
            <v>Pathology</v>
          </cell>
          <cell r="P817" t="str">
            <v>Consultant Pathologist</v>
          </cell>
          <cell r="Q817" t="str">
            <v>Dr. Anil Tarigopula</v>
          </cell>
          <cell r="R817">
            <v>44879</v>
          </cell>
          <cell r="S817">
            <v>44879</v>
          </cell>
          <cell r="T817">
            <v>45609</v>
          </cell>
          <cell r="U817">
            <v>45610</v>
          </cell>
          <cell r="V817">
            <v>2017</v>
          </cell>
          <cell r="W817" t="str">
            <v>Dr. VRK Medical College and research centre, Aziznagar, Hyderabad</v>
          </cell>
          <cell r="X817">
            <v>2021</v>
          </cell>
          <cell r="Y817" t="str">
            <v>Prathima Institute of Medical Sciences, Karimnagar</v>
          </cell>
          <cell r="Z817" t="str">
            <v>NA</v>
          </cell>
          <cell r="AA817" t="str">
            <v>MBBS, MD</v>
          </cell>
          <cell r="AB817" t="str">
            <v xml:space="preserve">TSMC/FMR/03528 </v>
          </cell>
          <cell r="AC817" t="str">
            <v>Only MBBS -Telangana State Medical Council</v>
          </cell>
          <cell r="AF817">
            <v>8801042426</v>
          </cell>
          <cell r="AG817" t="str">
            <v>salehafareed@rocketmail.com</v>
          </cell>
          <cell r="AH817" t="str">
            <v>State bank of india</v>
          </cell>
          <cell r="AI817">
            <v>39751243076</v>
          </cell>
          <cell r="AJ817" t="str">
            <v>SBIN0004903</v>
          </cell>
          <cell r="AK817" t="str">
            <v>JMVPS1196D</v>
          </cell>
          <cell r="AL817">
            <v>319194380425</v>
          </cell>
          <cell r="AM817" t="str">
            <v>Mhd Shahnawaz Ali Khan</v>
          </cell>
          <cell r="AN817">
            <v>45160</v>
          </cell>
          <cell r="AS817" t="e">
            <v>#N/A</v>
          </cell>
          <cell r="AW817">
            <v>34030</v>
          </cell>
          <cell r="AX817" t="str">
            <v>Female</v>
          </cell>
          <cell r="AY817" t="str">
            <v>Part Time</v>
          </cell>
          <cell r="AZ817">
            <v>2</v>
          </cell>
          <cell r="BA817" t="str">
            <v>Tolichowki Cluster</v>
          </cell>
        </row>
        <row r="818">
          <cell r="M818" t="str">
            <v>Gandhinagar - 79</v>
          </cell>
          <cell r="N818" t="str">
            <v>Basic USG, Doppler Studies, Thyroid/Scrotum USG, Breast USG, Guided Procedures, Basic CT, Chest/ Abdomen/Neck, 3DCT, CT Angiography, Basic MRI, X Ray, Plain Radiography, Mammography, IVP, RGU, MCUG, Barium Swallow, Barium Anema, HSG.</v>
          </cell>
          <cell r="O818" t="str">
            <v>Radiology</v>
          </cell>
          <cell r="P818" t="str">
            <v>Consultant Radiologist</v>
          </cell>
          <cell r="Q818" t="str">
            <v>Dr. Krishna Mohan Pottala</v>
          </cell>
          <cell r="R818">
            <v>45383</v>
          </cell>
          <cell r="S818">
            <v>45383</v>
          </cell>
          <cell r="T818">
            <v>46112</v>
          </cell>
          <cell r="U818">
            <v>46113</v>
          </cell>
          <cell r="V818">
            <v>2015</v>
          </cell>
          <cell r="W818" t="str">
            <v>Government Medical College</v>
          </cell>
          <cell r="X818">
            <v>2024</v>
          </cell>
          <cell r="Y818" t="str">
            <v>Apollo Hospital</v>
          </cell>
          <cell r="Z818" t="str">
            <v>NA</v>
          </cell>
          <cell r="AA818" t="str">
            <v>MBBS, DMRD</v>
          </cell>
          <cell r="AB818" t="str">
            <v>TSMC/FMR/19593</v>
          </cell>
          <cell r="AC818" t="str">
            <v>Telangana State Medical Council</v>
          </cell>
          <cell r="AD818">
            <v>44692</v>
          </cell>
          <cell r="AE818">
            <v>46517</v>
          </cell>
          <cell r="AF818">
            <v>9028417190</v>
          </cell>
          <cell r="AG818" t="str">
            <v>dramreenthobani@gmail.com</v>
          </cell>
          <cell r="AH818" t="str">
            <v>AXIS BANK</v>
          </cell>
          <cell r="AI818" t="str">
            <v>914010014463607</v>
          </cell>
          <cell r="AJ818" t="str">
            <v>UTIB0000048</v>
          </cell>
          <cell r="AK818" t="str">
            <v>AWYPT1105F</v>
          </cell>
          <cell r="AL818">
            <v>790069242852</v>
          </cell>
          <cell r="AN818">
            <v>45514</v>
          </cell>
          <cell r="AO818">
            <v>45542</v>
          </cell>
          <cell r="AP818" t="str">
            <v xml:space="preserve">Pregnancy </v>
          </cell>
          <cell r="AQ818" t="str">
            <v>5-8-50/6, Flat No. 104, Sangeeta Apartments, Chirag Ali Lane, Abids, Nampally, Hyderabad, Telangana- 500001</v>
          </cell>
          <cell r="AS818" t="str">
            <v>5-8-50/6, Flat No. 104, Sangeeta Apartments, Chirag Ali Lane, Abids, Nampally, Hyderabad, Telangana- 500001</v>
          </cell>
          <cell r="AU818">
            <v>0.35416666666666669</v>
          </cell>
          <cell r="AV818">
            <v>0.52083333333333337</v>
          </cell>
          <cell r="AW818">
            <v>32926</v>
          </cell>
          <cell r="AX818" t="str">
            <v>Female</v>
          </cell>
          <cell r="AY818" t="str">
            <v>Part Time</v>
          </cell>
          <cell r="AZ818">
            <v>4</v>
          </cell>
          <cell r="BA818" t="str">
            <v>Himayathnagar Cluster</v>
          </cell>
        </row>
        <row r="819">
          <cell r="M819" t="str">
            <v>Botanical Garden-74</v>
          </cell>
          <cell r="N819" t="str">
            <v>Basic USG, Tiffa, Basic CT, Xray, Mammography</v>
          </cell>
          <cell r="O819" t="str">
            <v>Radiology</v>
          </cell>
          <cell r="P819" t="str">
            <v>Consultant Radiologist</v>
          </cell>
          <cell r="Q819" t="str">
            <v>Dr. Krishna Mohan Pottala</v>
          </cell>
          <cell r="R819">
            <v>44900</v>
          </cell>
          <cell r="S819">
            <v>44900</v>
          </cell>
          <cell r="T819">
            <v>45630</v>
          </cell>
          <cell r="U819">
            <v>45631</v>
          </cell>
          <cell r="W819" t="str">
            <v>Mamata Medical College, Khammam, Telangana</v>
          </cell>
          <cell r="X819">
            <v>2021</v>
          </cell>
          <cell r="Y819" t="str">
            <v>SVS Medical College, Mahboobnagar, Telangana</v>
          </cell>
          <cell r="Z819" t="str">
            <v>NA</v>
          </cell>
          <cell r="AA819" t="str">
            <v>MBBS, MD</v>
          </cell>
          <cell r="AB819" t="str">
            <v>TSMC/FMR/ 00187</v>
          </cell>
          <cell r="AC819" t="str">
            <v>Telangana State Medical Council</v>
          </cell>
          <cell r="AF819">
            <v>9866505330</v>
          </cell>
          <cell r="AG819" t="str">
            <v>poreddysadhana@gmail.com</v>
          </cell>
          <cell r="AH819" t="str">
            <v>HDFC Bank</v>
          </cell>
          <cell r="AI819" t="str">
            <v>50100495972503</v>
          </cell>
          <cell r="AJ819" t="str">
            <v>HDFC0001996</v>
          </cell>
          <cell r="AK819" t="str">
            <v>BJIPP1384E</v>
          </cell>
          <cell r="AL819" t="str">
            <v>332749882335</v>
          </cell>
          <cell r="AM819" t="str">
            <v>Satyanarayana Reddy Poreddy</v>
          </cell>
          <cell r="AW819">
            <v>33050</v>
          </cell>
          <cell r="AX819" t="str">
            <v>Female</v>
          </cell>
          <cell r="AY819" t="str">
            <v>Part Time</v>
          </cell>
          <cell r="AZ819">
            <v>1.5</v>
          </cell>
          <cell r="BA819" t="str">
            <v>Madhapur Cluster</v>
          </cell>
        </row>
        <row r="820">
          <cell r="M820" t="str">
            <v>Panjagutta-121</v>
          </cell>
          <cell r="N820" t="str">
            <v>Basic USG, Tiffa, USG guided FNAC, Basic CT, Basic MRI, X-Ray, Mammography, IVP, RGU, MCGU, Barium Swallow, Barium Enema, HSG</v>
          </cell>
          <cell r="O820" t="str">
            <v>Radiology</v>
          </cell>
          <cell r="P820" t="str">
            <v>Consultant Radiologist</v>
          </cell>
          <cell r="Q820" t="str">
            <v>Dr. Krishna Mohan Pottala</v>
          </cell>
          <cell r="R820">
            <v>44900</v>
          </cell>
          <cell r="S820">
            <v>44900</v>
          </cell>
          <cell r="T820">
            <v>45630</v>
          </cell>
          <cell r="U820">
            <v>45631</v>
          </cell>
          <cell r="V820">
            <v>2012</v>
          </cell>
          <cell r="W820" t="str">
            <v>Kurnool Medical College</v>
          </cell>
          <cell r="X820">
            <v>2022</v>
          </cell>
          <cell r="Y820" t="str">
            <v>Armed Forces Medical College, Pune</v>
          </cell>
          <cell r="Z820" t="str">
            <v>NA</v>
          </cell>
          <cell r="AA820" t="str">
            <v>MBBS, MD</v>
          </cell>
          <cell r="AB820" t="str">
            <v>APMC/FMR/81446 </v>
          </cell>
          <cell r="AC820" t="str">
            <v>Telangana State Medical Council</v>
          </cell>
          <cell r="AD820">
            <v>43399</v>
          </cell>
          <cell r="AE820">
            <v>45224</v>
          </cell>
          <cell r="AF820">
            <v>9966011239</v>
          </cell>
          <cell r="AG820" t="str">
            <v>kanthuamaravadi@gmail.com</v>
          </cell>
          <cell r="AH820" t="str">
            <v>HDFC Bank</v>
          </cell>
          <cell r="AI820" t="str">
            <v>50100065513760</v>
          </cell>
          <cell r="AJ820" t="str">
            <v>HDFC0001043</v>
          </cell>
          <cell r="AK820" t="str">
            <v>BNNPA9607G</v>
          </cell>
          <cell r="AL820" t="str">
            <v>700520963380</v>
          </cell>
          <cell r="AM820" t="str">
            <v xml:space="preserve">A Nageshwar </v>
          </cell>
          <cell r="AN820">
            <v>45169</v>
          </cell>
          <cell r="AW820">
            <v>32178</v>
          </cell>
          <cell r="AX820" t="str">
            <v>Male</v>
          </cell>
          <cell r="AY820" t="str">
            <v>Full Time</v>
          </cell>
          <cell r="AZ820">
            <v>8</v>
          </cell>
          <cell r="BA820" t="str">
            <v>Punjagutta Cluster</v>
          </cell>
        </row>
        <row r="821">
          <cell r="M821" t="str">
            <v>Habsiguda - 17</v>
          </cell>
          <cell r="N821" t="str">
            <v>Physician Services</v>
          </cell>
          <cell r="O821" t="str">
            <v>Physician Services</v>
          </cell>
          <cell r="P821" t="str">
            <v>Consultant Physician</v>
          </cell>
          <cell r="Q821" t="str">
            <v>Ms. Suprita Reddy</v>
          </cell>
          <cell r="R821">
            <v>44903</v>
          </cell>
          <cell r="S821">
            <v>44903</v>
          </cell>
          <cell r="T821">
            <v>45633</v>
          </cell>
          <cell r="U821">
            <v>45634</v>
          </cell>
          <cell r="V821">
            <v>1988</v>
          </cell>
          <cell r="W821" t="str">
            <v>ANDHRA MEDICAL COLLEGE,VIZAG</v>
          </cell>
          <cell r="Z821" t="str">
            <v>NA</v>
          </cell>
          <cell r="AA821" t="str">
            <v>NA</v>
          </cell>
          <cell r="AB821" t="str">
            <v>AMC19484</v>
          </cell>
          <cell r="AC821" t="str">
            <v>Telangana State Medical Council</v>
          </cell>
          <cell r="AD821">
            <v>44459</v>
          </cell>
          <cell r="AE821">
            <v>46284</v>
          </cell>
          <cell r="AF821">
            <v>9676883581</v>
          </cell>
          <cell r="AG821" t="str">
            <v>sampathiraov@gmail.com</v>
          </cell>
          <cell r="AH821" t="str">
            <v>Axis Bank</v>
          </cell>
          <cell r="AI821" t="str">
            <v>918010083876898</v>
          </cell>
          <cell r="AJ821" t="str">
            <v>UTIB0000890</v>
          </cell>
          <cell r="AK821" t="str">
            <v>AWAPN6691E</v>
          </cell>
          <cell r="AL821" t="str">
            <v>674864384886</v>
          </cell>
          <cell r="AM821" t="str">
            <v>Sampath Rao Dilleswar rao</v>
          </cell>
          <cell r="AO821" t="str">
            <v>NA</v>
          </cell>
          <cell r="AW821">
            <v>23121</v>
          </cell>
          <cell r="AX821" t="str">
            <v>Male</v>
          </cell>
          <cell r="AY821" t="str">
            <v>Part Time</v>
          </cell>
          <cell r="AZ821">
            <v>1</v>
          </cell>
          <cell r="BA821" t="str">
            <v>A.S. Rao Nagar Cluster</v>
          </cell>
        </row>
        <row r="822">
          <cell r="O822" t="str">
            <v>NA</v>
          </cell>
        </row>
        <row r="823">
          <cell r="M823" t="str">
            <v>Habsiguda - 17</v>
          </cell>
          <cell r="O823" t="str">
            <v>Pathology</v>
          </cell>
          <cell r="P823" t="str">
            <v>Consultant Pathologist</v>
          </cell>
          <cell r="R823">
            <v>44914</v>
          </cell>
          <cell r="S823">
            <v>44914</v>
          </cell>
          <cell r="T823">
            <v>45644</v>
          </cell>
          <cell r="U823">
            <v>45645</v>
          </cell>
          <cell r="V823">
            <v>2013</v>
          </cell>
          <cell r="W823" t="str">
            <v>Osmania Medical College, Hyderabad</v>
          </cell>
          <cell r="X823">
            <v>2021</v>
          </cell>
          <cell r="Y823" t="str">
            <v>Kakatiya Medical College, Warangal</v>
          </cell>
          <cell r="Z823" t="str">
            <v>NA</v>
          </cell>
          <cell r="AA823" t="str">
            <v>MBBS</v>
          </cell>
          <cell r="AB823" t="str">
            <v>APMC/FMR/89219</v>
          </cell>
          <cell r="AC823" t="str">
            <v>Telangana State Medical Council</v>
          </cell>
          <cell r="AD823">
            <v>44145</v>
          </cell>
          <cell r="AE823">
            <v>45970</v>
          </cell>
          <cell r="AF823">
            <v>9642437952</v>
          </cell>
          <cell r="AG823" t="str">
            <v>hadassahjohn@gmail.com</v>
          </cell>
          <cell r="AH823" t="str">
            <v>Kotak Mahindra Bank</v>
          </cell>
          <cell r="AI823">
            <v>7813051175</v>
          </cell>
          <cell r="AJ823" t="str">
            <v>KBKO007530</v>
          </cell>
          <cell r="AK823" t="str">
            <v>AXQPJ7095P</v>
          </cell>
          <cell r="AL823" t="str">
            <v>377055949583</v>
          </cell>
          <cell r="AM823" t="str">
            <v>Bolledu Jhon</v>
          </cell>
          <cell r="AW823">
            <v>32974</v>
          </cell>
          <cell r="AX823" t="str">
            <v>Female</v>
          </cell>
          <cell r="AY823" t="str">
            <v>Full Time</v>
          </cell>
          <cell r="AZ823">
            <v>8</v>
          </cell>
          <cell r="BA823" t="str">
            <v>A.S. Rao Nagar Cluster</v>
          </cell>
        </row>
        <row r="824">
          <cell r="O824" t="str">
            <v>NA</v>
          </cell>
        </row>
        <row r="825">
          <cell r="M825" t="str">
            <v>Karimnagar-75</v>
          </cell>
          <cell r="N825" t="str">
            <v>N/A</v>
          </cell>
          <cell r="O825" t="str">
            <v>Pathology</v>
          </cell>
          <cell r="P825" t="str">
            <v>Consultant Pathologist</v>
          </cell>
          <cell r="Q825" t="str">
            <v>Dr P T S Shashikant</v>
          </cell>
          <cell r="R825">
            <v>45017</v>
          </cell>
          <cell r="S825">
            <v>45017</v>
          </cell>
          <cell r="T825">
            <v>45747</v>
          </cell>
          <cell r="U825">
            <v>45748</v>
          </cell>
          <cell r="V825">
            <v>2018</v>
          </cell>
          <cell r="W825" t="str">
            <v>Dr. NTR University of Health Sciences - 2018</v>
          </cell>
          <cell r="X825">
            <v>2022</v>
          </cell>
          <cell r="Y825" t="str">
            <v>Kaloji Narayana Rao University of Health Sciences - 2022</v>
          </cell>
          <cell r="Z825" t="str">
            <v>NA</v>
          </cell>
          <cell r="AA825" t="str">
            <v>MBBS, MD</v>
          </cell>
          <cell r="AB825" t="str">
            <v>TSMC/FMR/09434</v>
          </cell>
          <cell r="AC825" t="str">
            <v>Telangana State Medical Council</v>
          </cell>
          <cell r="AD825">
            <v>43727</v>
          </cell>
          <cell r="AE825">
            <v>45554</v>
          </cell>
          <cell r="AF825">
            <v>9949447271</v>
          </cell>
          <cell r="AG825" t="str">
            <v>dratikanayesh@gmail.com</v>
          </cell>
          <cell r="AH825" t="str">
            <v>ICICI Bank</v>
          </cell>
          <cell r="AI825" t="str">
            <v>130701001659</v>
          </cell>
          <cell r="AJ825" t="str">
            <v>ICIC0001307</v>
          </cell>
          <cell r="AK825" t="str">
            <v>BQAPN9457M</v>
          </cell>
          <cell r="AL825">
            <v>310978467099</v>
          </cell>
          <cell r="AN825">
            <v>45515</v>
          </cell>
          <cell r="AO825">
            <v>45536</v>
          </cell>
          <cell r="AP825" t="str">
            <v>Health issues</v>
          </cell>
          <cell r="AU825">
            <v>0.33333333333333331</v>
          </cell>
          <cell r="AV825">
            <v>0.66666666666666663</v>
          </cell>
          <cell r="AW825" t="str">
            <v>07-08-1993</v>
          </cell>
          <cell r="AX825" t="str">
            <v>Female</v>
          </cell>
          <cell r="AY825" t="str">
            <v>Full Time</v>
          </cell>
          <cell r="AZ825">
            <v>8</v>
          </cell>
          <cell r="BA825" t="str">
            <v>TS - Upcountry</v>
          </cell>
        </row>
        <row r="826">
          <cell r="M826" t="str">
            <v>Gurgaon - 54</v>
          </cell>
          <cell r="N826" t="str">
            <v>Basic USG, Tiffa, Fetal Echo, MSK, Basic CT, All Angios,   Basic MRI, X Ray, Regular, Mammography, IVP, RGU, MCGU, Barium Swallow, Barium Anema, HSG</v>
          </cell>
          <cell r="O826" t="str">
            <v>Radiology</v>
          </cell>
          <cell r="P826" t="str">
            <v>Consultant Radiologist</v>
          </cell>
          <cell r="Q826" t="str">
            <v>Dr. Krishna Mohan Pottala</v>
          </cell>
          <cell r="R826">
            <v>44921</v>
          </cell>
          <cell r="S826">
            <v>44921</v>
          </cell>
          <cell r="T826">
            <v>45651</v>
          </cell>
          <cell r="U826">
            <v>45652</v>
          </cell>
          <cell r="V826">
            <v>2007</v>
          </cell>
          <cell r="W826" t="str">
            <v>Assam Medical College Dibrugarh University</v>
          </cell>
          <cell r="X826">
            <v>2019</v>
          </cell>
          <cell r="Y826" t="str">
            <v>Mahatma Gandhi Medical College and research institute,Pondicherry-</v>
          </cell>
          <cell r="Z826" t="str">
            <v>NA</v>
          </cell>
          <cell r="AA826" t="str">
            <v>MBBS, MD</v>
          </cell>
          <cell r="AB826" t="str">
            <v>HN17359</v>
          </cell>
          <cell r="AC826" t="str">
            <v>Haryana Medical Council</v>
          </cell>
          <cell r="AD826">
            <v>44187</v>
          </cell>
          <cell r="AE826">
            <v>46012</v>
          </cell>
          <cell r="AF826">
            <v>8531975440</v>
          </cell>
          <cell r="AG826" t="str">
            <v>drprararadiology@gmail.com</v>
          </cell>
          <cell r="AH826" t="str">
            <v>ICICI</v>
          </cell>
          <cell r="AI826">
            <v>653000000000</v>
          </cell>
          <cell r="AJ826" t="str">
            <v>ICIC0006354</v>
          </cell>
          <cell r="AK826" t="str">
            <v>AWWPB0131F</v>
          </cell>
          <cell r="AL826" t="str">
            <v>866965724424</v>
          </cell>
          <cell r="AM826" t="str">
            <v>Hari Prasad Bhuyan</v>
          </cell>
          <cell r="AW826">
            <v>29969</v>
          </cell>
          <cell r="AX826" t="str">
            <v>Female</v>
          </cell>
          <cell r="AY826" t="str">
            <v>Part Time</v>
          </cell>
          <cell r="AZ826">
            <v>6</v>
          </cell>
          <cell r="BA826" t="str">
            <v>Haryana Cluster</v>
          </cell>
        </row>
        <row r="827">
          <cell r="M827" t="str">
            <v>Madinaguda - 112</v>
          </cell>
          <cell r="N827" t="str">
            <v xml:space="preserve"> Basic USG, Tiffa, MSK,Guided Procedure, Doppler, Basic CT, Basic MRI, X Ray, Radiography, Mammography, IVP, RGU, MCUG, Barium Swallow, Barium Anema, HSG</v>
          </cell>
          <cell r="O827" t="str">
            <v>Radiology</v>
          </cell>
          <cell r="P827" t="str">
            <v>Consultant Radiologist</v>
          </cell>
          <cell r="Q827" t="str">
            <v>Dr. Krishna Mohan Pottala</v>
          </cell>
          <cell r="R827">
            <v>44930</v>
          </cell>
          <cell r="S827">
            <v>44930</v>
          </cell>
          <cell r="T827">
            <v>45660</v>
          </cell>
          <cell r="U827">
            <v>45661</v>
          </cell>
          <cell r="V827">
            <v>2012</v>
          </cell>
          <cell r="W827" t="str">
            <v>Kakatiya Medical College, Mahatma Gandhi Memorial Hospital, Warangal</v>
          </cell>
          <cell r="X827">
            <v>2018</v>
          </cell>
          <cell r="Y827" t="str">
            <v>Osmania General Hospital</v>
          </cell>
          <cell r="Z827" t="str">
            <v>NA</v>
          </cell>
          <cell r="AA827" t="str">
            <v>MBBS,MD</v>
          </cell>
          <cell r="AB827" t="str">
            <v>APMC/FMR/81046</v>
          </cell>
          <cell r="AC827" t="str">
            <v>Telangana State Medical Council</v>
          </cell>
          <cell r="AD827">
            <v>43288</v>
          </cell>
          <cell r="AE827">
            <v>45113</v>
          </cell>
          <cell r="AF827">
            <v>8142070075</v>
          </cell>
          <cell r="AG827" t="str">
            <v>mounika.jn@gmail.com</v>
          </cell>
          <cell r="AH827" t="str">
            <v>State Bank of India</v>
          </cell>
          <cell r="AI827">
            <v>20205631560</v>
          </cell>
          <cell r="AJ827" t="str">
            <v>SBIN0010356</v>
          </cell>
          <cell r="AK827" t="str">
            <v>CDLPD8364E</v>
          </cell>
          <cell r="AL827">
            <v>580250620145</v>
          </cell>
          <cell r="AM827" t="str">
            <v>Dongala Prabhakar</v>
          </cell>
          <cell r="AW827">
            <v>32673</v>
          </cell>
          <cell r="AX827" t="str">
            <v>Female</v>
          </cell>
          <cell r="AY827" t="str">
            <v>Full Time</v>
          </cell>
          <cell r="AZ827">
            <v>8</v>
          </cell>
          <cell r="BA827" t="str">
            <v>Madhapur Cluster</v>
          </cell>
        </row>
        <row r="828">
          <cell r="M828" t="str">
            <v>Alwal - 44</v>
          </cell>
          <cell r="N828" t="str">
            <v>Physician Services</v>
          </cell>
          <cell r="O828" t="str">
            <v>Physician Services</v>
          </cell>
          <cell r="P828" t="str">
            <v>Consultant Physician</v>
          </cell>
          <cell r="Q828" t="str">
            <v>Ms. Suprita Reddy</v>
          </cell>
          <cell r="R828">
            <v>44930</v>
          </cell>
          <cell r="S828">
            <v>44930</v>
          </cell>
          <cell r="T828">
            <v>45660</v>
          </cell>
          <cell r="U828">
            <v>45661</v>
          </cell>
          <cell r="V828">
            <v>2021</v>
          </cell>
          <cell r="W828" t="str">
            <v>Rajshree Medical Research Institute,
M.J.P Rohilkhand University,Bareilly</v>
          </cell>
          <cell r="X828" t="str">
            <v>NA</v>
          </cell>
          <cell r="Y828" t="str">
            <v>NA</v>
          </cell>
          <cell r="Z828" t="str">
            <v>NA</v>
          </cell>
          <cell r="AA828" t="str">
            <v>MBBS</v>
          </cell>
          <cell r="AB828" t="str">
            <v>TSMC/FMR/22258</v>
          </cell>
          <cell r="AC828" t="str">
            <v>Telangana State Medical Council</v>
          </cell>
          <cell r="AD828">
            <v>44837</v>
          </cell>
          <cell r="AE828">
            <v>46662</v>
          </cell>
          <cell r="AF828">
            <v>9177441500</v>
          </cell>
          <cell r="AG828" t="str">
            <v>amithshuklag@gmail.com</v>
          </cell>
          <cell r="AH828" t="str">
            <v xml:space="preserve">Canara Bank </v>
          </cell>
          <cell r="AI828">
            <v>5923101000319</v>
          </cell>
          <cell r="AJ828" t="str">
            <v>CNRB0013022</v>
          </cell>
          <cell r="AK828" t="str">
            <v>JEAPS7461L</v>
          </cell>
          <cell r="AL828">
            <v>622663275032</v>
          </cell>
          <cell r="AM828" t="str">
            <v>B Deepak Shukla</v>
          </cell>
          <cell r="AW828">
            <v>35767</v>
          </cell>
          <cell r="AX828" t="str">
            <v>Male</v>
          </cell>
          <cell r="AY828" t="str">
            <v>Part Time</v>
          </cell>
          <cell r="AZ828">
            <v>1</v>
          </cell>
          <cell r="BA828" t="str">
            <v>Secunderabad Cluster</v>
          </cell>
        </row>
        <row r="829">
          <cell r="M829" t="str">
            <v>Gurgaon - 54</v>
          </cell>
          <cell r="N829" t="str">
            <v>Hematology, Cytopathology, Clinical Pathology</v>
          </cell>
          <cell r="O829" t="str">
            <v>Pathology</v>
          </cell>
          <cell r="P829" t="str">
            <v>Consultant Pathologist</v>
          </cell>
          <cell r="Q829" t="str">
            <v>Dr. Shashikanth</v>
          </cell>
          <cell r="R829">
            <v>44932</v>
          </cell>
          <cell r="S829">
            <v>44932</v>
          </cell>
          <cell r="T829">
            <v>45662</v>
          </cell>
          <cell r="U829">
            <v>45663</v>
          </cell>
          <cell r="V829">
            <v>2001</v>
          </cell>
          <cell r="W829" t="str">
            <v xml:space="preserve"> Pt. BD Sharma Post Graduate Institute Of Medical Sciences (PGIMS), Rohtak, Haryan</v>
          </cell>
          <cell r="X829">
            <v>2020</v>
          </cell>
          <cell r="Y829" t="str">
            <v xml:space="preserve"> Pt. BD Sharma Post Graduate Institute Of Medical Sciences (PGIMS), Rohtak, Haryan</v>
          </cell>
          <cell r="Z829" t="str">
            <v>NA</v>
          </cell>
          <cell r="AA829" t="str">
            <v>MBBS,MD</v>
          </cell>
          <cell r="AB829">
            <v>17349</v>
          </cell>
          <cell r="AC829" t="str">
            <v>Haryana Mediacal Council</v>
          </cell>
          <cell r="AD829">
            <v>44186</v>
          </cell>
          <cell r="AE829">
            <v>46011</v>
          </cell>
          <cell r="AF829">
            <v>9650180810</v>
          </cell>
          <cell r="AG829" t="str">
            <v>drlovekesh_monga@yahoo.com</v>
          </cell>
          <cell r="AH829" t="str">
            <v>Punjab National Bank</v>
          </cell>
          <cell r="AI829" t="str">
            <v>4099000100156730</v>
          </cell>
          <cell r="AJ829" t="str">
            <v>PUNB0409900</v>
          </cell>
          <cell r="AK829" t="str">
            <v>ANGPM0756L</v>
          </cell>
          <cell r="AL829">
            <v>204515481975</v>
          </cell>
          <cell r="AM829" t="str">
            <v>Suresh Kumar Monga</v>
          </cell>
          <cell r="AW829">
            <v>28371</v>
          </cell>
          <cell r="AX829" t="str">
            <v>Male</v>
          </cell>
          <cell r="AY829" t="str">
            <v>Full Time</v>
          </cell>
          <cell r="AZ829">
            <v>8</v>
          </cell>
          <cell r="BA829" t="str">
            <v>Haryana Cluster</v>
          </cell>
        </row>
        <row r="830">
          <cell r="M830" t="str">
            <v>Madhapur-2 - 70</v>
          </cell>
          <cell r="N830" t="str">
            <v>Physician Services</v>
          </cell>
          <cell r="O830" t="str">
            <v>Physician Services</v>
          </cell>
          <cell r="P830" t="str">
            <v>Consultant Physician</v>
          </cell>
          <cell r="Q830" t="str">
            <v>Ms. Suprita Reddy</v>
          </cell>
          <cell r="R830">
            <v>44932</v>
          </cell>
          <cell r="S830">
            <v>44932</v>
          </cell>
          <cell r="T830">
            <v>45662</v>
          </cell>
          <cell r="U830">
            <v>45663</v>
          </cell>
          <cell r="V830">
            <v>2018</v>
          </cell>
          <cell r="W830" t="str">
            <v>NINGXIA Medical University China</v>
          </cell>
          <cell r="X830" t="str">
            <v>NO</v>
          </cell>
          <cell r="Y830" t="str">
            <v>NO</v>
          </cell>
          <cell r="Z830" t="str">
            <v>NA</v>
          </cell>
          <cell r="AA830" t="str">
            <v>MBBS</v>
          </cell>
          <cell r="AB830" t="str">
            <v>TSMC/FMR/15656</v>
          </cell>
          <cell r="AC830" t="str">
            <v>Telangana State Medical Council</v>
          </cell>
          <cell r="AD830">
            <v>44251</v>
          </cell>
          <cell r="AE830">
            <v>44251</v>
          </cell>
          <cell r="AF830">
            <v>9381377371</v>
          </cell>
          <cell r="AG830" t="str">
            <v>awesali43@gmail.com</v>
          </cell>
          <cell r="AH830" t="str">
            <v>HDFC Bank</v>
          </cell>
          <cell r="AI830" t="str">
            <v>50100469750452</v>
          </cell>
          <cell r="AJ830" t="str">
            <v>HDFC0000081</v>
          </cell>
          <cell r="AK830" t="str">
            <v>EIPPA9206M</v>
          </cell>
          <cell r="AL830">
            <v>807680055246</v>
          </cell>
          <cell r="AM830" t="str">
            <v>Mohd Mazher Ali</v>
          </cell>
          <cell r="AN830">
            <v>45112</v>
          </cell>
          <cell r="AS830" t="e">
            <v>#N/A</v>
          </cell>
          <cell r="AW830">
            <v>34218</v>
          </cell>
          <cell r="AX830" t="str">
            <v>Male</v>
          </cell>
          <cell r="AY830" t="str">
            <v>Part Time</v>
          </cell>
          <cell r="AZ830">
            <v>2</v>
          </cell>
          <cell r="BA830" t="str">
            <v>Madhapur Cluster</v>
          </cell>
        </row>
        <row r="831">
          <cell r="M831" t="str">
            <v>Himayatnagar</v>
          </cell>
          <cell r="N831" t="str">
            <v>NA</v>
          </cell>
          <cell r="O831" t="str">
            <v>Technical Lab Operations</v>
          </cell>
          <cell r="P831" t="str">
            <v>Consultant Technical Lab Operations</v>
          </cell>
          <cell r="Q831" t="str">
            <v>Dr P T S Shashikant</v>
          </cell>
          <cell r="R831">
            <v>44774</v>
          </cell>
          <cell r="S831">
            <v>44774</v>
          </cell>
          <cell r="T831">
            <v>45504</v>
          </cell>
          <cell r="U831">
            <v>45505</v>
          </cell>
          <cell r="V831">
            <v>2015</v>
          </cell>
          <cell r="W831" t="str">
            <v xml:space="preserve">Chettinad Medical College, Chettinad, Tamilnadu </v>
          </cell>
          <cell r="X831">
            <v>2018</v>
          </cell>
          <cell r="Y831" t="str">
            <v>Savita Medical College, Chennai, Tamil Nadu</v>
          </cell>
          <cell r="Z831" t="str">
            <v>NA</v>
          </cell>
          <cell r="AA831" t="str">
            <v>MBBS, MD</v>
          </cell>
          <cell r="AB831">
            <v>107995</v>
          </cell>
          <cell r="AC831" t="str">
            <v>Tamil Nadu Medical Council</v>
          </cell>
          <cell r="AD831">
            <v>45518</v>
          </cell>
          <cell r="AE831">
            <v>45507</v>
          </cell>
          <cell r="AF831">
            <v>9884165591</v>
          </cell>
          <cell r="AG831" t="str">
            <v>teju.1191@gmail.com</v>
          </cell>
          <cell r="AH831" t="str">
            <v>ICICI Bank</v>
          </cell>
          <cell r="AI831" t="str">
            <v>018301565802</v>
          </cell>
          <cell r="AJ831" t="str">
            <v>ICIC0000183</v>
          </cell>
          <cell r="AK831" t="str">
            <v>CDIPP9573L</v>
          </cell>
          <cell r="AL831" t="str">
            <v>963333739581</v>
          </cell>
          <cell r="AM831" t="str">
            <v>Chamundeswar Rao</v>
          </cell>
          <cell r="AN831">
            <v>45518</v>
          </cell>
          <cell r="AO831">
            <v>45510</v>
          </cell>
          <cell r="AP831" t="str">
            <v>higer studies-approved</v>
          </cell>
          <cell r="AU831">
            <v>0.33333333333333331</v>
          </cell>
          <cell r="AV831">
            <v>0.66666666666666663</v>
          </cell>
          <cell r="AW831">
            <v>33249</v>
          </cell>
          <cell r="AX831" t="str">
            <v>Female</v>
          </cell>
          <cell r="AY831" t="str">
            <v>Full Time</v>
          </cell>
          <cell r="AZ831">
            <v>8</v>
          </cell>
          <cell r="BA831" t="str">
            <v>Himayathnagar Cluster</v>
          </cell>
        </row>
        <row r="832">
          <cell r="M832" t="str">
            <v>Moula-Ali - 86</v>
          </cell>
          <cell r="N832" t="str">
            <v>Basic USG, Tiffa,Penile Doppler /TRUS,Guided Procedures, Basic CT,All Angios, Basic MRI, Plain Radiography, X-RAY IVP, RGU, MCUG,Barium Swallow, Barium Enema, HSG</v>
          </cell>
          <cell r="O832" t="str">
            <v>Radiology</v>
          </cell>
          <cell r="P832" t="str">
            <v>Consultant Radiologist</v>
          </cell>
          <cell r="Q832" t="str">
            <v>Dr. Krishna Mohan Pottala</v>
          </cell>
          <cell r="R832">
            <v>44935</v>
          </cell>
          <cell r="S832">
            <v>44935</v>
          </cell>
          <cell r="T832">
            <v>45665</v>
          </cell>
          <cell r="U832">
            <v>45666</v>
          </cell>
          <cell r="V832">
            <v>2012</v>
          </cell>
          <cell r="W832" t="str">
            <v>Mamata Medical College</v>
          </cell>
          <cell r="X832">
            <v>2020</v>
          </cell>
          <cell r="Y832" t="str">
            <v>Kasturba Hospitals Manipal</v>
          </cell>
          <cell r="Z832" t="str">
            <v>NA</v>
          </cell>
          <cell r="AA832" t="str">
            <v>MBBS, MD Radio Diagnosis</v>
          </cell>
          <cell r="AB832" t="str">
            <v>APMC/FMR/75464</v>
          </cell>
          <cell r="AC832" t="str">
            <v>Telangana State Medical Council</v>
          </cell>
          <cell r="AD832">
            <v>44026</v>
          </cell>
          <cell r="AE832">
            <v>45851</v>
          </cell>
          <cell r="AF832">
            <v>9441500794</v>
          </cell>
          <cell r="AG832" t="str">
            <v>deevihemu@gmail.com</v>
          </cell>
          <cell r="AH832" t="str">
            <v>ICICI Bank</v>
          </cell>
          <cell r="AI832" t="str">
            <v>001401535327</v>
          </cell>
          <cell r="AJ832" t="str">
            <v>ICIC0000244</v>
          </cell>
          <cell r="AK832" t="str">
            <v>BPOPK3010A</v>
          </cell>
          <cell r="AL832">
            <v>839800974296</v>
          </cell>
          <cell r="AM832" t="str">
            <v>Deevi Venkata Ramana</v>
          </cell>
          <cell r="AW832">
            <v>32366</v>
          </cell>
          <cell r="AX832" t="str">
            <v>Male</v>
          </cell>
          <cell r="AY832" t="str">
            <v>Part Time</v>
          </cell>
          <cell r="AZ832">
            <v>2.5</v>
          </cell>
          <cell r="BA832" t="str">
            <v>A.S. Rao Nagar Cluster</v>
          </cell>
        </row>
        <row r="833">
          <cell r="M833" t="str">
            <v>A S Rao Nagar - 18</v>
          </cell>
          <cell r="N833" t="str">
            <v>Physician Services</v>
          </cell>
          <cell r="O833" t="str">
            <v>Physician Services</v>
          </cell>
          <cell r="P833" t="str">
            <v>Consultant Physician</v>
          </cell>
          <cell r="Q833" t="str">
            <v>Ms. Suprita Reddy</v>
          </cell>
          <cell r="R833">
            <v>44935</v>
          </cell>
          <cell r="S833">
            <v>44935</v>
          </cell>
          <cell r="T833">
            <v>45665</v>
          </cell>
          <cell r="U833">
            <v>45666</v>
          </cell>
          <cell r="V833">
            <v>2018</v>
          </cell>
          <cell r="W833" t="str">
            <v>Jinzhou Medical University</v>
          </cell>
          <cell r="X833" t="str">
            <v>NO</v>
          </cell>
          <cell r="Y833" t="str">
            <v>NO</v>
          </cell>
          <cell r="Z833" t="str">
            <v>NA</v>
          </cell>
          <cell r="AA833" t="str">
            <v>MBBS</v>
          </cell>
          <cell r="AB833" t="str">
            <v>TSMC/FMR/08243</v>
          </cell>
          <cell r="AC833" t="str">
            <v>Telangana State Medical Council</v>
          </cell>
          <cell r="AD833">
            <v>43539</v>
          </cell>
          <cell r="AE833">
            <v>45366</v>
          </cell>
          <cell r="AF833">
            <v>8121141101</v>
          </cell>
          <cell r="AG833" t="str">
            <v>manthripragada.nishanth01@gmail.com</v>
          </cell>
          <cell r="AH833" t="str">
            <v>Indusind Bank</v>
          </cell>
          <cell r="AI833" t="str">
            <v>158121141101</v>
          </cell>
          <cell r="AJ833" t="str">
            <v>INDB0000226</v>
          </cell>
          <cell r="AK833" t="str">
            <v>BWMPM9876R</v>
          </cell>
          <cell r="AL833">
            <v>845181250599</v>
          </cell>
          <cell r="AM833" t="str">
            <v>Mantripragada Seetha Rama Rao</v>
          </cell>
          <cell r="AW833">
            <v>34313</v>
          </cell>
          <cell r="AX833" t="str">
            <v>Male</v>
          </cell>
          <cell r="AY833" t="str">
            <v>Part Time</v>
          </cell>
          <cell r="AZ833">
            <v>2</v>
          </cell>
          <cell r="BA833" t="str">
            <v>A.S. Rao Nagar Cluster</v>
          </cell>
        </row>
        <row r="834">
          <cell r="M834" t="str">
            <v>Himayatnagar</v>
          </cell>
          <cell r="O834" t="str">
            <v>Radiology</v>
          </cell>
          <cell r="P834" t="str">
            <v>Consultant Radiologist</v>
          </cell>
          <cell r="Q834" t="str">
            <v>Dr. Krishna Mohan Pottala</v>
          </cell>
          <cell r="R834">
            <v>44935</v>
          </cell>
          <cell r="S834">
            <v>44935</v>
          </cell>
          <cell r="T834">
            <v>45665</v>
          </cell>
          <cell r="U834">
            <v>45666</v>
          </cell>
          <cell r="W834" t="str">
            <v>Kamineni Institute of Medical Sciences, Narketpally</v>
          </cell>
          <cell r="X834">
            <v>2021</v>
          </cell>
          <cell r="Y834" t="str">
            <v>Amrita institute of medical sciences, Kochi (Kerala)</v>
          </cell>
          <cell r="Z834" t="str">
            <v>NA</v>
          </cell>
          <cell r="AA834" t="str">
            <v>MBBS,MD</v>
          </cell>
          <cell r="AB834" t="str">
            <v>TSMC/FMR/03567</v>
          </cell>
          <cell r="AC834" t="str">
            <v>Telangana State Medical Council</v>
          </cell>
          <cell r="AD834">
            <v>44739</v>
          </cell>
          <cell r="AE834">
            <v>46199</v>
          </cell>
          <cell r="AF834">
            <v>9696968670</v>
          </cell>
          <cell r="AG834" t="str">
            <v>saithejapaidipelly@gmail.com</v>
          </cell>
          <cell r="AH834" t="str">
            <v>SBI Bank</v>
          </cell>
          <cell r="AI834">
            <v>62391185674</v>
          </cell>
          <cell r="AJ834" t="str">
            <v>SBIN0021439</v>
          </cell>
          <cell r="AK834" t="str">
            <v>CYIPP8252P</v>
          </cell>
          <cell r="AL834">
            <v>679967224332</v>
          </cell>
          <cell r="AM834" t="str">
            <v>Paidipally Satyanarayana Rao</v>
          </cell>
          <cell r="AN834">
            <v>45124</v>
          </cell>
          <cell r="AW834">
            <v>34393</v>
          </cell>
          <cell r="AX834" t="str">
            <v>Male</v>
          </cell>
          <cell r="AY834" t="str">
            <v>Full Time</v>
          </cell>
          <cell r="AZ834">
            <v>8</v>
          </cell>
          <cell r="BA834" t="str">
            <v>Himayathnagar Cluster</v>
          </cell>
        </row>
        <row r="835">
          <cell r="M835" t="str">
            <v>Vaidehi Nagar- 111</v>
          </cell>
          <cell r="N835" t="str">
            <v>Basic USG, Tiffa, Fetal Echo, MSK, Penile Dopplers, TRUS, Guided Procedures, Basic CT, All Angios, Basic MRI,  X Ray, Plain Radiography, Mammography, IVP, RGU, MCGU, Barium Swallow, Barium Anema, HSG</v>
          </cell>
          <cell r="O835" t="str">
            <v>Radiology</v>
          </cell>
          <cell r="P835" t="str">
            <v>Consultant Radiologist</v>
          </cell>
          <cell r="Q835" t="str">
            <v>Dr. Krishna Mohan Pottala</v>
          </cell>
          <cell r="R835">
            <v>44945</v>
          </cell>
          <cell r="S835">
            <v>44945</v>
          </cell>
          <cell r="T835">
            <v>45675</v>
          </cell>
          <cell r="U835">
            <v>45676</v>
          </cell>
          <cell r="V835">
            <v>2012</v>
          </cell>
          <cell r="W835" t="str">
            <v>Mamata Medical College, Khammam</v>
          </cell>
          <cell r="X835">
            <v>2016</v>
          </cell>
          <cell r="Y835" t="str">
            <v>Kakatiya Medical College, Warangal</v>
          </cell>
          <cell r="Z835" t="str">
            <v>NA</v>
          </cell>
          <cell r="AA835" t="str">
            <v>MBBS,MD, DNB</v>
          </cell>
          <cell r="AB835" t="str">
            <v>APMC/FMR/81680</v>
          </cell>
          <cell r="AC835" t="str">
            <v>Telangana State Medical Council</v>
          </cell>
          <cell r="AD835">
            <v>43881</v>
          </cell>
          <cell r="AE835">
            <v>45707</v>
          </cell>
          <cell r="AF835">
            <v>8885840668</v>
          </cell>
          <cell r="AG835" t="str">
            <v>masukupraveenkumar@gmail.com</v>
          </cell>
          <cell r="AH835" t="str">
            <v>ICICI Bank</v>
          </cell>
          <cell r="AI835" t="str">
            <v>279801504884</v>
          </cell>
          <cell r="AJ835" t="str">
            <v>ICIC0002798</v>
          </cell>
          <cell r="AK835" t="str">
            <v>DGHPM0289P</v>
          </cell>
          <cell r="AL835">
            <v>363250717209</v>
          </cell>
          <cell r="AM835" t="str">
            <v>Saumual Masuk</v>
          </cell>
          <cell r="AN835">
            <v>45378</v>
          </cell>
          <cell r="AO835">
            <v>45378</v>
          </cell>
          <cell r="AU835">
            <v>0.33333333333333331</v>
          </cell>
          <cell r="AV835">
            <v>0.45833333333333331</v>
          </cell>
          <cell r="AW835">
            <v>32558</v>
          </cell>
          <cell r="AX835" t="str">
            <v>Male</v>
          </cell>
          <cell r="AY835" t="str">
            <v>Part Time</v>
          </cell>
          <cell r="AZ835">
            <v>3</v>
          </cell>
          <cell r="BA835" t="str">
            <v>Dilshuknagar Cluster</v>
          </cell>
        </row>
        <row r="836">
          <cell r="M836" t="str">
            <v>Nallakunta - 67</v>
          </cell>
          <cell r="N836" t="str">
            <v>Basic USG, Tiffa, MSK, Penile Doppler/TRUS,  Guided Procedures, Basic CT, Basic MRI, X Ray, Plain Radiology, IVP, RGU, MCGU, Barium Swallow, Barium Anema, HSG</v>
          </cell>
          <cell r="O836" t="str">
            <v>Radiology</v>
          </cell>
          <cell r="P836" t="str">
            <v>Consultant Radiologist</v>
          </cell>
          <cell r="Q836" t="str">
            <v>Dr.Krishna Mohan</v>
          </cell>
          <cell r="R836">
            <v>45175</v>
          </cell>
          <cell r="S836">
            <v>45175</v>
          </cell>
          <cell r="T836">
            <v>45905</v>
          </cell>
          <cell r="U836">
            <v>45906</v>
          </cell>
          <cell r="V836">
            <v>2019</v>
          </cell>
          <cell r="W836" t="str">
            <v>Osmania medical College, Hyderabad</v>
          </cell>
          <cell r="X836">
            <v>2023</v>
          </cell>
          <cell r="Y836" t="str">
            <v>Kasturba Medical College, Mangloare</v>
          </cell>
          <cell r="Z836" t="str">
            <v>NA</v>
          </cell>
          <cell r="AA836" t="str">
            <v>MBBS,MD</v>
          </cell>
          <cell r="AB836" t="str">
            <v>TSMC/FMR/09548</v>
          </cell>
          <cell r="AC836" t="str">
            <v>Telangana State Medical Council</v>
          </cell>
          <cell r="AD836">
            <v>45169</v>
          </cell>
          <cell r="AE836">
            <v>46995</v>
          </cell>
          <cell r="AF836">
            <v>9676576148</v>
          </cell>
          <cell r="AG836" t="str">
            <v>saiphani34@gmail.com</v>
          </cell>
          <cell r="AH836" t="str">
            <v>ICICI Bank</v>
          </cell>
          <cell r="AI836" t="str">
            <v>001401537538</v>
          </cell>
          <cell r="AJ836" t="str">
            <v>ICIC0006305</v>
          </cell>
          <cell r="AK836" t="str">
            <v>FSDPP5682M</v>
          </cell>
          <cell r="AL836">
            <v>432594120257</v>
          </cell>
          <cell r="AN836">
            <v>45521</v>
          </cell>
          <cell r="AO836">
            <v>45478</v>
          </cell>
          <cell r="AP836" t="str">
            <v>Relocation due to marriage</v>
          </cell>
          <cell r="AQ836" t="str">
            <v>H.No-1-2-25,Flat No-402,Badamgalli,Streat No-16, Domalguda, Himayathnagar, Telangana-500029.</v>
          </cell>
          <cell r="AS836" t="str">
            <v>H.No-1-2-25,Flat No-402,Badamgalli,Streat No-16, Domalguda, Himayathnagar, Telangana-500029.</v>
          </cell>
          <cell r="AU836">
            <v>0.35416666666666669</v>
          </cell>
          <cell r="AV836">
            <v>0.6875</v>
          </cell>
          <cell r="AW836">
            <v>35215</v>
          </cell>
          <cell r="AX836" t="str">
            <v>Male</v>
          </cell>
          <cell r="AY836" t="str">
            <v>Full Time</v>
          </cell>
          <cell r="AZ836">
            <v>8</v>
          </cell>
          <cell r="BA836" t="str">
            <v>Himayathnagar Cluster</v>
          </cell>
        </row>
        <row r="837">
          <cell r="O837" t="str">
            <v>NA</v>
          </cell>
        </row>
        <row r="838">
          <cell r="M838" t="str">
            <v>Ameerpet - 14</v>
          </cell>
          <cell r="N838" t="str">
            <v>Basic USG, Tiffa, MSK, Guided Procedure, Basic CT, Basic MRI, Regular X Ray, Mammography, IVP, RGU, MCUG, Barium Swallow, Barium Anema, HSG</v>
          </cell>
          <cell r="O838" t="str">
            <v>Radiology</v>
          </cell>
          <cell r="P838" t="str">
            <v>Consultant Radiologist</v>
          </cell>
          <cell r="R838">
            <v>44958</v>
          </cell>
          <cell r="S838">
            <v>44958</v>
          </cell>
          <cell r="T838">
            <v>45688</v>
          </cell>
          <cell r="U838">
            <v>45689</v>
          </cell>
          <cell r="V838">
            <v>2012</v>
          </cell>
          <cell r="W838" t="str">
            <v>Shadan institute of medical science</v>
          </cell>
          <cell r="X838">
            <v>2016</v>
          </cell>
          <cell r="Y838" t="str">
            <v>Shadan institute of medical science</v>
          </cell>
          <cell r="Z838" t="str">
            <v>NA</v>
          </cell>
          <cell r="AA838" t="str">
            <v>MBBS, MD</v>
          </cell>
          <cell r="AB838" t="str">
            <v>APMC/FMR/79820</v>
          </cell>
          <cell r="AC838" t="str">
            <v>Telangana State Medical Council</v>
          </cell>
          <cell r="AD838">
            <v>43482</v>
          </cell>
          <cell r="AE838">
            <v>45307</v>
          </cell>
          <cell r="AF838">
            <v>9379937955</v>
          </cell>
          <cell r="AG838" t="str">
            <v>abhishekmogili@gmail.com</v>
          </cell>
          <cell r="AH838" t="str">
            <v>HDFC Bank</v>
          </cell>
          <cell r="AI838" t="str">
            <v>50100158236871</v>
          </cell>
          <cell r="AJ838" t="str">
            <v>HDFC0001554</v>
          </cell>
          <cell r="AK838" t="str">
            <v>APPPA1906F</v>
          </cell>
          <cell r="AL838">
            <v>323218034099</v>
          </cell>
          <cell r="AM838" t="str">
            <v>Mogili Subba Rao</v>
          </cell>
          <cell r="AN838">
            <v>45199</v>
          </cell>
          <cell r="AW838">
            <v>32804</v>
          </cell>
          <cell r="AX838" t="str">
            <v>Male</v>
          </cell>
          <cell r="AY838" t="str">
            <v>Full Time</v>
          </cell>
          <cell r="AZ838">
            <v>8</v>
          </cell>
          <cell r="BA838" t="str">
            <v>Himayathnagar Cluster</v>
          </cell>
        </row>
        <row r="839">
          <cell r="M839" t="str">
            <v>Gopalapatnam - 49</v>
          </cell>
          <cell r="N839" t="str">
            <v>Basic USG, Tiffa, Xray</v>
          </cell>
          <cell r="O839" t="str">
            <v>Radiology</v>
          </cell>
          <cell r="P839" t="str">
            <v>Consultant Radiologist</v>
          </cell>
          <cell r="R839">
            <v>44959</v>
          </cell>
          <cell r="S839">
            <v>44959</v>
          </cell>
          <cell r="T839">
            <v>45689</v>
          </cell>
          <cell r="U839">
            <v>45690</v>
          </cell>
          <cell r="V839">
            <v>2008</v>
          </cell>
          <cell r="W839" t="str">
            <v>Andhra Medical College</v>
          </cell>
          <cell r="X839">
            <v>2019</v>
          </cell>
          <cell r="Y839" t="str">
            <v>Maharaja Institute of Medical Sciences</v>
          </cell>
          <cell r="Z839" t="str">
            <v>NA</v>
          </cell>
          <cell r="AA839" t="str">
            <v>MBBS, MD</v>
          </cell>
          <cell r="AB839">
            <v>61296</v>
          </cell>
          <cell r="AC839" t="str">
            <v xml:space="preserve"> Andhra Pradesh Medical Counil</v>
          </cell>
          <cell r="AD839">
            <v>43682</v>
          </cell>
          <cell r="AE839">
            <v>45508</v>
          </cell>
          <cell r="AF839">
            <v>8125441233</v>
          </cell>
          <cell r="AG839" t="str">
            <v>sukumarayavarapu@gmail.com</v>
          </cell>
          <cell r="AH839" t="str">
            <v>Union Bank</v>
          </cell>
          <cell r="AI839" t="str">
            <v>103010100024423</v>
          </cell>
          <cell r="AJ839" t="str">
            <v>UBIN0810304</v>
          </cell>
          <cell r="AK839" t="str">
            <v>BYVPR5269N</v>
          </cell>
          <cell r="AL839" t="str">
            <v>7633 6515 4101</v>
          </cell>
          <cell r="AM839" t="str">
            <v>Rayavarapu Chiranjeeva Rao</v>
          </cell>
          <cell r="AW839">
            <v>29819</v>
          </cell>
          <cell r="AX839" t="str">
            <v>Male</v>
          </cell>
          <cell r="AY839" t="str">
            <v>Part Time</v>
          </cell>
          <cell r="AZ839">
            <v>2</v>
          </cell>
          <cell r="BA839" t="str">
            <v>Visakhapatnam Cluster</v>
          </cell>
        </row>
        <row r="840">
          <cell r="M840" t="str">
            <v>Panjagutta-121</v>
          </cell>
          <cell r="N840" t="str">
            <v>Basic USG, Tiffa, Guided Procedure, Doppler, Basic CT, All Angios, Basic MRI, X Ray, Radiography, Mammography, IVP, RGU, MCUG, Barium Swallow, Barium Anema, HSG</v>
          </cell>
          <cell r="O840" t="str">
            <v>Radiology</v>
          </cell>
          <cell r="P840" t="str">
            <v>Consultant Radiologist</v>
          </cell>
          <cell r="Q840" t="str">
            <v>Dr.Krishna Mohan</v>
          </cell>
          <cell r="R840">
            <v>44968</v>
          </cell>
          <cell r="S840">
            <v>45181</v>
          </cell>
          <cell r="T840">
            <v>45698</v>
          </cell>
          <cell r="U840">
            <v>45699</v>
          </cell>
          <cell r="V840">
            <v>2013</v>
          </cell>
          <cell r="W840" t="str">
            <v>GOVERNMEN MEDICALCOLLEGE,KOTTAYAM,KERALA</v>
          </cell>
          <cell r="X840">
            <v>2022</v>
          </cell>
          <cell r="Y840" t="str">
            <v>GOVERNMEN MEDICALCOLLEGE,KOTTAYAM,KERALA</v>
          </cell>
          <cell r="Z840" t="str">
            <v>NA</v>
          </cell>
          <cell r="AA840" t="str">
            <v>MBBS, MD</v>
          </cell>
          <cell r="AB840" t="str">
            <v>TSMC/FMR/20646</v>
          </cell>
          <cell r="AC840" t="str">
            <v>Telangana State Medical Council</v>
          </cell>
          <cell r="AD840">
            <v>44912</v>
          </cell>
          <cell r="AE840">
            <v>46737</v>
          </cell>
          <cell r="AF840">
            <v>8921010380</v>
          </cell>
          <cell r="AG840" t="str">
            <v>aleenaaly@gmail.com</v>
          </cell>
          <cell r="AH840" t="str">
            <v>HDFC Bank</v>
          </cell>
          <cell r="AI840" t="str">
            <v>50100604679479</v>
          </cell>
          <cell r="AJ840" t="str">
            <v>HDFC0004125</v>
          </cell>
          <cell r="AK840" t="str">
            <v>DGNPA2498L</v>
          </cell>
          <cell r="AL840">
            <v>508115279400</v>
          </cell>
          <cell r="AM840" t="str">
            <v>Kattathara Ashankunju Ali</v>
          </cell>
          <cell r="AN840">
            <v>45343</v>
          </cell>
          <cell r="AO840">
            <v>45280</v>
          </cell>
          <cell r="AP840" t="str">
            <v>Relocate to Punjagutta</v>
          </cell>
          <cell r="AU840">
            <v>0.375</v>
          </cell>
          <cell r="AV840">
            <v>0.70833333333333337</v>
          </cell>
          <cell r="AW840">
            <v>32723</v>
          </cell>
          <cell r="AX840" t="str">
            <v>Female</v>
          </cell>
          <cell r="AY840" t="str">
            <v>Part Time</v>
          </cell>
          <cell r="AZ840">
            <v>8</v>
          </cell>
          <cell r="BA840" t="str">
            <v>Punjagutta Cluster</v>
          </cell>
        </row>
        <row r="841">
          <cell r="M841" t="str">
            <v>Tirupathi-333</v>
          </cell>
          <cell r="N841" t="str">
            <v>NA</v>
          </cell>
          <cell r="O841" t="str">
            <v>Microbiology</v>
          </cell>
          <cell r="P841" t="str">
            <v>Consultant Microbiologist</v>
          </cell>
          <cell r="R841">
            <v>44970</v>
          </cell>
          <cell r="S841">
            <v>44970</v>
          </cell>
          <cell r="T841">
            <v>45700</v>
          </cell>
          <cell r="U841">
            <v>45701</v>
          </cell>
          <cell r="V841">
            <v>2006</v>
          </cell>
          <cell r="W841" t="str">
            <v>Govt.Medical College, Anantapur- 2006</v>
          </cell>
          <cell r="X841">
            <v>2013</v>
          </cell>
          <cell r="Y841" t="str">
            <v>Sri Venkateswara Medical College, Tirupati - 2013</v>
          </cell>
          <cell r="Z841" t="str">
            <v>NA</v>
          </cell>
          <cell r="AA841" t="str">
            <v>MBBS, MD</v>
          </cell>
          <cell r="AB841" t="str">
            <v>59410 - Andhra Pradesh Medical Council</v>
          </cell>
          <cell r="AC841" t="str">
            <v xml:space="preserve"> Andhra Pradesh Medical Counil</v>
          </cell>
          <cell r="AD841">
            <v>43855</v>
          </cell>
          <cell r="AE841">
            <v>45681</v>
          </cell>
          <cell r="AF841">
            <v>8142141178</v>
          </cell>
          <cell r="AG841" t="str">
            <v>sharabudurga@gmail.com</v>
          </cell>
          <cell r="AH841" t="str">
            <v>SBI Bank</v>
          </cell>
          <cell r="AI841" t="str">
            <v>00000062426903281</v>
          </cell>
          <cell r="AJ841" t="str">
            <v>SBIN0020926</v>
          </cell>
          <cell r="AK841" t="str">
            <v>GKZPS3727M</v>
          </cell>
          <cell r="AL841">
            <v>388634946042</v>
          </cell>
          <cell r="AM841" t="str">
            <v>S Nagabhushana Chari</v>
          </cell>
          <cell r="AN841">
            <v>45325</v>
          </cell>
          <cell r="AO841">
            <v>45296</v>
          </cell>
          <cell r="AU841">
            <v>0.72916666666666663</v>
          </cell>
          <cell r="AV841">
            <v>0.8125</v>
          </cell>
          <cell r="AW841">
            <v>30081</v>
          </cell>
          <cell r="AX841" t="str">
            <v>Female</v>
          </cell>
          <cell r="AY841" t="str">
            <v>Part Time</v>
          </cell>
          <cell r="AZ841">
            <v>2</v>
          </cell>
          <cell r="BA841" t="str">
            <v>Tirupati Cluster</v>
          </cell>
        </row>
        <row r="842">
          <cell r="M842" t="str">
            <v>Safilguda - 58</v>
          </cell>
          <cell r="N842" t="str">
            <v>Basic USG, Tiffa, MSK, Penile Doppler/TRUS,  Guided Procedures, Basic CT, Basic MRI, X Ray, Plain Radiology, IVP, RGU, MCGU, Barium Swallow, Barium Anema, HSG</v>
          </cell>
          <cell r="O842" t="str">
            <v>Radiology</v>
          </cell>
          <cell r="P842" t="str">
            <v>Consultant Radiologist</v>
          </cell>
          <cell r="Q842" t="str">
            <v>Dr. Krishna Mohan Pottala</v>
          </cell>
          <cell r="R842">
            <v>45175</v>
          </cell>
          <cell r="S842">
            <v>45175</v>
          </cell>
          <cell r="T842">
            <v>45905</v>
          </cell>
          <cell r="U842">
            <v>45906</v>
          </cell>
          <cell r="V842">
            <v>2019</v>
          </cell>
          <cell r="W842" t="str">
            <v>Osmania medical College, Hyderabad</v>
          </cell>
          <cell r="X842">
            <v>2023</v>
          </cell>
          <cell r="Y842" t="str">
            <v>Kasturba Medical College, Mangloare</v>
          </cell>
          <cell r="Z842" t="str">
            <v>NA</v>
          </cell>
          <cell r="AA842" t="str">
            <v>MBBS,MD</v>
          </cell>
          <cell r="AB842" t="str">
            <v>TSMC/FMR/09548</v>
          </cell>
          <cell r="AC842" t="str">
            <v>Telangana State Medical Council</v>
          </cell>
          <cell r="AD842">
            <v>45169</v>
          </cell>
          <cell r="AE842">
            <v>46995</v>
          </cell>
          <cell r="AF842">
            <v>9676576148</v>
          </cell>
          <cell r="AG842" t="str">
            <v>saiphani34@gmail.com</v>
          </cell>
          <cell r="AH842" t="str">
            <v>ICICI Bank</v>
          </cell>
          <cell r="AI842" t="str">
            <v>001401537538</v>
          </cell>
          <cell r="AJ842" t="str">
            <v>ICIC0006305</v>
          </cell>
          <cell r="AK842" t="str">
            <v>FSDPP5682M</v>
          </cell>
          <cell r="AL842">
            <v>432594120257</v>
          </cell>
          <cell r="AN842">
            <v>45521</v>
          </cell>
          <cell r="AO842">
            <v>45478</v>
          </cell>
          <cell r="AP842" t="str">
            <v>Relocation due to marriage</v>
          </cell>
          <cell r="AQ842" t="str">
            <v>H.No-1-2-25,Flat No-402,Badamgalli,Streat No-16, Domalguda, Himayathnagar, Telangana-500029.</v>
          </cell>
          <cell r="AS842" t="str">
            <v>H.No-1-2-25,Flat No-402,Badamgalli,Streat No-16, Domalguda, Himayathnagar, Telangana-500029.</v>
          </cell>
          <cell r="AU842">
            <v>0.35416666666666669</v>
          </cell>
          <cell r="AV842">
            <v>0.6875</v>
          </cell>
          <cell r="AW842">
            <v>35215</v>
          </cell>
          <cell r="AX842" t="str">
            <v>Male</v>
          </cell>
          <cell r="AY842" t="str">
            <v>Full Time</v>
          </cell>
          <cell r="AZ842">
            <v>4</v>
          </cell>
          <cell r="BA842" t="str">
            <v>A.S. Rao Nagar Cluster</v>
          </cell>
        </row>
        <row r="843">
          <cell r="O843" t="str">
            <v>NA</v>
          </cell>
        </row>
        <row r="844">
          <cell r="M844" t="str">
            <v>Santosh Nagar-15</v>
          </cell>
          <cell r="N844" t="str">
            <v>N/A</v>
          </cell>
          <cell r="O844" t="str">
            <v>Physician Services</v>
          </cell>
          <cell r="P844" t="str">
            <v>Consultant Physician</v>
          </cell>
          <cell r="Q844" t="str">
            <v>N/A</v>
          </cell>
          <cell r="R844">
            <v>45457</v>
          </cell>
          <cell r="S844">
            <v>45457</v>
          </cell>
          <cell r="T844">
            <v>46186</v>
          </cell>
          <cell r="U844">
            <v>46187</v>
          </cell>
          <cell r="V844">
            <v>2015</v>
          </cell>
          <cell r="W844" t="str">
            <v>Sri Lakshmi Narayana Institiute of Medical Science.</v>
          </cell>
          <cell r="X844" t="str">
            <v>N/A</v>
          </cell>
          <cell r="Y844" t="str">
            <v>N/A</v>
          </cell>
          <cell r="Z844" t="str">
            <v>N/A</v>
          </cell>
          <cell r="AA844" t="str">
            <v>MBBS</v>
          </cell>
          <cell r="AB844" t="str">
            <v>TSMC/FMR/30294</v>
          </cell>
          <cell r="AC844" t="str">
            <v>Telangana State Medical Council</v>
          </cell>
          <cell r="AD844">
            <v>45341</v>
          </cell>
          <cell r="AE844">
            <v>46802</v>
          </cell>
          <cell r="AF844">
            <v>9789447301</v>
          </cell>
          <cell r="AG844" t="str">
            <v>abinyaanoint@gmail.com</v>
          </cell>
          <cell r="AH844" t="str">
            <v>HDFC Bank</v>
          </cell>
          <cell r="AI844">
            <v>50100240953972</v>
          </cell>
          <cell r="AJ844" t="str">
            <v>HDFC0000847</v>
          </cell>
          <cell r="AK844" t="str">
            <v>BWWPG0491A</v>
          </cell>
          <cell r="AL844">
            <v>354572514042</v>
          </cell>
          <cell r="AM844" t="str">
            <v>GUNASEKARAN PERUMAL</v>
          </cell>
          <cell r="AN844">
            <v>45521</v>
          </cell>
          <cell r="AO844">
            <v>45522</v>
          </cell>
          <cell r="AP844" t="str">
            <v>Resigned due to higher studies, not served notice period</v>
          </cell>
          <cell r="AQ844" t="str">
            <v>Hospital road, Perambakkam, thiruvallur, Tamil Nadu-631402.</v>
          </cell>
          <cell r="AS844" t="str">
            <v>Hospital road, Perambakkam, thiruvallur, Tamil Nadu-631402.</v>
          </cell>
          <cell r="AW844">
            <v>33736</v>
          </cell>
          <cell r="AX844" t="str">
            <v>Female</v>
          </cell>
          <cell r="AY844" t="str">
            <v>Part Time</v>
          </cell>
          <cell r="AZ844">
            <v>1</v>
          </cell>
          <cell r="BA844" t="str">
            <v>Santosh Nagar Cluster</v>
          </cell>
        </row>
        <row r="845">
          <cell r="M845" t="str">
            <v>Gurgaon - 54</v>
          </cell>
          <cell r="N845" t="str">
            <v>NA</v>
          </cell>
          <cell r="O845" t="str">
            <v>Microbiology</v>
          </cell>
          <cell r="P845" t="str">
            <v>Consultant Microbiologist</v>
          </cell>
          <cell r="R845">
            <v>44972</v>
          </cell>
          <cell r="S845">
            <v>44972</v>
          </cell>
          <cell r="T845">
            <v>45702</v>
          </cell>
          <cell r="U845">
            <v>45703</v>
          </cell>
          <cell r="V845">
            <v>2011</v>
          </cell>
          <cell r="W845" t="str">
            <v>Maharashtra University Of Health Sciences, Nashik - 2011</v>
          </cell>
          <cell r="X845">
            <v>2019</v>
          </cell>
          <cell r="Y845" t="str">
            <v>Maharashtra University Of Health Sciences, Nashik - 2019</v>
          </cell>
          <cell r="Z845" t="str">
            <v>NA</v>
          </cell>
          <cell r="AA845" t="str">
            <v>MBBS, MD</v>
          </cell>
          <cell r="AB845" t="str">
            <v>DMC/R/8189</v>
          </cell>
          <cell r="AC845" t="str">
            <v>Delhi medical Counil</v>
          </cell>
          <cell r="AD845">
            <v>44672</v>
          </cell>
          <cell r="AE845">
            <v>46497</v>
          </cell>
          <cell r="AF845">
            <v>7506104551</v>
          </cell>
          <cell r="AG845" t="str">
            <v>rvvikash@gmail.com</v>
          </cell>
          <cell r="AH845" t="str">
            <v>AXIS BANK</v>
          </cell>
          <cell r="AI845" t="str">
            <v>921010002870806</v>
          </cell>
          <cell r="AJ845" t="str">
            <v>UTIB0003683</v>
          </cell>
          <cell r="AK845" t="str">
            <v>ASDPR8306B</v>
          </cell>
          <cell r="AL845">
            <v>311179696340</v>
          </cell>
          <cell r="AM845" t="str">
            <v>Girindra Mohan Kumar</v>
          </cell>
          <cell r="AN845">
            <v>45110</v>
          </cell>
          <cell r="AW845">
            <v>30411</v>
          </cell>
          <cell r="AX845" t="str">
            <v>Male</v>
          </cell>
          <cell r="AY845" t="str">
            <v>Part Time</v>
          </cell>
          <cell r="AZ845">
            <v>2</v>
          </cell>
          <cell r="BA845" t="str">
            <v>Haryana Cluster</v>
          </cell>
        </row>
        <row r="846">
          <cell r="M846" t="str">
            <v>Tirupathi-333</v>
          </cell>
          <cell r="N846" t="str">
            <v>NA</v>
          </cell>
          <cell r="O846" t="str">
            <v>Pathology</v>
          </cell>
          <cell r="P846" t="str">
            <v>Consultant Pathologist</v>
          </cell>
          <cell r="R846">
            <v>44981</v>
          </cell>
          <cell r="S846">
            <v>44981</v>
          </cell>
          <cell r="T846">
            <v>45711</v>
          </cell>
          <cell r="U846">
            <v>45712</v>
          </cell>
          <cell r="V846">
            <v>2013</v>
          </cell>
          <cell r="W846" t="str">
            <v>Sri Ramachandra Medical College and Research Institute, Chennai - 2013</v>
          </cell>
          <cell r="X846">
            <v>2020</v>
          </cell>
          <cell r="Y846" t="str">
            <v>Manipal - Kasturba Medical College - 2020</v>
          </cell>
          <cell r="Z846" t="str">
            <v>NA</v>
          </cell>
          <cell r="AA846" t="str">
            <v>MBBS, MD</v>
          </cell>
          <cell r="AB846" t="str">
            <v>APMC/FMR/113107</v>
          </cell>
          <cell r="AC846" t="str">
            <v xml:space="preserve"> Andhra Pradesh Medical Counil</v>
          </cell>
          <cell r="AD846">
            <v>44320</v>
          </cell>
          <cell r="AE846">
            <v>46145</v>
          </cell>
          <cell r="AF846">
            <v>8015190465</v>
          </cell>
          <cell r="AG846" t="str">
            <v>jeepalemkavya@gmail.com</v>
          </cell>
          <cell r="AH846" t="str">
            <v>Indian Oversea Bank</v>
          </cell>
          <cell r="AI846" t="str">
            <v>378001000002262</v>
          </cell>
          <cell r="AJ846" t="str">
            <v>IOBA0003780</v>
          </cell>
          <cell r="AK846" t="str">
            <v>ATMPJ4277F</v>
          </cell>
          <cell r="AL846">
            <v>213247229272</v>
          </cell>
          <cell r="AM846" t="str">
            <v>Jeepalem Chandra</v>
          </cell>
          <cell r="AN846">
            <v>45115</v>
          </cell>
          <cell r="AS846" t="e">
            <v>#N/A</v>
          </cell>
          <cell r="AW846">
            <v>33046</v>
          </cell>
          <cell r="AX846" t="str">
            <v>Female</v>
          </cell>
          <cell r="AY846" t="str">
            <v>Full Time</v>
          </cell>
          <cell r="AZ846">
            <v>8</v>
          </cell>
          <cell r="BA846" t="str">
            <v>Tirupati Cluster</v>
          </cell>
        </row>
        <row r="847">
          <cell r="M847" t="str">
            <v>Himayatnagar</v>
          </cell>
          <cell r="N847" t="str">
            <v>Basic USG, Tiffa, MSK, Penile Doppler/TRUS,  Guided Procedures, Basic CT, Basic MRI, X Ray, Plain Radiology, IVP, RGU, MCGU, Barium Swallow, Barium Anema, HSG</v>
          </cell>
          <cell r="O847" t="str">
            <v>Radiology</v>
          </cell>
          <cell r="P847" t="str">
            <v>Consultant Radiologist</v>
          </cell>
          <cell r="Q847" t="str">
            <v>Dr. Krishna Mohan Pottala</v>
          </cell>
          <cell r="R847">
            <v>45469</v>
          </cell>
          <cell r="S847">
            <v>45469</v>
          </cell>
          <cell r="T847">
            <v>46198</v>
          </cell>
          <cell r="U847">
            <v>46199</v>
          </cell>
          <cell r="V847">
            <v>2019</v>
          </cell>
          <cell r="W847" t="str">
            <v>Osmania medical College, Hyderabad</v>
          </cell>
          <cell r="X847">
            <v>2023</v>
          </cell>
          <cell r="Y847" t="str">
            <v>Kasturba Medical College, Mangloare</v>
          </cell>
          <cell r="Z847" t="str">
            <v>NA</v>
          </cell>
          <cell r="AA847" t="str">
            <v>MBBS,MD</v>
          </cell>
          <cell r="AB847" t="str">
            <v>TSMC/FMR/09548</v>
          </cell>
          <cell r="AC847" t="str">
            <v>Telangana State Medical Council</v>
          </cell>
          <cell r="AD847">
            <v>45169</v>
          </cell>
          <cell r="AE847">
            <v>46995</v>
          </cell>
          <cell r="AF847">
            <v>9676576148</v>
          </cell>
          <cell r="AG847" t="str">
            <v>saiphani34@gmail.com</v>
          </cell>
          <cell r="AH847" t="str">
            <v>ICICI Bank</v>
          </cell>
          <cell r="AI847" t="str">
            <v>001401537538</v>
          </cell>
          <cell r="AJ847" t="str">
            <v>ICIC0006305</v>
          </cell>
          <cell r="AK847" t="str">
            <v>FSDPP5682M</v>
          </cell>
          <cell r="AL847">
            <v>432594120257</v>
          </cell>
          <cell r="AN847">
            <v>45521</v>
          </cell>
          <cell r="AO847">
            <v>45478</v>
          </cell>
          <cell r="AP847" t="str">
            <v>Relocation due to marriage</v>
          </cell>
          <cell r="AQ847" t="str">
            <v>H.No-1-2-25,Flat No-402,Badamgalli,Streat No-16, Domalguda, Himayathnagar, Telangana-500029.</v>
          </cell>
          <cell r="AS847" t="str">
            <v>H.No-1-2-25,Flat No-402,Badamgalli,Streat No-16, Domalguda, Himayathnagar, Telangana-500029.</v>
          </cell>
          <cell r="AW847">
            <v>35215</v>
          </cell>
          <cell r="AX847" t="str">
            <v>Male</v>
          </cell>
          <cell r="AY847" t="str">
            <v>Full Time</v>
          </cell>
          <cell r="AZ847">
            <v>4</v>
          </cell>
          <cell r="BA847" t="str">
            <v>Himayathnagar Cluster</v>
          </cell>
        </row>
        <row r="848">
          <cell r="M848" t="str">
            <v>Tirupathi-333</v>
          </cell>
          <cell r="N848" t="str">
            <v>NA</v>
          </cell>
          <cell r="O848" t="str">
            <v>Radiology</v>
          </cell>
          <cell r="P848" t="str">
            <v>Consultant Radiologist</v>
          </cell>
          <cell r="Q848" t="str">
            <v>Dr.Krishna Mohan</v>
          </cell>
          <cell r="R848">
            <v>44979</v>
          </cell>
          <cell r="S848">
            <v>44979</v>
          </cell>
          <cell r="T848">
            <v>45709</v>
          </cell>
          <cell r="U848">
            <v>45710</v>
          </cell>
          <cell r="V848">
            <v>1992</v>
          </cell>
          <cell r="W848" t="str">
            <v>Annamalai University - 1992</v>
          </cell>
          <cell r="X848">
            <v>2004</v>
          </cell>
          <cell r="Y848" t="str">
            <v>University of Delhi South Campus - 2004</v>
          </cell>
          <cell r="Z848" t="str">
            <v>NA</v>
          </cell>
          <cell r="AA848" t="str">
            <v>MBBS, MD</v>
          </cell>
          <cell r="AB848" t="str">
            <v>APMC/FMR/123257</v>
          </cell>
          <cell r="AC848" t="str">
            <v xml:space="preserve"> Andhra Pradesh Medical Counil</v>
          </cell>
          <cell r="AD848">
            <v>44971</v>
          </cell>
          <cell r="AE848">
            <v>46796</v>
          </cell>
          <cell r="AF848">
            <v>9787307771</v>
          </cell>
          <cell r="AG848" t="str">
            <v>mvs7771@gmail.com</v>
          </cell>
          <cell r="AH848" t="str">
            <v>AXIS BANK</v>
          </cell>
          <cell r="AI848" t="str">
            <v>477010100001182</v>
          </cell>
          <cell r="AJ848" t="str">
            <v>UTIB0002927</v>
          </cell>
          <cell r="AK848" t="str">
            <v>AFIPM7072F</v>
          </cell>
          <cell r="AL848">
            <v>519167984121</v>
          </cell>
          <cell r="AM848" t="str">
            <v>Marappa Chettiy</v>
          </cell>
          <cell r="AN848">
            <v>45383</v>
          </cell>
          <cell r="AO848">
            <v>45344</v>
          </cell>
          <cell r="AP848" t="str">
            <v>Personal Reason</v>
          </cell>
          <cell r="AU848">
            <v>0.45833333333333331</v>
          </cell>
          <cell r="AV848">
            <v>0.79166666666666663</v>
          </cell>
          <cell r="AW848">
            <v>25756</v>
          </cell>
          <cell r="AX848" t="str">
            <v>Male</v>
          </cell>
          <cell r="AY848" t="str">
            <v>Full Time</v>
          </cell>
          <cell r="AZ848">
            <v>8</v>
          </cell>
          <cell r="BA848" t="str">
            <v>Tirupati Cluster</v>
          </cell>
        </row>
        <row r="849">
          <cell r="M849" t="str">
            <v>Tele reporting</v>
          </cell>
          <cell r="N849" t="str">
            <v>CT, MRI Reporting</v>
          </cell>
          <cell r="O849" t="str">
            <v>Radiology</v>
          </cell>
          <cell r="P849" t="str">
            <v>Consultant Radiologist</v>
          </cell>
          <cell r="Q849" t="str">
            <v>Dr Krishna Mohan Pottala</v>
          </cell>
          <cell r="S849">
            <v>45485</v>
          </cell>
          <cell r="T849">
            <v>46214</v>
          </cell>
          <cell r="U849">
            <v>46215</v>
          </cell>
          <cell r="V849">
            <v>1992</v>
          </cell>
          <cell r="W849" t="str">
            <v>Annamalai University - 1992</v>
          </cell>
          <cell r="X849">
            <v>2004</v>
          </cell>
          <cell r="Y849" t="str">
            <v>University of Delhi South Campus - 2004</v>
          </cell>
          <cell r="Z849" t="str">
            <v>NA</v>
          </cell>
          <cell r="AA849" t="str">
            <v>MBBS, MD Radio Diagnosis</v>
          </cell>
          <cell r="AB849" t="str">
            <v>APMC/FMR/123257</v>
          </cell>
          <cell r="AC849" t="str">
            <v>Andhra Pradesh Medical Counil</v>
          </cell>
          <cell r="AD849">
            <v>44971</v>
          </cell>
          <cell r="AE849">
            <v>46796</v>
          </cell>
          <cell r="AF849">
            <v>9787307771</v>
          </cell>
          <cell r="AG849" t="str">
            <v>mvs7771@gmail.com</v>
          </cell>
          <cell r="AH849" t="str">
            <v>AXIS BANK</v>
          </cell>
          <cell r="AI849" t="str">
            <v>477010100001182</v>
          </cell>
          <cell r="AJ849" t="str">
            <v>UTIB0002927</v>
          </cell>
          <cell r="AK849" t="str">
            <v>AFIPM7072F</v>
          </cell>
          <cell r="AL849">
            <v>519167984121</v>
          </cell>
          <cell r="AM849" t="str">
            <v>Marappa Chettiy</v>
          </cell>
          <cell r="AN849" t="str">
            <v>Tele</v>
          </cell>
          <cell r="AO849" t="str">
            <v>NA</v>
          </cell>
          <cell r="AP849" t="str">
            <v>not doing cases</v>
          </cell>
          <cell r="AQ849">
            <v>0</v>
          </cell>
          <cell r="AR849">
            <v>55</v>
          </cell>
          <cell r="AW849">
            <v>25756</v>
          </cell>
          <cell r="AX849" t="str">
            <v>Male</v>
          </cell>
          <cell r="AY849" t="str">
            <v>Full Time</v>
          </cell>
          <cell r="BA849" t="str">
            <v>NA</v>
          </cell>
        </row>
        <row r="850">
          <cell r="M850" t="str">
            <v>Kurnool - 43</v>
          </cell>
          <cell r="N850" t="str">
            <v>NA</v>
          </cell>
          <cell r="O850" t="str">
            <v>Physician Services</v>
          </cell>
          <cell r="P850" t="str">
            <v>Consultant Physician</v>
          </cell>
          <cell r="R850">
            <v>44979</v>
          </cell>
          <cell r="S850">
            <v>44979</v>
          </cell>
          <cell r="T850">
            <v>45709</v>
          </cell>
          <cell r="U850">
            <v>45710</v>
          </cell>
          <cell r="V850">
            <v>2016</v>
          </cell>
          <cell r="W850" t="str">
            <v>Fathima Instt.of Medical Sciences, Kadapa - 2016</v>
          </cell>
          <cell r="X850" t="str">
            <v>NA</v>
          </cell>
          <cell r="Y850" t="str">
            <v>NA</v>
          </cell>
          <cell r="Z850" t="str">
            <v>NA</v>
          </cell>
          <cell r="AA850" t="str">
            <v>MBBS</v>
          </cell>
          <cell r="AB850" t="str">
            <v>APMC/FMR/100801</v>
          </cell>
          <cell r="AC850" t="str">
            <v xml:space="preserve"> Andhra Pradesh Medical Counil</v>
          </cell>
          <cell r="AD850">
            <v>43196</v>
          </cell>
          <cell r="AE850">
            <v>45021</v>
          </cell>
          <cell r="AF850" t="str">
            <v>91103 48287</v>
          </cell>
          <cell r="AG850" t="str">
            <v>zeshaan7869@gmail.com</v>
          </cell>
          <cell r="AH850" t="str">
            <v>State Bank of India</v>
          </cell>
          <cell r="AI850">
            <v>20393048900</v>
          </cell>
          <cell r="AJ850" t="str">
            <v>SBIN0000866</v>
          </cell>
          <cell r="AK850" t="str">
            <v>OMTPS4242B</v>
          </cell>
          <cell r="AL850">
            <v>958889767811</v>
          </cell>
          <cell r="AM850" t="str">
            <v>Md.Maqsood Ahmed</v>
          </cell>
          <cell r="AW850">
            <v>33480</v>
          </cell>
          <cell r="AX850" t="str">
            <v>Male</v>
          </cell>
          <cell r="AY850" t="str">
            <v>Part Time</v>
          </cell>
          <cell r="AZ850">
            <v>2</v>
          </cell>
          <cell r="BA850" t="str">
            <v>Kurnool Cluster</v>
          </cell>
        </row>
        <row r="851">
          <cell r="M851" t="str">
            <v>Habsiguda - 17</v>
          </cell>
          <cell r="N851" t="str">
            <v>NA</v>
          </cell>
          <cell r="O851" t="str">
            <v>Pathology</v>
          </cell>
          <cell r="P851" t="str">
            <v>Consultant Pathologist</v>
          </cell>
          <cell r="Q851" t="str">
            <v>Dr. PTS. Shashikanth</v>
          </cell>
          <cell r="R851">
            <v>44986</v>
          </cell>
          <cell r="S851">
            <v>44986</v>
          </cell>
          <cell r="T851">
            <v>45716</v>
          </cell>
          <cell r="U851">
            <v>45717</v>
          </cell>
          <cell r="V851">
            <v>2012</v>
          </cell>
          <cell r="W851" t="str">
            <v>JSS  Medical College - 2012</v>
          </cell>
          <cell r="X851">
            <v>2021</v>
          </cell>
          <cell r="Y851" t="str">
            <v>JSS Academy Of Higher Education &amp; Research - 2021</v>
          </cell>
          <cell r="Z851" t="str">
            <v>NA</v>
          </cell>
          <cell r="AA851" t="str">
            <v>MBBS, MD</v>
          </cell>
          <cell r="AB851" t="str">
            <v>TSMC/FMR/22656</v>
          </cell>
          <cell r="AC851" t="str">
            <v>Telangana State Medical Council</v>
          </cell>
          <cell r="AD851">
            <v>44853</v>
          </cell>
          <cell r="AE851">
            <v>46678</v>
          </cell>
          <cell r="AF851">
            <v>9845329465</v>
          </cell>
          <cell r="AG851" t="str">
            <v>shrutitadachina22@gmail.com</v>
          </cell>
          <cell r="AH851" t="str">
            <v>Union Bank of India</v>
          </cell>
          <cell r="AI851" t="str">
            <v>50100004870472</v>
          </cell>
          <cell r="AJ851" t="str">
            <v>HDFC0004096</v>
          </cell>
          <cell r="AK851" t="str">
            <v>ALIPT8763G</v>
          </cell>
          <cell r="AL851" t="str">
            <v>220773977849</v>
          </cell>
          <cell r="AM851" t="str">
            <v>Laxma Reddy</v>
          </cell>
          <cell r="AN851">
            <v>45373</v>
          </cell>
          <cell r="AO851">
            <v>45315</v>
          </cell>
          <cell r="AP851" t="str">
            <v>We Ask Her to Leave</v>
          </cell>
          <cell r="AU851">
            <v>0.33333333333333331</v>
          </cell>
          <cell r="AV851">
            <v>0.66666666666666663</v>
          </cell>
          <cell r="AW851">
            <v>32530</v>
          </cell>
          <cell r="AX851" t="str">
            <v>Female</v>
          </cell>
          <cell r="AY851" t="str">
            <v>Full Time</v>
          </cell>
          <cell r="AZ851">
            <v>8</v>
          </cell>
          <cell r="BA851" t="str">
            <v>A.S. Rao Nagar Cluster</v>
          </cell>
        </row>
        <row r="852">
          <cell r="M852" t="str">
            <v>Ameerpet - 14</v>
          </cell>
          <cell r="N852" t="str">
            <v>NA</v>
          </cell>
          <cell r="O852" t="str">
            <v>Physician Services</v>
          </cell>
          <cell r="P852" t="str">
            <v>Consultant Physician</v>
          </cell>
          <cell r="R852">
            <v>44994</v>
          </cell>
          <cell r="S852">
            <v>44994</v>
          </cell>
          <cell r="T852">
            <v>45724</v>
          </cell>
          <cell r="U852">
            <v>45725</v>
          </cell>
          <cell r="V852">
            <v>2019</v>
          </cell>
          <cell r="W852" t="str">
            <v>Dr. NTR University of Health Sciences - 2019</v>
          </cell>
          <cell r="X852" t="str">
            <v>NA</v>
          </cell>
          <cell r="Y852" t="str">
            <v>NA</v>
          </cell>
          <cell r="Z852" t="str">
            <v>NA</v>
          </cell>
          <cell r="AA852" t="str">
            <v>NO</v>
          </cell>
          <cell r="AB852" t="str">
            <v>TSMC/FMR/15308</v>
          </cell>
          <cell r="AF852">
            <v>8297072470</v>
          </cell>
          <cell r="AG852" t="str">
            <v>ruthbreddy@gmail.com</v>
          </cell>
          <cell r="AH852" t="str">
            <v>SBI</v>
          </cell>
          <cell r="AI852">
            <v>20255185718</v>
          </cell>
          <cell r="AJ852" t="str">
            <v>SBIN0003607</v>
          </cell>
          <cell r="AK852" t="str">
            <v>ENTPR1042F</v>
          </cell>
          <cell r="AL852" t="str">
            <v>441722655301</v>
          </cell>
          <cell r="AM852" t="str">
            <v>B.Yadi Reddy</v>
          </cell>
          <cell r="AW852">
            <v>35246</v>
          </cell>
          <cell r="AX852" t="str">
            <v>Female</v>
          </cell>
          <cell r="AY852" t="str">
            <v>Part Time</v>
          </cell>
          <cell r="AZ852">
            <v>1</v>
          </cell>
          <cell r="BA852" t="str">
            <v>Himayathnagar Cluster</v>
          </cell>
        </row>
        <row r="853">
          <cell r="M853" t="str">
            <v>Sec II S D Road - 13</v>
          </cell>
          <cell r="N853" t="str">
            <v>NA</v>
          </cell>
          <cell r="O853" t="str">
            <v>Physician Services</v>
          </cell>
          <cell r="P853" t="str">
            <v>Consultant Physician</v>
          </cell>
          <cell r="R853">
            <v>44993</v>
          </cell>
          <cell r="S853">
            <v>44993</v>
          </cell>
          <cell r="T853">
            <v>45723</v>
          </cell>
          <cell r="U853">
            <v>45724</v>
          </cell>
          <cell r="V853">
            <v>2017</v>
          </cell>
          <cell r="W853" t="str">
            <v>Shri B M Patil Medical College, Hospital And Research Centre - 2017</v>
          </cell>
          <cell r="Y853" t="str">
            <v>NA</v>
          </cell>
          <cell r="Z853" t="str">
            <v>NA</v>
          </cell>
          <cell r="AA853" t="str">
            <v>NO</v>
          </cell>
          <cell r="AB853" t="str">
            <v>APMC/FMR/104215</v>
          </cell>
          <cell r="AF853">
            <v>8147467645</v>
          </cell>
          <cell r="AG853" t="str">
            <v>prashanth.reddy535@gmail.com</v>
          </cell>
          <cell r="AH853" t="str">
            <v>Union Bank of India</v>
          </cell>
          <cell r="AI853" t="str">
            <v>520101032887023</v>
          </cell>
          <cell r="AJ853" t="str">
            <v>UBIN0930903</v>
          </cell>
          <cell r="AK853" t="str">
            <v>ARSPV3994M</v>
          </cell>
          <cell r="AL853" t="str">
            <v>428923307321</v>
          </cell>
          <cell r="AM853" t="str">
            <v>V. Venkata Subbareddy</v>
          </cell>
          <cell r="AN853">
            <v>45178</v>
          </cell>
          <cell r="AW853">
            <v>33821</v>
          </cell>
          <cell r="AX853" t="str">
            <v>Male</v>
          </cell>
          <cell r="AY853" t="str">
            <v>Part Time</v>
          </cell>
          <cell r="AZ853">
            <v>2</v>
          </cell>
          <cell r="BA853" t="str">
            <v>Secunderabad Cluster</v>
          </cell>
        </row>
        <row r="854">
          <cell r="M854" t="str">
            <v>Manchieral-105</v>
          </cell>
          <cell r="N854" t="str">
            <v>Basic USG, Tiffa, Guided Procedure, Doppler, Basic CT, All Angios, Basic MRI, X Ray, Radiography, Mammography, IVP, RGU, MCUG, Barium Swallow, Barium Anema, HSG</v>
          </cell>
          <cell r="O854" t="str">
            <v>Radiology</v>
          </cell>
          <cell r="P854" t="str">
            <v>Consultant Radiologist</v>
          </cell>
          <cell r="Q854" t="str">
            <v>Dr.Krishna Mohan</v>
          </cell>
          <cell r="R854">
            <v>44988</v>
          </cell>
          <cell r="S854">
            <v>44988</v>
          </cell>
          <cell r="T854">
            <v>45718</v>
          </cell>
          <cell r="U854">
            <v>45719</v>
          </cell>
          <cell r="V854">
            <v>2015</v>
          </cell>
          <cell r="W854" t="str">
            <v>Dr. NTR University of Health Sciences - 2015</v>
          </cell>
          <cell r="X854">
            <v>2019</v>
          </cell>
          <cell r="Y854" t="str">
            <v>Kaloji Narayana Rao University of Sciences - 2019</v>
          </cell>
          <cell r="Z854" t="str">
            <v>NA</v>
          </cell>
          <cell r="AA854" t="str">
            <v>MD</v>
          </cell>
          <cell r="AB854" t="str">
            <v>APMC/FMR/93917</v>
          </cell>
          <cell r="AF854">
            <v>8179352520</v>
          </cell>
          <cell r="AG854" t="str">
            <v>sreelaxmi.aitipamula@gmail.com</v>
          </cell>
          <cell r="AH854" t="str">
            <v>SBI</v>
          </cell>
          <cell r="AI854">
            <v>62344114675</v>
          </cell>
          <cell r="AJ854" t="str">
            <v>SBIN0021463</v>
          </cell>
          <cell r="AK854" t="str">
            <v>BU0PA0778A</v>
          </cell>
          <cell r="AL854" t="str">
            <v>201796861541</v>
          </cell>
          <cell r="AM854" t="str">
            <v>A. Seetharamulu</v>
          </cell>
          <cell r="AN854">
            <v>45133</v>
          </cell>
          <cell r="AS854" t="e">
            <v>#N/A</v>
          </cell>
          <cell r="AW854">
            <v>33834</v>
          </cell>
          <cell r="AX854" t="str">
            <v>Female</v>
          </cell>
          <cell r="AY854" t="str">
            <v>Part Time</v>
          </cell>
          <cell r="AZ854">
            <v>6</v>
          </cell>
          <cell r="BA854" t="str">
            <v>TS - Upcountry</v>
          </cell>
        </row>
        <row r="855">
          <cell r="M855" t="str">
            <v>Tirupathi-333</v>
          </cell>
          <cell r="N855" t="str">
            <v>Basic USG, Tiffa, MSK, Guided Procedures, Basic CT, All Angios, CT Perfusion, Basic MRI, Fetal MR, MR Prostate, X Ray, Plain Radiography, Mammography, IVP, RGU, MCGU, Barium Swallow, Barium Anema, HSG</v>
          </cell>
          <cell r="O855" t="str">
            <v>Radiology</v>
          </cell>
          <cell r="P855" t="str">
            <v>Consultant Radiologist</v>
          </cell>
          <cell r="Q855" t="str">
            <v>Dr.Krishna Mohan</v>
          </cell>
          <cell r="R855">
            <v>44986</v>
          </cell>
          <cell r="S855">
            <v>44986</v>
          </cell>
          <cell r="T855">
            <v>45716</v>
          </cell>
          <cell r="U855">
            <v>45717</v>
          </cell>
          <cell r="V855">
            <v>2011</v>
          </cell>
          <cell r="W855" t="str">
            <v>Dr. NTR University of Health Sciences - 2011</v>
          </cell>
          <cell r="X855">
            <v>2017</v>
          </cell>
          <cell r="Y855" t="str">
            <v>Dr. NTR University of Health Sciences - 2017</v>
          </cell>
          <cell r="Z855" t="str">
            <v>NA</v>
          </cell>
          <cell r="AA855" t="str">
            <v>MBBS, MD</v>
          </cell>
          <cell r="AB855" t="str">
            <v>APMC/FMR/75434</v>
          </cell>
          <cell r="AC855" t="str">
            <v xml:space="preserve"> Andhra Pradesh Medical Counil</v>
          </cell>
          <cell r="AD855">
            <v>44936</v>
          </cell>
          <cell r="AE855">
            <v>46761</v>
          </cell>
          <cell r="AF855">
            <v>9642860960</v>
          </cell>
          <cell r="AG855" t="str">
            <v>hemalatha2911@gmail.com</v>
          </cell>
          <cell r="AH855" t="str">
            <v>SBI Bank</v>
          </cell>
          <cell r="AI855" t="str">
            <v>11026020471</v>
          </cell>
          <cell r="AJ855" t="str">
            <v>SBIN0001491</v>
          </cell>
          <cell r="AK855" t="str">
            <v>DOBPS3736B</v>
          </cell>
          <cell r="AL855" t="str">
            <v>679171173276</v>
          </cell>
          <cell r="AM855" t="str">
            <v>Prabhakar Naidu S</v>
          </cell>
          <cell r="AN855">
            <v>45443</v>
          </cell>
          <cell r="AO855">
            <v>45408</v>
          </cell>
          <cell r="AP855" t="str">
            <v>Personal Reason</v>
          </cell>
          <cell r="AU855">
            <v>0.375</v>
          </cell>
          <cell r="AV855">
            <v>0.70833333333333337</v>
          </cell>
          <cell r="AW855">
            <v>32476</v>
          </cell>
          <cell r="AX855" t="str">
            <v>Female</v>
          </cell>
          <cell r="AY855" t="str">
            <v>Full Time</v>
          </cell>
          <cell r="AZ855">
            <v>8</v>
          </cell>
          <cell r="BA855" t="str">
            <v>Tirupati Cluster</v>
          </cell>
        </row>
        <row r="856">
          <cell r="M856" t="str">
            <v>Panjagutta-121</v>
          </cell>
          <cell r="N856" t="str">
            <v>ET CT Gallium Scan, PET CT, Gamma Scan</v>
          </cell>
          <cell r="O856" t="str">
            <v>Nuclear Medicine</v>
          </cell>
          <cell r="P856" t="str">
            <v>Consultant Nuclear Medicine</v>
          </cell>
          <cell r="Q856" t="str">
            <v>Dr Anuj Jain</v>
          </cell>
          <cell r="R856">
            <v>44830</v>
          </cell>
          <cell r="S856">
            <v>44830</v>
          </cell>
          <cell r="T856">
            <v>45560</v>
          </cell>
          <cell r="U856">
            <v>45561</v>
          </cell>
          <cell r="V856">
            <v>2004</v>
          </cell>
          <cell r="W856" t="str">
            <v>KIMS, Karad, Maharashtra</v>
          </cell>
          <cell r="X856">
            <v>2007</v>
          </cell>
          <cell r="Y856" t="str">
            <v>Radiation Medicine Centre, BARC, Mumbai, Mumbai University</v>
          </cell>
          <cell r="Z856" t="str">
            <v>DNB Nuclear Medicine - 2010</v>
          </cell>
          <cell r="AA856" t="str">
            <v>MBBS, DMRD, DNB</v>
          </cell>
          <cell r="AB856" t="str">
            <v>G-67520</v>
          </cell>
          <cell r="AC856" t="str">
            <v>Gujrath  Medical Council</v>
          </cell>
          <cell r="AF856">
            <v>9979788181</v>
          </cell>
          <cell r="AG856" t="str">
            <v>ashishghuli@gmail.com</v>
          </cell>
          <cell r="AH856" t="str">
            <v>ICICI Bank</v>
          </cell>
          <cell r="AI856" t="str">
            <v>603601525272</v>
          </cell>
          <cell r="AJ856" t="str">
            <v>ICIC0006421</v>
          </cell>
          <cell r="AK856" t="str">
            <v>APOPG7217C</v>
          </cell>
          <cell r="AL856">
            <v>242709186990</v>
          </cell>
          <cell r="AM856" t="str">
            <v>Rajendra Ghuli</v>
          </cell>
          <cell r="AN856">
            <v>45523</v>
          </cell>
          <cell r="AO856">
            <v>45463</v>
          </cell>
          <cell r="AU856">
            <v>0.375</v>
          </cell>
          <cell r="AV856">
            <v>0.70833333333333337</v>
          </cell>
          <cell r="AW856">
            <v>29937</v>
          </cell>
          <cell r="AX856" t="str">
            <v>Male</v>
          </cell>
          <cell r="AY856" t="str">
            <v>Full Time</v>
          </cell>
          <cell r="AZ856">
            <v>8</v>
          </cell>
          <cell r="BA856" t="str">
            <v>Punjagutta Cluster</v>
          </cell>
        </row>
        <row r="857">
          <cell r="M857" t="str">
            <v>Santosh Nagar-15</v>
          </cell>
          <cell r="N857" t="str">
            <v>NA</v>
          </cell>
          <cell r="O857" t="str">
            <v>Physician Services</v>
          </cell>
          <cell r="P857" t="str">
            <v>Consultant Physician</v>
          </cell>
          <cell r="R857">
            <v>44998</v>
          </cell>
          <cell r="S857">
            <v>44998</v>
          </cell>
          <cell r="T857">
            <v>45728</v>
          </cell>
          <cell r="U857">
            <v>45729</v>
          </cell>
          <cell r="V857">
            <v>2021</v>
          </cell>
          <cell r="W857" t="str">
            <v>Shadan Medical College - 2021</v>
          </cell>
          <cell r="X857" t="str">
            <v>NA</v>
          </cell>
          <cell r="Y857" t="str">
            <v>NA</v>
          </cell>
          <cell r="Z857" t="str">
            <v>NA</v>
          </cell>
          <cell r="AA857" t="str">
            <v>NO</v>
          </cell>
          <cell r="AB857" t="str">
            <v>TSMC/FMR/23253</v>
          </cell>
          <cell r="AF857">
            <v>7013901319</v>
          </cell>
          <cell r="AG857" t="str">
            <v>msrveerabhadrarao@gmail.com</v>
          </cell>
          <cell r="AH857" t="str">
            <v>Pending</v>
          </cell>
          <cell r="AI857" t="str">
            <v>Pending</v>
          </cell>
          <cell r="AJ857" t="str">
            <v>Pending</v>
          </cell>
          <cell r="AK857" t="str">
            <v>GKEPB2977K</v>
          </cell>
          <cell r="AL857" t="str">
            <v>615018073165</v>
          </cell>
          <cell r="AM857" t="str">
            <v>M V S Rama Rao</v>
          </cell>
          <cell r="AW857">
            <v>34443</v>
          </cell>
          <cell r="AX857" t="str">
            <v>Male</v>
          </cell>
          <cell r="AY857" t="str">
            <v>Part Time</v>
          </cell>
          <cell r="AZ857">
            <v>1</v>
          </cell>
          <cell r="BA857" t="str">
            <v>Santosh Nagar Cluster</v>
          </cell>
        </row>
        <row r="858">
          <cell r="M858" t="str">
            <v>Santosh Nagar-15</v>
          </cell>
          <cell r="N858" t="str">
            <v>N/A</v>
          </cell>
          <cell r="O858" t="str">
            <v>Pathology</v>
          </cell>
          <cell r="P858" t="str">
            <v>Consultant Pathologist</v>
          </cell>
          <cell r="Q858" t="str">
            <v>Dr P T S Shashikant</v>
          </cell>
          <cell r="R858">
            <v>45422</v>
          </cell>
          <cell r="S858">
            <v>45422</v>
          </cell>
          <cell r="T858">
            <v>46151</v>
          </cell>
          <cell r="U858">
            <v>46152</v>
          </cell>
          <cell r="V858">
            <v>2014</v>
          </cell>
          <cell r="W858" t="str">
            <v>Shadan Institute of Medical Science</v>
          </cell>
          <cell r="X858">
            <v>2021</v>
          </cell>
          <cell r="Y858" t="str">
            <v>Osmania Medical College</v>
          </cell>
          <cell r="Z858" t="str">
            <v>NA</v>
          </cell>
          <cell r="AA858" t="str">
            <v>MBBS,MD</v>
          </cell>
          <cell r="AB858" t="str">
            <v>APMC/FMR/90989</v>
          </cell>
          <cell r="AC858" t="str">
            <v>Telangana State Medical Council</v>
          </cell>
          <cell r="AD858">
            <v>44917</v>
          </cell>
          <cell r="AE858">
            <v>46742</v>
          </cell>
          <cell r="AF858">
            <v>8328667272</v>
          </cell>
          <cell r="AG858" t="str">
            <v>hinaiqbal06@gmail.com</v>
          </cell>
          <cell r="AH858" t="str">
            <v>STATE BANK OF INDIA</v>
          </cell>
          <cell r="AI858" t="str">
            <v>37854410194</v>
          </cell>
          <cell r="AJ858" t="str">
            <v>SBIN0021110</v>
          </cell>
          <cell r="AK858" t="str">
            <v>AISPI1984M</v>
          </cell>
          <cell r="AL858">
            <v>357162032223</v>
          </cell>
          <cell r="AN858">
            <v>45525</v>
          </cell>
          <cell r="AO858">
            <v>45521</v>
          </cell>
          <cell r="AP858" t="str">
            <v>Government Job</v>
          </cell>
          <cell r="AQ858" t="str">
            <v>17-9-614, Chowni Nade Ali Baig, Yakutpura, Charminar, Hyderabad, Telangana - 500023</v>
          </cell>
          <cell r="AS858" t="str">
            <v>17-9-614, Chowni Nade Ali Baig, Yakutpura, Charminar, Hyderabad, Telangana - 500023</v>
          </cell>
          <cell r="AU858">
            <v>0.45833333333333331</v>
          </cell>
          <cell r="AV858">
            <v>0.54166666666666663</v>
          </cell>
          <cell r="AW858">
            <v>33334</v>
          </cell>
          <cell r="AX858" t="str">
            <v>Female</v>
          </cell>
          <cell r="AY858" t="str">
            <v>Part Time</v>
          </cell>
          <cell r="AZ858">
            <v>2</v>
          </cell>
          <cell r="BA858" t="str">
            <v>Santosh Nagar Cluster</v>
          </cell>
        </row>
        <row r="859">
          <cell r="M859" t="str">
            <v>BHEL-30</v>
          </cell>
          <cell r="N859" t="str">
            <v>NA</v>
          </cell>
          <cell r="O859" t="str">
            <v>Physician Services</v>
          </cell>
          <cell r="P859" t="str">
            <v>Consultant Physician</v>
          </cell>
          <cell r="R859">
            <v>44998</v>
          </cell>
          <cell r="S859">
            <v>44998</v>
          </cell>
          <cell r="T859">
            <v>45728</v>
          </cell>
          <cell r="U859">
            <v>45729</v>
          </cell>
          <cell r="V859">
            <v>2018</v>
          </cell>
          <cell r="W859" t="str">
            <v>Rajiv Gandhi University Of Health Sciences</v>
          </cell>
          <cell r="X859" t="str">
            <v>NA</v>
          </cell>
          <cell r="Y859" t="str">
            <v>NA</v>
          </cell>
          <cell r="Z859" t="str">
            <v>NA</v>
          </cell>
          <cell r="AA859" t="str">
            <v>NO</v>
          </cell>
          <cell r="AB859" t="str">
            <v>TSMC/FMR/22553 - Telangana State Medical Council</v>
          </cell>
          <cell r="AF859">
            <v>9148811665</v>
          </cell>
          <cell r="AG859" t="str">
            <v>sumapunnati95@gmail.com</v>
          </cell>
          <cell r="AH859" t="str">
            <v>Pending</v>
          </cell>
          <cell r="AI859" t="str">
            <v>Pending</v>
          </cell>
          <cell r="AJ859" t="str">
            <v>Pending</v>
          </cell>
          <cell r="AK859" t="str">
            <v>CZVPP9397R</v>
          </cell>
          <cell r="AL859" t="str">
            <v>257876187455</v>
          </cell>
          <cell r="AM859" t="str">
            <v>P Surendranath Reddy</v>
          </cell>
          <cell r="AW859">
            <v>34777</v>
          </cell>
          <cell r="AX859" t="str">
            <v>Female</v>
          </cell>
          <cell r="AY859" t="str">
            <v>Part Time</v>
          </cell>
          <cell r="AZ859">
            <v>1</v>
          </cell>
          <cell r="BA859" t="str">
            <v>Madhapur Cluster</v>
          </cell>
        </row>
        <row r="860">
          <cell r="M860" t="str">
            <v>Dilsukhnagar - 12</v>
          </cell>
          <cell r="N860" t="str">
            <v>N/A</v>
          </cell>
          <cell r="O860" t="str">
            <v>Pathology</v>
          </cell>
          <cell r="P860" t="str">
            <v>Consultant Pathologist</v>
          </cell>
          <cell r="Q860" t="str">
            <v>Dr P T S Shashikant</v>
          </cell>
          <cell r="R860">
            <v>45159</v>
          </cell>
          <cell r="S860">
            <v>45159</v>
          </cell>
          <cell r="T860">
            <v>45889</v>
          </cell>
          <cell r="U860">
            <v>45890</v>
          </cell>
          <cell r="V860">
            <v>2014</v>
          </cell>
          <cell r="W860" t="str">
            <v>Osmania Medical College</v>
          </cell>
          <cell r="X860">
            <v>2019</v>
          </cell>
          <cell r="Y860" t="str">
            <v>AR Multispecialty Hospital</v>
          </cell>
          <cell r="Z860" t="str">
            <v>NA</v>
          </cell>
          <cell r="AA860" t="str">
            <v>MBBS,MD</v>
          </cell>
          <cell r="AB860" t="str">
            <v>APMC/FMR/94054</v>
          </cell>
          <cell r="AC860" t="str">
            <v>Telangana State Medical Council</v>
          </cell>
          <cell r="AD860">
            <v>44364</v>
          </cell>
          <cell r="AE860">
            <v>46189</v>
          </cell>
          <cell r="AF860">
            <v>7207152889</v>
          </cell>
          <cell r="AG860" t="str">
            <v>Jabeen.NadiaMD@gmail.com</v>
          </cell>
          <cell r="AH860" t="str">
            <v>HDFC Bank</v>
          </cell>
          <cell r="AI860">
            <v>50100470042930</v>
          </cell>
          <cell r="AJ860" t="str">
            <v>HDFC0000365</v>
          </cell>
          <cell r="AK860" t="str">
            <v>BOPPJ7393F</v>
          </cell>
          <cell r="AL860">
            <v>294068268394</v>
          </cell>
          <cell r="AN860">
            <v>45527</v>
          </cell>
          <cell r="AO860">
            <v>45467</v>
          </cell>
          <cell r="AQ860" t="str">
            <v>17-1-375/A/26/A, Qalandar Nagar, Santhosh Nagar, Saidabad, Hyderabad – 500059</v>
          </cell>
          <cell r="AS860" t="str">
            <v>17-1-375/A/26/A, Qalandar Nagar, Santhosh Nagar, Saidabad, Hyderabad – 500059</v>
          </cell>
          <cell r="AU860">
            <v>0.33333333333333331</v>
          </cell>
          <cell r="AV860">
            <v>0.66666666666666663</v>
          </cell>
          <cell r="AW860">
            <v>33331</v>
          </cell>
          <cell r="AX860" t="str">
            <v>Female</v>
          </cell>
          <cell r="AY860" t="str">
            <v>Full Time</v>
          </cell>
          <cell r="AZ860">
            <v>8</v>
          </cell>
          <cell r="BA860" t="str">
            <v>Dilshuknagar Cluster</v>
          </cell>
        </row>
        <row r="861">
          <cell r="M861" t="str">
            <v>LBNagar - 87</v>
          </cell>
          <cell r="N861" t="str">
            <v>Basic USG, Tiffa, Xray, Basic CT, IVP, RGU, MCGU, Barium Swallow, Barium Enema, HSG</v>
          </cell>
          <cell r="O861" t="str">
            <v>Radiology</v>
          </cell>
          <cell r="P861" t="str">
            <v>Consultant Radiologist</v>
          </cell>
          <cell r="Q861" t="str">
            <v>Dr. Krishna Mohan Pottala</v>
          </cell>
          <cell r="R861">
            <v>44146</v>
          </cell>
          <cell r="S861">
            <v>44876</v>
          </cell>
          <cell r="T861">
            <v>45606</v>
          </cell>
          <cell r="U861">
            <v>45607</v>
          </cell>
          <cell r="V861">
            <v>2015</v>
          </cell>
          <cell r="W861" t="str">
            <v>Krishna Institute of Medical Sciences</v>
          </cell>
          <cell r="X861">
            <v>2020</v>
          </cell>
          <cell r="Y861" t="str">
            <v>S S Institute of Medical Sciences</v>
          </cell>
          <cell r="Z861" t="str">
            <v>NA</v>
          </cell>
          <cell r="AA861" t="str">
            <v>MBBS, MD - Radio Diagnosis</v>
          </cell>
          <cell r="AB861" t="str">
            <v>TSMC/FMR/17028</v>
          </cell>
          <cell r="AC861" t="str">
            <v>Telangana State Medical Council</v>
          </cell>
          <cell r="AD861">
            <v>44404</v>
          </cell>
          <cell r="AE861">
            <v>46229</v>
          </cell>
          <cell r="AF861">
            <v>9739795196</v>
          </cell>
          <cell r="AG861" t="str">
            <v>gautham132@gmail.com</v>
          </cell>
          <cell r="AH861" t="str">
            <v>SBI Bank</v>
          </cell>
          <cell r="AI861" t="str">
            <v>32231520871</v>
          </cell>
          <cell r="AJ861" t="str">
            <v>SBIN0003605</v>
          </cell>
          <cell r="AK861" t="str">
            <v>AIDPY4690H</v>
          </cell>
          <cell r="AL861">
            <v>695042630421</v>
          </cell>
          <cell r="AM861" t="str">
            <v>Dr Yalaka Jayapal Reddy</v>
          </cell>
          <cell r="AN861">
            <v>45530</v>
          </cell>
          <cell r="AO861">
            <v>45530</v>
          </cell>
          <cell r="AP861" t="str">
            <v>Fellowship</v>
          </cell>
          <cell r="AU861">
            <v>0.72916666666666663</v>
          </cell>
          <cell r="AV861">
            <v>0.8125</v>
          </cell>
          <cell r="AW861">
            <v>33515</v>
          </cell>
          <cell r="AX861" t="str">
            <v>Male</v>
          </cell>
          <cell r="AY861" t="str">
            <v>Part Time</v>
          </cell>
          <cell r="AZ861">
            <v>2</v>
          </cell>
          <cell r="BA861" t="str">
            <v>Dilshuknagar Cluster</v>
          </cell>
        </row>
        <row r="862">
          <cell r="M862" t="str">
            <v>Manikonda - 59</v>
          </cell>
          <cell r="O862" t="str">
            <v>Radiology</v>
          </cell>
          <cell r="P862" t="str">
            <v>Consultant Radiologist</v>
          </cell>
          <cell r="R862">
            <v>45023</v>
          </cell>
          <cell r="S862">
            <v>45023</v>
          </cell>
          <cell r="T862">
            <v>45753</v>
          </cell>
          <cell r="U862">
            <v>45754</v>
          </cell>
          <cell r="W862" t="str">
            <v>Kempegowda institute of medical sciences and hospital, Bangalore</v>
          </cell>
          <cell r="AF862">
            <v>7661924775</v>
          </cell>
          <cell r="AG862" t="str">
            <v>Dasarinithinreddy@gmail.com</v>
          </cell>
          <cell r="AH862" t="str">
            <v>HDFC Bank</v>
          </cell>
          <cell r="AI862">
            <v>62310885398</v>
          </cell>
          <cell r="AJ862" t="str">
            <v>SBIN0020080</v>
          </cell>
          <cell r="AK862" t="str">
            <v>AVPPR9409J</v>
          </cell>
          <cell r="AN862">
            <v>45023</v>
          </cell>
          <cell r="AX862" t="str">
            <v>Male</v>
          </cell>
          <cell r="AY862" t="str">
            <v>Full Time</v>
          </cell>
          <cell r="AZ862">
            <v>8</v>
          </cell>
          <cell r="BA862" t="str">
            <v>Tolichowki Cluster</v>
          </cell>
        </row>
        <row r="863">
          <cell r="M863" t="str">
            <v>Hanamkonda - 40</v>
          </cell>
          <cell r="O863" t="str">
            <v>Microbiology</v>
          </cell>
          <cell r="P863" t="str">
            <v>Consultant Microbiologist</v>
          </cell>
          <cell r="R863">
            <v>45029</v>
          </cell>
          <cell r="S863">
            <v>45029</v>
          </cell>
          <cell r="T863">
            <v>45759</v>
          </cell>
          <cell r="U863">
            <v>45760</v>
          </cell>
          <cell r="W863" t="str">
            <v>NTR University of Health Sciences</v>
          </cell>
          <cell r="AB863" t="str">
            <v>APMC/FMR/84583</v>
          </cell>
          <cell r="AF863">
            <v>7799990950</v>
          </cell>
          <cell r="AG863" t="str">
            <v>docmransari@gmail.com</v>
          </cell>
          <cell r="AH863" t="str">
            <v>HDFC Bank</v>
          </cell>
          <cell r="AI863" t="str">
            <v>50100224677892</v>
          </cell>
          <cell r="AJ863" t="str">
            <v>HDFC0000218</v>
          </cell>
          <cell r="AK863" t="str">
            <v>AVEPA3296K</v>
          </cell>
          <cell r="AN863">
            <v>45290</v>
          </cell>
          <cell r="AO863">
            <v>45261</v>
          </cell>
          <cell r="AU863">
            <v>0.70833333333333337</v>
          </cell>
          <cell r="AV863">
            <v>0.83333333333333337</v>
          </cell>
          <cell r="AX863" t="str">
            <v>Male</v>
          </cell>
          <cell r="AY863" t="str">
            <v>Part Time</v>
          </cell>
          <cell r="AZ863">
            <v>3</v>
          </cell>
          <cell r="BA863" t="str">
            <v>TS - Upcountry</v>
          </cell>
        </row>
        <row r="864">
          <cell r="M864" t="str">
            <v>Tirupathi-333</v>
          </cell>
          <cell r="N864" t="str">
            <v>Basic USG, Doppler Studies, Thyroid/Scrotum USG, Breast USG, Tiffa, MSK USG, USG Guided FNAC, Guided Procedures, Basic CT, Chest/ Abdomen/Neck, 3DCT, X Ray, Plain Radiography, Mammography, IVP, RGU, MCUG, Barium Swallow, Barium Anema, HSG.</v>
          </cell>
          <cell r="O864" t="str">
            <v>Radiology</v>
          </cell>
          <cell r="P864" t="str">
            <v>Consultant Radiologist</v>
          </cell>
          <cell r="Q864" t="str">
            <v>Dr. Krishna Mohan Pottala</v>
          </cell>
          <cell r="R864">
            <v>45383</v>
          </cell>
          <cell r="S864">
            <v>45383</v>
          </cell>
          <cell r="T864">
            <v>46112</v>
          </cell>
          <cell r="U864">
            <v>46113</v>
          </cell>
          <cell r="V864">
            <v>2018</v>
          </cell>
          <cell r="W864" t="str">
            <v>Andhra Medical College</v>
          </cell>
          <cell r="X864">
            <v>2022</v>
          </cell>
          <cell r="Y864" t="str">
            <v>GOVERNMENT MEDICAL COLLEGE</v>
          </cell>
          <cell r="Z864" t="str">
            <v>NA</v>
          </cell>
          <cell r="AA864" t="str">
            <v>MBBS,MD</v>
          </cell>
          <cell r="AB864" t="str">
            <v>APMC/FMR/102146</v>
          </cell>
          <cell r="AC864" t="str">
            <v>Andhra Pradesh Medical Council</v>
          </cell>
          <cell r="AD864">
            <v>44960</v>
          </cell>
          <cell r="AE864">
            <v>46785</v>
          </cell>
          <cell r="AF864">
            <v>7731852950</v>
          </cell>
          <cell r="AG864" t="str">
            <v>haripriyanka080@gmail.com</v>
          </cell>
          <cell r="AH864" t="str">
            <v>Bank of Baroda</v>
          </cell>
          <cell r="AI864" t="str">
            <v>73010100016030</v>
          </cell>
          <cell r="AJ864" t="str">
            <v>BARB0DBMEDI</v>
          </cell>
          <cell r="AK864" t="str">
            <v>DJVPK3086D</v>
          </cell>
          <cell r="AL864">
            <v>573652095207</v>
          </cell>
          <cell r="AN864">
            <v>45532</v>
          </cell>
          <cell r="AO864">
            <v>45472</v>
          </cell>
          <cell r="AP864" t="str">
            <v>Personal reasons</v>
          </cell>
          <cell r="AQ864" t="str">
            <v>3B-2-21, Padamara Veedhi, Dongala Mandapam Daggara, Eluru, West Godavari, Andhra Pradesh - 534001</v>
          </cell>
          <cell r="AS864" t="str">
            <v>3B-2-21, Padamara Veedhi, Dongala Mandapam Daggara, Eluru, West Godavari, Andhra Pradesh - 534001</v>
          </cell>
          <cell r="AU864">
            <v>0.375</v>
          </cell>
          <cell r="AV864">
            <v>0.70833333333333337</v>
          </cell>
          <cell r="AW864">
            <v>34988</v>
          </cell>
          <cell r="AX864" t="str">
            <v>Female</v>
          </cell>
          <cell r="AY864" t="str">
            <v>Full Time</v>
          </cell>
          <cell r="AZ864">
            <v>8</v>
          </cell>
          <cell r="BA864" t="str">
            <v>Tirupati Cluster</v>
          </cell>
        </row>
        <row r="865">
          <cell r="M865" t="str">
            <v>Warangal - 41</v>
          </cell>
          <cell r="O865" t="str">
            <v>Radiology</v>
          </cell>
          <cell r="P865" t="str">
            <v>Consultant Radiologist</v>
          </cell>
          <cell r="R865">
            <v>45033</v>
          </cell>
          <cell r="S865">
            <v>45033</v>
          </cell>
          <cell r="T865">
            <v>45763</v>
          </cell>
          <cell r="U865">
            <v>45764</v>
          </cell>
          <cell r="W865" t="str">
            <v>Kakatiya Medical College -2022</v>
          </cell>
          <cell r="AB865" t="str">
            <v>TSMC/FMR/21802</v>
          </cell>
          <cell r="AF865">
            <v>8903622301</v>
          </cell>
          <cell r="AG865" t="str">
            <v>Vigneshkvp@yahoo.com</v>
          </cell>
          <cell r="AH865" t="str">
            <v>City Union Bank</v>
          </cell>
          <cell r="AI865" t="str">
            <v>128001001709417</v>
          </cell>
          <cell r="AJ865" t="str">
            <v>CIUB0000128</v>
          </cell>
          <cell r="AK865" t="str">
            <v>AUIPV6871C</v>
          </cell>
          <cell r="AN865">
            <v>45168</v>
          </cell>
          <cell r="AX865" t="str">
            <v>Male</v>
          </cell>
          <cell r="AY865" t="str">
            <v>Part Time</v>
          </cell>
          <cell r="AZ865">
            <v>6.5</v>
          </cell>
          <cell r="BA865" t="str">
            <v>TS - Upcountry</v>
          </cell>
        </row>
        <row r="866">
          <cell r="M866" t="str">
            <v>Panjagutta-121</v>
          </cell>
          <cell r="N866" t="str">
            <v>Basic USG, Tiffa, Guided Procedure, Basic CT, All Angios, Basic MRI, X Ray, Plain Radiography, Mammography, IVP, RGU, MCUG, Barium Swallow, Barium Anema, HSG.</v>
          </cell>
          <cell r="O866" t="str">
            <v>Radiology</v>
          </cell>
          <cell r="P866" t="str">
            <v>Consultant Radiologist</v>
          </cell>
          <cell r="R866">
            <v>45033</v>
          </cell>
          <cell r="S866">
            <v>45033</v>
          </cell>
          <cell r="T866">
            <v>45763</v>
          </cell>
          <cell r="U866">
            <v>45764</v>
          </cell>
          <cell r="W866" t="str">
            <v>Mysore Medical College-2017</v>
          </cell>
          <cell r="AB866" t="str">
            <v>TSMC/FMR/23059</v>
          </cell>
          <cell r="AF866">
            <v>9632852627</v>
          </cell>
          <cell r="AG866" t="str">
            <v>vedacsawalgi@gmail.com</v>
          </cell>
          <cell r="AH866" t="str">
            <v>Union Bank of India</v>
          </cell>
          <cell r="AI866" t="str">
            <v>107910100068852</v>
          </cell>
          <cell r="AJ866" t="str">
            <v>UBIN0810797</v>
          </cell>
          <cell r="AK866" t="str">
            <v>AZMPV3563C</v>
          </cell>
          <cell r="AN866">
            <v>45205</v>
          </cell>
          <cell r="AO866">
            <v>45205</v>
          </cell>
          <cell r="AX866" t="str">
            <v>Female</v>
          </cell>
          <cell r="AY866" t="str">
            <v>Part Time</v>
          </cell>
          <cell r="AZ866">
            <v>4</v>
          </cell>
          <cell r="BA866" t="str">
            <v>Punjagutta Cluster</v>
          </cell>
        </row>
        <row r="867">
          <cell r="M867" t="str">
            <v>Himayatnagar</v>
          </cell>
          <cell r="O867" t="str">
            <v>Microbiology</v>
          </cell>
          <cell r="P867" t="str">
            <v>Consultant Microbiologist</v>
          </cell>
          <cell r="R867">
            <v>45049</v>
          </cell>
          <cell r="S867">
            <v>45049</v>
          </cell>
          <cell r="T867">
            <v>45779</v>
          </cell>
          <cell r="U867">
            <v>45780</v>
          </cell>
          <cell r="W867" t="str">
            <v>Gandhi Medical college, Secunderabad, Telangana--2010</v>
          </cell>
          <cell r="AB867" t="str">
            <v>Reg No. 73784</v>
          </cell>
          <cell r="AF867">
            <v>7287881507</v>
          </cell>
          <cell r="AG867" t="str">
            <v>shaheenamreen@gmail.com</v>
          </cell>
          <cell r="AH867" t="str">
            <v>SBI Bank</v>
          </cell>
          <cell r="AI867">
            <v>62235706132</v>
          </cell>
          <cell r="AJ867" t="str">
            <v>SBIN0020269</v>
          </cell>
          <cell r="AK867" t="str">
            <v>DKCPS7604M</v>
          </cell>
          <cell r="AN867">
            <v>45213</v>
          </cell>
          <cell r="AO867">
            <v>45162</v>
          </cell>
          <cell r="AX867" t="str">
            <v>Female</v>
          </cell>
          <cell r="AY867" t="str">
            <v>Full Time</v>
          </cell>
          <cell r="AZ867">
            <v>8</v>
          </cell>
          <cell r="BA867" t="str">
            <v>Himayathnagar Cluster</v>
          </cell>
        </row>
        <row r="868">
          <cell r="M868" t="str">
            <v>Panjagutta-121</v>
          </cell>
          <cell r="O868" t="str">
            <v>Radiology</v>
          </cell>
          <cell r="P868" t="str">
            <v>Consultant Radiologist</v>
          </cell>
          <cell r="R868">
            <v>45056</v>
          </cell>
          <cell r="S868">
            <v>45056</v>
          </cell>
          <cell r="T868">
            <v>45786</v>
          </cell>
          <cell r="U868">
            <v>45787</v>
          </cell>
          <cell r="W868" t="str">
            <v>KIMS, Amalapuram</v>
          </cell>
          <cell r="AB868" t="str">
            <v>APMC/FMR/88096</v>
          </cell>
          <cell r="AF868">
            <v>8105526875</v>
          </cell>
          <cell r="AG868" t="str">
            <v>cutelthota@gmail.com</v>
          </cell>
          <cell r="AH868" t="str">
            <v>HDFC Bank</v>
          </cell>
          <cell r="AI868">
            <v>50100164233232</v>
          </cell>
          <cell r="AJ868" t="str">
            <v>HDFC0002388</v>
          </cell>
          <cell r="AK868" t="str">
            <v>AIVPA1559R</v>
          </cell>
          <cell r="AN868">
            <v>45199</v>
          </cell>
          <cell r="AX868" t="str">
            <v>Female</v>
          </cell>
          <cell r="AY868" t="str">
            <v>Full Time</v>
          </cell>
          <cell r="AZ868">
            <v>8</v>
          </cell>
          <cell r="BA868" t="str">
            <v>Punjagutta Cluster</v>
          </cell>
        </row>
        <row r="869">
          <cell r="O869" t="str">
            <v>NA</v>
          </cell>
          <cell r="AX869" t="str">
            <v>Female</v>
          </cell>
        </row>
        <row r="870">
          <cell r="M870" t="str">
            <v>Ameerpet - 14</v>
          </cell>
          <cell r="N870" t="str">
            <v>Basic USG, Tiffa, MSK, Guided Procedures, X- Ray, Mammography, IVP, RGU, MCGU, Barium Swallow, Barium Enemma, HSG</v>
          </cell>
          <cell r="O870" t="str">
            <v>Radiology</v>
          </cell>
          <cell r="P870" t="str">
            <v>Consultant Radiologist</v>
          </cell>
          <cell r="Q870" t="str">
            <v>Dr.Krishna Mohan</v>
          </cell>
          <cell r="R870">
            <v>45069</v>
          </cell>
          <cell r="S870">
            <v>45069</v>
          </cell>
          <cell r="T870">
            <v>45799</v>
          </cell>
          <cell r="U870">
            <v>45800</v>
          </cell>
          <cell r="V870">
            <v>2013</v>
          </cell>
          <cell r="W870" t="str">
            <v>Narayana medical college</v>
          </cell>
          <cell r="X870">
            <v>2016</v>
          </cell>
          <cell r="Y870" t="str">
            <v xml:space="preserve">Mamata Medical college </v>
          </cell>
          <cell r="Z870" t="str">
            <v>N/A</v>
          </cell>
          <cell r="AA870" t="str">
            <v>MBBS, MD</v>
          </cell>
          <cell r="AB870" t="str">
            <v>APMC/FMR/79334</v>
          </cell>
          <cell r="AC870" t="str">
            <v>Telangana State Medical Council</v>
          </cell>
          <cell r="AD870">
            <v>44624</v>
          </cell>
          <cell r="AE870">
            <v>46449</v>
          </cell>
          <cell r="AF870">
            <v>7893761388</v>
          </cell>
          <cell r="AG870" t="str">
            <v>aswithk@gmail.com</v>
          </cell>
          <cell r="AH870" t="str">
            <v>Union Bank of India</v>
          </cell>
          <cell r="AI870" t="str">
            <v>155010100046346</v>
          </cell>
          <cell r="AJ870" t="str">
            <v>UBIN0805262</v>
          </cell>
          <cell r="AK870" t="str">
            <v>AIPPA7229J</v>
          </cell>
          <cell r="AL870">
            <v>543913576906</v>
          </cell>
          <cell r="AM870" t="str">
            <v>Audi Seshaiah Poluboina</v>
          </cell>
          <cell r="AN870">
            <v>45412</v>
          </cell>
          <cell r="AP870" t="str">
            <v>Irregular to duties, Performance issued asked to leave form our end</v>
          </cell>
          <cell r="AU870">
            <v>0.75</v>
          </cell>
          <cell r="AV870">
            <v>0.875</v>
          </cell>
          <cell r="AW870">
            <v>37128</v>
          </cell>
          <cell r="AX870" t="str">
            <v>Male</v>
          </cell>
          <cell r="AY870" t="str">
            <v>Part Time</v>
          </cell>
          <cell r="AZ870">
            <v>3</v>
          </cell>
          <cell r="BA870" t="str">
            <v>Himayathnagar Cluster</v>
          </cell>
        </row>
        <row r="871">
          <cell r="M871" t="str">
            <v>Nellore - 27</v>
          </cell>
          <cell r="N871" t="str">
            <v>Basic USG, Tiffa, Penile Doppler/TRUS,  Guided Procedures, Basic CT, All Angios, Basic MRI, MSK,  X Ray, Plain Radiology, Mammography, IVP, RGU, MCGU, Barium Swallow, Barium Anema, HSG</v>
          </cell>
          <cell r="O871" t="str">
            <v>Radiology</v>
          </cell>
          <cell r="P871" t="str">
            <v>Consultant Radiologist</v>
          </cell>
          <cell r="Q871" t="str">
            <v>Dr. Krishna Mohan Pottala</v>
          </cell>
          <cell r="R871">
            <v>45138</v>
          </cell>
          <cell r="S871">
            <v>45138</v>
          </cell>
          <cell r="T871">
            <v>45868</v>
          </cell>
          <cell r="U871">
            <v>45869</v>
          </cell>
          <cell r="V871">
            <v>2014</v>
          </cell>
          <cell r="W871" t="str">
            <v>B.M. Patil Medical College</v>
          </cell>
          <cell r="X871">
            <v>2023</v>
          </cell>
          <cell r="Y871" t="str">
            <v>B.K Shah Medical Institute</v>
          </cell>
          <cell r="Z871" t="str">
            <v>N/A</v>
          </cell>
          <cell r="AA871" t="str">
            <v>MBBS, MD</v>
          </cell>
          <cell r="AB871" t="str">
            <v>APMC/FMR/126725</v>
          </cell>
          <cell r="AC871" t="str">
            <v>Andhra Pradesh Medical Council</v>
          </cell>
          <cell r="AD871">
            <v>45194</v>
          </cell>
          <cell r="AE871">
            <v>47020</v>
          </cell>
          <cell r="AF871" t="str">
            <v>9313089301/9510646822</v>
          </cell>
          <cell r="AG871" t="str">
            <v>drmithinreddy21@gmail.com</v>
          </cell>
          <cell r="AH871" t="str">
            <v>IDFC Bank</v>
          </cell>
          <cell r="AI871">
            <v>10049725085</v>
          </cell>
          <cell r="AJ871" t="str">
            <v>IDFB0042381</v>
          </cell>
          <cell r="AK871" t="str">
            <v>GJKPD5076C</v>
          </cell>
          <cell r="AL871">
            <v>767591869781</v>
          </cell>
          <cell r="AN871">
            <v>45534</v>
          </cell>
          <cell r="AO871">
            <v>45495</v>
          </cell>
          <cell r="AP871" t="str">
            <v>Fellowship</v>
          </cell>
          <cell r="AQ871" t="str">
            <v>12-11- 1528, Boudha Nagar, Warasi Guda, Sitaphalmandi, Hyderabad, Telangana – 500061.</v>
          </cell>
          <cell r="AS871" t="str">
            <v>12-11- 1528, Boudha Nagar, Warasi Guda, Sitaphalmandi, Hyderabad, Telangana – 500061.</v>
          </cell>
          <cell r="AW871">
            <v>33106</v>
          </cell>
          <cell r="AX871" t="str">
            <v>Male</v>
          </cell>
          <cell r="AY871" t="str">
            <v>Full Time</v>
          </cell>
          <cell r="AZ871">
            <v>8</v>
          </cell>
          <cell r="BA871" t="str">
            <v>Tirupati Cluster</v>
          </cell>
        </row>
        <row r="872">
          <cell r="M872" t="str">
            <v>Himayatnagar</v>
          </cell>
          <cell r="N872" t="str">
            <v>Histopathology</v>
          </cell>
          <cell r="O872" t="str">
            <v>Pathology</v>
          </cell>
          <cell r="P872" t="str">
            <v>Consultant Pathologist</v>
          </cell>
          <cell r="Q872" t="str">
            <v>Dr P T S Shashikant</v>
          </cell>
          <cell r="R872">
            <v>44949</v>
          </cell>
          <cell r="S872">
            <v>44949</v>
          </cell>
          <cell r="T872">
            <v>45679</v>
          </cell>
          <cell r="U872">
            <v>45680</v>
          </cell>
          <cell r="V872">
            <v>2008</v>
          </cell>
          <cell r="W872" t="str">
            <v>Government Medical College, Nagpur</v>
          </cell>
          <cell r="X872">
            <v>2012</v>
          </cell>
          <cell r="Y872" t="str">
            <v>Lokmanya Tilak Medical College, Mumbai, Maharsahtra University</v>
          </cell>
          <cell r="Z872" t="str">
            <v>NA</v>
          </cell>
          <cell r="AA872" t="str">
            <v>MBBS,MD</v>
          </cell>
          <cell r="AB872" t="str">
            <v>0833016</v>
          </cell>
          <cell r="AC872" t="str">
            <v>Medical Council India</v>
          </cell>
          <cell r="AD872">
            <v>39597</v>
          </cell>
          <cell r="AE872">
            <v>41422</v>
          </cell>
          <cell r="AF872">
            <v>9966879788</v>
          </cell>
          <cell r="AG872" t="str">
            <v>sayyedzubeda@gmail.com</v>
          </cell>
          <cell r="AH872" t="str">
            <v>HDFC Bank</v>
          </cell>
          <cell r="AI872" t="str">
            <v>50100163641442</v>
          </cell>
          <cell r="AJ872" t="str">
            <v>HDFC0002825</v>
          </cell>
          <cell r="AK872" t="str">
            <v>BZRPS0508J</v>
          </cell>
          <cell r="AL872">
            <v>649175186633</v>
          </cell>
          <cell r="AM872" t="str">
            <v>Subhani Sayyed</v>
          </cell>
          <cell r="AN872">
            <v>45535</v>
          </cell>
          <cell r="AO872">
            <v>45504</v>
          </cell>
          <cell r="AP872" t="str">
            <v>Higher studies</v>
          </cell>
          <cell r="AU872">
            <v>0.375</v>
          </cell>
          <cell r="AV872">
            <v>0.70833333333333337</v>
          </cell>
          <cell r="AW872">
            <v>30895</v>
          </cell>
          <cell r="AX872" t="str">
            <v>Female</v>
          </cell>
          <cell r="AY872" t="str">
            <v>Full Time</v>
          </cell>
          <cell r="AZ872">
            <v>8</v>
          </cell>
          <cell r="BA872" t="str">
            <v>Himayathnagar Cluster</v>
          </cell>
        </row>
        <row r="873">
          <cell r="M873" t="str">
            <v>Gurgaon - 54</v>
          </cell>
          <cell r="O873" t="str">
            <v>Microbiology</v>
          </cell>
          <cell r="P873" t="str">
            <v>Consultant Microbiologist</v>
          </cell>
          <cell r="R873">
            <v>45092</v>
          </cell>
          <cell r="S873">
            <v>45092</v>
          </cell>
          <cell r="T873">
            <v>45822</v>
          </cell>
          <cell r="U873">
            <v>45823</v>
          </cell>
          <cell r="W873" t="str">
            <v>Maharashtra University Of Health Sciences, Nashik - 2019</v>
          </cell>
          <cell r="AB873" t="str">
            <v>DMC/R/8189</v>
          </cell>
          <cell r="AF873">
            <v>7506104551</v>
          </cell>
          <cell r="AG873" t="str">
            <v>rvvikash@gmail.com</v>
          </cell>
          <cell r="AH873" t="str">
            <v>HDFC Bank</v>
          </cell>
          <cell r="AI873" t="str">
            <v>50100420978707</v>
          </cell>
          <cell r="AJ873" t="str">
            <v>HDFC0001203</v>
          </cell>
          <cell r="AK873" t="str">
            <v>ASDPR8306B</v>
          </cell>
          <cell r="AL873">
            <v>311179696340</v>
          </cell>
          <cell r="AM873" t="str">
            <v>Girindra Mohan Kumar</v>
          </cell>
          <cell r="AN873">
            <v>45200</v>
          </cell>
          <cell r="AX873" t="str">
            <v>Male</v>
          </cell>
          <cell r="AY873" t="str">
            <v>Part Time</v>
          </cell>
          <cell r="AZ873">
            <v>2</v>
          </cell>
          <cell r="BA873" t="str">
            <v>Haryana Cluster</v>
          </cell>
        </row>
        <row r="874">
          <cell r="M874" t="str">
            <v>Sujathanagar-138</v>
          </cell>
          <cell r="N874" t="str">
            <v>Basic USG, Tiffa, Guided Procedures, Basic CT, Basic MRI, X Ray, Radiography, Mammography, IVP, RGU, MCUG, Barium Swallow, Barium Anema, HSG</v>
          </cell>
          <cell r="O874" t="str">
            <v>Radiology</v>
          </cell>
          <cell r="P874" t="str">
            <v>Consultant Radiologist</v>
          </cell>
          <cell r="R874">
            <v>45092</v>
          </cell>
          <cell r="S874">
            <v>45092</v>
          </cell>
          <cell r="T874">
            <v>45822</v>
          </cell>
          <cell r="U874">
            <v>45823</v>
          </cell>
          <cell r="W874" t="str">
            <v>Rangaraya Medical College</v>
          </cell>
          <cell r="AB874" t="str">
            <v>APMC/FMR/92458</v>
          </cell>
          <cell r="AF874" t="str">
            <v>9533689075, 7901299693</v>
          </cell>
          <cell r="AG874" t="str">
            <v>divyaranigorle642@gmail.com</v>
          </cell>
          <cell r="AH874" t="str">
            <v>HDFC Bank</v>
          </cell>
          <cell r="AI874" t="str">
            <v>50100363722487</v>
          </cell>
          <cell r="AJ874" t="str">
            <v>HDFC0009610</v>
          </cell>
          <cell r="AK874" t="str">
            <v>BTJPG9593B</v>
          </cell>
          <cell r="AL874">
            <v>511422925700</v>
          </cell>
          <cell r="AM874" t="str">
            <v>Satyanarayana Gorli</v>
          </cell>
          <cell r="AN874">
            <v>45184</v>
          </cell>
          <cell r="AX874" t="str">
            <v>Female</v>
          </cell>
          <cell r="AY874" t="str">
            <v>Part Time</v>
          </cell>
          <cell r="AZ874">
            <v>2</v>
          </cell>
          <cell r="BA874" t="str">
            <v>Visakhapatnam Cluster</v>
          </cell>
        </row>
        <row r="875">
          <cell r="M875" t="str">
            <v>Madinaguda - 112</v>
          </cell>
          <cell r="N875" t="str">
            <v>Basic USG, Tiffa, Basic CT (Brain and PNS), Basic CT (Other), Basic CT (Angios), Basic MRI (Brain and Spine), Basic MRI (Other),Basic MRI Screening,  X Ray, Radiography, Mammography, IVP, RGU, MCUG, Barium Swallow, Barium Anema, HSG</v>
          </cell>
          <cell r="O875" t="str">
            <v>Radiology</v>
          </cell>
          <cell r="P875" t="str">
            <v>Consultant Radiologist</v>
          </cell>
          <cell r="R875">
            <v>45093</v>
          </cell>
          <cell r="S875">
            <v>45093</v>
          </cell>
          <cell r="T875">
            <v>45092</v>
          </cell>
          <cell r="U875">
            <v>45093</v>
          </cell>
          <cell r="W875" t="str">
            <v>Dr. NTR University of Health and Sciences</v>
          </cell>
          <cell r="AB875">
            <v>57860</v>
          </cell>
          <cell r="AF875">
            <v>9493245213</v>
          </cell>
          <cell r="AG875" t="str">
            <v>doc.pnb@gmail.com</v>
          </cell>
          <cell r="AH875" t="str">
            <v>SBI Bank</v>
          </cell>
          <cell r="AI875" t="str">
            <v>30924593054</v>
          </cell>
          <cell r="AJ875" t="str">
            <v>SBIN0007955</v>
          </cell>
          <cell r="AK875" t="str">
            <v>CENPP6835F</v>
          </cell>
          <cell r="AN875">
            <v>45093</v>
          </cell>
          <cell r="AX875" t="str">
            <v>Female</v>
          </cell>
          <cell r="AY875" t="str">
            <v>Full Time</v>
          </cell>
          <cell r="AZ875">
            <v>8</v>
          </cell>
          <cell r="BA875" t="str">
            <v>Madhapur Cluster</v>
          </cell>
        </row>
        <row r="876">
          <cell r="M876" t="str">
            <v>Manikonda - 59</v>
          </cell>
          <cell r="O876" t="str">
            <v>Physician Services</v>
          </cell>
          <cell r="P876" t="str">
            <v>Consultant Physician</v>
          </cell>
          <cell r="R876">
            <v>45093</v>
          </cell>
          <cell r="S876">
            <v>45093</v>
          </cell>
          <cell r="T876">
            <v>45823</v>
          </cell>
          <cell r="U876">
            <v>45824</v>
          </cell>
          <cell r="W876" t="str">
            <v>Shadan Medical College, Hyderabad, Telangana</v>
          </cell>
          <cell r="AB876" t="str">
            <v>TSMC/FMR/05715</v>
          </cell>
          <cell r="AF876">
            <v>9618627121</v>
          </cell>
          <cell r="AG876" t="str">
            <v>tasmiyaelensar1518@gmail.com</v>
          </cell>
          <cell r="AH876" t="str">
            <v>HDFC Bank</v>
          </cell>
          <cell r="AI876" t="str">
            <v>50100211328904</v>
          </cell>
          <cell r="AJ876" t="str">
            <v>HDFC0003788</v>
          </cell>
          <cell r="AK876" t="str">
            <v>BDNPT6971J</v>
          </cell>
          <cell r="AL876">
            <v>547030849796</v>
          </cell>
          <cell r="AM876" t="str">
            <v>Abdul Jalal Khan</v>
          </cell>
          <cell r="AN876">
            <v>45291</v>
          </cell>
          <cell r="AO876">
            <v>45291</v>
          </cell>
          <cell r="AU876">
            <v>0.375</v>
          </cell>
          <cell r="AV876">
            <v>0.45833333333333331</v>
          </cell>
          <cell r="AX876" t="str">
            <v>Female</v>
          </cell>
          <cell r="AY876" t="str">
            <v>Part Time</v>
          </cell>
          <cell r="AZ876">
            <v>2</v>
          </cell>
          <cell r="BA876" t="str">
            <v>Tolichowki Cluster</v>
          </cell>
        </row>
        <row r="877">
          <cell r="M877" t="str">
            <v>Gurgaon - 54</v>
          </cell>
          <cell r="N877" t="str">
            <v>N/A</v>
          </cell>
          <cell r="O877" t="str">
            <v>Pathology</v>
          </cell>
          <cell r="P877" t="str">
            <v>Consultant Pathologist</v>
          </cell>
          <cell r="Q877" t="str">
            <v>Dr. PTS. Shashikanth</v>
          </cell>
          <cell r="R877">
            <v>45096</v>
          </cell>
          <cell r="S877">
            <v>45096</v>
          </cell>
          <cell r="T877">
            <v>45826</v>
          </cell>
          <cell r="U877">
            <v>45827</v>
          </cell>
          <cell r="V877">
            <v>2013</v>
          </cell>
          <cell r="W877" t="str">
            <v>Subharti Medical College</v>
          </cell>
          <cell r="X877">
            <v>2017</v>
          </cell>
          <cell r="Y877" t="str">
            <v>Teerthankr Mahaveer University</v>
          </cell>
          <cell r="Z877" t="str">
            <v>N/A</v>
          </cell>
          <cell r="AA877" t="str">
            <v>MBBS, MD</v>
          </cell>
          <cell r="AB877">
            <v>66732</v>
          </cell>
          <cell r="AC877" t="str">
            <v>Delhi Medical Council</v>
          </cell>
          <cell r="AD877">
            <v>43493</v>
          </cell>
          <cell r="AE877">
            <v>45318</v>
          </cell>
          <cell r="AF877">
            <v>8373900094</v>
          </cell>
          <cell r="AG877" t="str">
            <v>drpriyankaverma62@gmail.com</v>
          </cell>
          <cell r="AH877" t="str">
            <v>Union Bank of India</v>
          </cell>
          <cell r="AI877" t="str">
            <v>509902010007590</v>
          </cell>
          <cell r="AJ877" t="str">
            <v>UBIN0564265</v>
          </cell>
          <cell r="AK877" t="str">
            <v>AFFPV1584A</v>
          </cell>
          <cell r="AL877">
            <v>330720607304</v>
          </cell>
          <cell r="AM877" t="str">
            <v>Ashwani Verma</v>
          </cell>
          <cell r="AN877">
            <v>45323</v>
          </cell>
          <cell r="AO877">
            <v>45323</v>
          </cell>
          <cell r="AU877">
            <v>0.66666666666666663</v>
          </cell>
          <cell r="AV877">
            <v>0.83333333333333337</v>
          </cell>
          <cell r="AW877">
            <v>32179</v>
          </cell>
          <cell r="AX877" t="str">
            <v>Female</v>
          </cell>
          <cell r="AY877" t="str">
            <v>Part Time</v>
          </cell>
          <cell r="AZ877">
            <v>4</v>
          </cell>
          <cell r="BA877" t="str">
            <v>Haryana Cluster</v>
          </cell>
        </row>
        <row r="878">
          <cell r="M878" t="str">
            <v>Kurnool - 43</v>
          </cell>
          <cell r="N878" t="str">
            <v>N/A</v>
          </cell>
          <cell r="O878" t="str">
            <v>Biochemistry</v>
          </cell>
          <cell r="P878" t="str">
            <v>Consultant Biochemist</v>
          </cell>
          <cell r="Q878" t="str">
            <v>Dr. Bikash Chowdhary</v>
          </cell>
          <cell r="R878">
            <v>45098</v>
          </cell>
          <cell r="S878">
            <v>45098</v>
          </cell>
          <cell r="T878">
            <v>45828</v>
          </cell>
          <cell r="U878">
            <v>45829</v>
          </cell>
          <cell r="V878">
            <v>2011</v>
          </cell>
          <cell r="W878" t="str">
            <v>Dr. NTR University of Health Sciences</v>
          </cell>
          <cell r="X878">
            <v>2021</v>
          </cell>
          <cell r="Y878" t="str">
            <v>Dr. NTR University of Health Sciences</v>
          </cell>
          <cell r="Z878" t="str">
            <v>N/A</v>
          </cell>
          <cell r="AA878" t="str">
            <v>MBBS, MD</v>
          </cell>
          <cell r="AB878">
            <v>72091</v>
          </cell>
          <cell r="AC878" t="str">
            <v>Andhra Pradesh Medical Council</v>
          </cell>
          <cell r="AD878">
            <v>44468</v>
          </cell>
          <cell r="AE878">
            <v>46293</v>
          </cell>
          <cell r="AF878">
            <v>9951960055</v>
          </cell>
          <cell r="AG878" t="str">
            <v>muddamsettysudha@gmail.com</v>
          </cell>
          <cell r="AH878" t="str">
            <v>SBI Bank</v>
          </cell>
          <cell r="AI878" t="str">
            <v>39059479814</v>
          </cell>
          <cell r="AJ878" t="str">
            <v>SBIN0003185</v>
          </cell>
          <cell r="AK878" t="str">
            <v>AVDPM6348P</v>
          </cell>
          <cell r="AL878">
            <v>517838065405</v>
          </cell>
          <cell r="AM878" t="str">
            <v>M Sivasankarappa</v>
          </cell>
          <cell r="AU878">
            <v>0.375</v>
          </cell>
          <cell r="AV878">
            <v>0.70833333333333337</v>
          </cell>
          <cell r="AW878">
            <v>31937</v>
          </cell>
          <cell r="AX878" t="str">
            <v>Female</v>
          </cell>
          <cell r="AY878" t="str">
            <v>Full Time</v>
          </cell>
          <cell r="AZ878">
            <v>8</v>
          </cell>
          <cell r="BA878" t="str">
            <v>Kurnool Cluster</v>
          </cell>
        </row>
        <row r="879">
          <cell r="M879" t="str">
            <v>Kavuri Hills-5</v>
          </cell>
          <cell r="N879" t="str">
            <v xml:space="preserve">Basic USG, Tiffa, X Ray, Plan - Radiography, IVP, RGU, MCUG, Barium Swallow, Barium Anema, </v>
          </cell>
          <cell r="O879" t="str">
            <v>Radiology</v>
          </cell>
          <cell r="P879" t="str">
            <v>Consultant Radiologist</v>
          </cell>
          <cell r="R879">
            <v>45114</v>
          </cell>
          <cell r="S879">
            <v>45114</v>
          </cell>
          <cell r="T879">
            <v>45844</v>
          </cell>
          <cell r="U879">
            <v>45845</v>
          </cell>
          <cell r="W879" t="str">
            <v>Dr. NTR University of Health Sciences - 2010</v>
          </cell>
          <cell r="AB879" t="str">
            <v>APMC/FMR/74116</v>
          </cell>
          <cell r="AC879" t="str">
            <v>Andhra Pradesh Medical Council</v>
          </cell>
          <cell r="AF879">
            <v>9949145145</v>
          </cell>
          <cell r="AG879" t="str">
            <v>goud.sagar@gmail.com</v>
          </cell>
          <cell r="AH879" t="str">
            <v>HDFC Bank</v>
          </cell>
          <cell r="AI879" t="str">
            <v>16291000010670</v>
          </cell>
          <cell r="AJ879" t="str">
            <v>HDFC0001629</v>
          </cell>
          <cell r="AK879" t="str">
            <v>BW0PM9987P</v>
          </cell>
          <cell r="AL879" t="str">
            <v>601691380598</v>
          </cell>
          <cell r="AM879" t="str">
            <v>Moola Mohan</v>
          </cell>
          <cell r="AN879">
            <v>45230</v>
          </cell>
          <cell r="AQ879" t="str">
            <v>8-1-293/A/1, Dwaraka Nagar colony , Darag shaikpet, Golconda , Hyderabad -500008</v>
          </cell>
          <cell r="AS879" t="str">
            <v>8-1-293/A/1, Dwaraka Nagar colony , Darag shaikpet, Golconda , Hyderabad -500008</v>
          </cell>
          <cell r="AX879" t="str">
            <v>Male</v>
          </cell>
          <cell r="AY879" t="str">
            <v>Part Time</v>
          </cell>
          <cell r="AZ879">
            <v>4</v>
          </cell>
          <cell r="BA879" t="str">
            <v>Madhapur Cluster</v>
          </cell>
        </row>
        <row r="880">
          <cell r="M880" t="str">
            <v>Mehdipatnam - 8</v>
          </cell>
          <cell r="N880" t="str">
            <v>N/A</v>
          </cell>
          <cell r="O880" t="str">
            <v>Physician Services</v>
          </cell>
          <cell r="P880" t="str">
            <v>Consultant Physician</v>
          </cell>
          <cell r="Q880" t="str">
            <v>N/A</v>
          </cell>
          <cell r="R880">
            <v>45100</v>
          </cell>
          <cell r="S880">
            <v>45100</v>
          </cell>
          <cell r="T880">
            <v>45830</v>
          </cell>
          <cell r="U880">
            <v>45831</v>
          </cell>
          <cell r="V880">
            <v>2021</v>
          </cell>
          <cell r="W880" t="str">
            <v>Deccan College of Medical Science</v>
          </cell>
          <cell r="X880" t="str">
            <v>N/A</v>
          </cell>
          <cell r="Y880" t="str">
            <v>N/A</v>
          </cell>
          <cell r="Z880" t="str">
            <v>N/A</v>
          </cell>
          <cell r="AA880" t="str">
            <v>MBBS</v>
          </cell>
          <cell r="AB880" t="str">
            <v>TSMC/FMR/18670</v>
          </cell>
          <cell r="AC880" t="str">
            <v>Telangana State Medical Council</v>
          </cell>
          <cell r="AD880">
            <v>44534</v>
          </cell>
          <cell r="AE880">
            <v>46359</v>
          </cell>
          <cell r="AF880">
            <v>8106199807</v>
          </cell>
          <cell r="AG880" t="str">
            <v>himayatkhan789@gmail.com</v>
          </cell>
          <cell r="AH880" t="str">
            <v>SBI Bank</v>
          </cell>
          <cell r="AI880" t="str">
            <v>38191385217</v>
          </cell>
          <cell r="AJ880" t="str">
            <v>SBIN0018395</v>
          </cell>
          <cell r="AK880" t="str">
            <v>HUCPK4623L</v>
          </cell>
          <cell r="AL880">
            <v>926466894893</v>
          </cell>
          <cell r="AM880" t="str">
            <v>Mohammed Rahatullah Khan</v>
          </cell>
          <cell r="AN880">
            <v>45418</v>
          </cell>
          <cell r="AU880">
            <v>0.375</v>
          </cell>
          <cell r="AV880">
            <v>0.41666666666666669</v>
          </cell>
          <cell r="AW880">
            <v>35524</v>
          </cell>
          <cell r="AX880" t="str">
            <v>Male</v>
          </cell>
          <cell r="AY880" t="str">
            <v>Part Time</v>
          </cell>
          <cell r="AZ880">
            <v>1</v>
          </cell>
          <cell r="BA880" t="str">
            <v>Tolichowki Cluster</v>
          </cell>
        </row>
        <row r="881">
          <cell r="M881" t="str">
            <v>Santosh Nagar-15</v>
          </cell>
          <cell r="N881" t="str">
            <v>N/A</v>
          </cell>
          <cell r="O881" t="str">
            <v>Physician Services</v>
          </cell>
          <cell r="P881" t="str">
            <v>Consultant Physician</v>
          </cell>
          <cell r="Q881" t="str">
            <v>N/A</v>
          </cell>
          <cell r="R881">
            <v>45104</v>
          </cell>
          <cell r="S881">
            <v>45104</v>
          </cell>
          <cell r="T881">
            <v>45834</v>
          </cell>
          <cell r="U881">
            <v>45835</v>
          </cell>
          <cell r="V881">
            <v>2021</v>
          </cell>
          <cell r="W881" t="str">
            <v>Mediciti institute of medical Sciences</v>
          </cell>
          <cell r="X881" t="str">
            <v>N/A</v>
          </cell>
          <cell r="Y881" t="str">
            <v>N/A</v>
          </cell>
          <cell r="Z881" t="str">
            <v>N/A</v>
          </cell>
          <cell r="AA881" t="str">
            <v>MBBS</v>
          </cell>
          <cell r="AB881" t="str">
            <v>TSMC/FMR/23454</v>
          </cell>
          <cell r="AC881" t="str">
            <v>Telangana State Medical Council</v>
          </cell>
          <cell r="AD881">
            <v>44886</v>
          </cell>
          <cell r="AE881">
            <v>46711</v>
          </cell>
          <cell r="AF881">
            <v>7093510460</v>
          </cell>
          <cell r="AG881" t="str">
            <v>inshafarooqi98@gmail.com</v>
          </cell>
          <cell r="AH881" t="str">
            <v>SBI Bank</v>
          </cell>
          <cell r="AI881" t="str">
            <v>62353249147</v>
          </cell>
          <cell r="AJ881" t="str">
            <v>SBIN0015760</v>
          </cell>
          <cell r="AK881" t="str">
            <v>AFNPI4261F</v>
          </cell>
          <cell r="AL881">
            <v>475801426770</v>
          </cell>
          <cell r="AN881">
            <v>45441</v>
          </cell>
          <cell r="AP881" t="str">
            <v>Personal resons, not served notice period</v>
          </cell>
          <cell r="AU881">
            <v>0.375</v>
          </cell>
          <cell r="AV881">
            <v>0.41666666666666669</v>
          </cell>
          <cell r="AW881">
            <v>36049</v>
          </cell>
          <cell r="AX881" t="str">
            <v>Female</v>
          </cell>
          <cell r="AY881" t="str">
            <v>Part Time</v>
          </cell>
          <cell r="AZ881">
            <v>1</v>
          </cell>
          <cell r="BA881" t="str">
            <v>Santosh Nagar Cluster</v>
          </cell>
        </row>
        <row r="882">
          <cell r="M882" t="str">
            <v>Madhapur-2 - 70</v>
          </cell>
          <cell r="O882" t="str">
            <v>Physician Services</v>
          </cell>
          <cell r="P882" t="str">
            <v>Consultant Physician</v>
          </cell>
          <cell r="R882">
            <v>45104</v>
          </cell>
          <cell r="S882">
            <v>45104</v>
          </cell>
          <cell r="T882">
            <v>45834</v>
          </cell>
          <cell r="U882">
            <v>45835</v>
          </cell>
          <cell r="W882" t="str">
            <v>Maheshwara Medical College</v>
          </cell>
          <cell r="AB882" t="str">
            <v>TSMC/FMR/23339</v>
          </cell>
          <cell r="AF882">
            <v>9100623120</v>
          </cell>
          <cell r="AG882" t="str">
            <v>dr.anuhasini@gmail.com</v>
          </cell>
          <cell r="AH882" t="str">
            <v>SBI Bank</v>
          </cell>
          <cell r="AI882" t="str">
            <v>20235167497</v>
          </cell>
          <cell r="AJ882" t="str">
            <v>SBIN0018875</v>
          </cell>
          <cell r="AK882" t="str">
            <v>EOZPB4824N</v>
          </cell>
          <cell r="AL882">
            <v>734583393073</v>
          </cell>
          <cell r="AN882">
            <v>45215</v>
          </cell>
          <cell r="AO882">
            <v>45154</v>
          </cell>
          <cell r="AX882" t="str">
            <v>Female</v>
          </cell>
          <cell r="AY882" t="str">
            <v>Part Time</v>
          </cell>
          <cell r="AZ882">
            <v>2</v>
          </cell>
          <cell r="BA882" t="str">
            <v>Madhapur Cluster</v>
          </cell>
        </row>
        <row r="883">
          <cell r="M883" t="str">
            <v>Tirupathi-333</v>
          </cell>
          <cell r="N883" t="str">
            <v>N/A</v>
          </cell>
          <cell r="O883" t="str">
            <v>Pathology</v>
          </cell>
          <cell r="P883" t="str">
            <v>Consultant Pathologist</v>
          </cell>
          <cell r="Q883" t="str">
            <v>Dr. PTS. Shashikanth</v>
          </cell>
          <cell r="R883">
            <v>45105</v>
          </cell>
          <cell r="S883">
            <v>45105</v>
          </cell>
          <cell r="T883">
            <v>45835</v>
          </cell>
          <cell r="U883">
            <v>45836</v>
          </cell>
          <cell r="V883">
            <v>2016</v>
          </cell>
          <cell r="W883" t="str">
            <v>Sri Venkateswara Medical College</v>
          </cell>
          <cell r="X883">
            <v>2021</v>
          </cell>
          <cell r="Y883" t="str">
            <v>Dr. NTR University</v>
          </cell>
          <cell r="Z883" t="str">
            <v>N/A</v>
          </cell>
          <cell r="AA883" t="str">
            <v>MBBS, MD</v>
          </cell>
          <cell r="AB883" t="str">
            <v>APMC/FMR/98439</v>
          </cell>
          <cell r="AC883" t="str">
            <v>Andhra Pradesh Medical Council</v>
          </cell>
          <cell r="AD883">
            <v>44468</v>
          </cell>
          <cell r="AE883">
            <v>46293</v>
          </cell>
          <cell r="AF883">
            <v>9652135826</v>
          </cell>
          <cell r="AG883" t="str">
            <v>vasanthivs88@gmail.com</v>
          </cell>
          <cell r="AH883" t="str">
            <v>Axis Bank</v>
          </cell>
          <cell r="AI883" t="str">
            <v>920010072339947</v>
          </cell>
          <cell r="AJ883" t="str">
            <v>UTIB0001018</v>
          </cell>
          <cell r="AK883" t="str">
            <v>AQPPV7004G</v>
          </cell>
          <cell r="AL883">
            <v>333299445377</v>
          </cell>
          <cell r="AN883">
            <v>45413</v>
          </cell>
          <cell r="AO883">
            <v>45413</v>
          </cell>
          <cell r="AP883" t="str">
            <v>Maternity Leave</v>
          </cell>
          <cell r="AU883">
            <v>0.375</v>
          </cell>
          <cell r="AV883">
            <v>0.625</v>
          </cell>
          <cell r="AW883">
            <v>34564</v>
          </cell>
          <cell r="AX883" t="str">
            <v>Female</v>
          </cell>
          <cell r="AY883" t="str">
            <v>Part Time</v>
          </cell>
          <cell r="AZ883">
            <v>6</v>
          </cell>
          <cell r="BA883" t="str">
            <v>Tirupati Cluster</v>
          </cell>
        </row>
        <row r="884">
          <cell r="M884" t="str">
            <v>Ameerpet - 14</v>
          </cell>
          <cell r="O884" t="str">
            <v>Physician Services</v>
          </cell>
          <cell r="P884" t="str">
            <v>Consultant Physician</v>
          </cell>
          <cell r="R884">
            <v>45106</v>
          </cell>
          <cell r="S884">
            <v>45106</v>
          </cell>
          <cell r="T884">
            <v>45836</v>
          </cell>
          <cell r="U884">
            <v>45837</v>
          </cell>
          <cell r="W884" t="str">
            <v>Great Eastern medical School and Hospital</v>
          </cell>
          <cell r="AB884" t="str">
            <v>TSMC/FMR/20412</v>
          </cell>
          <cell r="AF884">
            <v>8179822762</v>
          </cell>
          <cell r="AG884" t="str">
            <v>vaibhavs813@gmail.com</v>
          </cell>
          <cell r="AH884" t="str">
            <v>Union Bank of India</v>
          </cell>
          <cell r="AI884" t="str">
            <v>155510100062900</v>
          </cell>
          <cell r="AJ884" t="str">
            <v>UBIN0801399</v>
          </cell>
          <cell r="AK884" t="str">
            <v>CYTPS3382J</v>
          </cell>
          <cell r="AL884">
            <v>556514898746</v>
          </cell>
          <cell r="AN884">
            <v>45251</v>
          </cell>
          <cell r="AU884" t="e">
            <v>#N/A</v>
          </cell>
          <cell r="AX884" t="str">
            <v>Male</v>
          </cell>
          <cell r="AY884" t="str">
            <v>Part Time</v>
          </cell>
          <cell r="AZ884">
            <v>2</v>
          </cell>
          <cell r="BA884" t="str">
            <v>Himayathnagar Cluster</v>
          </cell>
        </row>
        <row r="885">
          <cell r="M885" t="str">
            <v>Himayatnagar</v>
          </cell>
          <cell r="O885" t="str">
            <v>Pathology</v>
          </cell>
          <cell r="P885" t="str">
            <v>Consultant Pathologist</v>
          </cell>
          <cell r="R885">
            <v>45108</v>
          </cell>
          <cell r="S885">
            <v>45108</v>
          </cell>
          <cell r="T885">
            <v>45838</v>
          </cell>
          <cell r="U885">
            <v>45839</v>
          </cell>
          <cell r="W885" t="str">
            <v>Maharaja Krishnakumarsinhji Bhabnagar University</v>
          </cell>
          <cell r="AB885" t="str">
            <v>G-34344</v>
          </cell>
          <cell r="AF885">
            <v>9408969463</v>
          </cell>
          <cell r="AG885" t="str">
            <v>hiralmajithia22@gmail.com</v>
          </cell>
          <cell r="AH885" t="str">
            <v>SBI Bank</v>
          </cell>
          <cell r="AI885">
            <v>20162189311</v>
          </cell>
          <cell r="AJ885" t="str">
            <v>SBIN0013382</v>
          </cell>
          <cell r="AK885" t="str">
            <v>BHAPM2864E</v>
          </cell>
          <cell r="AL885">
            <v>411574770540</v>
          </cell>
          <cell r="AN885">
            <v>45320</v>
          </cell>
          <cell r="AO885">
            <v>45259</v>
          </cell>
          <cell r="AV885">
            <v>0.33333333333333331</v>
          </cell>
          <cell r="AX885" t="str">
            <v>Female</v>
          </cell>
          <cell r="AY885" t="str">
            <v>Full Time</v>
          </cell>
          <cell r="AZ885">
            <v>8</v>
          </cell>
          <cell r="BA885" t="str">
            <v>Himayathnagar Cluster</v>
          </cell>
        </row>
        <row r="886">
          <cell r="M886" t="str">
            <v>Dilsukhnagar - 12</v>
          </cell>
          <cell r="O886" t="str">
            <v>Radiology</v>
          </cell>
          <cell r="P886" t="str">
            <v>Consultant Radiologist</v>
          </cell>
          <cell r="R886">
            <v>45108</v>
          </cell>
          <cell r="S886">
            <v>45108</v>
          </cell>
          <cell r="T886">
            <v>45838</v>
          </cell>
          <cell r="U886">
            <v>45839</v>
          </cell>
          <cell r="W886" t="str">
            <v>Bhaskar Medical College</v>
          </cell>
          <cell r="AB886" t="str">
            <v>TSMC/FMR/02872</v>
          </cell>
          <cell r="AF886">
            <v>7680972978</v>
          </cell>
          <cell r="AG886" t="str">
            <v>drdheeraj93@gmail.com</v>
          </cell>
          <cell r="AK886" t="str">
            <v>AXVPN4522E</v>
          </cell>
          <cell r="AL886">
            <v>400745629353</v>
          </cell>
          <cell r="AN886">
            <v>45108</v>
          </cell>
          <cell r="AX886" t="str">
            <v>Male</v>
          </cell>
          <cell r="AY886" t="str">
            <v>Full Time</v>
          </cell>
          <cell r="AZ886">
            <v>8</v>
          </cell>
          <cell r="BA886" t="str">
            <v>Dilshuknagar Cluster</v>
          </cell>
        </row>
        <row r="887">
          <cell r="M887" t="str">
            <v>Attapur - 34</v>
          </cell>
          <cell r="O887" t="str">
            <v>Radiology</v>
          </cell>
          <cell r="P887" t="str">
            <v>Consultant Radiologist</v>
          </cell>
          <cell r="R887">
            <v>45111</v>
          </cell>
          <cell r="S887">
            <v>45111</v>
          </cell>
          <cell r="T887">
            <v>45841</v>
          </cell>
          <cell r="U887">
            <v>45842</v>
          </cell>
          <cell r="W887" t="str">
            <v>Chalmeda anand rao institute of medical science</v>
          </cell>
          <cell r="AB887">
            <v>68775</v>
          </cell>
          <cell r="AF887">
            <v>9885636907</v>
          </cell>
          <cell r="AG887" t="str">
            <v>drwesamsyed@gmail.com</v>
          </cell>
          <cell r="AH887" t="str">
            <v>PENDING</v>
          </cell>
          <cell r="AI887" t="str">
            <v>PENDING</v>
          </cell>
          <cell r="AJ887" t="str">
            <v>PENDING</v>
          </cell>
          <cell r="AK887" t="str">
            <v>PENDING</v>
          </cell>
          <cell r="AL887">
            <v>370893550996</v>
          </cell>
          <cell r="AN887">
            <v>45111</v>
          </cell>
          <cell r="AX887" t="str">
            <v>Male</v>
          </cell>
          <cell r="AY887" t="str">
            <v>Full Time</v>
          </cell>
          <cell r="AZ887">
            <v>8</v>
          </cell>
          <cell r="BA887" t="str">
            <v>Tolichowki Cluster</v>
          </cell>
        </row>
        <row r="888">
          <cell r="M888" t="str">
            <v>Nallakunta - 67</v>
          </cell>
          <cell r="N888" t="str">
            <v>Basic USG, Tiffa, Guided Procedures, Basic CT, X Ray, Plain Radiology, IVP, RGU, MCGU, Barium Swallow, Barium Anema, HSG</v>
          </cell>
          <cell r="O888" t="str">
            <v>Radiology</v>
          </cell>
          <cell r="P888" t="str">
            <v>Consultant Radiologist</v>
          </cell>
          <cell r="Q888" t="str">
            <v>Dr. Krishna Mohan Pottala</v>
          </cell>
          <cell r="R888">
            <v>45254</v>
          </cell>
          <cell r="S888">
            <v>45254</v>
          </cell>
          <cell r="T888">
            <v>45984</v>
          </cell>
          <cell r="U888">
            <v>45985</v>
          </cell>
          <cell r="V888">
            <v>2018</v>
          </cell>
          <cell r="W888" t="str">
            <v>PSG institute of Medical Science</v>
          </cell>
          <cell r="X888">
            <v>2023</v>
          </cell>
          <cell r="Y888" t="str">
            <v>Kakatiya Government College</v>
          </cell>
          <cell r="Z888" t="str">
            <v>NA</v>
          </cell>
          <cell r="AA888" t="str">
            <v>MBBS,MD</v>
          </cell>
          <cell r="AB888" t="str">
            <v>TSMC/FMR/16171</v>
          </cell>
          <cell r="AC888" t="str">
            <v>Telangana State Medical Council</v>
          </cell>
          <cell r="AD888">
            <v>45188</v>
          </cell>
          <cell r="AE888">
            <v>47014</v>
          </cell>
          <cell r="AF888">
            <v>8144545967</v>
          </cell>
          <cell r="AG888" t="str">
            <v>jabezgershom@gmail.com</v>
          </cell>
          <cell r="AH888" t="str">
            <v>HDFC Bank</v>
          </cell>
          <cell r="AI888">
            <v>50100641698832</v>
          </cell>
          <cell r="AJ888" t="str">
            <v>HDFC0001871</v>
          </cell>
          <cell r="AK888" t="str">
            <v>BJJPA1492D</v>
          </cell>
          <cell r="AL888">
            <v>557215683618</v>
          </cell>
          <cell r="AN888">
            <v>45535</v>
          </cell>
          <cell r="AO888" t="str">
            <v>NA</v>
          </cell>
          <cell r="AP888" t="str">
            <v>Personal reasons</v>
          </cell>
          <cell r="AQ888" t="str">
            <v>8, 3rd Street DAE Township, Kalpakkam, Kancheepuram, Tamil Nadu - 603102</v>
          </cell>
          <cell r="AS888" t="str">
            <v>8, 3rd Street DAE Township, Kalpakkam, Kancheepuram, Tamil Nadu - 603102</v>
          </cell>
          <cell r="AU888">
            <v>0.70833333333333337</v>
          </cell>
          <cell r="AV888">
            <v>0.83333333333333337</v>
          </cell>
          <cell r="AW888">
            <v>35238</v>
          </cell>
          <cell r="AX888" t="str">
            <v>Male</v>
          </cell>
          <cell r="AY888" t="str">
            <v>Part Time</v>
          </cell>
          <cell r="AZ888">
            <v>3</v>
          </cell>
          <cell r="BA888" t="str">
            <v>Himayathnagar Cluster</v>
          </cell>
        </row>
        <row r="889">
          <cell r="M889" t="str">
            <v>Film Nagar - 38</v>
          </cell>
          <cell r="N889" t="str">
            <v>Basic USG, Tiffa, Guided Procedures, Basic CT, Al Angios, Basic MRI,  X Ray, Plain Radiology, Mammography, IVP, RGU, MCGU, Barium Swallow, Barium Anema, HSG</v>
          </cell>
          <cell r="O889" t="str">
            <v>Radiology</v>
          </cell>
          <cell r="P889" t="str">
            <v>Consultant Radiologist</v>
          </cell>
          <cell r="R889">
            <v>45117</v>
          </cell>
          <cell r="S889">
            <v>45117</v>
          </cell>
          <cell r="T889">
            <v>45847</v>
          </cell>
          <cell r="U889">
            <v>45848</v>
          </cell>
          <cell r="W889" t="str">
            <v>Dr NTR University of Health Science</v>
          </cell>
          <cell r="AB889">
            <v>64399</v>
          </cell>
          <cell r="AF889">
            <v>9703029999</v>
          </cell>
          <cell r="AG889" t="str">
            <v>appalabhi36@gmail.com</v>
          </cell>
          <cell r="AH889" t="str">
            <v>HDFC Bank</v>
          </cell>
          <cell r="AI889" t="str">
            <v>59119703029999</v>
          </cell>
          <cell r="AJ889" t="str">
            <v>HDFC0000317</v>
          </cell>
          <cell r="AK889" t="str">
            <v>ARFPA8713L</v>
          </cell>
          <cell r="AL889">
            <v>936804384130</v>
          </cell>
          <cell r="AN889">
            <v>45260</v>
          </cell>
          <cell r="AU889" t="e">
            <v>#N/A</v>
          </cell>
          <cell r="AX889" t="str">
            <v>Male</v>
          </cell>
          <cell r="AY889" t="str">
            <v>Full Time</v>
          </cell>
          <cell r="AZ889">
            <v>8</v>
          </cell>
          <cell r="BA889" t="str">
            <v>Himayathnagar Cluster</v>
          </cell>
        </row>
        <row r="890">
          <cell r="M890" t="str">
            <v>Panjagutta-121</v>
          </cell>
          <cell r="N890" t="str">
            <v>Basic USG, Tiffa, MSK, Basic CT, X Ray, Plain Radiography, IVP, RGU, MCUG, Barium Swallow, Barium Anema, HSG.
(Can be taken for USG, X-Ray and CT Reporting)</v>
          </cell>
          <cell r="O890" t="str">
            <v>Radiology</v>
          </cell>
          <cell r="P890" t="str">
            <v>Consultant Radiologist</v>
          </cell>
          <cell r="Q890" t="str">
            <v>Dr. Krishna Mohan Pottala</v>
          </cell>
          <cell r="R890">
            <v>45352</v>
          </cell>
          <cell r="S890">
            <v>45352</v>
          </cell>
          <cell r="T890">
            <v>46081</v>
          </cell>
          <cell r="U890">
            <v>46082</v>
          </cell>
          <cell r="V890">
            <v>2020</v>
          </cell>
          <cell r="W890" t="str">
            <v>Vijayanagara institute of medical sciences</v>
          </cell>
          <cell r="X890">
            <v>2023</v>
          </cell>
          <cell r="Y890" t="str">
            <v>Navodaya Medical College</v>
          </cell>
          <cell r="Z890" t="str">
            <v>NA</v>
          </cell>
          <cell r="AA890" t="str">
            <v>MBBS,MD</v>
          </cell>
          <cell r="AB890" t="str">
            <v>TSMC/FMR/30366</v>
          </cell>
          <cell r="AC890" t="str">
            <v>Telangana State Medical Council</v>
          </cell>
          <cell r="AD890">
            <v>45348</v>
          </cell>
          <cell r="AE890">
            <v>47174</v>
          </cell>
          <cell r="AF890">
            <v>9901428547</v>
          </cell>
          <cell r="AG890" t="str">
            <v>abhilashareddy1997@gmail.com</v>
          </cell>
          <cell r="AH890" t="str">
            <v>SBI Bank</v>
          </cell>
          <cell r="AI890" t="str">
            <v>38215827684</v>
          </cell>
          <cell r="AJ890" t="str">
            <v>SBIN0015215</v>
          </cell>
          <cell r="AK890" t="str">
            <v>EXLPR9701P</v>
          </cell>
          <cell r="AL890">
            <v>649972654207</v>
          </cell>
          <cell r="AN890">
            <v>45535</v>
          </cell>
          <cell r="AO890" t="str">
            <v>NA</v>
          </cell>
          <cell r="AP890" t="str">
            <v>compulsory rural service</v>
          </cell>
          <cell r="AQ890" t="str">
            <v>#10/11, 17th Ward, Haddinagunda Road, Patel Nagar, Bellary, Karnataka - 583101</v>
          </cell>
          <cell r="AS890" t="str">
            <v>#10/11, 17th Ward, Haddinagunda Road, Patel Nagar, Bellary, Karnataka - 583101</v>
          </cell>
          <cell r="AU890">
            <v>0.33333333333333331</v>
          </cell>
          <cell r="AV890">
            <v>0.66666666666666663</v>
          </cell>
          <cell r="AW890">
            <v>35467</v>
          </cell>
          <cell r="AX890" t="str">
            <v>Female</v>
          </cell>
          <cell r="AY890" t="str">
            <v>Full Time</v>
          </cell>
          <cell r="AZ890">
            <v>8</v>
          </cell>
          <cell r="BA890" t="str">
            <v>Punjagutta Cluster</v>
          </cell>
        </row>
        <row r="891">
          <cell r="M891" t="str">
            <v>Vanasthalipuram - 33</v>
          </cell>
          <cell r="N891" t="str">
            <v>Basic USG, Tiffa, MSK, Penile Doppler/TRUS,  Guided Procedures, Basic CT, All Angios,Virtual Endoscopy, CT Perfusion, CT Enteroclysis, Guided Procedures, Basic MRI,Fetal MR, MR Prostate, MR Neurography, X Ray, Plain Radiology, Mammography, IVP, RGU, MCGU, Barium Swallow, Barium Anema, HSG</v>
          </cell>
          <cell r="O891" t="str">
            <v>Radiology</v>
          </cell>
          <cell r="P891" t="str">
            <v>Consultant Radiologist</v>
          </cell>
          <cell r="R891">
            <v>45131</v>
          </cell>
          <cell r="S891">
            <v>45131</v>
          </cell>
          <cell r="T891">
            <v>45861</v>
          </cell>
          <cell r="U891">
            <v>45862</v>
          </cell>
          <cell r="W891" t="str">
            <v>S.V.S MEDICAL COLLEGE, MAHABUBNAGAR</v>
          </cell>
          <cell r="AB891" t="str">
            <v>APMC/FMR/94032</v>
          </cell>
          <cell r="AF891" t="str">
            <v>8106719542 ,  7989840117</v>
          </cell>
          <cell r="AG891" t="str">
            <v>ashwinimbbs1043@gmail.com</v>
          </cell>
          <cell r="AK891" t="str">
            <v>BNEPM3051R</v>
          </cell>
          <cell r="AL891">
            <v>581457744840</v>
          </cell>
          <cell r="AN891">
            <v>45131</v>
          </cell>
          <cell r="AX891" t="str">
            <v>Female</v>
          </cell>
          <cell r="AY891" t="str">
            <v>Part Time</v>
          </cell>
          <cell r="AZ891">
            <v>3</v>
          </cell>
          <cell r="BA891" t="str">
            <v>Dilshuknagar Cluster</v>
          </cell>
        </row>
        <row r="892">
          <cell r="M892" t="str">
            <v>Kolkata VIP Road -91</v>
          </cell>
          <cell r="N892" t="str">
            <v>Basic USG, Tiffa, Guided Procedures, Basic CT, All Angios, Basic MRI, X Ray, Plain Radiology, Mammography, IVP, RGU, MCGU, Barium Swallow, Barium Anema, HSG</v>
          </cell>
          <cell r="O892" t="str">
            <v>Radiology</v>
          </cell>
          <cell r="P892" t="str">
            <v>Consultant Radiologist</v>
          </cell>
          <cell r="Q892" t="str">
            <v>Dr.Krishna Mohan</v>
          </cell>
          <cell r="R892">
            <v>45231</v>
          </cell>
          <cell r="S892">
            <v>45231</v>
          </cell>
          <cell r="T892">
            <v>45961</v>
          </cell>
          <cell r="U892">
            <v>45962</v>
          </cell>
          <cell r="W892" t="str">
            <v>Fellow of Indian Academy of Medical Sciences</v>
          </cell>
          <cell r="Z892" t="str">
            <v>N/A</v>
          </cell>
          <cell r="AB892">
            <v>59679</v>
          </cell>
          <cell r="AF892" t="str">
            <v>9123872392/8017833492</v>
          </cell>
          <cell r="AG892" t="str">
            <v>roychowdhury.drmousumi@gmail.com</v>
          </cell>
          <cell r="AH892" t="str">
            <v>HDFC Bank</v>
          </cell>
          <cell r="AI892" t="str">
            <v>05151930005581</v>
          </cell>
          <cell r="AJ892" t="str">
            <v>HDFC0000515</v>
          </cell>
          <cell r="AK892" t="str">
            <v>AEIPC8255M</v>
          </cell>
          <cell r="AL892">
            <v>598212944647</v>
          </cell>
          <cell r="AN892">
            <v>45254</v>
          </cell>
          <cell r="AO892">
            <v>45254</v>
          </cell>
          <cell r="AU892">
            <v>0.72916666666666663</v>
          </cell>
          <cell r="AV892">
            <v>0.8125</v>
          </cell>
          <cell r="AX892" t="str">
            <v>Male</v>
          </cell>
          <cell r="AY892" t="str">
            <v>Part Time</v>
          </cell>
          <cell r="AZ892">
            <v>2</v>
          </cell>
          <cell r="BA892" t="str">
            <v>Kolkata Cluster</v>
          </cell>
        </row>
        <row r="893">
          <cell r="M893" t="str">
            <v>Kolkata VIP Road -91</v>
          </cell>
          <cell r="N893" t="str">
            <v>Basic USG, Tiffa, Fetal Echo, Guided Procedures, Basic CT, Basic MRI, X Ray, Plain Radiology, Mammography, IVP, RGU, MCGU, Barium Swallow, Barium Anema, HSG</v>
          </cell>
          <cell r="O893" t="str">
            <v>Radiology</v>
          </cell>
          <cell r="P893" t="str">
            <v>Consultant Radiologist</v>
          </cell>
          <cell r="Q893" t="str">
            <v>Dr Vijayanand</v>
          </cell>
          <cell r="R893">
            <v>45232</v>
          </cell>
          <cell r="S893">
            <v>45232</v>
          </cell>
          <cell r="T893">
            <v>45962</v>
          </cell>
          <cell r="U893">
            <v>45963</v>
          </cell>
          <cell r="V893">
            <v>2003</v>
          </cell>
          <cell r="W893" t="str">
            <v>Calcutta National Medical College &amp; Hospital</v>
          </cell>
          <cell r="X893">
            <v>2015</v>
          </cell>
          <cell r="Y893" t="str">
            <v>West Bengal University</v>
          </cell>
          <cell r="Z893" t="str">
            <v>N/A</v>
          </cell>
          <cell r="AA893" t="str">
            <v>MBBS, MD Radio Diagnosis</v>
          </cell>
          <cell r="AB893">
            <v>59234</v>
          </cell>
          <cell r="AC893" t="str">
            <v>West bengal medical Council</v>
          </cell>
          <cell r="AD893">
            <v>44561</v>
          </cell>
          <cell r="AE893">
            <v>46387</v>
          </cell>
          <cell r="AF893" t="str">
            <v>9830509475, 9051805554</v>
          </cell>
          <cell r="AG893" t="str">
            <v>nazneen410@gmail.com</v>
          </cell>
          <cell r="AH893" t="str">
            <v>SBI Bank</v>
          </cell>
          <cell r="AI893" t="str">
            <v>11202222457</v>
          </cell>
          <cell r="AJ893" t="str">
            <v>SBIN0001488</v>
          </cell>
          <cell r="AK893" t="str">
            <v>BBEPS5155C</v>
          </cell>
          <cell r="AL893" t="str">
            <v>781544708983</v>
          </cell>
          <cell r="AQ893" t="str">
            <v>Bangalaxmi Abasan, Dashdron Checkpost Rajarhat Gopaluer (m) North 24 Parganas GopalpurWest Bengal, 700136</v>
          </cell>
          <cell r="AR893">
            <v>47</v>
          </cell>
          <cell r="AW893">
            <v>28464</v>
          </cell>
          <cell r="AX893" t="str">
            <v>Male</v>
          </cell>
          <cell r="AY893" t="str">
            <v>Part Time</v>
          </cell>
          <cell r="AZ893">
            <v>2</v>
          </cell>
          <cell r="BA893" t="str">
            <v>Kolkata Cluster</v>
          </cell>
        </row>
        <row r="894">
          <cell r="M894" t="str">
            <v>Kolkata VIP Road -91</v>
          </cell>
          <cell r="N894" t="str">
            <v>Basic USG, Tiffa, Guided Procedures, Basic CT, Basic MRI, X Ray, Plain Radiology, IVP, RGU, MCGU, Barium Swallow, Barium Anema, HSG</v>
          </cell>
          <cell r="O894" t="str">
            <v>Radiology</v>
          </cell>
          <cell r="P894" t="str">
            <v>Consultant Radiologist</v>
          </cell>
          <cell r="R894">
            <v>45145</v>
          </cell>
          <cell r="S894">
            <v>45145</v>
          </cell>
          <cell r="T894">
            <v>45875</v>
          </cell>
          <cell r="U894">
            <v>45876</v>
          </cell>
          <cell r="W894" t="str">
            <v>IPGMER &amp; SSKM Hospital</v>
          </cell>
          <cell r="AB894">
            <v>66832</v>
          </cell>
          <cell r="AF894">
            <v>9674333055</v>
          </cell>
          <cell r="AG894" t="str">
            <v>dr.somnathpaul@gmail.com</v>
          </cell>
          <cell r="AH894" t="str">
            <v>ICICI Bank</v>
          </cell>
          <cell r="AI894" t="str">
            <v>127801501523</v>
          </cell>
          <cell r="AJ894" t="str">
            <v>ICIC0001278</v>
          </cell>
          <cell r="AK894" t="str">
            <v>BJWPP1492D</v>
          </cell>
          <cell r="AL894">
            <v>932181817156</v>
          </cell>
          <cell r="AN894">
            <v>45145</v>
          </cell>
          <cell r="AX894" t="str">
            <v>Male</v>
          </cell>
          <cell r="AY894" t="str">
            <v>Part Time</v>
          </cell>
          <cell r="AZ894">
            <v>2</v>
          </cell>
          <cell r="BA894" t="str">
            <v>Kolkata Cluster</v>
          </cell>
        </row>
        <row r="895">
          <cell r="M895" t="str">
            <v>Madinaguda - 112</v>
          </cell>
          <cell r="N895" t="str">
            <v>Hematology, Cytopathology, Clinical Pathology</v>
          </cell>
          <cell r="O895" t="str">
            <v>Pathology</v>
          </cell>
          <cell r="P895" t="str">
            <v>Consultant Pathologist</v>
          </cell>
          <cell r="Q895" t="str">
            <v>Dr P T S Shashikant</v>
          </cell>
          <cell r="R895">
            <v>43389</v>
          </cell>
          <cell r="S895">
            <v>45204</v>
          </cell>
          <cell r="T895">
            <v>45203</v>
          </cell>
          <cell r="U895">
            <v>45935</v>
          </cell>
          <cell r="V895">
            <v>2011</v>
          </cell>
          <cell r="W895" t="str">
            <v>Mediciti Institute of Medical Sciences</v>
          </cell>
          <cell r="X895">
            <v>2017</v>
          </cell>
          <cell r="Y895" t="str">
            <v>Chalmeda AnandRao Institute of Medical Sciences</v>
          </cell>
          <cell r="Z895" t="str">
            <v>NA</v>
          </cell>
          <cell r="AA895" t="str">
            <v>MBBS, MD - Pathology</v>
          </cell>
          <cell r="AB895" t="str">
            <v>APMC/FMR/78761</v>
          </cell>
          <cell r="AC895" t="str">
            <v>Telangana State Medical Council</v>
          </cell>
          <cell r="AD895">
            <v>43353</v>
          </cell>
          <cell r="AE895">
            <v>45178</v>
          </cell>
          <cell r="AF895">
            <v>9948715070</v>
          </cell>
          <cell r="AG895" t="str">
            <v>vaishnavi.1218d@gmail.com</v>
          </cell>
          <cell r="AH895" t="str">
            <v>Canara Bank</v>
          </cell>
          <cell r="AI895" t="str">
            <v>30292010080287</v>
          </cell>
          <cell r="AJ895" t="str">
            <v>CNRB0013056</v>
          </cell>
          <cell r="AK895" t="str">
            <v>FCWPD3047R</v>
          </cell>
          <cell r="AL895">
            <v>526469074569</v>
          </cell>
          <cell r="AM895" t="str">
            <v>B Prabhaker Reddy</v>
          </cell>
          <cell r="AN895">
            <v>45541</v>
          </cell>
          <cell r="AO895">
            <v>45478</v>
          </cell>
          <cell r="AP895" t="str">
            <v>Family shifting</v>
          </cell>
          <cell r="AS895" t="str">
            <v>Hyderabad Telangana</v>
          </cell>
          <cell r="AU895">
            <v>0.33333333333333331</v>
          </cell>
          <cell r="AV895">
            <v>0.58333333333333337</v>
          </cell>
          <cell r="AW895">
            <v>32062</v>
          </cell>
          <cell r="AX895" t="str">
            <v>Female</v>
          </cell>
          <cell r="AY895" t="str">
            <v>Full Time</v>
          </cell>
          <cell r="AZ895">
            <v>8</v>
          </cell>
          <cell r="BA895" t="str">
            <v>Madhapur Cluster</v>
          </cell>
        </row>
        <row r="896">
          <cell r="M896" t="str">
            <v>Habsiguda - 17</v>
          </cell>
          <cell r="O896" t="str">
            <v>Physician Services</v>
          </cell>
          <cell r="P896" t="str">
            <v>Consultant Physician</v>
          </cell>
          <cell r="R896">
            <v>45139</v>
          </cell>
          <cell r="S896">
            <v>45139</v>
          </cell>
          <cell r="T896">
            <v>45869</v>
          </cell>
          <cell r="U896">
            <v>45870</v>
          </cell>
          <cell r="W896" t="str">
            <v>NTR University of Health and Science</v>
          </cell>
          <cell r="AB896" t="str">
            <v>TSMC/FMR/06919</v>
          </cell>
          <cell r="AC896" t="str">
            <v>Telangana State Medical Council</v>
          </cell>
          <cell r="AF896">
            <v>8179952136</v>
          </cell>
          <cell r="AG896" t="str">
            <v>deekshakud@gmail.com</v>
          </cell>
          <cell r="AH896" t="str">
            <v>SBI Bank</v>
          </cell>
          <cell r="AI896">
            <v>62508327474</v>
          </cell>
          <cell r="AJ896" t="str">
            <v>SBIN0020886</v>
          </cell>
          <cell r="AK896" t="str">
            <v>FOAPK5598L</v>
          </cell>
          <cell r="AL896">
            <v>811778253415</v>
          </cell>
          <cell r="AN896">
            <v>45220</v>
          </cell>
          <cell r="AQ896" t="str">
            <v>Street No 8 Habsiguda, Hyderabad, Telangana - 500007</v>
          </cell>
          <cell r="AS896" t="str">
            <v>Street No 8 Habsiguda, Hyderabad, Telangana - 500007</v>
          </cell>
          <cell r="AX896" t="str">
            <v>Female</v>
          </cell>
          <cell r="AY896" t="str">
            <v>Part Time</v>
          </cell>
          <cell r="AZ896">
            <v>1</v>
          </cell>
          <cell r="BA896" t="str">
            <v>A.S. Rao Nagar Cluster</v>
          </cell>
        </row>
        <row r="897">
          <cell r="M897" t="str">
            <v>Madinaguda - 112</v>
          </cell>
          <cell r="N897" t="str">
            <v>N/A</v>
          </cell>
          <cell r="O897" t="str">
            <v>Pathology</v>
          </cell>
          <cell r="P897" t="str">
            <v>Consultant Pathologist</v>
          </cell>
          <cell r="Q897" t="str">
            <v>Dr P T S Shashikant</v>
          </cell>
          <cell r="R897">
            <v>45082</v>
          </cell>
          <cell r="S897">
            <v>45082</v>
          </cell>
          <cell r="T897">
            <v>45081</v>
          </cell>
          <cell r="U897">
            <v>45813</v>
          </cell>
          <cell r="V897">
            <v>2010</v>
          </cell>
          <cell r="W897" t="str">
            <v>Kaloji Narayana Rao University of Health Science</v>
          </cell>
          <cell r="X897">
            <v>2022</v>
          </cell>
          <cell r="Y897" t="str">
            <v>Kaloji Narayana Rao University of Health Sciences - 2022</v>
          </cell>
          <cell r="Z897" t="str">
            <v>N/A</v>
          </cell>
          <cell r="AA897" t="str">
            <v>MBBS, MD</v>
          </cell>
          <cell r="AB897">
            <v>73778</v>
          </cell>
          <cell r="AC897" t="str">
            <v>Telangana State Medical Council</v>
          </cell>
          <cell r="AD897">
            <v>44923</v>
          </cell>
          <cell r="AE897">
            <v>46748</v>
          </cell>
          <cell r="AF897">
            <v>9441501412</v>
          </cell>
          <cell r="AG897" t="str">
            <v>kaipalaks@gmail.com</v>
          </cell>
          <cell r="AH897" t="str">
            <v>HDFC Bank</v>
          </cell>
          <cell r="AI897" t="str">
            <v>03681000038544</v>
          </cell>
          <cell r="AJ897" t="str">
            <v>HDFC0000368</v>
          </cell>
          <cell r="AK897" t="str">
            <v>BWAPK4917R</v>
          </cell>
          <cell r="AL897">
            <v>364195038884</v>
          </cell>
          <cell r="AM897" t="str">
            <v>W/o B Babul Reddy</v>
          </cell>
          <cell r="AN897">
            <v>45541</v>
          </cell>
          <cell r="AO897">
            <v>45478</v>
          </cell>
          <cell r="AP897" t="str">
            <v>Personal reasons</v>
          </cell>
          <cell r="AU897">
            <v>0.33333333333333331</v>
          </cell>
          <cell r="AV897">
            <v>0.66666666666666663</v>
          </cell>
          <cell r="AW897">
            <v>30243</v>
          </cell>
          <cell r="AX897" t="str">
            <v>Female</v>
          </cell>
          <cell r="AY897" t="str">
            <v>Full Time</v>
          </cell>
          <cell r="AZ897">
            <v>8</v>
          </cell>
          <cell r="BA897" t="str">
            <v>Madhapur Cluster</v>
          </cell>
        </row>
        <row r="898">
          <cell r="M898" t="str">
            <v>Pragathi Nagar-89</v>
          </cell>
          <cell r="N898" t="str">
            <v>Basic USG, Doppler Studies, Thyroid/Scrotum USG, Breast USG, Tiffa, USG Guided FNAC, Guided Procedures, X Ray, Plain Radiography, Mammography, IVP, RGU, MCUG, Barium Swallow, Barium Anema, HSG.</v>
          </cell>
          <cell r="O898" t="str">
            <v>Radiology</v>
          </cell>
          <cell r="P898" t="str">
            <v>Consultant Radiologist</v>
          </cell>
          <cell r="Q898" t="str">
            <v>Dr. Krishna Mohan Pottala</v>
          </cell>
          <cell r="R898">
            <v>45383</v>
          </cell>
          <cell r="S898">
            <v>45383</v>
          </cell>
          <cell r="T898">
            <v>46112</v>
          </cell>
          <cell r="U898">
            <v>46113</v>
          </cell>
          <cell r="V898">
            <v>2019</v>
          </cell>
          <cell r="W898" t="str">
            <v>Bhaskar Medical College</v>
          </cell>
          <cell r="X898">
            <v>2023</v>
          </cell>
          <cell r="Y898" t="str">
            <v>Malla Reddy Medical College</v>
          </cell>
          <cell r="Z898" t="str">
            <v>NA</v>
          </cell>
          <cell r="AA898" t="str">
            <v>MBBS,MD</v>
          </cell>
          <cell r="AB898" t="str">
            <v>TSMC/FMR/09809</v>
          </cell>
          <cell r="AC898" t="str">
            <v>Telangana State Medical Council</v>
          </cell>
          <cell r="AD898">
            <v>45378</v>
          </cell>
          <cell r="AE898">
            <v>47203</v>
          </cell>
          <cell r="AF898">
            <v>9989083944</v>
          </cell>
          <cell r="AG898" t="str">
            <v>bhavana.lakshmi27@gmail.com</v>
          </cell>
          <cell r="AH898" t="str">
            <v>AXIS BANK</v>
          </cell>
          <cell r="AI898" t="str">
            <v>921010040285947</v>
          </cell>
          <cell r="AJ898" t="str">
            <v>UTIB0001319</v>
          </cell>
          <cell r="AK898" t="str">
            <v>BQDPN5136Q</v>
          </cell>
          <cell r="AL898">
            <v>257932869006</v>
          </cell>
          <cell r="AN898">
            <v>45544</v>
          </cell>
          <cell r="AO898" t="str">
            <v>NA</v>
          </cell>
          <cell r="AP898" t="str">
            <v>Personal reasons</v>
          </cell>
          <cell r="AQ898" t="str">
            <v>Villa No. 216, Indu Aranya Haritha, Nagole, Hyderabad, Hayathnagar, KV Rangareddy, Telangana - 500068</v>
          </cell>
          <cell r="AU898">
            <v>0.375</v>
          </cell>
          <cell r="AV898">
            <v>0.54166666666666663</v>
          </cell>
          <cell r="AW898">
            <v>34877</v>
          </cell>
          <cell r="AX898" t="str">
            <v>Female</v>
          </cell>
          <cell r="AY898" t="str">
            <v>Part Time</v>
          </cell>
          <cell r="AZ898">
            <v>4</v>
          </cell>
          <cell r="BA898" t="str">
            <v>Kukatpally Cluster</v>
          </cell>
        </row>
        <row r="899">
          <cell r="M899" t="str">
            <v>Safilguda - 58</v>
          </cell>
          <cell r="N899" t="str">
            <v>Basic USG, Tiffa, Fetal Echo, MSK, Guided Procedures, Basic CT, All Angios, Basic MRI, X Ray, Plain Radiology, Mammography, IVP, RGU, MCGU, Barium Swallow, Barium Anema, HSG</v>
          </cell>
          <cell r="O899" t="str">
            <v>Radiology</v>
          </cell>
          <cell r="P899" t="str">
            <v>Consultant Radiologist</v>
          </cell>
          <cell r="R899">
            <v>45139</v>
          </cell>
          <cell r="S899">
            <v>45139</v>
          </cell>
          <cell r="T899">
            <v>45869</v>
          </cell>
          <cell r="U899">
            <v>45870</v>
          </cell>
          <cell r="W899" t="str">
            <v>NTR University</v>
          </cell>
          <cell r="AB899" t="str">
            <v>APMC/FMR/93968</v>
          </cell>
          <cell r="AC899" t="str">
            <v>Telangana State Medical Council</v>
          </cell>
          <cell r="AF899">
            <v>9493410869</v>
          </cell>
          <cell r="AG899" t="str">
            <v>ramyaveni.s@gmail.com</v>
          </cell>
          <cell r="AK899" t="str">
            <v>GVPPS5995L</v>
          </cell>
          <cell r="AL899">
            <v>263874203720</v>
          </cell>
          <cell r="AN899">
            <v>45139</v>
          </cell>
          <cell r="AQ899" t="str">
            <v>2-661/93 – west, Shalivahana enclave, Kapra, Secunderabad, Hyderabad – 500062.</v>
          </cell>
          <cell r="AS899" t="str">
            <v>2-661/93 – west, Shalivahana enclave, Kapra, Secunderabad, Hyderabad – 500062.</v>
          </cell>
          <cell r="AX899" t="str">
            <v>Female</v>
          </cell>
          <cell r="AY899" t="str">
            <v>Full Time</v>
          </cell>
          <cell r="AZ899">
            <v>8</v>
          </cell>
          <cell r="BA899" t="str">
            <v>A.S. Rao Nagar Cluster</v>
          </cell>
        </row>
        <row r="900">
          <cell r="M900" t="str">
            <v>Kukatpally - 20</v>
          </cell>
          <cell r="N900" t="str">
            <v>FNAC, Semen Analysis</v>
          </cell>
          <cell r="O900" t="str">
            <v>Pathology</v>
          </cell>
          <cell r="P900" t="str">
            <v>Consultant Pathologist</v>
          </cell>
          <cell r="Q900" t="str">
            <v>Dr P T S Shashikant</v>
          </cell>
          <cell r="R900">
            <v>44819</v>
          </cell>
          <cell r="S900">
            <v>44819</v>
          </cell>
          <cell r="T900">
            <v>45549</v>
          </cell>
          <cell r="U900">
            <v>45550</v>
          </cell>
          <cell r="V900">
            <v>2012</v>
          </cell>
          <cell r="W900" t="str">
            <v>MNR medical college, Sangareddy</v>
          </cell>
          <cell r="X900">
            <v>2022</v>
          </cell>
          <cell r="Y900" t="str">
            <v>Mediciti Medical College, Medchal</v>
          </cell>
          <cell r="Z900" t="str">
            <v>NA</v>
          </cell>
          <cell r="AA900" t="str">
            <v>MBBS, MD Pathology</v>
          </cell>
          <cell r="AB900" t="str">
            <v>APMC/FMR/80503</v>
          </cell>
          <cell r="AC900" t="str">
            <v>Telangana State Medical Council</v>
          </cell>
          <cell r="AD900">
            <v>43612</v>
          </cell>
          <cell r="AE900">
            <v>45438</v>
          </cell>
          <cell r="AF900">
            <v>9030690979</v>
          </cell>
          <cell r="AG900" t="str">
            <v>kalyaniv88@gmail.com</v>
          </cell>
          <cell r="AH900" t="str">
            <v>HDFC Bank</v>
          </cell>
          <cell r="AI900" t="str">
            <v>50100295015547</v>
          </cell>
          <cell r="AJ900" t="str">
            <v>HDFC0001640</v>
          </cell>
          <cell r="AK900" t="str">
            <v>AJLPV3880F</v>
          </cell>
          <cell r="AL900">
            <v>387992231894</v>
          </cell>
          <cell r="AM900" t="str">
            <v>Sri Hari Rao</v>
          </cell>
          <cell r="AN900">
            <v>45549</v>
          </cell>
          <cell r="AO900" t="str">
            <v>NA</v>
          </cell>
          <cell r="AP900" t="str">
            <v>High salary expectations</v>
          </cell>
          <cell r="AU900">
            <v>0.70833333333333337</v>
          </cell>
          <cell r="AV900">
            <v>0.79166666666666663</v>
          </cell>
          <cell r="AW900">
            <v>32448</v>
          </cell>
          <cell r="AX900" t="str">
            <v>Female</v>
          </cell>
          <cell r="AY900" t="str">
            <v>Part Time</v>
          </cell>
          <cell r="AZ900">
            <v>3</v>
          </cell>
          <cell r="BA900" t="str">
            <v>Kukatpally Cluster</v>
          </cell>
        </row>
        <row r="901">
          <cell r="M901" t="str">
            <v>Madinaguda - 112</v>
          </cell>
          <cell r="N901" t="str">
            <v>USG , Tiffa, Doppler, Mammogram, Basic CT,  X-Ray, IVP, RGU, MCGU, Barium Swallow, Barium Enema, HSG</v>
          </cell>
          <cell r="O901" t="str">
            <v>Radiology</v>
          </cell>
          <cell r="P901" t="str">
            <v>Consultant Radiologist</v>
          </cell>
          <cell r="R901">
            <v>45139</v>
          </cell>
          <cell r="S901">
            <v>45139</v>
          </cell>
          <cell r="T901">
            <v>45869</v>
          </cell>
          <cell r="U901">
            <v>45870</v>
          </cell>
          <cell r="W901" t="str">
            <v>Prathima institute of Medical Science</v>
          </cell>
          <cell r="AB901" t="str">
            <v>TSMC/FMR/10905</v>
          </cell>
          <cell r="AC901" t="str">
            <v>Telangana State Medical Council</v>
          </cell>
          <cell r="AF901">
            <v>7702672744</v>
          </cell>
          <cell r="AG901" t="str">
            <v>sama.varshareddy170795@gmail.com</v>
          </cell>
          <cell r="AH901" t="str">
            <v>SBI Bank</v>
          </cell>
          <cell r="AI901">
            <v>62279150559</v>
          </cell>
          <cell r="AJ901" t="str">
            <v>SBIN0020119</v>
          </cell>
          <cell r="AK901" t="str">
            <v>GOMPS5542R</v>
          </cell>
          <cell r="AL901">
            <v>977584790421</v>
          </cell>
          <cell r="AN901">
            <v>45169</v>
          </cell>
          <cell r="AQ901" t="str">
            <v>3-15/5, Mupkal, Kisannagar, Nizamabad, Telangana – 503218</v>
          </cell>
          <cell r="AS901" t="str">
            <v>3-15/5, Mupkal, Kisannagar, Nizamabad, Telangana – 503218</v>
          </cell>
          <cell r="AX901" t="str">
            <v>Female</v>
          </cell>
          <cell r="AY901" t="str">
            <v>Full Time</v>
          </cell>
          <cell r="AZ901">
            <v>8</v>
          </cell>
          <cell r="BA901" t="str">
            <v>Madhapur Cluster</v>
          </cell>
        </row>
        <row r="902">
          <cell r="M902" t="str">
            <v>Dwarakanagar - 6</v>
          </cell>
          <cell r="N902" t="str">
            <v>Biochemistry</v>
          </cell>
          <cell r="O902" t="str">
            <v>Biochemistry</v>
          </cell>
          <cell r="P902" t="str">
            <v>Consultant Biochemist</v>
          </cell>
          <cell r="Q902" t="str">
            <v>Dr P T S Shashikant</v>
          </cell>
          <cell r="R902">
            <v>44866</v>
          </cell>
          <cell r="S902">
            <v>44866</v>
          </cell>
          <cell r="T902">
            <v>45596</v>
          </cell>
          <cell r="U902">
            <v>45597</v>
          </cell>
          <cell r="V902">
            <v>2009</v>
          </cell>
          <cell r="W902" t="str">
            <v>Alluri Sitaram Raju Academy of Medical Science, Eluru, Andhra Pradesh</v>
          </cell>
          <cell r="X902">
            <v>2010</v>
          </cell>
          <cell r="Y902" t="str">
            <v>Andhra Medical College,Vishakapatnam, Andhra Pradesh</v>
          </cell>
          <cell r="Z902" t="str">
            <v>NA</v>
          </cell>
          <cell r="AA902" t="str">
            <v>MBBS, MD</v>
          </cell>
          <cell r="AB902">
            <v>42788</v>
          </cell>
          <cell r="AC902" t="str">
            <v>Andhra Pradesh Medical Council</v>
          </cell>
          <cell r="AD902">
            <v>43885</v>
          </cell>
          <cell r="AE902">
            <v>45711</v>
          </cell>
          <cell r="AF902">
            <v>9866119748</v>
          </cell>
          <cell r="AG902" t="str">
            <v>ramjeerk@gmail.com</v>
          </cell>
          <cell r="AH902" t="str">
            <v>SBI Bank</v>
          </cell>
          <cell r="AI902">
            <v>31882949690</v>
          </cell>
          <cell r="AJ902" t="str">
            <v>SBIN0030434</v>
          </cell>
          <cell r="AK902" t="str">
            <v>AFXPC5631D</v>
          </cell>
          <cell r="AL902">
            <v>616938294066</v>
          </cell>
          <cell r="AM902" t="str">
            <v>Chandna Tirupathi</v>
          </cell>
          <cell r="AN902">
            <v>45549</v>
          </cell>
          <cell r="AO902" t="str">
            <v>NA</v>
          </cell>
          <cell r="AP902" t="str">
            <v>Asked to leave</v>
          </cell>
          <cell r="AU902">
            <v>0.33333333333333331</v>
          </cell>
          <cell r="AV902">
            <v>0.66666666666666663</v>
          </cell>
          <cell r="AW902">
            <v>26853</v>
          </cell>
          <cell r="AX902" t="str">
            <v>Male</v>
          </cell>
          <cell r="AY902" t="str">
            <v>Full Time</v>
          </cell>
          <cell r="AZ902">
            <v>8</v>
          </cell>
          <cell r="BA902" t="str">
            <v>Visakhapatnam Cluster</v>
          </cell>
        </row>
        <row r="903">
          <cell r="M903" t="str">
            <v>Gurgaon - 54</v>
          </cell>
          <cell r="N903" t="str">
            <v>Basic USG, Tiffa, Guided Procedures, Basic CT, All Angios,  Basic MRI, X Ray, Plain Radiology, Mammography, IVP, RGU, MCGU, Barium Swallow, Barium Anema, HSG</v>
          </cell>
          <cell r="O903" t="str">
            <v>Radiology</v>
          </cell>
          <cell r="P903" t="str">
            <v>Consultant Radiologist</v>
          </cell>
          <cell r="R903">
            <v>45139</v>
          </cell>
          <cell r="S903">
            <v>45139</v>
          </cell>
          <cell r="T903">
            <v>45869</v>
          </cell>
          <cell r="U903">
            <v>45870</v>
          </cell>
          <cell r="W903" t="str">
            <v>Sambalpur University</v>
          </cell>
          <cell r="AB903">
            <v>61205</v>
          </cell>
          <cell r="AC903" t="str">
            <v>Delhi Medical Council</v>
          </cell>
          <cell r="AF903">
            <v>8595403290</v>
          </cell>
          <cell r="AG903" t="str">
            <v>radiologyreporter1@gmail.com</v>
          </cell>
          <cell r="AH903" t="str">
            <v>SBI Bank</v>
          </cell>
          <cell r="AI903">
            <v>10311411028</v>
          </cell>
          <cell r="AJ903" t="str">
            <v>SBIN0032280</v>
          </cell>
          <cell r="AK903" t="str">
            <v>AWSPS9382F</v>
          </cell>
          <cell r="AN903">
            <v>45322</v>
          </cell>
          <cell r="AO903">
            <v>45293</v>
          </cell>
          <cell r="AQ903" t="str">
            <v>5PH2, ATS Kocoon, Rao Ramkishan Marg, Sector-109, Bajghera, Gurgaon, Haryana-122017</v>
          </cell>
          <cell r="AU903">
            <v>46</v>
          </cell>
          <cell r="AV903">
            <v>0.39583333333333331</v>
          </cell>
          <cell r="AX903" t="str">
            <v>Male</v>
          </cell>
          <cell r="AY903" t="str">
            <v>Part Time</v>
          </cell>
          <cell r="AZ903">
            <v>5</v>
          </cell>
          <cell r="BA903" t="str">
            <v>Haryana Cluster</v>
          </cell>
        </row>
        <row r="904">
          <cell r="M904" t="str">
            <v>Gurgaon - 54</v>
          </cell>
          <cell r="N904" t="str">
            <v>Basic USG, Tiffa, Guided Procedure, Basic CT, Basic MRI, X Ray, Plain Radiography, Mammography, IVP, RGU, MCUG, Barium Swallow, Barium Anema, HSG.
(Can do USG, TIFFA, Doppler, Mamography, CT, MRI)</v>
          </cell>
          <cell r="O904" t="str">
            <v>Radiology</v>
          </cell>
          <cell r="P904" t="str">
            <v>Consultant Radiologist</v>
          </cell>
          <cell r="Q904" t="str">
            <v>Dr. Krishna Mohan Pottala</v>
          </cell>
          <cell r="R904">
            <v>45306</v>
          </cell>
          <cell r="S904">
            <v>45306</v>
          </cell>
          <cell r="T904">
            <v>46036</v>
          </cell>
          <cell r="U904">
            <v>46037</v>
          </cell>
          <cell r="V904">
            <v>2013</v>
          </cell>
          <cell r="W904" t="str">
            <v>B.D Sharma PGIMS</v>
          </cell>
          <cell r="X904">
            <v>2018</v>
          </cell>
          <cell r="Y904" t="str">
            <v>B.D Sharma PGIMS</v>
          </cell>
          <cell r="Z904" t="str">
            <v>NA</v>
          </cell>
          <cell r="AA904" t="str">
            <v>MBBS,MD</v>
          </cell>
          <cell r="AB904" t="str">
            <v>HN008308</v>
          </cell>
          <cell r="AC904" t="str">
            <v>Haryana Medical Council</v>
          </cell>
          <cell r="AD904">
            <v>41835</v>
          </cell>
          <cell r="AE904">
            <v>46510</v>
          </cell>
          <cell r="AF904">
            <v>8683999701</v>
          </cell>
          <cell r="AG904" t="str">
            <v>drekta89@gmail.com</v>
          </cell>
          <cell r="AH904" t="str">
            <v>AXIS BANK</v>
          </cell>
          <cell r="AI904" t="str">
            <v>918010034054579</v>
          </cell>
          <cell r="AJ904" t="str">
            <v>UTIB0000015</v>
          </cell>
          <cell r="AK904" t="str">
            <v>AGIPY0427F</v>
          </cell>
          <cell r="AL904">
            <v>718440842479</v>
          </cell>
          <cell r="AN904">
            <v>45549</v>
          </cell>
          <cell r="AO904">
            <v>45489</v>
          </cell>
          <cell r="AP904" t="str">
            <v>Personal reasons</v>
          </cell>
          <cell r="AQ904" t="str">
            <v>House No. 3412, Sector 23, Cartarpuri Alias Daulatpur, Nasirabad, Gurgaon, Haryana - 122017</v>
          </cell>
          <cell r="AS904" t="str">
            <v>House No. 3412, Sector 23, Cartarpuri Alias Daulatpur, Nasirabad, Gurgaon, Haryana - 122017</v>
          </cell>
          <cell r="AU904">
            <v>0.375</v>
          </cell>
          <cell r="AV904">
            <v>0.5</v>
          </cell>
          <cell r="AW904">
            <v>32831</v>
          </cell>
          <cell r="AX904" t="str">
            <v>Female</v>
          </cell>
          <cell r="AY904" t="str">
            <v>Part Time</v>
          </cell>
          <cell r="AZ904">
            <v>6</v>
          </cell>
          <cell r="BA904" t="str">
            <v>Haryana Cluster</v>
          </cell>
        </row>
        <row r="905">
          <cell r="M905" t="str">
            <v>Himayatnagar</v>
          </cell>
          <cell r="N905" t="str">
            <v>Histopathology</v>
          </cell>
          <cell r="O905" t="str">
            <v>Pathology</v>
          </cell>
          <cell r="P905" t="str">
            <v>Consultant Pathologist</v>
          </cell>
          <cell r="Q905" t="str">
            <v>Dr P T S Shashikant</v>
          </cell>
          <cell r="R905">
            <v>44277</v>
          </cell>
          <cell r="S905">
            <v>45007</v>
          </cell>
          <cell r="T905">
            <v>45737</v>
          </cell>
          <cell r="U905">
            <v>45738</v>
          </cell>
          <cell r="V905">
            <v>2005</v>
          </cell>
          <cell r="W905" t="str">
            <v>Bhavnagar University</v>
          </cell>
          <cell r="X905">
            <v>2009</v>
          </cell>
          <cell r="Y905" t="str">
            <v>Bhavnagar University</v>
          </cell>
          <cell r="Z905" t="str">
            <v>NA</v>
          </cell>
          <cell r="AA905" t="str">
            <v>MBBS, MD - Pathology</v>
          </cell>
          <cell r="AB905" t="str">
            <v>TSMC/FMR/05483</v>
          </cell>
          <cell r="AC905" t="str">
            <v>Telangana State Medical Council</v>
          </cell>
          <cell r="AD905">
            <v>45345</v>
          </cell>
          <cell r="AE905">
            <v>47171</v>
          </cell>
          <cell r="AF905">
            <v>9885551817</v>
          </cell>
          <cell r="AG905" t="str">
            <v>drmegha1852@gmail.com</v>
          </cell>
          <cell r="AH905" t="str">
            <v>SBI Bank</v>
          </cell>
          <cell r="AI905" t="str">
            <v>20148155684</v>
          </cell>
          <cell r="AJ905" t="str">
            <v>SBIN0021216</v>
          </cell>
          <cell r="AK905" t="str">
            <v>ABPPY2113C</v>
          </cell>
          <cell r="AL905" t="str">
            <v>644530975577</v>
          </cell>
          <cell r="AM905" t="str">
            <v>Omprakash Ransih Arya</v>
          </cell>
          <cell r="AN905">
            <v>45555</v>
          </cell>
          <cell r="AO905">
            <v>45498</v>
          </cell>
          <cell r="AP905" t="str">
            <v>Personal reasons</v>
          </cell>
          <cell r="AU905">
            <v>0.33333333333333331</v>
          </cell>
          <cell r="AV905">
            <v>0.66666666666666663</v>
          </cell>
          <cell r="AW905">
            <v>30060</v>
          </cell>
          <cell r="AX905" t="str">
            <v>Female</v>
          </cell>
          <cell r="AY905" t="str">
            <v>Full Time</v>
          </cell>
          <cell r="AZ905">
            <v>8</v>
          </cell>
          <cell r="BA905" t="str">
            <v>Himayathnagar Cluster</v>
          </cell>
        </row>
        <row r="906">
          <cell r="M906" t="str">
            <v>Kukatpally - 20</v>
          </cell>
          <cell r="N906" t="str">
            <v>Basic USG, Tiffa, Guided Procedures, Basic CT,  X Ray, Plain Radiology, Mammography, IVP, RGU, MCGU, Barium Swallow, Barium Anema, HSG</v>
          </cell>
          <cell r="O906" t="str">
            <v>Radiology</v>
          </cell>
          <cell r="P906" t="str">
            <v>Consultant Radiologist</v>
          </cell>
          <cell r="R906">
            <v>45147</v>
          </cell>
          <cell r="S906">
            <v>45147</v>
          </cell>
          <cell r="T906">
            <v>45877</v>
          </cell>
          <cell r="U906">
            <v>45878</v>
          </cell>
          <cell r="W906" t="str">
            <v>Chelmeda Anand Rao Institute of Medical Sciences, Karimnagar</v>
          </cell>
          <cell r="Y906" t="str">
            <v>SVS Medical College and Hospital, Mahabubnagar</v>
          </cell>
          <cell r="AB906" t="str">
            <v>TSMC/FMR/03666</v>
          </cell>
          <cell r="AC906" t="str">
            <v>Telangana State Medical Council</v>
          </cell>
          <cell r="AF906">
            <v>9866115005</v>
          </cell>
          <cell r="AG906" t="str">
            <v>vyshnavi972@gmail.com</v>
          </cell>
          <cell r="AH906" t="str">
            <v>Kotak Mahindra Bank</v>
          </cell>
          <cell r="AI906">
            <v>5648249224</v>
          </cell>
          <cell r="AJ906" t="str">
            <v>KKBK0007494</v>
          </cell>
          <cell r="AK906" t="str">
            <v>CABPV7310R</v>
          </cell>
          <cell r="AL906">
            <v>762802343217</v>
          </cell>
          <cell r="AN906">
            <v>45322</v>
          </cell>
          <cell r="AO906">
            <v>45308</v>
          </cell>
          <cell r="AQ906" t="str">
            <v>Villa no 13,Bhavya Alluri Meadows, Whitefields road,Kondapur,Hyderabad 500084</v>
          </cell>
          <cell r="AU906">
            <v>29</v>
          </cell>
          <cell r="AV906">
            <v>0.70833333333333337</v>
          </cell>
          <cell r="AX906" t="str">
            <v>Female</v>
          </cell>
          <cell r="AY906" t="str">
            <v>Part Time</v>
          </cell>
          <cell r="AZ906">
            <v>4</v>
          </cell>
          <cell r="BA906" t="str">
            <v>Kukatpally Cluster</v>
          </cell>
        </row>
        <row r="907">
          <cell r="M907" t="str">
            <v>Kurnool - 43</v>
          </cell>
          <cell r="O907" t="str">
            <v>Pathology</v>
          </cell>
          <cell r="P907" t="str">
            <v>Consultant Pathologist</v>
          </cell>
          <cell r="R907">
            <v>45148</v>
          </cell>
          <cell r="S907">
            <v>45148</v>
          </cell>
          <cell r="T907">
            <v>45878</v>
          </cell>
          <cell r="U907">
            <v>45879</v>
          </cell>
          <cell r="W907" t="str">
            <v>Kurnool Medical College, Kurnool</v>
          </cell>
          <cell r="Y907" t="str">
            <v>SVS Medical College</v>
          </cell>
          <cell r="AB907">
            <v>57635</v>
          </cell>
          <cell r="AC907" t="str">
            <v>Andhra Pradesh Medical Council</v>
          </cell>
          <cell r="AF907" t="str">
            <v>8019468290, 9642843858</v>
          </cell>
          <cell r="AG907" t="str">
            <v>rajibonala15@gmail.com</v>
          </cell>
          <cell r="AH907" t="str">
            <v>SBI Bank</v>
          </cell>
          <cell r="AI907" t="str">
            <v>30537953121</v>
          </cell>
          <cell r="AJ907" t="str">
            <v>SBIN0020871</v>
          </cell>
          <cell r="AK907" t="str">
            <v>AULPB2463K</v>
          </cell>
          <cell r="AL907">
            <v>232909720686</v>
          </cell>
          <cell r="AN907">
            <v>45239</v>
          </cell>
          <cell r="AQ907" t="str">
            <v>D.No 87-1364-24, Brundavan Nagar, Kurnool, AP – 518002</v>
          </cell>
          <cell r="AS907" t="str">
            <v>D.No 87-1364-24, Brundavan Nagar, Kurnool, AP – 518002</v>
          </cell>
          <cell r="AU907" t="e">
            <v>#N/A</v>
          </cell>
          <cell r="AX907" t="str">
            <v>Female</v>
          </cell>
          <cell r="AY907" t="str">
            <v>Part Time</v>
          </cell>
          <cell r="AZ907">
            <v>6</v>
          </cell>
          <cell r="BA907" t="str">
            <v>Kurnool Cluster</v>
          </cell>
        </row>
        <row r="908">
          <cell r="M908" t="str">
            <v>Tirupathi-333</v>
          </cell>
          <cell r="N908" t="str">
            <v>Basic USG, Tiffa, Guided Procedure, Doppler, Basic CT, All Angios, Basic MRI, X Ray, Radiography, Mammography, IVP, RGU, MCUG, Barium Swallow, Barium Anema, HSG, Virtual endoscopy , CT perfusion, CT enteroclysis, Cardiac MR.</v>
          </cell>
          <cell r="O908" t="str">
            <v>Radiology</v>
          </cell>
          <cell r="P908" t="str">
            <v>Consultant Radiologist</v>
          </cell>
          <cell r="Q908" t="str">
            <v>Dr. Krishna Mohan Pottala</v>
          </cell>
          <cell r="R908">
            <v>44998</v>
          </cell>
          <cell r="S908">
            <v>45108</v>
          </cell>
          <cell r="T908">
            <v>45838</v>
          </cell>
          <cell r="U908">
            <v>45839</v>
          </cell>
          <cell r="V908">
            <v>2004</v>
          </cell>
          <cell r="W908" t="str">
            <v>Dr. NTR University of Health Sciences - 2004</v>
          </cell>
          <cell r="X908">
            <v>2011</v>
          </cell>
          <cell r="Y908" t="str">
            <v>Amrita Institute Of Medicine Sciences, Kochi - 2011</v>
          </cell>
          <cell r="Z908" t="str">
            <v>NA</v>
          </cell>
          <cell r="AA908" t="str">
            <v>MBBS, DNB</v>
          </cell>
          <cell r="AB908">
            <v>53562</v>
          </cell>
          <cell r="AC908" t="str">
            <v>Andhra Pradesh Medical Council</v>
          </cell>
          <cell r="AD908">
            <v>45392</v>
          </cell>
          <cell r="AE908">
            <v>47217</v>
          </cell>
          <cell r="AF908">
            <v>9486045559</v>
          </cell>
          <cell r="AG908" t="str">
            <v>prem_paladugu@yahoo.co.in</v>
          </cell>
          <cell r="AH908" t="str">
            <v>SBI Bank</v>
          </cell>
          <cell r="AI908">
            <v>20076067275</v>
          </cell>
          <cell r="AJ908" t="str">
            <v>SBIN0018794</v>
          </cell>
          <cell r="AK908" t="str">
            <v>AZWPP3185C</v>
          </cell>
          <cell r="AL908" t="str">
            <v>499554984463</v>
          </cell>
          <cell r="AM908" t="str">
            <v>M Naidu Paladugu</v>
          </cell>
          <cell r="AN908">
            <v>45556</v>
          </cell>
          <cell r="AO908">
            <v>45476</v>
          </cell>
          <cell r="AP908" t="str">
            <v>Moving Abroad (UAE)</v>
          </cell>
          <cell r="AU908">
            <v>0.54166666666666663</v>
          </cell>
          <cell r="AV908">
            <v>0.875</v>
          </cell>
          <cell r="AW908">
            <v>29381</v>
          </cell>
          <cell r="AX908" t="str">
            <v>Male</v>
          </cell>
          <cell r="AY908" t="str">
            <v>Full Time</v>
          </cell>
          <cell r="AZ908">
            <v>8</v>
          </cell>
          <cell r="BA908" t="str">
            <v>Tirupati Cluster</v>
          </cell>
        </row>
        <row r="909">
          <cell r="M909" t="str">
            <v>Film Nagar - 38</v>
          </cell>
          <cell r="N909" t="str">
            <v>NA</v>
          </cell>
          <cell r="O909" t="str">
            <v>Physician Services</v>
          </cell>
          <cell r="P909" t="str">
            <v>Consultant Physician</v>
          </cell>
          <cell r="Q909" t="str">
            <v>NA</v>
          </cell>
          <cell r="R909">
            <v>45558</v>
          </cell>
          <cell r="S909">
            <v>45558</v>
          </cell>
          <cell r="T909">
            <v>46288</v>
          </cell>
          <cell r="U909">
            <v>46287</v>
          </cell>
          <cell r="V909">
            <v>2014</v>
          </cell>
          <cell r="W909" t="str">
            <v>JJM Medical College</v>
          </cell>
          <cell r="X909" t="str">
            <v>NA</v>
          </cell>
          <cell r="Y909" t="str">
            <v>NA</v>
          </cell>
          <cell r="Z909" t="str">
            <v>NA</v>
          </cell>
          <cell r="AA909" t="str">
            <v>MBBS</v>
          </cell>
          <cell r="AB909" t="str">
            <v>TSMC/FMR/22164</v>
          </cell>
          <cell r="AC909" t="str">
            <v>Telangana State Medical Council</v>
          </cell>
          <cell r="AD909">
            <v>44832</v>
          </cell>
          <cell r="AE909">
            <v>46657</v>
          </cell>
          <cell r="AF909">
            <v>9663210666</v>
          </cell>
          <cell r="AG909" t="str">
            <v>tajammul99@gmail.com</v>
          </cell>
          <cell r="AK909" t="str">
            <v>AYTPA1973F</v>
          </cell>
          <cell r="AL909">
            <v>748081861277</v>
          </cell>
          <cell r="AM909" t="str">
            <v>Syed Yusuf Ali Patel</v>
          </cell>
          <cell r="AN909">
            <v>45558</v>
          </cell>
          <cell r="AO909" t="str">
            <v>NA</v>
          </cell>
          <cell r="AP909" t="str">
            <v>Personal Reasons</v>
          </cell>
          <cell r="AQ909" t="str">
            <v>8-1-346/49/D, Greenwoods Sabza Colony, Tolichowki, Golconda, Hyderabad, Telangana-500008.</v>
          </cell>
          <cell r="AS909">
            <v>33</v>
          </cell>
          <cell r="AW909">
            <v>33569</v>
          </cell>
          <cell r="AX909" t="str">
            <v>Male</v>
          </cell>
          <cell r="AY909" t="str">
            <v>Part Time</v>
          </cell>
          <cell r="AZ909">
            <v>1</v>
          </cell>
          <cell r="BA909" t="str">
            <v>Himayathnagar Cluster</v>
          </cell>
        </row>
        <row r="910">
          <cell r="M910" t="str">
            <v>Manikonda - 59</v>
          </cell>
          <cell r="N910" t="str">
            <v>Basic USG, Tiffa, Fetal Echo, MSK, Guided Procedures, Basic CT, All Angios, Basic MRI, X Ray, Plain Radiology, Mammography, IVP, RGU, MCGU, Barium Swallow, Barium Anema, HSG</v>
          </cell>
          <cell r="O910" t="str">
            <v>Radiology</v>
          </cell>
          <cell r="P910" t="str">
            <v>Consultant Radiologist</v>
          </cell>
          <cell r="Q910" t="str">
            <v>Dr. Krishna Mohan Pottala</v>
          </cell>
          <cell r="R910">
            <v>45141</v>
          </cell>
          <cell r="S910">
            <v>45141</v>
          </cell>
          <cell r="T910">
            <v>45871</v>
          </cell>
          <cell r="U910">
            <v>45872</v>
          </cell>
          <cell r="V910">
            <v>2012</v>
          </cell>
          <cell r="W910" t="str">
            <v xml:space="preserve">Vydehi Institute of Medical Science and Research Centre, Bangalore, Karnataka </v>
          </cell>
          <cell r="X910">
            <v>2019</v>
          </cell>
          <cell r="Y910" t="str">
            <v>Bhaskara Medical College, Rangareddy</v>
          </cell>
          <cell r="Z910" t="str">
            <v>N/A</v>
          </cell>
          <cell r="AA910" t="str">
            <v>MBBS, MD</v>
          </cell>
          <cell r="AB910" t="str">
            <v>TSMC/FMR/00526</v>
          </cell>
          <cell r="AC910" t="str">
            <v>Telangana State Medical Council</v>
          </cell>
          <cell r="AD910">
            <v>43668</v>
          </cell>
          <cell r="AE910">
            <v>45494</v>
          </cell>
          <cell r="AF910">
            <v>7801051929</v>
          </cell>
          <cell r="AG910" t="str">
            <v>satyavinuthna11@gmail.com</v>
          </cell>
          <cell r="AH910" t="str">
            <v>HDFC Bank</v>
          </cell>
          <cell r="AI910">
            <v>50100374384590</v>
          </cell>
          <cell r="AJ910" t="str">
            <v>HDFC0005265</v>
          </cell>
          <cell r="AK910" t="str">
            <v>BQHPB7867E</v>
          </cell>
          <cell r="AL910">
            <v>466751741323</v>
          </cell>
          <cell r="AN910">
            <v>45563</v>
          </cell>
          <cell r="AO910" t="str">
            <v>NA</v>
          </cell>
          <cell r="AP910" t="str">
            <v>Personal Reasons</v>
          </cell>
          <cell r="AQ910" t="str">
            <v xml:space="preserve">Villa No- 8A, Pearl Village, Kondapur, Near Chirec School, Hyderabad
</v>
          </cell>
          <cell r="AU910">
            <v>0.35416666666666669</v>
          </cell>
          <cell r="AV910">
            <v>0.60416666666666663</v>
          </cell>
          <cell r="AW910">
            <v>32183</v>
          </cell>
          <cell r="AX910" t="str">
            <v>Female</v>
          </cell>
          <cell r="AY910" t="str">
            <v>Part Time</v>
          </cell>
          <cell r="AZ910">
            <v>6</v>
          </cell>
          <cell r="BA910" t="str">
            <v>Tolichowki Cluster</v>
          </cell>
        </row>
        <row r="911">
          <cell r="M911" t="str">
            <v>Tolichowki - 23</v>
          </cell>
          <cell r="O911" t="str">
            <v>Pathology</v>
          </cell>
          <cell r="P911" t="str">
            <v>Consultant Pathologist</v>
          </cell>
          <cell r="R911">
            <v>45154</v>
          </cell>
          <cell r="S911">
            <v>45154</v>
          </cell>
          <cell r="T911">
            <v>45884</v>
          </cell>
          <cell r="U911">
            <v>45885</v>
          </cell>
          <cell r="W911" t="str">
            <v>Deccan College of Medical Sciences</v>
          </cell>
          <cell r="Y911" t="str">
            <v>Osmania Medical College</v>
          </cell>
          <cell r="AB911">
            <v>72959</v>
          </cell>
          <cell r="AC911" t="str">
            <v>Telangana State Medical Council</v>
          </cell>
          <cell r="AF911">
            <v>7702439556</v>
          </cell>
          <cell r="AG911" t="str">
            <v>afshanjabeen30887@rediff.com</v>
          </cell>
          <cell r="AH911" t="str">
            <v>AXIS BANK</v>
          </cell>
          <cell r="AI911" t="str">
            <v>917010030584826</v>
          </cell>
          <cell r="AJ911" t="str">
            <v>UTIB0001628</v>
          </cell>
          <cell r="AK911" t="str">
            <v>ATCPJ0898C</v>
          </cell>
          <cell r="AL911">
            <v>875209074957</v>
          </cell>
          <cell r="AN911">
            <v>45154</v>
          </cell>
          <cell r="AQ911" t="str">
            <v>12-2-204, Murad Nagar, Hyderabad, Telangana</v>
          </cell>
          <cell r="AS911" t="str">
            <v>12-2-204, Murad Nagar, Hyderabad, Telangana</v>
          </cell>
          <cell r="AX911" t="str">
            <v>Female</v>
          </cell>
          <cell r="AY911" t="str">
            <v>Part Time</v>
          </cell>
          <cell r="AZ911">
            <v>2</v>
          </cell>
          <cell r="BA911" t="str">
            <v>Tolichowki Cluster</v>
          </cell>
        </row>
        <row r="912">
          <cell r="M912" t="str">
            <v>Karmanghat - 68</v>
          </cell>
          <cell r="N912" t="str">
            <v>Basic USG, Tiffa, Guided Procedure, Basic CT, All Angios, Basic MRI, X Ray, Plain Radiography, IVP, RGU, MCUG, Barium Swallow, Barium Anema, HSG</v>
          </cell>
          <cell r="O912" t="str">
            <v>Radiology</v>
          </cell>
          <cell r="P912" t="str">
            <v>Consultant Radiologist</v>
          </cell>
          <cell r="Q912" t="str">
            <v>Dr. Krishna Mohan Pottala</v>
          </cell>
          <cell r="R912">
            <v>45154</v>
          </cell>
          <cell r="S912">
            <v>45154</v>
          </cell>
          <cell r="T912">
            <v>45884</v>
          </cell>
          <cell r="U912">
            <v>45885</v>
          </cell>
          <cell r="W912" t="str">
            <v>Dr. NTR University of Health Sciences, Vijayawada</v>
          </cell>
          <cell r="Y912" t="str">
            <v>Narayana Medical College, Nellore</v>
          </cell>
          <cell r="AB912" t="str">
            <v>APMC/FMR/86708</v>
          </cell>
          <cell r="AC912" t="str">
            <v>Telangana State Medical Council</v>
          </cell>
          <cell r="AF912">
            <v>8008416988</v>
          </cell>
          <cell r="AG912" t="str">
            <v>vamshikiranmedico@gmail.com</v>
          </cell>
          <cell r="AH912" t="str">
            <v>DBS Bank</v>
          </cell>
          <cell r="AI912" t="str">
            <v>8971010000000620</v>
          </cell>
          <cell r="AJ912" t="str">
            <v>DBSS0IN0971</v>
          </cell>
          <cell r="AK912" t="str">
            <v>AZBPD6972G</v>
          </cell>
          <cell r="AL912">
            <v>282698079382</v>
          </cell>
          <cell r="AN912">
            <v>45251</v>
          </cell>
          <cell r="AQ912" t="str">
            <v>Plot: 24, Sri satya sai Homes, Chandrapuri colony ROAD No: 4, LB Nagar, RangaReddy - 500074</v>
          </cell>
          <cell r="AS912" t="str">
            <v>Plot: 24, Sri satya sai Homes, Chandrapuri colony ROAD No: 4, LB Nagar, RangaReddy - 500074</v>
          </cell>
          <cell r="AU912" t="e">
            <v>#N/A</v>
          </cell>
          <cell r="AX912" t="str">
            <v>Male</v>
          </cell>
          <cell r="AY912" t="str">
            <v>Part Time</v>
          </cell>
          <cell r="AZ912">
            <v>2</v>
          </cell>
          <cell r="BA912" t="str">
            <v>Santosh Nagar Cluster</v>
          </cell>
        </row>
        <row r="913">
          <cell r="M913" t="str">
            <v>Vanasthalipuram - 33</v>
          </cell>
          <cell r="N913" t="str">
            <v>Basic USG, Tiffa, Guided Procedure, Basic CT, All Angios, Basic MRI, X Ray, Plain Radiography, IVP, RGU, MCUG, Barium Swallow, Barium Anema, HSG</v>
          </cell>
          <cell r="O913" t="str">
            <v>Radiology</v>
          </cell>
          <cell r="P913" t="str">
            <v>Consultant Radiologist</v>
          </cell>
          <cell r="Q913" t="str">
            <v>Dr. Krishna Mohan Pottala</v>
          </cell>
          <cell r="R913">
            <v>45154</v>
          </cell>
          <cell r="S913">
            <v>45154</v>
          </cell>
          <cell r="T913">
            <v>45884</v>
          </cell>
          <cell r="U913">
            <v>45885</v>
          </cell>
          <cell r="W913" t="str">
            <v>Bhaskar Medical College, Moinabad</v>
          </cell>
          <cell r="Y913" t="str">
            <v>Bhaskar Medical College, Moinabad</v>
          </cell>
          <cell r="AB913" t="str">
            <v>TSMC/FMR/02872</v>
          </cell>
          <cell r="AC913" t="str">
            <v>Telangana State Medical Council</v>
          </cell>
          <cell r="AF913">
            <v>7680972978</v>
          </cell>
          <cell r="AG913" t="str">
            <v>drdheeraj93@gmail.com</v>
          </cell>
          <cell r="AH913" t="str">
            <v>AXIS BANK</v>
          </cell>
          <cell r="AI913" t="str">
            <v>921010017974142</v>
          </cell>
          <cell r="AJ913" t="str">
            <v>UTIB0004067</v>
          </cell>
          <cell r="AK913" t="str">
            <v>AXVPN4522E</v>
          </cell>
          <cell r="AL913">
            <v>400745629353</v>
          </cell>
          <cell r="AN913">
            <v>45260</v>
          </cell>
          <cell r="AQ913" t="str">
            <v>H. No 11-7-245, P No 47-A, Huda colony, Road no 5,Saroornagar, Hyderabad -500035</v>
          </cell>
          <cell r="AS913" t="str">
            <v>H. No 11-7-245, P No 47-A, Huda colony, Road no 5,Saroornagar, Hyderabad -500035</v>
          </cell>
          <cell r="AU913" t="e">
            <v>#N/A</v>
          </cell>
          <cell r="AX913" t="str">
            <v>Male</v>
          </cell>
          <cell r="AY913" t="str">
            <v>Part Time</v>
          </cell>
          <cell r="AZ913">
            <v>3.5</v>
          </cell>
          <cell r="BA913" t="str">
            <v>Dilshuknagar Cluster</v>
          </cell>
        </row>
        <row r="914">
          <cell r="M914" t="str">
            <v>Santosh Nagar-15</v>
          </cell>
          <cell r="N914" t="str">
            <v>USG, Tiffa,  MSK, IVP, RGU, MCGU, Barium Swallow, Barium Enemma, HSG, X Ray,  Mamography, Basic CT</v>
          </cell>
          <cell r="O914" t="str">
            <v>Radiology</v>
          </cell>
          <cell r="P914" t="str">
            <v>Consultant Radiologist</v>
          </cell>
          <cell r="Q914" t="str">
            <v>Dr. Krishna Mohan Pottala</v>
          </cell>
          <cell r="R914">
            <v>44477</v>
          </cell>
          <cell r="S914">
            <v>45200</v>
          </cell>
          <cell r="T914">
            <v>45539</v>
          </cell>
          <cell r="U914">
            <v>45540</v>
          </cell>
          <cell r="V914">
            <v>2011</v>
          </cell>
          <cell r="W914" t="str">
            <v>Osmania Medical College</v>
          </cell>
          <cell r="X914">
            <v>2019</v>
          </cell>
          <cell r="Y914" t="str">
            <v>Asram Medical College</v>
          </cell>
          <cell r="Z914" t="str">
            <v>NA</v>
          </cell>
          <cell r="AA914" t="str">
            <v>MBBS, DMRD - Radio Diagnosis</v>
          </cell>
          <cell r="AB914">
            <v>72801</v>
          </cell>
          <cell r="AC914" t="str">
            <v>Telangana State Medical Council</v>
          </cell>
          <cell r="AD914">
            <v>43696</v>
          </cell>
          <cell r="AE914">
            <v>45522</v>
          </cell>
          <cell r="AF914">
            <v>9000528484</v>
          </cell>
          <cell r="AG914" t="str">
            <v>drsravanthi.girimaji@gmail.com</v>
          </cell>
          <cell r="AH914" t="str">
            <v>HDFC Bank</v>
          </cell>
          <cell r="AI914" t="str">
            <v>50100297212867</v>
          </cell>
          <cell r="AJ914" t="str">
            <v>HDFC0000418</v>
          </cell>
          <cell r="AK914" t="str">
            <v>BRUPG5398D</v>
          </cell>
          <cell r="AL914" t="str">
            <v>675383823148</v>
          </cell>
          <cell r="AM914" t="str">
            <v>Damodar Girimaji</v>
          </cell>
          <cell r="AN914">
            <v>45565</v>
          </cell>
          <cell r="AO914">
            <v>45505</v>
          </cell>
          <cell r="AP914" t="str">
            <v>Personal Reasons</v>
          </cell>
          <cell r="AU914">
            <v>0.41666666666666669</v>
          </cell>
          <cell r="AV914">
            <v>0.66666666666666663</v>
          </cell>
          <cell r="AW914">
            <v>31463</v>
          </cell>
          <cell r="AX914" t="str">
            <v>Female</v>
          </cell>
          <cell r="AY914" t="str">
            <v>Full Time</v>
          </cell>
          <cell r="AZ914">
            <v>6</v>
          </cell>
          <cell r="BA914" t="str">
            <v>Santosh Nagar Cluster</v>
          </cell>
        </row>
        <row r="915">
          <cell r="M915" t="str">
            <v>Nandyal - 48</v>
          </cell>
          <cell r="N915" t="str">
            <v>Basic USG, Tiffa, MSK, Penile Doppler/TRUS,  Guided Procedures, Basic CT, All Angios,Virtual Endoscopy, CT Perfusion, CT Enteroclysis, Guided Procedures, Basic MRI,Fetal MR, MR Prostate, MR Neurography, X Ray, Plain Radiology, Mammography, IVP, RGU, MCGU, Barium Swallow, Barium Anema, HSG</v>
          </cell>
          <cell r="O915" t="str">
            <v>Radiology</v>
          </cell>
          <cell r="P915" t="str">
            <v>Consultant Radiologist</v>
          </cell>
          <cell r="Q915" t="str">
            <v>Dr. Krishna Mohan Pottala</v>
          </cell>
          <cell r="R915">
            <v>45159</v>
          </cell>
          <cell r="S915">
            <v>45159</v>
          </cell>
          <cell r="T915">
            <v>45889</v>
          </cell>
          <cell r="U915">
            <v>45890</v>
          </cell>
          <cell r="W915" t="str">
            <v>Mamata medical college khammam</v>
          </cell>
          <cell r="Y915" t="str">
            <v>KLE JNMC BELGAUM</v>
          </cell>
          <cell r="AB915">
            <v>51336</v>
          </cell>
          <cell r="AC915" t="str">
            <v>Andhra Pradesh Medical Council</v>
          </cell>
          <cell r="AF915">
            <v>9573673767</v>
          </cell>
          <cell r="AG915" t="str">
            <v>royalvas@gmail.com</v>
          </cell>
          <cell r="AH915" t="str">
            <v>SBI Bank</v>
          </cell>
          <cell r="AI915">
            <v>32600170393</v>
          </cell>
          <cell r="AJ915" t="str">
            <v>SBIN0021984</v>
          </cell>
          <cell r="AK915" t="str">
            <v>BBEPR0293J</v>
          </cell>
          <cell r="AL915">
            <v>545215836548</v>
          </cell>
          <cell r="AN915">
            <v>45159</v>
          </cell>
          <cell r="AQ915" t="str">
            <v>H No - 25-570, Srinivasa Nagar, Nandyal, Kurnool, Andhra Pradesh, 518501</v>
          </cell>
          <cell r="AS915" t="str">
            <v>H No - 25-570, Srinivasa Nagar, Nandyal, Kurnool, Andhra Pradesh, 518501</v>
          </cell>
          <cell r="AX915" t="str">
            <v>Male</v>
          </cell>
          <cell r="AY915" t="str">
            <v>Full Time</v>
          </cell>
          <cell r="AZ915">
            <v>8</v>
          </cell>
          <cell r="BA915" t="str">
            <v>Kurnool Cluster</v>
          </cell>
        </row>
        <row r="916">
          <cell r="M916" t="str">
            <v>Vizag - 37</v>
          </cell>
          <cell r="O916" t="str">
            <v>Physician Services</v>
          </cell>
          <cell r="P916" t="str">
            <v>Consultant Physician</v>
          </cell>
          <cell r="R916">
            <v>45159</v>
          </cell>
          <cell r="S916">
            <v>45159</v>
          </cell>
          <cell r="T916">
            <v>45889</v>
          </cell>
          <cell r="U916">
            <v>45890</v>
          </cell>
          <cell r="W916" t="str">
            <v>Andhra Medical College</v>
          </cell>
          <cell r="Y916" t="str">
            <v>Andhra Medical College</v>
          </cell>
          <cell r="AB916" t="str">
            <v>APMC/FMR/108289</v>
          </cell>
          <cell r="AC916" t="str">
            <v>Andhra Pradesh Medical Council</v>
          </cell>
          <cell r="AF916">
            <v>7675090297</v>
          </cell>
          <cell r="AG916" t="str">
            <v>monunandu52@gmail.com</v>
          </cell>
          <cell r="AH916" t="str">
            <v>Union Bank of India</v>
          </cell>
          <cell r="AI916">
            <v>103010100052675</v>
          </cell>
          <cell r="AJ916" t="str">
            <v>UBIN0810304</v>
          </cell>
          <cell r="AK916" t="str">
            <v>CEJPB9202E</v>
          </cell>
          <cell r="AL916">
            <v>758300700093</v>
          </cell>
          <cell r="AN916">
            <v>45159</v>
          </cell>
          <cell r="AQ916" t="str">
            <v>Hno-24-6-6/1, Vinayakanagar, Jaggu centre, Gajuwaka, Vuda colony, Pedagantyada, Visakhapatnam, Andhrapradesh - 530044</v>
          </cell>
          <cell r="AS916" t="str">
            <v>Hno-24-6-6/1, Vinayakanagar, Jaggu centre, Gajuwaka, Vuda colony, Pedagantyada, Visakhapatnam, Andhrapradesh - 530044</v>
          </cell>
          <cell r="AX916" t="str">
            <v>Female</v>
          </cell>
          <cell r="AY916" t="str">
            <v>Part Time</v>
          </cell>
          <cell r="AZ916">
            <v>1</v>
          </cell>
          <cell r="BA916" t="str">
            <v>Visakhapatnam Cluster</v>
          </cell>
        </row>
        <row r="917">
          <cell r="M917" t="str">
            <v>Attapur - 34</v>
          </cell>
          <cell r="N917" t="str">
            <v>Basic USG, Tiffa, MSK, Penile Doppler/TRUS, X Ray, Plain Radiology, IVP, RGU, MCGU, Barium Swallow, Barium Anema, HSG</v>
          </cell>
          <cell r="O917" t="str">
            <v>Radiology</v>
          </cell>
          <cell r="P917" t="str">
            <v>Consultant Radiologist</v>
          </cell>
          <cell r="Q917" t="str">
            <v>Dr.Krishna Mohan</v>
          </cell>
          <cell r="R917">
            <v>45161</v>
          </cell>
          <cell r="S917">
            <v>45161</v>
          </cell>
          <cell r="T917">
            <v>45891</v>
          </cell>
          <cell r="U917">
            <v>45892</v>
          </cell>
          <cell r="V917">
            <v>2016</v>
          </cell>
          <cell r="W917" t="str">
            <v>Shadan College of Medical science, Hyderabad</v>
          </cell>
          <cell r="X917">
            <v>2022</v>
          </cell>
          <cell r="Y917" t="str">
            <v>Shadan College of Medical science, Hyderabad</v>
          </cell>
          <cell r="Z917" t="str">
            <v>NA</v>
          </cell>
          <cell r="AA917" t="str">
            <v>MBBS,MD</v>
          </cell>
          <cell r="AB917" t="str">
            <v>TSMC/FMR/01912</v>
          </cell>
          <cell r="AC917" t="str">
            <v>Telangana State Medical Council</v>
          </cell>
          <cell r="AD917">
            <v>45126</v>
          </cell>
          <cell r="AE917">
            <v>46952</v>
          </cell>
          <cell r="AF917">
            <v>8897266109</v>
          </cell>
          <cell r="AG917" t="str">
            <v>roohihafsa24@gmail.com</v>
          </cell>
          <cell r="AH917" t="str">
            <v>HDFC Bank</v>
          </cell>
          <cell r="AI917">
            <v>50100188313896</v>
          </cell>
          <cell r="AJ917" t="str">
            <v>HDFC0009395</v>
          </cell>
          <cell r="AK917" t="str">
            <v>BJCPR7824P</v>
          </cell>
          <cell r="AL917">
            <v>687545678276</v>
          </cell>
          <cell r="AN917">
            <v>45363</v>
          </cell>
          <cell r="AO917">
            <v>45303</v>
          </cell>
          <cell r="AQ917" t="str">
            <v>401, Legno Apartment, Floor Mill, Indra Nagar, Nanal Nagar, Tolichowki,  Hyderabad, - 500008</v>
          </cell>
          <cell r="AS917" t="str">
            <v>401, Legno Apartment, Floor Mill, Indra Nagar, Nanal Nagar, Tolichowki,  Hyderabad, - 500008</v>
          </cell>
          <cell r="AU917">
            <v>0.375</v>
          </cell>
          <cell r="AV917">
            <v>0.70833333333333337</v>
          </cell>
          <cell r="AW917">
            <v>33962</v>
          </cell>
          <cell r="AX917" t="str">
            <v>Female</v>
          </cell>
          <cell r="AY917" t="str">
            <v>Full Time</v>
          </cell>
          <cell r="AZ917">
            <v>8</v>
          </cell>
          <cell r="BA917" t="str">
            <v>Tolichowki Cluster</v>
          </cell>
        </row>
        <row r="918">
          <cell r="M918" t="str">
            <v>Habsiguda - 17</v>
          </cell>
          <cell r="N918" t="str">
            <v>Biochemistry</v>
          </cell>
          <cell r="O918" t="str">
            <v>Biochemistry</v>
          </cell>
          <cell r="P918" t="str">
            <v>Consultant Biochemist</v>
          </cell>
          <cell r="Q918" t="str">
            <v>Dr P T S Shashikant</v>
          </cell>
          <cell r="R918">
            <v>44777</v>
          </cell>
          <cell r="S918">
            <v>44777</v>
          </cell>
          <cell r="T918">
            <v>45507</v>
          </cell>
          <cell r="U918">
            <v>45508</v>
          </cell>
          <cell r="V918">
            <v>1994</v>
          </cell>
          <cell r="W918" t="str">
            <v>Deccan College of Medical Sciences [NTR University of Medical Sciences]</v>
          </cell>
          <cell r="X918">
            <v>2013</v>
          </cell>
          <cell r="Y918" t="str">
            <v xml:space="preserve">NTR University of Health Sciences </v>
          </cell>
          <cell r="Z918" t="str">
            <v>NA</v>
          </cell>
          <cell r="AA918" t="str">
            <v>MBBS, MD</v>
          </cell>
          <cell r="AB918">
            <v>39915</v>
          </cell>
          <cell r="AC918" t="str">
            <v>Telangana State Medical Council</v>
          </cell>
          <cell r="AD918">
            <v>44671</v>
          </cell>
          <cell r="AE918">
            <v>46496</v>
          </cell>
          <cell r="AF918">
            <v>9908875380</v>
          </cell>
          <cell r="AG918" t="str">
            <v>ayeshatahseenanwari@gmail.com</v>
          </cell>
          <cell r="AH918" t="str">
            <v>HDFC Bank</v>
          </cell>
          <cell r="AI918" t="str">
            <v>50100477051825</v>
          </cell>
          <cell r="AJ918" t="str">
            <v>HDFC0009817</v>
          </cell>
          <cell r="AK918" t="str">
            <v>AVGPA2084H</v>
          </cell>
          <cell r="AL918">
            <v>339695349332</v>
          </cell>
          <cell r="AM918" t="str">
            <v>Mohd Asman Siddique</v>
          </cell>
          <cell r="AN918">
            <v>45565</v>
          </cell>
          <cell r="AO918">
            <v>45510</v>
          </cell>
          <cell r="AP918" t="str">
            <v>Separation Notice</v>
          </cell>
          <cell r="AU918">
            <v>0.33333333333333331</v>
          </cell>
          <cell r="AV918">
            <v>0.66666666666666663</v>
          </cell>
          <cell r="AW918">
            <v>25227</v>
          </cell>
          <cell r="AX918" t="str">
            <v>Female</v>
          </cell>
          <cell r="AY918" t="str">
            <v>Full Time</v>
          </cell>
          <cell r="AZ918">
            <v>8</v>
          </cell>
          <cell r="BA918" t="str">
            <v>A.S. Rao Nagar Cluster</v>
          </cell>
        </row>
        <row r="919">
          <cell r="M919" t="str">
            <v>Botanical Garden-74</v>
          </cell>
          <cell r="N919" t="str">
            <v>Basic USG, Tiffa, Guided Procedures, Basic CT, Basic MRI, X Ray, Plain Radiology, Mammography, IVP, RGU, MCGU, Barium Swallow, Barium Anema, HSG</v>
          </cell>
          <cell r="O919" t="str">
            <v>Radiology</v>
          </cell>
          <cell r="P919" t="str">
            <v>Consultant Radiologist</v>
          </cell>
          <cell r="Q919" t="str">
            <v>Dr. Krishna Mohan Pottala</v>
          </cell>
          <cell r="R919">
            <v>45202</v>
          </cell>
          <cell r="S919">
            <v>45202</v>
          </cell>
          <cell r="T919">
            <v>45932</v>
          </cell>
          <cell r="U919">
            <v>45933</v>
          </cell>
          <cell r="V919">
            <v>2014</v>
          </cell>
          <cell r="W919" t="str">
            <v>Konaseema Institute of Medical Sciences, Amalapuram</v>
          </cell>
          <cell r="X919">
            <v>2022</v>
          </cell>
          <cell r="Y919" t="str">
            <v>Apollo Hospital, Jubilee Hills</v>
          </cell>
          <cell r="Z919" t="str">
            <v>NA</v>
          </cell>
          <cell r="AA919" t="str">
            <v>MBBS,MD</v>
          </cell>
          <cell r="AB919" t="str">
            <v>APMC/FMR/87073</v>
          </cell>
          <cell r="AC919" t="str">
            <v>Telangana State Medical Council</v>
          </cell>
          <cell r="AD919">
            <v>44907</v>
          </cell>
          <cell r="AE919">
            <v>46732</v>
          </cell>
          <cell r="AF919">
            <v>7702199779</v>
          </cell>
          <cell r="AG919" t="str">
            <v>sesparanto@gmail.com</v>
          </cell>
          <cell r="AH919" t="str">
            <v>HDFC Bank</v>
          </cell>
          <cell r="AI919" t="str">
            <v>50100288146102</v>
          </cell>
          <cell r="AJ919" t="str">
            <v>HDFC0000317</v>
          </cell>
          <cell r="AK919" t="str">
            <v>FSCPS7696F</v>
          </cell>
          <cell r="AL919">
            <v>723711409254</v>
          </cell>
          <cell r="AN919">
            <v>45565</v>
          </cell>
          <cell r="AO919">
            <v>45536</v>
          </cell>
          <cell r="AP919" t="str">
            <v>Fellowship</v>
          </cell>
          <cell r="AQ919" t="str">
            <v>B-92, Journalist colony, Opp: Sridhar reddy cardiac centre, Jubilee hills, Hyderabad, Telangana-500033</v>
          </cell>
          <cell r="AS919" t="str">
            <v>B-92, Journalist colony, Opp: Sridhar reddy cardiac centre, Jubilee hills, Hyderabad, Telangana-500033</v>
          </cell>
          <cell r="AU919">
            <v>0.35416666666666669</v>
          </cell>
          <cell r="AV919">
            <v>0.47916666666666669</v>
          </cell>
          <cell r="AW919">
            <v>32973</v>
          </cell>
          <cell r="AX919" t="str">
            <v>Male</v>
          </cell>
          <cell r="AY919" t="str">
            <v>Part Time</v>
          </cell>
          <cell r="AZ919">
            <v>3</v>
          </cell>
          <cell r="BA919" t="str">
            <v>Madhapur Cluster</v>
          </cell>
        </row>
        <row r="920">
          <cell r="M920" t="str">
            <v>Mahabubnagar-146</v>
          </cell>
          <cell r="N920" t="str">
            <v>Basic USG, Tiffa, Guided Procedures, Basic CT, X Ray, Plain Radiology, IVP, RGU, MCGU, Barium Swallow, Barium Anema, HSG</v>
          </cell>
          <cell r="O920" t="str">
            <v>Radiology</v>
          </cell>
          <cell r="P920" t="str">
            <v>Consultant Radiologist</v>
          </cell>
          <cell r="Q920" t="str">
            <v>Dr. Krishna Mohan Pottala</v>
          </cell>
          <cell r="R920">
            <v>45231</v>
          </cell>
          <cell r="S920">
            <v>45231</v>
          </cell>
          <cell r="T920">
            <v>45961</v>
          </cell>
          <cell r="U920">
            <v>45962</v>
          </cell>
          <cell r="V920">
            <v>2018</v>
          </cell>
          <cell r="W920" t="str">
            <v>Rajiv Gandhi Institute of Medical Sciences</v>
          </cell>
          <cell r="X920">
            <v>2023</v>
          </cell>
          <cell r="Y920" t="str">
            <v>Osmania Medical College and Hospital</v>
          </cell>
          <cell r="Z920" t="str">
            <v>NA</v>
          </cell>
          <cell r="AA920" t="str">
            <v>MBBS,MD</v>
          </cell>
          <cell r="AB920" t="str">
            <v>TSMC/FMR/05323</v>
          </cell>
          <cell r="AC920" t="str">
            <v>Telangana State Medical Council</v>
          </cell>
          <cell r="AD920">
            <v>45215</v>
          </cell>
          <cell r="AE920">
            <v>47041</v>
          </cell>
          <cell r="AF920" t="str">
            <v>8668879612, 8999290071</v>
          </cell>
          <cell r="AG920" t="str">
            <v>amatulkareemsumayafarooqui@gmail.com</v>
          </cell>
          <cell r="AH920" t="str">
            <v>SBI Bank</v>
          </cell>
          <cell r="AI920" t="str">
            <v>31122969498</v>
          </cell>
          <cell r="AJ920" t="str">
            <v>SBIN0008026</v>
          </cell>
          <cell r="AK920" t="str">
            <v>OXIPS0539F</v>
          </cell>
          <cell r="AL920">
            <v>856561281815</v>
          </cell>
          <cell r="AN920">
            <v>45565</v>
          </cell>
          <cell r="AO920">
            <v>45502</v>
          </cell>
          <cell r="AP920" t="str">
            <v>Pregnancy</v>
          </cell>
          <cell r="AQ920" t="str">
            <v>17-2-937, Yakutpura, Rain Bazar, Charminar, Yakutpura, Hyderabad, Telangana - 500023</v>
          </cell>
          <cell r="AS920" t="str">
            <v>17-2-937, Yakutpura, Rain Bazar, Charminar, Yakutpura, Hyderabad, Telangana - 500023</v>
          </cell>
          <cell r="AU920">
            <v>0.58333333333333337</v>
          </cell>
          <cell r="AV920">
            <v>0.66666666666666663</v>
          </cell>
          <cell r="AW920">
            <v>34383</v>
          </cell>
          <cell r="AX920" t="str">
            <v>Female</v>
          </cell>
          <cell r="AY920" t="str">
            <v>Part Time</v>
          </cell>
          <cell r="AZ920">
            <v>2</v>
          </cell>
          <cell r="BA920" t="str">
            <v>Tolichowki Cluster</v>
          </cell>
        </row>
        <row r="921">
          <cell r="M921" t="str">
            <v>Panjagutta-121</v>
          </cell>
          <cell r="N921" t="str">
            <v>Basic USG, Tiffa, MSK, Penile Doppler/TRUS,  Guided Procedures, Basic CT, X Ray, Plain Radiology, IVP, RGU, MCGU, Barium Swallow, Barium Anema, HSG</v>
          </cell>
          <cell r="O921" t="str">
            <v>Radiology</v>
          </cell>
          <cell r="P921" t="str">
            <v>Consultant Radiologist</v>
          </cell>
          <cell r="Q921" t="str">
            <v>Dr.Krishna Mohan</v>
          </cell>
          <cell r="R921">
            <v>45170</v>
          </cell>
          <cell r="S921">
            <v>45170</v>
          </cell>
          <cell r="T921">
            <v>45900</v>
          </cell>
          <cell r="U921">
            <v>45901</v>
          </cell>
          <cell r="V921">
            <v>2013</v>
          </cell>
          <cell r="W921" t="str">
            <v>Kempegowda institute of medical sciences and hospital, Bangalore</v>
          </cell>
          <cell r="X921">
            <v>2016</v>
          </cell>
          <cell r="Y921" t="str">
            <v>Mamata Medical College and Hospital, Khammam</v>
          </cell>
          <cell r="Z921" t="str">
            <v>NA</v>
          </cell>
          <cell r="AA921" t="str">
            <v>MBBS,MD</v>
          </cell>
          <cell r="AB921" t="str">
            <v>APMC/FMR/83770</v>
          </cell>
          <cell r="AC921" t="str">
            <v>Telangana State Medical Council</v>
          </cell>
          <cell r="AD921">
            <v>43451</v>
          </cell>
          <cell r="AE921">
            <v>45276</v>
          </cell>
          <cell r="AF921">
            <v>7661924775</v>
          </cell>
          <cell r="AG921" t="str">
            <v>Dasarinithinreddy@gmail.com</v>
          </cell>
          <cell r="AH921" t="str">
            <v>HDFC Bank</v>
          </cell>
          <cell r="AI921">
            <v>62310885398</v>
          </cell>
          <cell r="AJ921" t="str">
            <v>SBIN0020080</v>
          </cell>
          <cell r="AK921" t="str">
            <v>AVPPR9409J</v>
          </cell>
          <cell r="AL921">
            <v>908316470307</v>
          </cell>
          <cell r="AN921">
            <v>45342</v>
          </cell>
          <cell r="AO921">
            <v>45295</v>
          </cell>
          <cell r="AQ921" t="str">
            <v>H.No-62, Doveton Bazar, Bollaram, Alwal, Hyderabad-500010.</v>
          </cell>
          <cell r="AS921" t="str">
            <v>H.No-62, Doveton Bazar, Bollaram, Alwal, Hyderabad-500010.</v>
          </cell>
          <cell r="AU921">
            <v>0.35416666666666669</v>
          </cell>
          <cell r="AV921">
            <v>0.6875</v>
          </cell>
          <cell r="AW921">
            <v>32950</v>
          </cell>
          <cell r="AX921" t="str">
            <v>Male</v>
          </cell>
          <cell r="AY921" t="str">
            <v>Full Time</v>
          </cell>
          <cell r="AZ921">
            <v>8</v>
          </cell>
          <cell r="BA921" t="str">
            <v>Punjagutta Cluster</v>
          </cell>
        </row>
        <row r="922">
          <cell r="M922" t="str">
            <v>Himayatnagar</v>
          </cell>
          <cell r="N922" t="str">
            <v>N/A</v>
          </cell>
          <cell r="O922" t="str">
            <v>Pathology</v>
          </cell>
          <cell r="P922" t="str">
            <v>Consultant Pathologist</v>
          </cell>
          <cell r="Q922" t="str">
            <v>Dr. PTS. Shashikanth</v>
          </cell>
          <cell r="R922">
            <v>45170</v>
          </cell>
          <cell r="S922">
            <v>45170</v>
          </cell>
          <cell r="T922">
            <v>45900</v>
          </cell>
          <cell r="U922">
            <v>45901</v>
          </cell>
          <cell r="V922">
            <v>2017</v>
          </cell>
          <cell r="W922" t="str">
            <v>OSMANIA MEDICAL COLLEGE</v>
          </cell>
          <cell r="X922">
            <v>2022</v>
          </cell>
          <cell r="Y922" t="str">
            <v>NIZAM’S INSTITUTE OF MEDICAL SCIENCES</v>
          </cell>
          <cell r="Z922" t="str">
            <v>NA</v>
          </cell>
          <cell r="AA922" t="str">
            <v>MBBS,MD</v>
          </cell>
          <cell r="AB922" t="str">
            <v>TSMC/FMR/04330</v>
          </cell>
          <cell r="AC922" t="str">
            <v>Telangana State Medical Council</v>
          </cell>
          <cell r="AD922">
            <v>44884</v>
          </cell>
          <cell r="AE922">
            <v>46709</v>
          </cell>
          <cell r="AF922">
            <v>7331158459</v>
          </cell>
          <cell r="AG922" t="str">
            <v>ramyareports@gmail.com</v>
          </cell>
          <cell r="AH922" t="str">
            <v>ICICI Bank</v>
          </cell>
          <cell r="AI922">
            <v>389201500649</v>
          </cell>
          <cell r="AJ922" t="str">
            <v>ICIC0003892</v>
          </cell>
          <cell r="AK922" t="str">
            <v>BJOPR5039N</v>
          </cell>
          <cell r="AL922">
            <v>200156012621</v>
          </cell>
          <cell r="AN922">
            <v>45401</v>
          </cell>
          <cell r="AO922">
            <v>45342</v>
          </cell>
          <cell r="AP922" t="str">
            <v>Personal Reason</v>
          </cell>
          <cell r="AQ922" t="str">
            <v>11-5-349/10, Flat No 211, Arun Apartments, Redhill’s, Khairatabad, Hyderabad – 500004</v>
          </cell>
          <cell r="AS922" t="str">
            <v>11-5-349/10, Flat No 211, Arun Apartments, Redhill’s, Khairatabad, Hyderabad – 500004</v>
          </cell>
          <cell r="AU922">
            <v>0.33333333333333331</v>
          </cell>
          <cell r="AV922">
            <v>0.66666666666666663</v>
          </cell>
          <cell r="AW922">
            <v>34550</v>
          </cell>
          <cell r="AX922" t="str">
            <v>Female</v>
          </cell>
          <cell r="AY922" t="str">
            <v>Full Time</v>
          </cell>
          <cell r="AZ922">
            <v>8</v>
          </cell>
          <cell r="BA922" t="str">
            <v>Himayathnagar Cluster</v>
          </cell>
        </row>
        <row r="923">
          <cell r="M923" t="str">
            <v>Gandhinagar - 79</v>
          </cell>
          <cell r="N923" t="str">
            <v>Basic USG, Tiffa, Basic CT, X Ray, Plain Radiology, IVP, RGU, MCGU, Barium Swallow, Barium Anema, HSG</v>
          </cell>
          <cell r="O923" t="str">
            <v>Radiology</v>
          </cell>
          <cell r="P923" t="str">
            <v>Consultant Radiologist</v>
          </cell>
          <cell r="Q923" t="str">
            <v>Dr. Krishna Mohan Pottala</v>
          </cell>
          <cell r="R923">
            <v>45231</v>
          </cell>
          <cell r="S923">
            <v>45231</v>
          </cell>
          <cell r="T923">
            <v>45961</v>
          </cell>
          <cell r="U923">
            <v>45962</v>
          </cell>
          <cell r="V923">
            <v>2019</v>
          </cell>
          <cell r="W923" t="str">
            <v>Malla Reddy Institute of Medical Sciences</v>
          </cell>
          <cell r="X923">
            <v>2023</v>
          </cell>
          <cell r="Y923" t="str">
            <v>Kakatiya Medical College</v>
          </cell>
          <cell r="Z923" t="str">
            <v>NA</v>
          </cell>
          <cell r="AA923" t="str">
            <v>MBBS,MD</v>
          </cell>
          <cell r="AB923" t="str">
            <v>TSMC/FMR/08807</v>
          </cell>
          <cell r="AC923" t="str">
            <v>Telangana State Medical Council</v>
          </cell>
          <cell r="AD923">
            <v>45188</v>
          </cell>
          <cell r="AE923">
            <v>47014</v>
          </cell>
          <cell r="AF923" t="str">
            <v>9640962752, 6304632927</v>
          </cell>
          <cell r="AG923" t="str">
            <v>sravyakoluguri@gmail.com</v>
          </cell>
          <cell r="AH923" t="str">
            <v>HDFC Bank</v>
          </cell>
          <cell r="AI923">
            <v>50100656072765</v>
          </cell>
          <cell r="AJ923" t="str">
            <v>HDFC0003739</v>
          </cell>
          <cell r="AK923" t="str">
            <v>DSDPK4857H</v>
          </cell>
          <cell r="AL923">
            <v>482273580096</v>
          </cell>
          <cell r="AN923">
            <v>45565</v>
          </cell>
          <cell r="AO923">
            <v>45505</v>
          </cell>
          <cell r="AP923" t="str">
            <v>Personal reasons</v>
          </cell>
          <cell r="AQ923" t="str">
            <v>2-5-271/1-505, Maram Towers, I O B Lane, Nakkalagutta, Hamankonda, Warangal, Telangana - 506001</v>
          </cell>
          <cell r="AS923" t="str">
            <v>2-5-271/1-505, Maram Towers, I O B Lane, Nakkalagutta, Hamankonda, Warangal, Telangana - 506001</v>
          </cell>
          <cell r="AU923">
            <v>0.70833333333333337</v>
          </cell>
          <cell r="AV923">
            <v>0.79166666666666663</v>
          </cell>
          <cell r="AW923">
            <v>34847</v>
          </cell>
          <cell r="AX923" t="str">
            <v>Female</v>
          </cell>
          <cell r="AY923" t="str">
            <v>Part Time</v>
          </cell>
          <cell r="AZ923">
            <v>2</v>
          </cell>
          <cell r="BA923" t="str">
            <v>Himayathnagar Cluster</v>
          </cell>
        </row>
        <row r="924">
          <cell r="M924" t="str">
            <v>Attapur - 34</v>
          </cell>
          <cell r="N924" t="str">
            <v>Basic USG, Tiffa, Fetal Echo, Guided Procedures, Basic CT, Basic MRI, X Ray, Plain Radiology, Mammography, IVP, RGU, MCGU, Barium Swallow, Barium Anema, HSG</v>
          </cell>
          <cell r="O924" t="str">
            <v>Radiology</v>
          </cell>
          <cell r="P924" t="str">
            <v>Consultant Radiologist</v>
          </cell>
          <cell r="Q924" t="str">
            <v>Dr. Krishna Mohan Pottala</v>
          </cell>
          <cell r="R924">
            <v>45245</v>
          </cell>
          <cell r="S924">
            <v>45245</v>
          </cell>
          <cell r="T924">
            <v>45975</v>
          </cell>
          <cell r="U924">
            <v>45976</v>
          </cell>
          <cell r="V924">
            <v>2017</v>
          </cell>
          <cell r="W924" t="str">
            <v>Government Medical college and SSG Hospital</v>
          </cell>
          <cell r="X924">
            <v>2021</v>
          </cell>
          <cell r="Y924" t="str">
            <v>B. J. Medical College and Civil Hospital</v>
          </cell>
          <cell r="Z924" t="str">
            <v>NA</v>
          </cell>
          <cell r="AA924" t="str">
            <v>MBBS,MD</v>
          </cell>
          <cell r="AB924" t="str">
            <v>TSMC/FMR/27709</v>
          </cell>
          <cell r="AC924" t="str">
            <v>Telangana State Medical Council</v>
          </cell>
          <cell r="AD924">
            <v>45237</v>
          </cell>
          <cell r="AE924">
            <v>47063</v>
          </cell>
          <cell r="AF924">
            <v>8511339757</v>
          </cell>
          <cell r="AG924" t="str">
            <v>nitishajain13@gmail.com</v>
          </cell>
          <cell r="AH924" t="str">
            <v>Axis bank</v>
          </cell>
          <cell r="AI924" t="str">
            <v>918010006738324</v>
          </cell>
          <cell r="AJ924" t="str">
            <v>UTIB0000383</v>
          </cell>
          <cell r="AK924" t="str">
            <v>BDXPJ3769G</v>
          </cell>
          <cell r="AL924">
            <v>662339287537</v>
          </cell>
          <cell r="AN924">
            <v>45565</v>
          </cell>
          <cell r="AO924">
            <v>45503</v>
          </cell>
          <cell r="AP924" t="str">
            <v>Personal reasons</v>
          </cell>
          <cell r="AQ924" t="str">
            <v>13 Kombal Kendra road, Nai Abadi, Mandsaur, Madhya Pradesh - 458001</v>
          </cell>
          <cell r="AS924" t="str">
            <v>13 Kombal Kendra road, Nai Abadi, Mandsaur, Madhya Pradesh - 458001</v>
          </cell>
          <cell r="AU924">
            <v>0.41666666666666669</v>
          </cell>
          <cell r="AV924">
            <v>0.75</v>
          </cell>
          <cell r="AW924">
            <v>34771</v>
          </cell>
          <cell r="AX924" t="str">
            <v>Female</v>
          </cell>
          <cell r="AY924" t="str">
            <v>Full Time</v>
          </cell>
          <cell r="AZ924">
            <v>8</v>
          </cell>
          <cell r="BA924" t="str">
            <v>Tolichowki Cluster</v>
          </cell>
        </row>
        <row r="925">
          <cell r="M925" t="str">
            <v>Kukatpally - 20</v>
          </cell>
          <cell r="N925" t="str">
            <v>N/A</v>
          </cell>
          <cell r="O925" t="str">
            <v>Physician Services</v>
          </cell>
          <cell r="P925" t="str">
            <v>Consultant Physician</v>
          </cell>
          <cell r="Q925" t="str">
            <v>N/A</v>
          </cell>
          <cell r="R925">
            <v>45367</v>
          </cell>
          <cell r="S925">
            <v>45367</v>
          </cell>
          <cell r="T925">
            <v>46096</v>
          </cell>
          <cell r="U925">
            <v>46097</v>
          </cell>
          <cell r="V925">
            <v>2022</v>
          </cell>
          <cell r="W925" t="str">
            <v>Nimra Institute of Medical Science</v>
          </cell>
          <cell r="X925" t="str">
            <v>N/A</v>
          </cell>
          <cell r="Y925" t="str">
            <v>N/A</v>
          </cell>
          <cell r="Z925" t="str">
            <v>NA</v>
          </cell>
          <cell r="AA925" t="str">
            <v>MBBS</v>
          </cell>
          <cell r="AB925" t="str">
            <v>APMC/FMR/128005</v>
          </cell>
          <cell r="AC925" t="str">
            <v>Andhra Pradesh Medical Council</v>
          </cell>
          <cell r="AD925">
            <v>45204</v>
          </cell>
          <cell r="AE925">
            <v>47030</v>
          </cell>
          <cell r="AF925">
            <v>8897833892</v>
          </cell>
          <cell r="AG925" t="str">
            <v>shaikafrinhydervali1999@gmail.com</v>
          </cell>
          <cell r="AH925" t="str">
            <v>Union Bank of India</v>
          </cell>
          <cell r="AI925" t="str">
            <v>007910018001605</v>
          </cell>
          <cell r="AJ925" t="str">
            <v>UBIN0800791</v>
          </cell>
          <cell r="AK925" t="str">
            <v>SKTPS5905R</v>
          </cell>
          <cell r="AL925">
            <v>897312547591</v>
          </cell>
          <cell r="AN925">
            <v>45565</v>
          </cell>
          <cell r="AO925" t="str">
            <v>NA</v>
          </cell>
          <cell r="AP925" t="str">
            <v>Personal reasons</v>
          </cell>
          <cell r="AQ925" t="str">
            <v>8-226, Meraka Street, Chintalapudi, West Godavari, Andhra Pradesh - 534460</v>
          </cell>
          <cell r="AS925" t="str">
            <v>8-226, Meraka Street, Chintalapudi, West Godavari, Andhra Pradesh - 534460</v>
          </cell>
          <cell r="AU925">
            <v>0.41666666666666669</v>
          </cell>
          <cell r="AV925">
            <v>0.5</v>
          </cell>
          <cell r="AW925">
            <v>36318</v>
          </cell>
          <cell r="AX925" t="str">
            <v>Female</v>
          </cell>
          <cell r="AY925" t="str">
            <v>Part Time</v>
          </cell>
          <cell r="AZ925">
            <v>2</v>
          </cell>
          <cell r="BA925" t="str">
            <v>Kukatpally Cluster</v>
          </cell>
        </row>
        <row r="926">
          <cell r="M926" t="str">
            <v>Santosh Nagar-15</v>
          </cell>
          <cell r="O926" t="str">
            <v>Pathology</v>
          </cell>
          <cell r="P926" t="str">
            <v>Consultant Pathologist</v>
          </cell>
          <cell r="R926">
            <v>45183</v>
          </cell>
          <cell r="S926">
            <v>45183</v>
          </cell>
          <cell r="T926">
            <v>45913</v>
          </cell>
          <cell r="U926">
            <v>45914</v>
          </cell>
          <cell r="W926" t="str">
            <v>Kamineni Institute of Medical Sciences, Narketpally</v>
          </cell>
          <cell r="Y926" t="str">
            <v>Kamineni Institute of Medical Sciences, Narketpally</v>
          </cell>
          <cell r="AB926">
            <v>62004</v>
          </cell>
          <cell r="AC926" t="str">
            <v>Telangana State Medical Council</v>
          </cell>
          <cell r="AD926">
            <v>44305</v>
          </cell>
          <cell r="AE926">
            <v>46130</v>
          </cell>
          <cell r="AF926">
            <v>9885072361</v>
          </cell>
          <cell r="AG926" t="str">
            <v>suhasinichuvvi30@gmail.com</v>
          </cell>
          <cell r="AK926" t="str">
            <v>BDBPK9243G</v>
          </cell>
          <cell r="AL926">
            <v>618730670958</v>
          </cell>
          <cell r="AN926">
            <v>45183</v>
          </cell>
          <cell r="AQ926" t="str">
            <v>6-1-504, Plot no-82, Phase 1 MIG2, Vanastalipuram, Hayatnagar, Hyderabad-500070</v>
          </cell>
          <cell r="AS926" t="str">
            <v>6-1-504, Plot no-82, Phase 1 MIG2, Vanastalipuram, Hayatnagar, Hyderabad-500070</v>
          </cell>
          <cell r="AX926" t="str">
            <v>Female</v>
          </cell>
          <cell r="AY926" t="str">
            <v>Part Time</v>
          </cell>
          <cell r="AZ926">
            <v>4</v>
          </cell>
          <cell r="BA926" t="str">
            <v>Santosh Nagar Cluster</v>
          </cell>
        </row>
        <row r="927">
          <cell r="M927" t="str">
            <v>Vizag - 37</v>
          </cell>
          <cell r="O927" t="str">
            <v>Physician Services</v>
          </cell>
          <cell r="P927" t="str">
            <v>Consultant Physician</v>
          </cell>
          <cell r="R927">
            <v>45183</v>
          </cell>
          <cell r="S927">
            <v>45183</v>
          </cell>
          <cell r="T927">
            <v>45913</v>
          </cell>
          <cell r="U927">
            <v>45914</v>
          </cell>
          <cell r="W927" t="str">
            <v>Konaseema Institute of Medical Sciences, Amalapuram</v>
          </cell>
          <cell r="Y927" t="str">
            <v>Konaseema Institute of Medical Sciences, Amalapuram</v>
          </cell>
          <cell r="AB927" t="str">
            <v>APMC/FMR/120888</v>
          </cell>
          <cell r="AC927" t="str">
            <v>Andhra Pradesh Medical Council</v>
          </cell>
          <cell r="AD927">
            <v>44855</v>
          </cell>
          <cell r="AE927">
            <v>46680</v>
          </cell>
          <cell r="AF927">
            <v>9652673169</v>
          </cell>
          <cell r="AG927" t="str">
            <v>sriramya1605@gmail.com</v>
          </cell>
          <cell r="AK927" t="str">
            <v>ACNPW1561B</v>
          </cell>
          <cell r="AL927">
            <v>270561825415</v>
          </cell>
          <cell r="AN927">
            <v>45183</v>
          </cell>
          <cell r="AQ927" t="str">
            <v>H.No-50-83-34, S-3, Chandra Enclave, Near BVK College, Madhuranagar, Visakhapatnam, Andhra Pradesh-530016</v>
          </cell>
          <cell r="AS927" t="str">
            <v>H.No-50-83-34, S-3, Chandra Enclave, Near BVK College, Madhuranagar, Visakhapatnam, Andhra Pradesh-530016</v>
          </cell>
          <cell r="AX927" t="str">
            <v>Female</v>
          </cell>
          <cell r="AY927" t="str">
            <v>Part Time</v>
          </cell>
          <cell r="AZ927">
            <v>2</v>
          </cell>
          <cell r="BA927" t="str">
            <v>Visakhapatnam Cluster</v>
          </cell>
        </row>
        <row r="928">
          <cell r="M928" t="str">
            <v>Ameerpet - 14</v>
          </cell>
          <cell r="N928" t="str">
            <v>Basic USG, Tiffa, Guided Procedures, Basic CT, Basic MRI, X Ray, Plain Radiology, Mammography, IVP, RGU, MCGU, Barium Swallow, Barium Anema, HSG</v>
          </cell>
          <cell r="O928" t="str">
            <v>Radiology</v>
          </cell>
          <cell r="P928" t="str">
            <v>Consultant Radiologist</v>
          </cell>
          <cell r="Q928" t="str">
            <v>Dr. Krishna Mohan Pottala</v>
          </cell>
          <cell r="R928">
            <v>45185</v>
          </cell>
          <cell r="S928">
            <v>45185</v>
          </cell>
          <cell r="T928">
            <v>45915</v>
          </cell>
          <cell r="U928">
            <v>45916</v>
          </cell>
          <cell r="W928" t="str">
            <v>Mamata Medical College, Khammam</v>
          </cell>
          <cell r="Y928" t="str">
            <v>Bhaskar Medical College, Hyderabad</v>
          </cell>
          <cell r="AB928" t="str">
            <v>TSMC/FMR/06391</v>
          </cell>
          <cell r="AC928" t="str">
            <v>Telangana State Medical Council</v>
          </cell>
          <cell r="AD928">
            <v>45170</v>
          </cell>
          <cell r="AE928">
            <v>46996</v>
          </cell>
          <cell r="AF928">
            <v>9705354642</v>
          </cell>
          <cell r="AG928" t="str">
            <v>brajeshkumar638@gmail.com</v>
          </cell>
          <cell r="AH928" t="str">
            <v>Union Bank of India</v>
          </cell>
          <cell r="AI928" t="str">
            <v>002210100100705</v>
          </cell>
          <cell r="AJ928" t="str">
            <v>UBIN0800228</v>
          </cell>
          <cell r="AK928" t="str">
            <v>BRSPR3219J</v>
          </cell>
          <cell r="AL928">
            <v>983096883888</v>
          </cell>
          <cell r="AN928">
            <v>45336</v>
          </cell>
          <cell r="AO928">
            <v>45278</v>
          </cell>
          <cell r="AQ928" t="str">
            <v>H.No-4-3-74/a/30,Dwaraka Nagar, Adilabad, Telangana-504001</v>
          </cell>
          <cell r="AU928">
            <v>28</v>
          </cell>
          <cell r="AV928">
            <v>0.41666666666666669</v>
          </cell>
          <cell r="AX928" t="str">
            <v>Male</v>
          </cell>
          <cell r="AY928" t="str">
            <v>Full Time</v>
          </cell>
          <cell r="AZ928">
            <v>8</v>
          </cell>
          <cell r="BA928" t="str">
            <v>Himayathnagar Cluster</v>
          </cell>
        </row>
        <row r="929">
          <cell r="M929" t="str">
            <v>Balapur - 63</v>
          </cell>
          <cell r="N929" t="str">
            <v>Basic USG, Tiffa, Guided Procedures, Basic CT, Basic MRI, X Ray, Plain Radiology, Mammography, IVP, RGU, MCGU, Barium Swallow, Barium Anema, HSG</v>
          </cell>
          <cell r="O929" t="str">
            <v>Radiology</v>
          </cell>
          <cell r="P929" t="str">
            <v>Consultant Radiologist</v>
          </cell>
          <cell r="Q929" t="str">
            <v>Dr. Krishna Mohan Pottala</v>
          </cell>
          <cell r="R929">
            <v>45189</v>
          </cell>
          <cell r="S929">
            <v>45189</v>
          </cell>
          <cell r="T929">
            <v>45919</v>
          </cell>
          <cell r="U929">
            <v>45920</v>
          </cell>
          <cell r="W929" t="str">
            <v>Ningxia Medical College</v>
          </cell>
          <cell r="Y929" t="str">
            <v>Apollo Medical College</v>
          </cell>
          <cell r="AB929" t="str">
            <v>TSMC/FMR/08393</v>
          </cell>
          <cell r="AC929" t="str">
            <v>Telangana State Medical Council</v>
          </cell>
          <cell r="AD929">
            <v>45164</v>
          </cell>
          <cell r="AE929">
            <v>46990</v>
          </cell>
          <cell r="AF929">
            <v>9640876746</v>
          </cell>
          <cell r="AG929" t="str">
            <v>roopareddy505@gmail.com</v>
          </cell>
          <cell r="AK929" t="str">
            <v>CGTPM1650D</v>
          </cell>
          <cell r="AL929">
            <v>454804282255</v>
          </cell>
          <cell r="AN929">
            <v>45189</v>
          </cell>
          <cell r="AQ929" t="str">
            <v>H.No-3-6-319, Flat No-201, Namitha Everest Apts, SBH Colony, Bahadurguda, Chintalakunta, K.V.Rangareddy, Hyderabad-500074</v>
          </cell>
          <cell r="AS929" t="str">
            <v>H.No-3-6-319, Flat No-201, Namitha Everest Apts, SBH Colony, Bahadurguda, Chintalakunta, K.V.Rangareddy, Hyderabad-500074</v>
          </cell>
          <cell r="AX929" t="str">
            <v>Female</v>
          </cell>
          <cell r="AY929" t="str">
            <v>Full Time</v>
          </cell>
          <cell r="AZ929">
            <v>8</v>
          </cell>
          <cell r="BA929" t="str">
            <v>Santosh Nagar Cluster</v>
          </cell>
        </row>
        <row r="930">
          <cell r="M930" t="str">
            <v>Habsiguda - 17</v>
          </cell>
          <cell r="N930" t="str">
            <v>N/A</v>
          </cell>
          <cell r="O930" t="str">
            <v>Biochemistry</v>
          </cell>
          <cell r="P930" t="str">
            <v>Consultant Biochemist</v>
          </cell>
          <cell r="Q930" t="str">
            <v>Dr. Bikash Chowdhary</v>
          </cell>
          <cell r="R930">
            <v>45189</v>
          </cell>
          <cell r="S930">
            <v>45189</v>
          </cell>
          <cell r="T930">
            <v>45919</v>
          </cell>
          <cell r="U930">
            <v>45920</v>
          </cell>
          <cell r="V930">
            <v>2014</v>
          </cell>
          <cell r="W930" t="str">
            <v>Mamata Medical College</v>
          </cell>
          <cell r="X930">
            <v>2020</v>
          </cell>
          <cell r="Y930" t="str">
            <v>Osmania Medical College</v>
          </cell>
          <cell r="Z930" t="str">
            <v>NA</v>
          </cell>
          <cell r="AA930" t="str">
            <v>MBBS,MD</v>
          </cell>
          <cell r="AB930" t="str">
            <v>APMC/FMR/86876</v>
          </cell>
          <cell r="AC930" t="str">
            <v>Telangana State Medical Council</v>
          </cell>
          <cell r="AD930">
            <v>44396</v>
          </cell>
          <cell r="AE930">
            <v>46221</v>
          </cell>
          <cell r="AF930">
            <v>9642848496</v>
          </cell>
          <cell r="AG930" t="str">
            <v>dr.blessysusmitha.p@gmail.com</v>
          </cell>
          <cell r="AH930" t="str">
            <v>ICICI Bank</v>
          </cell>
          <cell r="AI930" t="str">
            <v>194101510916</v>
          </cell>
          <cell r="AJ930" t="str">
            <v>ICIC0001941</v>
          </cell>
          <cell r="AK930" t="str">
            <v>CAMPB1420R</v>
          </cell>
          <cell r="AL930">
            <v>347757840862</v>
          </cell>
          <cell r="AN930">
            <v>45381</v>
          </cell>
          <cell r="AO930">
            <v>45292</v>
          </cell>
          <cell r="AP930" t="str">
            <v>Personal Reason</v>
          </cell>
          <cell r="AQ930" t="str">
            <v>H.No-4-4-128,Gandhi Colony,Vikarabad, K.V.Rangareddy,Telangana-501101</v>
          </cell>
          <cell r="AS930" t="str">
            <v>H.No-4-4-128,Gandhi Colony,Vikarabad, K.V.Rangareddy,Telangana-501101</v>
          </cell>
          <cell r="AU930">
            <v>0.66666666666666663</v>
          </cell>
          <cell r="AV930">
            <v>0.83333333333333337</v>
          </cell>
          <cell r="AW930">
            <v>32615</v>
          </cell>
          <cell r="AX930" t="str">
            <v>Female</v>
          </cell>
          <cell r="AY930" t="str">
            <v>Part Time</v>
          </cell>
          <cell r="AZ930">
            <v>4</v>
          </cell>
          <cell r="BA930" t="str">
            <v>A.S. Rao Nagar Cluster</v>
          </cell>
        </row>
        <row r="931">
          <cell r="M931" t="str">
            <v>Himayatnagar</v>
          </cell>
          <cell r="N931" t="str">
            <v>N/A</v>
          </cell>
          <cell r="O931" t="str">
            <v>Pathology</v>
          </cell>
          <cell r="P931" t="str">
            <v>Consultant Pathologist</v>
          </cell>
          <cell r="Q931" t="str">
            <v>Dr P T S Shashikant</v>
          </cell>
          <cell r="R931">
            <v>45019</v>
          </cell>
          <cell r="S931">
            <v>45019</v>
          </cell>
          <cell r="T931">
            <v>45749</v>
          </cell>
          <cell r="U931">
            <v>45750</v>
          </cell>
          <cell r="V931">
            <v>2016</v>
          </cell>
          <cell r="W931" t="str">
            <v>S.V.S Medical college,Mahboobnagar,Telangana--2016</v>
          </cell>
          <cell r="X931">
            <v>2021</v>
          </cell>
          <cell r="Y931" t="str">
            <v>Kaloji Narayana Rao University of Health Sciences - 2022</v>
          </cell>
          <cell r="Z931" t="str">
            <v>NA</v>
          </cell>
          <cell r="AA931" t="str">
            <v>MBBS, MD</v>
          </cell>
          <cell r="AB931" t="str">
            <v>TSMC/FMR/02312</v>
          </cell>
          <cell r="AC931" t="str">
            <v>Telangana State Medical Council</v>
          </cell>
          <cell r="AD931">
            <v>44875</v>
          </cell>
          <cell r="AE931">
            <v>46700</v>
          </cell>
          <cell r="AF931">
            <v>7799471620</v>
          </cell>
          <cell r="AG931" t="str">
            <v>pchinta54@gmail.com</v>
          </cell>
          <cell r="AH931" t="str">
            <v>Canara Bank</v>
          </cell>
          <cell r="AI931" t="str">
            <v>33062200002570</v>
          </cell>
          <cell r="AJ931" t="str">
            <v>CNRB0013306</v>
          </cell>
          <cell r="AK931" t="str">
            <v>CFRPP3409J</v>
          </cell>
          <cell r="AL931">
            <v>402184339974</v>
          </cell>
          <cell r="AN931">
            <v>45569</v>
          </cell>
          <cell r="AO931">
            <v>45874</v>
          </cell>
          <cell r="AP931" t="str">
            <v>Personal reasons</v>
          </cell>
          <cell r="AU931">
            <v>0.66666666666666663</v>
          </cell>
          <cell r="AV931">
            <v>0.875</v>
          </cell>
          <cell r="AW931" t="str">
            <v>10-12-1991</v>
          </cell>
          <cell r="AX931" t="str">
            <v>Female</v>
          </cell>
          <cell r="AY931" t="str">
            <v>Part Time</v>
          </cell>
          <cell r="AZ931">
            <v>5</v>
          </cell>
          <cell r="BA931" t="str">
            <v>Himayathnagar Cluster</v>
          </cell>
        </row>
        <row r="932">
          <cell r="M932" t="str">
            <v>Nallakunta - 67</v>
          </cell>
          <cell r="N932" t="str">
            <v>Basic USG, Tiffa, Guided Procedures, Basic CT, Basic MRI, X Ray, Plain Radiology, Mammography, IVP, RGU, MCGU, Barium Swallow, Barium Anema, HSG</v>
          </cell>
          <cell r="O932" t="str">
            <v>Radiology</v>
          </cell>
          <cell r="P932" t="str">
            <v>Consultant Radiologist</v>
          </cell>
          <cell r="Q932" t="str">
            <v>Dr. Krishna Mohan Pottala</v>
          </cell>
          <cell r="R932">
            <v>45194</v>
          </cell>
          <cell r="S932">
            <v>45194</v>
          </cell>
          <cell r="T932">
            <v>45924</v>
          </cell>
          <cell r="U932">
            <v>45925</v>
          </cell>
          <cell r="W932" t="str">
            <v>Mamata Medical College, Khammam</v>
          </cell>
          <cell r="Y932" t="str">
            <v>Bhaskar Medical College, Hyderabad</v>
          </cell>
          <cell r="AB932" t="str">
            <v>TSMC/FMR/06391</v>
          </cell>
          <cell r="AC932" t="str">
            <v>Telangana State Medical Council</v>
          </cell>
          <cell r="AD932">
            <v>45170</v>
          </cell>
          <cell r="AE932">
            <v>46996</v>
          </cell>
          <cell r="AF932">
            <v>9705354642</v>
          </cell>
          <cell r="AG932" t="str">
            <v>brajeshkumar638@gmail.com</v>
          </cell>
          <cell r="AH932" t="str">
            <v>Union Bank of India</v>
          </cell>
          <cell r="AI932" t="str">
            <v>002210100100705</v>
          </cell>
          <cell r="AJ932" t="str">
            <v>UBIN0800228</v>
          </cell>
          <cell r="AK932" t="str">
            <v>BRSPR3219J</v>
          </cell>
          <cell r="AL932">
            <v>983096883888</v>
          </cell>
          <cell r="AN932">
            <v>45253</v>
          </cell>
          <cell r="AQ932" t="str">
            <v>H.No-4-3-74/a/30,Dwaraka Nagar, Adilabad, Telangana-504001</v>
          </cell>
          <cell r="AS932" t="str">
            <v>H.No-4-3-74/a/30,Dwaraka Nagar, Adilabad, Telangana-504001</v>
          </cell>
          <cell r="AU932" t="e">
            <v>#N/A</v>
          </cell>
          <cell r="AX932" t="str">
            <v>Male</v>
          </cell>
          <cell r="AY932" t="str">
            <v>Full Time</v>
          </cell>
          <cell r="AZ932">
            <v>2</v>
          </cell>
          <cell r="BA932" t="str">
            <v>Himayathnagar Cluster</v>
          </cell>
        </row>
        <row r="933">
          <cell r="M933" t="str">
            <v>Attapur - 34</v>
          </cell>
          <cell r="N933" t="str">
            <v>NA</v>
          </cell>
          <cell r="O933" t="str">
            <v>Physician Services</v>
          </cell>
          <cell r="P933" t="str">
            <v>Consultant Physician</v>
          </cell>
          <cell r="Q933" t="str">
            <v>N/A</v>
          </cell>
          <cell r="R933">
            <v>45502</v>
          </cell>
          <cell r="S933">
            <v>45502</v>
          </cell>
          <cell r="T933">
            <v>46231</v>
          </cell>
          <cell r="U933">
            <v>46232</v>
          </cell>
          <cell r="V933">
            <v>2022</v>
          </cell>
          <cell r="W933" t="str">
            <v>w</v>
          </cell>
          <cell r="X933" t="str">
            <v>NA</v>
          </cell>
          <cell r="Y933" t="str">
            <v>NA</v>
          </cell>
          <cell r="Z933" t="str">
            <v>NA</v>
          </cell>
          <cell r="AA933" t="str">
            <v>MBBS</v>
          </cell>
          <cell r="AB933" t="str">
            <v>TSMC/FMR/27963</v>
          </cell>
          <cell r="AC933" t="str">
            <v>Telangana State Medical Council</v>
          </cell>
          <cell r="AD933">
            <v>45245</v>
          </cell>
          <cell r="AE933">
            <v>47071</v>
          </cell>
          <cell r="AF933" t="str">
            <v>9542820209 / 7013497699</v>
          </cell>
          <cell r="AG933" t="str">
            <v>iramgazala56@gmail.com</v>
          </cell>
          <cell r="AH933" t="str">
            <v>Canara Bank</v>
          </cell>
          <cell r="AI933" t="str">
            <v>110147038932</v>
          </cell>
          <cell r="AJ933" t="str">
            <v>CNRB0001178</v>
          </cell>
          <cell r="AK933" t="str">
            <v>AKOPI3682E</v>
          </cell>
          <cell r="AL933">
            <v>266290468785</v>
          </cell>
          <cell r="AM933" t="str">
            <v>Mohammed Riyaz Uddin</v>
          </cell>
          <cell r="AN933">
            <v>45572</v>
          </cell>
          <cell r="AO933" t="str">
            <v>NA</v>
          </cell>
          <cell r="AP933" t="str">
            <v>Due to Exams</v>
          </cell>
          <cell r="AQ933" t="str">
            <v>19-4-280/B/115/30, Tadban, Bahadurpura, Asifnagar, Hyderabad, Telangana - 500028.</v>
          </cell>
          <cell r="AS933">
            <v>26</v>
          </cell>
          <cell r="AW933">
            <v>36277</v>
          </cell>
          <cell r="AX933" t="str">
            <v>Female</v>
          </cell>
          <cell r="AY933" t="str">
            <v>Part Time</v>
          </cell>
          <cell r="AZ933">
            <v>1</v>
          </cell>
          <cell r="BA933" t="str">
            <v>Tolichowki Cluster</v>
          </cell>
        </row>
        <row r="934">
          <cell r="M934" t="str">
            <v>Tirupathi-333</v>
          </cell>
          <cell r="N934" t="str">
            <v>Basic USG, Tiffa, Guided Procedures, Basic CT, Basic MRI, X Ray, Plain Radiology, IVP, RGU, MCGU, Barium Swallow, Barium Anema, HSG</v>
          </cell>
          <cell r="O934" t="str">
            <v>Radiology</v>
          </cell>
          <cell r="P934" t="str">
            <v>Consultant Radiologist</v>
          </cell>
          <cell r="Q934" t="str">
            <v>Dr.Krishna Mohan</v>
          </cell>
          <cell r="R934">
            <v>45196</v>
          </cell>
          <cell r="S934">
            <v>45196</v>
          </cell>
          <cell r="T934">
            <v>45926</v>
          </cell>
          <cell r="U934">
            <v>45927</v>
          </cell>
          <cell r="V934">
            <v>2018</v>
          </cell>
          <cell r="W934" t="str">
            <v>Maharaja Institute of Medical Sciences, Vizianagaram</v>
          </cell>
          <cell r="X934">
            <v>2023</v>
          </cell>
          <cell r="Y934" t="str">
            <v>NRI Medical College, Guntur</v>
          </cell>
          <cell r="Z934" t="str">
            <v>NA</v>
          </cell>
          <cell r="AA934" t="str">
            <v>MBBS,MD</v>
          </cell>
          <cell r="AB934" t="str">
            <v>APMC/FMR/102373</v>
          </cell>
          <cell r="AC934" t="str">
            <v>Andhra Pradesh Medical Council</v>
          </cell>
          <cell r="AD934">
            <v>45189</v>
          </cell>
          <cell r="AE934">
            <v>47015</v>
          </cell>
          <cell r="AF934">
            <v>7702134701</v>
          </cell>
          <cell r="AG934" t="str">
            <v>saranyareddy83@gmail.com</v>
          </cell>
          <cell r="AH934" t="str">
            <v>ICICI Bank</v>
          </cell>
          <cell r="AI934" t="str">
            <v>630601569554</v>
          </cell>
          <cell r="AJ934" t="str">
            <v>ICIC0006306</v>
          </cell>
          <cell r="AK934" t="str">
            <v>EQDPK7493A</v>
          </cell>
          <cell r="AL934">
            <v>443649318935</v>
          </cell>
          <cell r="AN934">
            <v>45397</v>
          </cell>
          <cell r="AO934">
            <v>45365</v>
          </cell>
          <cell r="AP934" t="str">
            <v>Because of Marrege</v>
          </cell>
          <cell r="AQ934" t="str">
            <v>25a,Annamayyanagar, Sai Nagar, VTC, Tirupati(rural) District-Chittoor, Andhra Pradesh-517507</v>
          </cell>
          <cell r="AS934" t="str">
            <v>25a,Annamayyanagar, Sai Nagar, VTC, Tirupati(rural) District-Chittoor, Andhra Pradesh-517507</v>
          </cell>
          <cell r="AU934">
            <v>0.54166666666666663</v>
          </cell>
          <cell r="AV934">
            <v>0.875</v>
          </cell>
          <cell r="AW934">
            <v>34559</v>
          </cell>
          <cell r="AX934" t="str">
            <v>Female</v>
          </cell>
          <cell r="AY934" t="str">
            <v>Full Time</v>
          </cell>
          <cell r="AZ934">
            <v>8</v>
          </cell>
          <cell r="BA934" t="str">
            <v>Tirupati Cluster</v>
          </cell>
        </row>
        <row r="935">
          <cell r="M935" t="str">
            <v>Dilsukhnagar - 12</v>
          </cell>
          <cell r="N935" t="str">
            <v>NA</v>
          </cell>
          <cell r="O935" t="str">
            <v>Pathology</v>
          </cell>
          <cell r="P935" t="str">
            <v>Consultant Pathologist</v>
          </cell>
          <cell r="Q935" t="str">
            <v>Dr P T S Shashikant</v>
          </cell>
          <cell r="R935">
            <v>45566</v>
          </cell>
          <cell r="S935">
            <v>45566</v>
          </cell>
          <cell r="T935">
            <v>45565</v>
          </cell>
          <cell r="U935">
            <v>46296</v>
          </cell>
          <cell r="V935">
            <v>2018</v>
          </cell>
          <cell r="W935" t="str">
            <v>Shadan Institute of Medical Sciences</v>
          </cell>
          <cell r="X935">
            <v>2023</v>
          </cell>
          <cell r="Y935" t="str">
            <v>Deccan College of Medical sciences</v>
          </cell>
          <cell r="Z935" t="str">
            <v>NA</v>
          </cell>
          <cell r="AA935" t="str">
            <v>MBBS, MD Pathology</v>
          </cell>
          <cell r="AB935" t="str">
            <v>TSMC/FMR/11005</v>
          </cell>
          <cell r="AC935" t="str">
            <v>Telangana State Medical Council</v>
          </cell>
          <cell r="AD935">
            <v>45173</v>
          </cell>
          <cell r="AE935">
            <v>46999</v>
          </cell>
          <cell r="AF935">
            <v>9951464988</v>
          </cell>
          <cell r="AG935" t="str">
            <v>sumayyaraheem707@gmail.com</v>
          </cell>
          <cell r="AK935" t="str">
            <v>CDIPB9467M</v>
          </cell>
          <cell r="AL935">
            <v>434516056653</v>
          </cell>
          <cell r="AM935" t="str">
            <v>Abdul Raheem</v>
          </cell>
          <cell r="AN935">
            <v>45572</v>
          </cell>
          <cell r="AO935" t="str">
            <v>NA</v>
          </cell>
          <cell r="AP935" t="str">
            <v>Timings constarints</v>
          </cell>
          <cell r="AQ935" t="str">
            <v>19-3-41/3/A, Jahanuma, Charminar, Falaknuma, Hyderabad, Telangana- 500053.</v>
          </cell>
          <cell r="AS935">
            <v>32</v>
          </cell>
          <cell r="AW935">
            <v>34054</v>
          </cell>
          <cell r="AX935" t="str">
            <v>Female</v>
          </cell>
          <cell r="AY935" t="str">
            <v>Full Time</v>
          </cell>
          <cell r="AZ935">
            <v>8</v>
          </cell>
          <cell r="BA935" t="str">
            <v>Dilshuknagar Cluster</v>
          </cell>
        </row>
        <row r="936">
          <cell r="M936" t="str">
            <v>Vizag - 37</v>
          </cell>
          <cell r="N936" t="str">
            <v>Basic USG, Tiffa, Guided Procedures, Basic CT, X Ray, Plain Radiology, IVP, RGU, MCGU, Barium Swallow, Barium Anema, HSG</v>
          </cell>
          <cell r="O936" t="str">
            <v>Radiology</v>
          </cell>
          <cell r="P936" t="str">
            <v>Consultant Radiologist</v>
          </cell>
          <cell r="Q936" t="str">
            <v>Dr. Krishna Mohan Pottala</v>
          </cell>
          <cell r="R936">
            <v>45203</v>
          </cell>
          <cell r="S936">
            <v>45203</v>
          </cell>
          <cell r="T936">
            <v>45933</v>
          </cell>
          <cell r="U936">
            <v>45934</v>
          </cell>
          <cell r="W936" t="str">
            <v>Alluri Sitaram Raju Academy of Medical Science, Eluru, Andhra Pradesh</v>
          </cell>
          <cell r="Y936" t="str">
            <v>maharaja institute of medical science, Vizianagaram</v>
          </cell>
          <cell r="AB936" t="str">
            <v>APMC/FMR/96914</v>
          </cell>
          <cell r="AC936" t="str">
            <v>Andhra Pradesh Medical Council</v>
          </cell>
          <cell r="AD936">
            <v>44875</v>
          </cell>
          <cell r="AE936">
            <v>46700</v>
          </cell>
          <cell r="AF936">
            <v>9885883837</v>
          </cell>
          <cell r="AG936" t="str">
            <v>vishnusaigvs@gmail.com</v>
          </cell>
          <cell r="AH936" t="str">
            <v>HDFC Bank</v>
          </cell>
          <cell r="AI936" t="str">
            <v>50100572884270</v>
          </cell>
          <cell r="AJ936" t="str">
            <v>HDFC0009062</v>
          </cell>
          <cell r="AK936" t="str">
            <v>BWUPG8208B</v>
          </cell>
          <cell r="AL936">
            <v>742710668899</v>
          </cell>
          <cell r="AN936">
            <v>45306</v>
          </cell>
          <cell r="AO936">
            <v>45306</v>
          </cell>
          <cell r="AQ936" t="str">
            <v>Flat No-508, VIP Road, Near Paradise Hotel, CBM Compound, Visakhapatnam, AP - 530003</v>
          </cell>
          <cell r="AU936">
            <v>31</v>
          </cell>
          <cell r="AV936">
            <v>0.4375</v>
          </cell>
          <cell r="AX936" t="str">
            <v>Male</v>
          </cell>
          <cell r="AY936" t="str">
            <v>Full Time</v>
          </cell>
          <cell r="AZ936">
            <v>8</v>
          </cell>
          <cell r="BA936" t="str">
            <v>Visakhapatnam Cluster</v>
          </cell>
        </row>
        <row r="937">
          <cell r="M937" t="str">
            <v>Madinaguda - 112</v>
          </cell>
          <cell r="N937" t="str">
            <v>Basic USG, Tiffa, Guided Procedures, Basic CT, All Angios, X Ray, Plain Radiology, IVP, RGU, MCGU, Barium Swallow, Barium Anema, HSG</v>
          </cell>
          <cell r="O937" t="str">
            <v>Radiology</v>
          </cell>
          <cell r="P937" t="str">
            <v>Consultant Radiologist</v>
          </cell>
          <cell r="Q937" t="str">
            <v>Dr. Krishna Mohan Pottala</v>
          </cell>
          <cell r="R937">
            <v>45210</v>
          </cell>
          <cell r="S937">
            <v>45210</v>
          </cell>
          <cell r="T937">
            <v>45940</v>
          </cell>
          <cell r="U937">
            <v>45941</v>
          </cell>
          <cell r="W937" t="str">
            <v>Mahatma gandhi medical college</v>
          </cell>
          <cell r="Y937" t="str">
            <v>Narayana medical college</v>
          </cell>
          <cell r="AB937" t="str">
            <v>APMC/FMR/80528</v>
          </cell>
          <cell r="AC937" t="str">
            <v>Andhra Pradesh Medical Council</v>
          </cell>
          <cell r="AF937">
            <v>8499998433</v>
          </cell>
          <cell r="AG937" t="str">
            <v>divya.kolikipudi.14@gmail.com</v>
          </cell>
          <cell r="AH937" t="str">
            <v>HDFC Bank</v>
          </cell>
          <cell r="AI937">
            <v>50100422642335</v>
          </cell>
          <cell r="AJ937" t="str">
            <v>HDFC0004259</v>
          </cell>
          <cell r="AK937" t="str">
            <v>APGPD8565E</v>
          </cell>
          <cell r="AL937">
            <v>390245254415</v>
          </cell>
          <cell r="AN937">
            <v>45230</v>
          </cell>
          <cell r="AQ937" t="str">
            <v>Flat No-FF-3, 2nd Floor, Kodur Enclave, Pitchaiah Street,Labbipeta, Vijayawada, Andhra Pradesh-520010</v>
          </cell>
          <cell r="AS937" t="str">
            <v>Flat No-FF-3, 2nd Floor, Kodur Enclave, Pitchaiah Street,Labbipeta, Vijayawada, Andhra Pradesh-520010</v>
          </cell>
          <cell r="AX937" t="str">
            <v>Female</v>
          </cell>
          <cell r="AY937" t="str">
            <v>Full Time</v>
          </cell>
          <cell r="AZ937">
            <v>8</v>
          </cell>
          <cell r="BA937" t="str">
            <v>Madhapur Cluster</v>
          </cell>
        </row>
        <row r="938">
          <cell r="M938" t="str">
            <v>Nallagandla - 84</v>
          </cell>
          <cell r="N938" t="str">
            <v>Basic USG, Tiffa, Guided Procedures, Basic CT, X Ray, Plain Radiology, Mammography, IVP, RGU, MCGU, Barium Swallow, Barium Anema, HSG</v>
          </cell>
          <cell r="O938" t="str">
            <v>Radiology</v>
          </cell>
          <cell r="P938" t="str">
            <v>Consultant Radiologist</v>
          </cell>
          <cell r="Q938" t="str">
            <v>Dr.Krishna Mohan</v>
          </cell>
          <cell r="R938">
            <v>45206</v>
          </cell>
          <cell r="S938">
            <v>45206</v>
          </cell>
          <cell r="T938">
            <v>45936</v>
          </cell>
          <cell r="U938">
            <v>45937</v>
          </cell>
          <cell r="V938">
            <v>2019</v>
          </cell>
          <cell r="W938" t="str">
            <v>karnataka institute of medical sciences</v>
          </cell>
          <cell r="X938">
            <v>2023</v>
          </cell>
          <cell r="Y938" t="str">
            <v>AJ Institute of medical sciences</v>
          </cell>
          <cell r="Z938" t="str">
            <v>NA</v>
          </cell>
          <cell r="AA938" t="str">
            <v>MBBS,MD</v>
          </cell>
          <cell r="AB938" t="str">
            <v>TSMC/FMR/26985</v>
          </cell>
          <cell r="AC938" t="str">
            <v>Telangana State Medical Council</v>
          </cell>
          <cell r="AD938">
            <v>45191</v>
          </cell>
          <cell r="AE938">
            <v>47017</v>
          </cell>
          <cell r="AF938">
            <v>7019448191</v>
          </cell>
          <cell r="AG938" t="str">
            <v>sharan22p@gmail.com</v>
          </cell>
          <cell r="AH938" t="str">
            <v>SBI Bank</v>
          </cell>
          <cell r="AI938" t="str">
            <v>32416807981</v>
          </cell>
          <cell r="AJ938" t="str">
            <v>SBIN0001814</v>
          </cell>
          <cell r="AK938" t="str">
            <v>DFLPP3963J</v>
          </cell>
          <cell r="AL938">
            <v>760064783166</v>
          </cell>
          <cell r="AM938" t="str">
            <v>Jaikant</v>
          </cell>
          <cell r="AN938">
            <v>45366</v>
          </cell>
          <cell r="AO938">
            <v>45335</v>
          </cell>
          <cell r="AP938" t="str">
            <v>Joining Fellowship</v>
          </cell>
          <cell r="AQ938" t="str">
            <v>Lq Gokak house no 204/49, gokkak, Belagavi, bengaluru, Karnataka-591307</v>
          </cell>
          <cell r="AS938" t="str">
            <v>Lq Gokak house no 204/49, gokkak, Belagavi, bengaluru, Karnataka-591307</v>
          </cell>
          <cell r="AU938">
            <v>0.35416666666666669</v>
          </cell>
          <cell r="AV938">
            <v>0.60416666666666663</v>
          </cell>
          <cell r="AW938">
            <v>34660</v>
          </cell>
          <cell r="AX938" t="str">
            <v>Male</v>
          </cell>
          <cell r="AY938" t="str">
            <v>Full Time</v>
          </cell>
          <cell r="AZ938">
            <v>6</v>
          </cell>
          <cell r="BA938" t="str">
            <v>Madhapur Cluster</v>
          </cell>
        </row>
        <row r="939">
          <cell r="M939" t="str">
            <v>Tele reporting</v>
          </cell>
          <cell r="N939" t="str">
            <v>Basic USG, Tiffa, Guided Procedures, Basic CT, X Ray, Plain Radiology, Mammography, IVP, RGU, MCGU, Barium Swallow, Barium Anema, HSG</v>
          </cell>
          <cell r="O939" t="str">
            <v>Radiology</v>
          </cell>
          <cell r="P939" t="str">
            <v>Consultant Radiologist</v>
          </cell>
          <cell r="Q939" t="str">
            <v>Dr Vijayanand</v>
          </cell>
          <cell r="R939">
            <v>45608</v>
          </cell>
          <cell r="S939">
            <v>45608</v>
          </cell>
          <cell r="T939">
            <v>46337</v>
          </cell>
          <cell r="U939">
            <v>46338</v>
          </cell>
          <cell r="V939">
            <v>2019</v>
          </cell>
          <cell r="W939" t="str">
            <v>karnataka institute of medical sciences</v>
          </cell>
          <cell r="X939">
            <v>2023</v>
          </cell>
          <cell r="Y939" t="str">
            <v>AJ Institute of medical sciences</v>
          </cell>
          <cell r="Z939" t="str">
            <v>NA</v>
          </cell>
          <cell r="AA939" t="str">
            <v>MBBS, MD Radio Diagnosis</v>
          </cell>
          <cell r="AB939" t="str">
            <v>TSMC/FMR/26985</v>
          </cell>
          <cell r="AC939" t="str">
            <v>Telangana State Medical Council</v>
          </cell>
          <cell r="AD939">
            <v>45191</v>
          </cell>
          <cell r="AE939">
            <v>47017</v>
          </cell>
          <cell r="AF939">
            <v>7019448191</v>
          </cell>
          <cell r="AG939" t="str">
            <v>sharan22p@gmail.com</v>
          </cell>
          <cell r="AH939" t="str">
            <v>SBI Bank</v>
          </cell>
          <cell r="AI939" t="str">
            <v>32416807981</v>
          </cell>
          <cell r="AJ939" t="str">
            <v>SBIN0001814</v>
          </cell>
          <cell r="AK939" t="str">
            <v>DFLPP3963J</v>
          </cell>
          <cell r="AL939" t="str">
            <v>760064783166</v>
          </cell>
          <cell r="AM939" t="str">
            <v>Jaikant</v>
          </cell>
          <cell r="AN939" t="str">
            <v>Tele</v>
          </cell>
          <cell r="AO939" t="str">
            <v>NA</v>
          </cell>
          <cell r="AP939" t="str">
            <v>not doing cases</v>
          </cell>
          <cell r="AQ939" t="str">
            <v>Gokak House No-204/49, Gokak, Belagavi, Karnataka - 591307.</v>
          </cell>
          <cell r="AR939">
            <v>30</v>
          </cell>
          <cell r="AW939">
            <v>34660</v>
          </cell>
          <cell r="AX939" t="str">
            <v>Male</v>
          </cell>
          <cell r="AY939" t="str">
            <v>Part Time</v>
          </cell>
        </row>
        <row r="940">
          <cell r="M940" t="str">
            <v>LBNagar - 87</v>
          </cell>
          <cell r="N940" t="str">
            <v>X-Ray (Plain Radiography-Basic,Advanced), USG(Basic, Doppler Studies,Thyroid/Scrotum USG, Breast USG,TIFFA, USG Guided FNAC, USG Guided Aspiration)</v>
          </cell>
          <cell r="O940" t="str">
            <v>Radiology</v>
          </cell>
          <cell r="P940" t="str">
            <v>Consultant Radiologist</v>
          </cell>
          <cell r="Q940" t="str">
            <v>Dr. Krishna Mohan Pottala</v>
          </cell>
          <cell r="R940">
            <v>45539</v>
          </cell>
          <cell r="S940">
            <v>45539</v>
          </cell>
          <cell r="T940">
            <v>46268</v>
          </cell>
          <cell r="U940">
            <v>46269</v>
          </cell>
          <cell r="V940">
            <v>2005</v>
          </cell>
          <cell r="W940" t="str">
            <v>Kurnool Medical College</v>
          </cell>
          <cell r="X940">
            <v>2017</v>
          </cell>
          <cell r="Y940" t="str">
            <v>Guntur Medical College</v>
          </cell>
          <cell r="Z940" t="str">
            <v>NA</v>
          </cell>
          <cell r="AA940" t="str">
            <v>MBBS, MD Radio diagnosis</v>
          </cell>
          <cell r="AB940">
            <v>56080</v>
          </cell>
          <cell r="AC940" t="str">
            <v>Telangana State Medical Council</v>
          </cell>
          <cell r="AD940">
            <v>44426</v>
          </cell>
          <cell r="AE940">
            <v>46251</v>
          </cell>
          <cell r="AF940">
            <v>9000993590</v>
          </cell>
          <cell r="AG940" t="str">
            <v>veenapaipatydr@gmail.com</v>
          </cell>
          <cell r="AH940" t="str">
            <v>STATE BANK OF INDIA</v>
          </cell>
          <cell r="AI940" t="str">
            <v>62270991545</v>
          </cell>
          <cell r="AJ940" t="str">
            <v>SBIN0021460</v>
          </cell>
          <cell r="AK940" t="str">
            <v>ATUPP2632C</v>
          </cell>
          <cell r="AL940">
            <v>532824093532</v>
          </cell>
          <cell r="AM940" t="str">
            <v>Paipaty Veeresh</v>
          </cell>
          <cell r="AN940">
            <v>45573</v>
          </cell>
          <cell r="AO940" t="str">
            <v>NA</v>
          </cell>
          <cell r="AP940" t="str">
            <v>Abscond</v>
          </cell>
          <cell r="AQ940" t="str">
            <v>16-2-742/F/2/3, Venkatadri Nagar Colony, Asmangadh, Malakpet, Hyderabad, Telangana-500036.</v>
          </cell>
          <cell r="AS940">
            <v>45</v>
          </cell>
          <cell r="AW940">
            <v>29310</v>
          </cell>
          <cell r="AX940" t="str">
            <v>Female</v>
          </cell>
          <cell r="AY940" t="str">
            <v>Full Time</v>
          </cell>
          <cell r="AZ940">
            <v>8</v>
          </cell>
          <cell r="BA940" t="str">
            <v>Dilshuknagar Cluster</v>
          </cell>
        </row>
        <row r="941">
          <cell r="M941" t="str">
            <v>Kattedan - 126</v>
          </cell>
          <cell r="N941" t="str">
            <v>Basic USG, Tiffa, Doppler, Guided Procedures, Basic CT, X Ray, Plain Radiology, Mammography, IVP, RGU, MCGU, Barium Swallow, Barium Anema, HSG</v>
          </cell>
          <cell r="O941" t="str">
            <v>Radiology</v>
          </cell>
          <cell r="P941" t="str">
            <v>Consultant Radiologist</v>
          </cell>
          <cell r="Q941" t="str">
            <v>Dr.Krishna Mohan</v>
          </cell>
          <cell r="R941">
            <v>45208</v>
          </cell>
          <cell r="S941">
            <v>45208</v>
          </cell>
          <cell r="T941">
            <v>45938</v>
          </cell>
          <cell r="U941">
            <v>45939</v>
          </cell>
          <cell r="V941">
            <v>2018</v>
          </cell>
          <cell r="W941" t="str">
            <v>Osmania Medical College</v>
          </cell>
          <cell r="X941">
            <v>2022</v>
          </cell>
          <cell r="Y941" t="str">
            <v>Gandhi Medical College</v>
          </cell>
          <cell r="Z941" t="str">
            <v>NA</v>
          </cell>
          <cell r="AA941" t="str">
            <v>MBBS,MD</v>
          </cell>
          <cell r="AB941" t="str">
            <v>TSMC/FMR/07422</v>
          </cell>
          <cell r="AC941" t="str">
            <v>Telangana State Medical Council</v>
          </cell>
          <cell r="AD941">
            <v>45052</v>
          </cell>
          <cell r="AE941">
            <v>46878</v>
          </cell>
          <cell r="AF941">
            <v>9391363796</v>
          </cell>
          <cell r="AG941" t="str">
            <v>pavani_vlw@yahoo.com</v>
          </cell>
          <cell r="AH941" t="str">
            <v>SBI Bank</v>
          </cell>
          <cell r="AI941" t="str">
            <v>38429266000</v>
          </cell>
          <cell r="AJ941" t="str">
            <v>SBIN0012720</v>
          </cell>
          <cell r="AK941" t="str">
            <v>CNMPP9951L</v>
          </cell>
          <cell r="AL941">
            <v>729027755175</v>
          </cell>
          <cell r="AN941">
            <v>45443</v>
          </cell>
          <cell r="AO941">
            <v>45373</v>
          </cell>
          <cell r="AP941" t="str">
            <v>Got Government Job</v>
          </cell>
          <cell r="AQ941" t="str">
            <v>H.No-3-5-138, Shiva Nagar Colony, Pillar No-154, Attapur, Hyderabad-500048</v>
          </cell>
          <cell r="AS941" t="str">
            <v>H.No-3-5-138, Shiva Nagar Colony, Pillar No-154, Attapur, Hyderabad-500048</v>
          </cell>
          <cell r="AU941">
            <v>0.35416666666666669</v>
          </cell>
          <cell r="AV941">
            <v>0.52083333333333337</v>
          </cell>
          <cell r="AW941">
            <v>34585</v>
          </cell>
          <cell r="AX941" t="str">
            <v>Female</v>
          </cell>
          <cell r="AY941" t="str">
            <v>Part Time</v>
          </cell>
          <cell r="AZ941">
            <v>4</v>
          </cell>
          <cell r="BA941" t="str">
            <v>Santosh Nagar Cluster</v>
          </cell>
        </row>
        <row r="942">
          <cell r="M942" t="str">
            <v>Panjagutta-121</v>
          </cell>
          <cell r="N942" t="str">
            <v>NA</v>
          </cell>
          <cell r="O942" t="str">
            <v>Nuclear Medicine</v>
          </cell>
          <cell r="P942" t="str">
            <v>Consultant Nuclear Medicine</v>
          </cell>
          <cell r="Q942" t="str">
            <v>Dr Anuj Jain</v>
          </cell>
          <cell r="R942">
            <v>45533</v>
          </cell>
          <cell r="S942">
            <v>45533</v>
          </cell>
          <cell r="T942">
            <v>46262</v>
          </cell>
          <cell r="U942">
            <v>46263</v>
          </cell>
          <cell r="V942">
            <v>2018</v>
          </cell>
          <cell r="W942" t="str">
            <v>Gandhi Medical College</v>
          </cell>
          <cell r="X942">
            <v>2023</v>
          </cell>
          <cell r="Y942" t="str">
            <v>Bhabha Atomic Research Centre</v>
          </cell>
          <cell r="Z942" t="str">
            <v>NA</v>
          </cell>
          <cell r="AA942" t="str">
            <v>MBBS,MD-Nuclear Medicine</v>
          </cell>
          <cell r="AB942" t="str">
            <v>TSMC/FMR/10076</v>
          </cell>
          <cell r="AC942" t="str">
            <v>Telangana State Medical Council</v>
          </cell>
          <cell r="AD942">
            <v>45518</v>
          </cell>
          <cell r="AE942">
            <v>47343</v>
          </cell>
          <cell r="AF942">
            <v>8074607091</v>
          </cell>
          <cell r="AG942" t="str">
            <v>yeshwanthedamadaka@gmail.com</v>
          </cell>
          <cell r="AH942" t="str">
            <v>STATE BANK OF INDIA</v>
          </cell>
          <cell r="AI942" t="str">
            <v>62298033262</v>
          </cell>
          <cell r="AJ942" t="str">
            <v>SBIN0005094</v>
          </cell>
          <cell r="AK942" t="str">
            <v>ADIPE5888K</v>
          </cell>
          <cell r="AL942">
            <v>544436229005</v>
          </cell>
          <cell r="AM942" t="str">
            <v>Edamadala Bala Subramanyam</v>
          </cell>
          <cell r="AN942">
            <v>45573</v>
          </cell>
          <cell r="AO942" t="str">
            <v>NA</v>
          </cell>
          <cell r="AP942" t="str">
            <v>Better offer</v>
          </cell>
          <cell r="AQ942" t="str">
            <v>1-66/4, P.NO:6/64, Flat No- 201, Padmaja Avenue, Motinagar Ext, Near Hanuman temple, Bobbuguda Vil, VTC: Balanagar, Sanathnagar, K.V. Rangareddy, Telangana-500018.</v>
          </cell>
          <cell r="AS942">
            <v>29</v>
          </cell>
          <cell r="AW942">
            <v>35274</v>
          </cell>
          <cell r="AX942" t="str">
            <v>Male</v>
          </cell>
          <cell r="AY942" t="str">
            <v>Full Time</v>
          </cell>
          <cell r="AZ942">
            <v>8</v>
          </cell>
          <cell r="BA942" t="str">
            <v>Punjagutta Cluster</v>
          </cell>
        </row>
        <row r="943">
          <cell r="M943" t="str">
            <v>Attapur - 34</v>
          </cell>
          <cell r="N943" t="str">
            <v>N/A</v>
          </cell>
          <cell r="O943" t="str">
            <v>Physician Services</v>
          </cell>
          <cell r="P943" t="str">
            <v>Consultant Physician</v>
          </cell>
          <cell r="Q943" t="str">
            <v>N/A</v>
          </cell>
          <cell r="R943">
            <v>45208</v>
          </cell>
          <cell r="S943">
            <v>45208</v>
          </cell>
          <cell r="T943">
            <v>45938</v>
          </cell>
          <cell r="U943">
            <v>45939</v>
          </cell>
          <cell r="V943">
            <v>2021</v>
          </cell>
          <cell r="W943" t="str">
            <v>Deccan College of Medical Science</v>
          </cell>
          <cell r="X943" t="str">
            <v>N/A</v>
          </cell>
          <cell r="Y943" t="str">
            <v>N/A</v>
          </cell>
          <cell r="Z943" t="str">
            <v>NA</v>
          </cell>
          <cell r="AA943" t="str">
            <v>MBBS</v>
          </cell>
          <cell r="AB943" t="str">
            <v>TSMC/FMR/18670</v>
          </cell>
          <cell r="AC943" t="str">
            <v>Telangana State Medical Council</v>
          </cell>
          <cell r="AD943">
            <v>44534</v>
          </cell>
          <cell r="AE943">
            <v>46359</v>
          </cell>
          <cell r="AF943">
            <v>8106199807</v>
          </cell>
          <cell r="AG943" t="str">
            <v>himayatkhan789@gmail.com</v>
          </cell>
          <cell r="AH943" t="str">
            <v>SBI Bank</v>
          </cell>
          <cell r="AI943" t="str">
            <v>38191385217</v>
          </cell>
          <cell r="AJ943" t="str">
            <v>SBIN0018395</v>
          </cell>
          <cell r="AK943" t="str">
            <v>HUCPK4623L</v>
          </cell>
          <cell r="AL943">
            <v>926466894893</v>
          </cell>
          <cell r="AM943" t="str">
            <v>Mohammed Rahatullah Khan</v>
          </cell>
          <cell r="AN943">
            <v>45418</v>
          </cell>
          <cell r="AO943" t="str">
            <v>NA</v>
          </cell>
          <cell r="AQ943" t="str">
            <v>Hno-12-2-800/441/1, Dilshad Nagar Colony, Mehdipatnam,Hyderabad , Telangana-500028</v>
          </cell>
          <cell r="AS943" t="str">
            <v>Hno-12-2-800/441/1, Dilshad Nagar Colony, Mehdipatnam,Hyderabad , Telangana-500028</v>
          </cell>
          <cell r="AU943">
            <v>0.4375</v>
          </cell>
          <cell r="AV943">
            <v>0.47916666666666669</v>
          </cell>
          <cell r="AW943">
            <v>35524</v>
          </cell>
          <cell r="AX943" t="str">
            <v>Male</v>
          </cell>
          <cell r="AY943" t="str">
            <v>Part Time</v>
          </cell>
          <cell r="AZ943">
            <v>1</v>
          </cell>
          <cell r="BA943" t="str">
            <v>Tolichowki Cluster</v>
          </cell>
        </row>
        <row r="944">
          <cell r="M944" t="str">
            <v>Tolichowki - 23</v>
          </cell>
          <cell r="O944" t="str">
            <v>Pathology</v>
          </cell>
          <cell r="P944" t="str">
            <v>Consultant Pathologist</v>
          </cell>
          <cell r="R944">
            <v>45208</v>
          </cell>
          <cell r="S944">
            <v>45208</v>
          </cell>
          <cell r="T944">
            <v>45938</v>
          </cell>
          <cell r="U944">
            <v>45939</v>
          </cell>
          <cell r="W944" t="str">
            <v>VRK Womens Medical College</v>
          </cell>
          <cell r="Y944" t="str">
            <v>Osmania Medical College</v>
          </cell>
          <cell r="AB944" t="str">
            <v>TSMC/FMR/03914</v>
          </cell>
          <cell r="AC944" t="str">
            <v>Telangana State Medical Council</v>
          </cell>
          <cell r="AD944">
            <v>44937</v>
          </cell>
          <cell r="AE944">
            <v>46762</v>
          </cell>
          <cell r="AF944">
            <v>7013786920</v>
          </cell>
          <cell r="AG944" t="str">
            <v>noush.kouser@gmail.com</v>
          </cell>
          <cell r="AH944" t="str">
            <v>SBI Bank</v>
          </cell>
          <cell r="AI944">
            <v>32043469044</v>
          </cell>
          <cell r="AJ944" t="str">
            <v>SBIN0003256</v>
          </cell>
          <cell r="AK944" t="str">
            <v>FAYPK1962C</v>
          </cell>
          <cell r="AL944">
            <v>432396987570</v>
          </cell>
          <cell r="AN944">
            <v>45208</v>
          </cell>
          <cell r="AO944" t="str">
            <v>NA</v>
          </cell>
          <cell r="AQ944" t="str">
            <v>19-3-702-703/1,Ghazi Banda,Shah Ali Banda, Near Daisy High School,Charminar,Hyderabad-500065</v>
          </cell>
          <cell r="AS944" t="str">
            <v>19-3-702-703/1,Ghazi Banda,Shah Ali Banda, Near Daisy High School,Charminar,Hyderabad-500065</v>
          </cell>
          <cell r="AX944" t="str">
            <v>Female</v>
          </cell>
          <cell r="AY944" t="str">
            <v>Part Time</v>
          </cell>
          <cell r="AZ944">
            <v>2</v>
          </cell>
          <cell r="BA944" t="str">
            <v>Tolichowki Cluster</v>
          </cell>
        </row>
        <row r="945">
          <cell r="M945" t="str">
            <v>Sec II S D Road - 13</v>
          </cell>
          <cell r="N945" t="str">
            <v>NA</v>
          </cell>
          <cell r="O945" t="str">
            <v>Physician Services</v>
          </cell>
          <cell r="P945" t="str">
            <v>Consultant Physician</v>
          </cell>
          <cell r="Q945" t="str">
            <v>N/A</v>
          </cell>
          <cell r="R945">
            <v>45476</v>
          </cell>
          <cell r="S945">
            <v>45476</v>
          </cell>
          <cell r="T945">
            <v>46205</v>
          </cell>
          <cell r="U945">
            <v>46206</v>
          </cell>
          <cell r="V945">
            <v>2019</v>
          </cell>
          <cell r="W945" t="str">
            <v>Dr NTR University of health sciences,Vijayawada,Andhra Pradesh</v>
          </cell>
          <cell r="X945">
            <v>2019</v>
          </cell>
          <cell r="Y945" t="str">
            <v>N/A</v>
          </cell>
          <cell r="Z945" t="str">
            <v>NA</v>
          </cell>
          <cell r="AA945" t="str">
            <v>MBBS</v>
          </cell>
          <cell r="AB945" t="str">
            <v>APMC/FMR/110683</v>
          </cell>
          <cell r="AC945" t="str">
            <v>Andhra Pradesh Medical Council</v>
          </cell>
          <cell r="AD945">
            <v>44112</v>
          </cell>
          <cell r="AE945">
            <v>45937</v>
          </cell>
          <cell r="AF945">
            <v>9652607712</v>
          </cell>
          <cell r="AG945" t="str">
            <v>kazasweety123@gmail.com</v>
          </cell>
          <cell r="AH945" t="str">
            <v>State Bank of India</v>
          </cell>
          <cell r="AI945" t="str">
            <v>31446197545</v>
          </cell>
          <cell r="AJ945" t="str">
            <v>SBIN0008997</v>
          </cell>
          <cell r="AK945" t="str">
            <v>GKSPS3439H</v>
          </cell>
          <cell r="AL945">
            <v>747146569999</v>
          </cell>
          <cell r="AM945" t="str">
            <v>Shaik Abdul Rehman</v>
          </cell>
          <cell r="AN945">
            <v>45574</v>
          </cell>
          <cell r="AO945" t="str">
            <v>NA</v>
          </cell>
          <cell r="AP945" t="str">
            <v>Moved to Delhi (Abscond)</v>
          </cell>
          <cell r="AS945">
            <v>28</v>
          </cell>
          <cell r="AW945">
            <v>35565</v>
          </cell>
          <cell r="AX945" t="str">
            <v>Female</v>
          </cell>
          <cell r="AY945" t="str">
            <v>Part Time</v>
          </cell>
          <cell r="AZ945">
            <v>1</v>
          </cell>
          <cell r="BA945" t="str">
            <v>Secunderabad Cluster</v>
          </cell>
        </row>
        <row r="946">
          <cell r="M946" t="str">
            <v>Madhapur-2 - 70</v>
          </cell>
          <cell r="N946" t="str">
            <v>Basic USG, Tiffa, Guided Procedures, Basic CT, X Ray, Plain Radiology, Mammography, IVP, RGU, MCGU, Barium Swallow, Barium Anema, HSG</v>
          </cell>
          <cell r="O946" t="str">
            <v>Radiology</v>
          </cell>
          <cell r="P946" t="str">
            <v>Consultant Radiologist</v>
          </cell>
          <cell r="Q946" t="str">
            <v>Dr.Krishna Mohan</v>
          </cell>
          <cell r="R946">
            <v>45211</v>
          </cell>
          <cell r="S946">
            <v>45211</v>
          </cell>
          <cell r="T946">
            <v>45941</v>
          </cell>
          <cell r="U946">
            <v>45942</v>
          </cell>
          <cell r="V946">
            <v>2019</v>
          </cell>
          <cell r="W946" t="str">
            <v>karnataka institute of medical sciences</v>
          </cell>
          <cell r="X946">
            <v>2023</v>
          </cell>
          <cell r="Y946" t="str">
            <v>AJ Institute of medical sciences</v>
          </cell>
          <cell r="Z946" t="str">
            <v>NA</v>
          </cell>
          <cell r="AA946" t="str">
            <v>MBBS,MD</v>
          </cell>
          <cell r="AB946" t="str">
            <v>TSMC/FMR/26985</v>
          </cell>
          <cell r="AC946" t="str">
            <v>Telangana State Medical Council</v>
          </cell>
          <cell r="AD946">
            <v>45191</v>
          </cell>
          <cell r="AE946">
            <v>47017</v>
          </cell>
          <cell r="AF946">
            <v>7019448191</v>
          </cell>
          <cell r="AG946" t="str">
            <v>sharan22p@gmail.com</v>
          </cell>
          <cell r="AH946" t="str">
            <v>SBI Bank</v>
          </cell>
          <cell r="AI946" t="str">
            <v>32416807981</v>
          </cell>
          <cell r="AJ946" t="str">
            <v>SBIN0001814</v>
          </cell>
          <cell r="AK946" t="str">
            <v>DFLPP3963J</v>
          </cell>
          <cell r="AL946">
            <v>760064783166</v>
          </cell>
          <cell r="AN946">
            <v>45366</v>
          </cell>
          <cell r="AO946">
            <v>45335</v>
          </cell>
          <cell r="AP946" t="str">
            <v>Joining Fellowship</v>
          </cell>
          <cell r="AQ946" t="str">
            <v>Lq Gokak house no 204/49, gokkak, Belagavi, bengaluru, Karnataka-591307</v>
          </cell>
          <cell r="AS946" t="str">
            <v>Lq Gokak house no 204/49, gokkak, Belagavi, bengaluru, Karnataka-591307</v>
          </cell>
          <cell r="AU946">
            <v>0.75</v>
          </cell>
          <cell r="AV946">
            <v>0.83333333333333337</v>
          </cell>
          <cell r="AW946">
            <v>34660</v>
          </cell>
          <cell r="AX946" t="str">
            <v>Male</v>
          </cell>
          <cell r="AY946" t="str">
            <v>Full Time</v>
          </cell>
          <cell r="AZ946">
            <v>2</v>
          </cell>
          <cell r="BA946" t="str">
            <v>Madhapur Cluster</v>
          </cell>
        </row>
        <row r="947">
          <cell r="M947" t="str">
            <v>Kompally - 65</v>
          </cell>
          <cell r="N947" t="str">
            <v>NA</v>
          </cell>
          <cell r="O947" t="str">
            <v>Physician Services</v>
          </cell>
          <cell r="P947" t="str">
            <v>Consultant Physician</v>
          </cell>
          <cell r="Q947" t="str">
            <v>NA</v>
          </cell>
          <cell r="R947">
            <v>45531</v>
          </cell>
          <cell r="S947">
            <v>45531</v>
          </cell>
          <cell r="T947">
            <v>46260</v>
          </cell>
          <cell r="U947">
            <v>46261</v>
          </cell>
          <cell r="V947">
            <v>2023</v>
          </cell>
          <cell r="W947" t="str">
            <v>Kasturba Medical College</v>
          </cell>
          <cell r="X947" t="str">
            <v>NA</v>
          </cell>
          <cell r="Y947" t="str">
            <v>NA</v>
          </cell>
          <cell r="Z947" t="str">
            <v>NA</v>
          </cell>
          <cell r="AA947" t="str">
            <v>MBBS</v>
          </cell>
          <cell r="AB947" t="str">
            <v>TSMC/FMR/26918</v>
          </cell>
          <cell r="AC947" t="str">
            <v>Telangana State Medical Council</v>
          </cell>
          <cell r="AD947">
            <v>45243</v>
          </cell>
          <cell r="AE947">
            <v>47014</v>
          </cell>
          <cell r="AF947">
            <v>9741860735</v>
          </cell>
          <cell r="AG947" t="str">
            <v>sharath1192@gmail.com</v>
          </cell>
          <cell r="AH947" t="str">
            <v>STATE BANK OF INDIA</v>
          </cell>
          <cell r="AI947" t="str">
            <v>20178645551</v>
          </cell>
          <cell r="AJ947" t="str">
            <v>SBIN0004928</v>
          </cell>
          <cell r="AK947" t="str">
            <v>EZXPS7525G</v>
          </cell>
          <cell r="AL947">
            <v>234667975855</v>
          </cell>
          <cell r="AM947" t="str">
            <v>Bhaskar Nandibhatla</v>
          </cell>
          <cell r="AN947">
            <v>45575</v>
          </cell>
          <cell r="AO947" t="str">
            <v>NA</v>
          </cell>
          <cell r="AP947" t="str">
            <v>Personal reasons</v>
          </cell>
          <cell r="AQ947" t="str">
            <v>Flat No:- 402,SSS Plaza Sri Krishna Nagar Colony, Chakripuram,ECIL, Secunderabad, Hyderabad, telangana - 500062.</v>
          </cell>
          <cell r="AS947">
            <v>33</v>
          </cell>
          <cell r="AW947">
            <v>33916</v>
          </cell>
          <cell r="AX947" t="str">
            <v>Male</v>
          </cell>
          <cell r="AY947" t="str">
            <v>Part Time</v>
          </cell>
          <cell r="AZ947">
            <v>2</v>
          </cell>
          <cell r="BA947" t="str">
            <v>Secunderabad Cluster</v>
          </cell>
        </row>
        <row r="948">
          <cell r="M948" t="str">
            <v>Shaikpet-127</v>
          </cell>
          <cell r="N948" t="str">
            <v>Ultrasound, X- Ray</v>
          </cell>
          <cell r="O948" t="str">
            <v>Radiology</v>
          </cell>
          <cell r="P948" t="str">
            <v>Consultant Radiologist</v>
          </cell>
          <cell r="Q948" t="str">
            <v>Dr. Krishna Mohan Pottala</v>
          </cell>
          <cell r="R948">
            <v>45170</v>
          </cell>
          <cell r="S948">
            <v>45170</v>
          </cell>
          <cell r="T948">
            <v>45900</v>
          </cell>
          <cell r="U948">
            <v>45901</v>
          </cell>
          <cell r="V948">
            <v>2020</v>
          </cell>
          <cell r="W948" t="str">
            <v>Deccan College of Medical Sciences, Hyderabad</v>
          </cell>
          <cell r="X948">
            <v>2023</v>
          </cell>
          <cell r="Y948" t="str">
            <v>Mediciti institute of Medical Sciences, Hyderabad</v>
          </cell>
          <cell r="Z948" t="str">
            <v>NA</v>
          </cell>
          <cell r="AA948" t="str">
            <v>MBBS,MD</v>
          </cell>
          <cell r="AB948" t="str">
            <v>TSMC/FMR/13216</v>
          </cell>
          <cell r="AC948" t="str">
            <v>Telangana State Medical Council</v>
          </cell>
          <cell r="AD948">
            <v>45162</v>
          </cell>
          <cell r="AE948">
            <v>46988</v>
          </cell>
          <cell r="AF948">
            <v>9848744904</v>
          </cell>
          <cell r="AG948" t="str">
            <v>vasireddysarojini5@gmail.com</v>
          </cell>
          <cell r="AH948" t="str">
            <v>Canara Bank</v>
          </cell>
          <cell r="AI948">
            <v>1894000050</v>
          </cell>
          <cell r="AJ948" t="str">
            <v>CBIN0283639</v>
          </cell>
          <cell r="AK948" t="str">
            <v>AWBPV6378B</v>
          </cell>
          <cell r="AL948">
            <v>543606891985</v>
          </cell>
          <cell r="AN948">
            <v>45577</v>
          </cell>
          <cell r="AO948" t="str">
            <v>NA</v>
          </cell>
          <cell r="AP948" t="str">
            <v>Asked to leave</v>
          </cell>
          <cell r="AQ948" t="str">
            <v>Plot No-246, Road No-78, Jubilee Hills, Shaikpet, Filmnagar, Hyderabad-500096</v>
          </cell>
          <cell r="AS948" t="str">
            <v>Plot No-246, Road No-78, Jubilee Hills, Shaikpet, Filmnagar, Hyderabad-500096</v>
          </cell>
          <cell r="AU948">
            <v>0.35416666666666669</v>
          </cell>
          <cell r="AV948">
            <v>0.52083333333333337</v>
          </cell>
          <cell r="AW948">
            <v>35100</v>
          </cell>
          <cell r="AX948" t="str">
            <v>Female</v>
          </cell>
          <cell r="AY948" t="str">
            <v>Part Time</v>
          </cell>
          <cell r="AZ948">
            <v>4</v>
          </cell>
          <cell r="BA948" t="str">
            <v>Tolichowki Cluster</v>
          </cell>
        </row>
        <row r="949">
          <cell r="M949" t="str">
            <v>Film Nagar - 38</v>
          </cell>
          <cell r="N949" t="str">
            <v>NA</v>
          </cell>
          <cell r="O949" t="str">
            <v>Physician Services</v>
          </cell>
          <cell r="P949" t="str">
            <v>Consultant Physician</v>
          </cell>
          <cell r="Q949" t="str">
            <v>NA</v>
          </cell>
          <cell r="R949">
            <v>45579</v>
          </cell>
          <cell r="S949">
            <v>45579</v>
          </cell>
          <cell r="T949">
            <v>46308</v>
          </cell>
          <cell r="U949">
            <v>46309</v>
          </cell>
          <cell r="V949">
            <v>2018</v>
          </cell>
          <cell r="W949" t="str">
            <v>Prathima Institute of Medical Sciences</v>
          </cell>
          <cell r="X949" t="str">
            <v>NA</v>
          </cell>
          <cell r="Y949" t="str">
            <v>NA</v>
          </cell>
          <cell r="Z949" t="str">
            <v>NA</v>
          </cell>
          <cell r="AA949" t="str">
            <v>MBBS</v>
          </cell>
          <cell r="AB949" t="str">
            <v>TSMC/FMR/21180</v>
          </cell>
          <cell r="AC949" t="str">
            <v>Telangana State Medical Council</v>
          </cell>
          <cell r="AD949">
            <v>44792</v>
          </cell>
          <cell r="AE949">
            <v>46617</v>
          </cell>
          <cell r="AF949">
            <v>8106638635</v>
          </cell>
          <cell r="AG949" t="str">
            <v>aishwaryareddy.nookala@gmail.com</v>
          </cell>
          <cell r="AK949" t="str">
            <v>ATUPN6203F</v>
          </cell>
          <cell r="AL949">
            <v>857462407403</v>
          </cell>
          <cell r="AM949" t="str">
            <v>Nukala Dinesh Reddy</v>
          </cell>
          <cell r="AN949">
            <v>45581</v>
          </cell>
          <cell r="AO949" t="str">
            <v>NA</v>
          </cell>
          <cell r="AP949" t="str">
            <v>Abscond</v>
          </cell>
          <cell r="AQ949" t="str">
            <v>6-1-88, Kankara Board, Mahabubabad, Warangal, Telangana-506101.</v>
          </cell>
          <cell r="AS949">
            <v>30</v>
          </cell>
          <cell r="AW949">
            <v>34872</v>
          </cell>
          <cell r="AX949" t="str">
            <v>Female</v>
          </cell>
          <cell r="AY949" t="str">
            <v>Part Time</v>
          </cell>
          <cell r="AZ949">
            <v>1</v>
          </cell>
          <cell r="BA949" t="str">
            <v>Himayathnagar Cluster</v>
          </cell>
        </row>
        <row r="950">
          <cell r="M950" t="str">
            <v>Tolichowki - 23</v>
          </cell>
          <cell r="N950" t="str">
            <v>Basic USG, Tiffa, Basic CT, X Ray, Plain Radiology, IVP, RGU, MCGU, Barium Swallow, Barium Anema, HSG</v>
          </cell>
          <cell r="O950" t="str">
            <v>Radiology</v>
          </cell>
          <cell r="P950" t="str">
            <v>Consultant Radiologist</v>
          </cell>
          <cell r="Q950" t="str">
            <v>Dr. Krishna Mohan Pottala</v>
          </cell>
          <cell r="R950">
            <v>45139</v>
          </cell>
          <cell r="S950">
            <v>45139</v>
          </cell>
          <cell r="T950">
            <v>45869</v>
          </cell>
          <cell r="U950">
            <v>45870</v>
          </cell>
          <cell r="W950" t="str">
            <v>NTR University</v>
          </cell>
          <cell r="Z950" t="str">
            <v>N/A</v>
          </cell>
          <cell r="AA950" t="str">
            <v>MBBS, MD</v>
          </cell>
          <cell r="AB950">
            <v>50125</v>
          </cell>
          <cell r="AC950" t="str">
            <v>Telangana State Medical Council</v>
          </cell>
          <cell r="AF950">
            <v>9182660864</v>
          </cell>
          <cell r="AG950" t="str">
            <v>drjuveriamd@gmail.com</v>
          </cell>
          <cell r="AH950" t="str">
            <v>SBI Bank</v>
          </cell>
          <cell r="AI950">
            <v>20148129198</v>
          </cell>
          <cell r="AJ950" t="str">
            <v>SBIN0005095</v>
          </cell>
          <cell r="AK950" t="str">
            <v>AIIPJ4242K</v>
          </cell>
          <cell r="AL950">
            <v>749265497005</v>
          </cell>
          <cell r="AN950">
            <v>45582</v>
          </cell>
          <cell r="AO950" t="str">
            <v>NA</v>
          </cell>
          <cell r="AP950" t="str">
            <v>Health problem</v>
          </cell>
          <cell r="AQ950" t="str">
            <v>8-1-40/a/37, Samtha Colony, 7 Tombs Road, Toli Chowki, Hyderabad - 500008</v>
          </cell>
          <cell r="AS950" t="e">
            <v>#REF!</v>
          </cell>
          <cell r="AU950">
            <v>0.75</v>
          </cell>
          <cell r="AV950">
            <v>3</v>
          </cell>
          <cell r="AW950">
            <v>401028</v>
          </cell>
          <cell r="AX950" t="str">
            <v>Female</v>
          </cell>
          <cell r="AY950" t="str">
            <v>Part Time</v>
          </cell>
          <cell r="AZ950">
            <v>3</v>
          </cell>
          <cell r="BA950" t="str">
            <v>Tolichowki Cluster</v>
          </cell>
        </row>
        <row r="951">
          <cell r="M951" t="str">
            <v>Vanasthalipuram - 33</v>
          </cell>
          <cell r="N951" t="str">
            <v>Basic USG, Doppler Studies, Thyroid/Scrotum USG, Breast USG, Tiffa, MSK USG, USG Guided FNAC, Guided Procedures, Basic CT, Chest/ Abdomen/Neck, Basic MRI, X Ray, Plain Radiography, Mammography, IVP, RGU, MCUG, Barium Swallow, Barium Anema, HSG.</v>
          </cell>
          <cell r="O951" t="str">
            <v>Radiology</v>
          </cell>
          <cell r="P951" t="str">
            <v>Consultant Radiologist</v>
          </cell>
          <cell r="Q951" t="str">
            <v>Dr. Krishna Mohan Pottala</v>
          </cell>
          <cell r="R951">
            <v>45383</v>
          </cell>
          <cell r="S951">
            <v>45383</v>
          </cell>
          <cell r="T951">
            <v>46112</v>
          </cell>
          <cell r="U951">
            <v>46113</v>
          </cell>
          <cell r="V951">
            <v>2012</v>
          </cell>
          <cell r="W951" t="str">
            <v>Kamineni institute of medical sciences</v>
          </cell>
          <cell r="X951">
            <v>2023</v>
          </cell>
          <cell r="Y951" t="str">
            <v>D.Y. Patil Medical College</v>
          </cell>
          <cell r="Z951" t="str">
            <v>NA</v>
          </cell>
          <cell r="AA951" t="str">
            <v>MBBS,MD</v>
          </cell>
          <cell r="AB951" t="str">
            <v>TSMC/FMR/06970</v>
          </cell>
          <cell r="AC951" t="str">
            <v>Telangana State Medical Council</v>
          </cell>
          <cell r="AD951">
            <v>45153</v>
          </cell>
          <cell r="AE951">
            <v>46979</v>
          </cell>
          <cell r="AF951">
            <v>9866786867</v>
          </cell>
          <cell r="AG951" t="str">
            <v>kurikalanidhi@gmail.com</v>
          </cell>
          <cell r="AH951" t="str">
            <v>YES Bank</v>
          </cell>
          <cell r="AI951" t="str">
            <v>127452400002212</v>
          </cell>
          <cell r="AJ951" t="str">
            <v>YESB0001274</v>
          </cell>
          <cell r="AK951" t="str">
            <v>FUIPK4371M</v>
          </cell>
          <cell r="AL951">
            <v>976608939800</v>
          </cell>
          <cell r="AN951">
            <v>45584</v>
          </cell>
          <cell r="AO951" t="str">
            <v>NA</v>
          </cell>
          <cell r="AP951" t="str">
            <v>Leave policies</v>
          </cell>
          <cell r="AQ951" t="str">
            <v>3-4-60/1, Sudha Nagar, Hanamkonda, Warangal, Telangana - 506001</v>
          </cell>
          <cell r="AS951" t="str">
            <v>3-4-60/1, Sudha Nagar, Hanamkonda, Warangal, Telangana - 506001</v>
          </cell>
          <cell r="AU951">
            <v>0.70833333333333337</v>
          </cell>
          <cell r="AV951">
            <v>0.875</v>
          </cell>
          <cell r="AW951">
            <v>34676</v>
          </cell>
          <cell r="AX951" t="str">
            <v>Female</v>
          </cell>
          <cell r="AY951" t="str">
            <v>Part Time</v>
          </cell>
          <cell r="AZ951">
            <v>4</v>
          </cell>
          <cell r="BA951" t="str">
            <v>Dilshuknagar Cluster</v>
          </cell>
        </row>
        <row r="952">
          <cell r="M952" t="str">
            <v>Kavuri Hills-5</v>
          </cell>
          <cell r="N952" t="str">
            <v xml:space="preserve"> Basic USG, Tiffa, Fetal Echo, MSK,  Guided procedures,  X-Ray, Mammography, HSG, Basic CT, Basic MRI</v>
          </cell>
          <cell r="O952" t="str">
            <v>Radiology</v>
          </cell>
          <cell r="P952" t="str">
            <v>Consultant Radiologist</v>
          </cell>
          <cell r="Q952" t="str">
            <v>Dr. Krishna Mohan Pottala</v>
          </cell>
          <cell r="R952">
            <v>44812</v>
          </cell>
          <cell r="S952">
            <v>44812</v>
          </cell>
          <cell r="T952">
            <v>45542</v>
          </cell>
          <cell r="U952">
            <v>45543</v>
          </cell>
          <cell r="V952">
            <v>1994</v>
          </cell>
          <cell r="W952" t="str">
            <v>Government Medical College, Guntur, Andhra Pradesh</v>
          </cell>
          <cell r="X952">
            <v>2014</v>
          </cell>
          <cell r="Y952" t="str">
            <v>Osmania Medical College, Hyderabad</v>
          </cell>
          <cell r="Z952" t="str">
            <v>NA</v>
          </cell>
          <cell r="AA952" t="str">
            <v>MBBS, MD</v>
          </cell>
          <cell r="AB952">
            <v>36629</v>
          </cell>
          <cell r="AC952" t="str">
            <v>Telangana State Medical Council</v>
          </cell>
          <cell r="AD952">
            <v>44673</v>
          </cell>
          <cell r="AE952">
            <v>46498</v>
          </cell>
          <cell r="AF952">
            <v>9849050780</v>
          </cell>
          <cell r="AG952" t="str">
            <v>drksaisree@gmail.com</v>
          </cell>
          <cell r="AH952" t="str">
            <v>HDFC Bank</v>
          </cell>
          <cell r="AI952" t="str">
            <v>50100340797350</v>
          </cell>
          <cell r="AJ952" t="str">
            <v>HDFC0004348</v>
          </cell>
          <cell r="AK952" t="str">
            <v>AHWPK9371R</v>
          </cell>
          <cell r="AL952">
            <v>425769622166</v>
          </cell>
          <cell r="AM952" t="str">
            <v>Sriramkrishna Chowdary Medikonda</v>
          </cell>
          <cell r="AN952">
            <v>45586</v>
          </cell>
          <cell r="AO952" t="str">
            <v>NA</v>
          </cell>
          <cell r="AP952" t="str">
            <v>Personal reasons</v>
          </cell>
          <cell r="AQ952" t="str">
            <v>8-3-167/D/224, Kalyan Nagar Phase 1, Behind Andhra Bank, Vengalrao nagar, Ameerpet, SR Nagar, Hyderabad, Andhra Pradesh-500038.</v>
          </cell>
          <cell r="AS952" t="str">
            <v>8-3-167/D/224, Kalyan Nagar Phase 1, Behind Andhra Bank, Vengalrao nagar, Ameerpet, SR Nagar, Hyderabad, Andhra Pradesh-500038.</v>
          </cell>
          <cell r="AU952">
            <v>0.75</v>
          </cell>
          <cell r="AV952">
            <v>0.83333333333333337</v>
          </cell>
          <cell r="AW952">
            <v>25122</v>
          </cell>
          <cell r="AX952" t="str">
            <v>Female</v>
          </cell>
          <cell r="AY952" t="str">
            <v>Part Time</v>
          </cell>
          <cell r="AZ952">
            <v>2</v>
          </cell>
          <cell r="BA952" t="str">
            <v>Madhapur Cluster</v>
          </cell>
        </row>
        <row r="953">
          <cell r="M953" t="str">
            <v>Habsiguda - 17</v>
          </cell>
          <cell r="N953" t="str">
            <v>N/A</v>
          </cell>
          <cell r="O953" t="str">
            <v>Physician Services</v>
          </cell>
          <cell r="P953" t="str">
            <v>Consultant Physician</v>
          </cell>
          <cell r="Q953" t="str">
            <v>N/A</v>
          </cell>
          <cell r="R953">
            <v>45231</v>
          </cell>
          <cell r="S953">
            <v>45231</v>
          </cell>
          <cell r="T953">
            <v>45961</v>
          </cell>
          <cell r="U953">
            <v>45962</v>
          </cell>
          <cell r="V953">
            <v>2017</v>
          </cell>
          <cell r="W953" t="str">
            <v>SVS Medical College</v>
          </cell>
          <cell r="X953" t="str">
            <v>N/A</v>
          </cell>
          <cell r="Y953" t="str">
            <v>N/A</v>
          </cell>
          <cell r="Z953" t="str">
            <v>N/A</v>
          </cell>
          <cell r="AA953" t="str">
            <v>MBBS</v>
          </cell>
          <cell r="AB953" t="str">
            <v>TSMC/FMR/04922</v>
          </cell>
          <cell r="AC953" t="str">
            <v>Telangana State Medical Council</v>
          </cell>
          <cell r="AD953">
            <v>45028</v>
          </cell>
          <cell r="AE953">
            <v>46854</v>
          </cell>
          <cell r="AF953">
            <v>7842807903</v>
          </cell>
          <cell r="AG953" t="str">
            <v>m.maanvireddy07@gmail.com</v>
          </cell>
          <cell r="AH953" t="str">
            <v>SBI Bank</v>
          </cell>
          <cell r="AI953" t="str">
            <v>20196570261</v>
          </cell>
          <cell r="AJ953" t="str">
            <v>SBIN0010100</v>
          </cell>
          <cell r="AK953" t="str">
            <v>CMWPR3185H</v>
          </cell>
          <cell r="AL953">
            <v>302337926136</v>
          </cell>
          <cell r="AN953">
            <v>45371</v>
          </cell>
          <cell r="AO953">
            <v>45370</v>
          </cell>
          <cell r="AP953" t="str">
            <v>Health Issues</v>
          </cell>
          <cell r="AQ953" t="str">
            <v>3-5-42/c, Bhavani Nagar, Amberpet, Ramanthapur, Amberpet, Hyderabad, Telangana - 500013</v>
          </cell>
          <cell r="AS953" t="str">
            <v>3-5-42/c, Bhavani Nagar, Amberpet, Ramanthapur, Amberpet, Hyderabad, Telangana - 500013</v>
          </cell>
          <cell r="AU953">
            <v>0.33333333333333331</v>
          </cell>
          <cell r="AV953">
            <v>0.375</v>
          </cell>
          <cell r="AW953">
            <v>34437</v>
          </cell>
          <cell r="AX953" t="str">
            <v>Female</v>
          </cell>
          <cell r="AY953" t="str">
            <v>Part Time</v>
          </cell>
          <cell r="AZ953">
            <v>1</v>
          </cell>
          <cell r="BA953" t="str">
            <v>A.S. Rao Nagar Cluster</v>
          </cell>
        </row>
        <row r="954">
          <cell r="M954" t="str">
            <v>Hayathnagar-150</v>
          </cell>
          <cell r="N954" t="str">
            <v>Basic USG, Tiffa, Fetal Echo, Guided Procedures, Basic CT, X Ray, Plain Radiology, IVP, RGU, MCGU, Barium Swallow, Barium Anema, HSG</v>
          </cell>
          <cell r="O954" t="str">
            <v>Radiology</v>
          </cell>
          <cell r="P954" t="str">
            <v>Consultant Radiologist</v>
          </cell>
          <cell r="Q954" t="str">
            <v>Dr Krishna Mohan Pottala</v>
          </cell>
          <cell r="R954">
            <v>45239</v>
          </cell>
          <cell r="S954">
            <v>45239</v>
          </cell>
          <cell r="T954">
            <v>45969</v>
          </cell>
          <cell r="U954">
            <v>45970</v>
          </cell>
          <cell r="V954">
            <v>2015</v>
          </cell>
          <cell r="W954" t="str">
            <v>Osmania medical College</v>
          </cell>
          <cell r="X954">
            <v>2019</v>
          </cell>
          <cell r="Y954" t="str">
            <v>Krishna Institute of Medical Science</v>
          </cell>
          <cell r="Z954" t="str">
            <v>NA</v>
          </cell>
          <cell r="AA954" t="str">
            <v>MBBS,MD</v>
          </cell>
          <cell r="AB954" t="str">
            <v>APMC/FMR/94309</v>
          </cell>
          <cell r="AC954" t="str">
            <v>Telangana State Medical Council</v>
          </cell>
          <cell r="AD954">
            <v>44112</v>
          </cell>
          <cell r="AE954">
            <v>45937</v>
          </cell>
          <cell r="AF954">
            <v>8019535147</v>
          </cell>
          <cell r="AG954" t="str">
            <v>nagulapallisandeep@gmail.com</v>
          </cell>
          <cell r="AH954" t="str">
            <v>HDFC Bank</v>
          </cell>
          <cell r="AI954">
            <v>50100162101710</v>
          </cell>
          <cell r="AJ954" t="str">
            <v>HDFC0001990</v>
          </cell>
          <cell r="AK954" t="str">
            <v>AUVPN3255F</v>
          </cell>
          <cell r="AL954">
            <v>615121953935</v>
          </cell>
          <cell r="AN954">
            <v>45330</v>
          </cell>
          <cell r="AO954">
            <v>45636</v>
          </cell>
          <cell r="AP954" t="str">
            <v>Exams preparation</v>
          </cell>
          <cell r="AQ954" t="str">
            <v>4-6-131 Srinivasa Hospital Main Road, Hayathnagar, Rangareddi, Telangana - 501505</v>
          </cell>
          <cell r="AR954">
            <v>33</v>
          </cell>
          <cell r="AW954">
            <v>33829</v>
          </cell>
          <cell r="AX954" t="str">
            <v>Male</v>
          </cell>
          <cell r="AY954" t="str">
            <v>Part Time</v>
          </cell>
          <cell r="AZ954">
            <v>4</v>
          </cell>
          <cell r="BA954" t="str">
            <v>Dilshuknagar Cluster</v>
          </cell>
        </row>
        <row r="955">
          <cell r="M955" t="str">
            <v>Kukatpally - 20</v>
          </cell>
          <cell r="N955" t="str">
            <v>USG, Tiffa,  MSK,  IVP, RGU, MCGU, Barium Swallow, Barium Enemma, HSG, X Ray,  Mamography, Basic CT, All Angios except Coronay, CT Perfusion, CT Enterclysis and  MRI Basic</v>
          </cell>
          <cell r="O955" t="str">
            <v>Radiology</v>
          </cell>
          <cell r="P955" t="str">
            <v>Consultant Radiologist</v>
          </cell>
          <cell r="Q955" t="str">
            <v>Dr. Krishna Mohan Pottala</v>
          </cell>
          <cell r="R955">
            <v>45323</v>
          </cell>
          <cell r="S955">
            <v>45323</v>
          </cell>
          <cell r="T955">
            <v>46053</v>
          </cell>
          <cell r="U955">
            <v>46054</v>
          </cell>
          <cell r="V955">
            <v>2013</v>
          </cell>
          <cell r="W955" t="str">
            <v>Mamata Medical College</v>
          </cell>
          <cell r="X955">
            <v>2018</v>
          </cell>
          <cell r="Y955" t="str">
            <v>M R Medical College</v>
          </cell>
          <cell r="Z955" t="str">
            <v>NA</v>
          </cell>
          <cell r="AA955" t="str">
            <v>MBBS, DMRD - Radio Diagnosis</v>
          </cell>
          <cell r="AB955" t="str">
            <v>APMC/FMR/81349</v>
          </cell>
          <cell r="AC955" t="str">
            <v>Telangana State Medical Council</v>
          </cell>
          <cell r="AD955">
            <v>45207</v>
          </cell>
          <cell r="AE955">
            <v>47033</v>
          </cell>
          <cell r="AF955">
            <v>9398378101</v>
          </cell>
          <cell r="AG955" t="str">
            <v>annerohit@gmail.com</v>
          </cell>
          <cell r="AH955" t="str">
            <v>Union Bank of India</v>
          </cell>
          <cell r="AI955" t="str">
            <v>134010011005242</v>
          </cell>
          <cell r="AJ955" t="str">
            <v>UBIN0813401</v>
          </cell>
          <cell r="AK955" t="str">
            <v>AUQPA2528P</v>
          </cell>
          <cell r="AL955">
            <v>697353538070</v>
          </cell>
          <cell r="AM955" t="str">
            <v>Gopichand Anne</v>
          </cell>
          <cell r="AN955">
            <v>45588</v>
          </cell>
          <cell r="AO955">
            <v>45560</v>
          </cell>
          <cell r="AP955" t="str">
            <v>Long Distance</v>
          </cell>
          <cell r="AQ955" t="str">
            <v>7-2-1780 FN 309, Czech Colony, Sanath Nagar, Hyderabad, Rangareddi, Telangana - 500018</v>
          </cell>
          <cell r="AS955" t="str">
            <v>7-2-1780 FN 309, Czech Colony, Sanath Nagar, Hyderabad, Rangareddi, Telangana - 500018</v>
          </cell>
          <cell r="AU955">
            <v>0.70833333333333337</v>
          </cell>
          <cell r="AV955">
            <v>0.83333333333333337</v>
          </cell>
          <cell r="AW955">
            <v>32537</v>
          </cell>
          <cell r="AX955" t="str">
            <v>Male</v>
          </cell>
          <cell r="AY955" t="str">
            <v>Part Time</v>
          </cell>
          <cell r="AZ955">
            <v>3</v>
          </cell>
          <cell r="BA955" t="str">
            <v>Kukatpally Cluster</v>
          </cell>
        </row>
        <row r="956">
          <cell r="M956" t="str">
            <v>Dwarakanagar - 6</v>
          </cell>
          <cell r="N956" t="str">
            <v>Microbiology</v>
          </cell>
          <cell r="O956" t="str">
            <v>Microbiology</v>
          </cell>
          <cell r="P956" t="str">
            <v>Consultant Microbiologist &amp; Quality Manager</v>
          </cell>
          <cell r="Q956" t="str">
            <v>Dr P T S Shashikant</v>
          </cell>
          <cell r="R956">
            <v>44130</v>
          </cell>
          <cell r="S956">
            <v>44774</v>
          </cell>
          <cell r="T956">
            <v>45504</v>
          </cell>
          <cell r="U956">
            <v>45505</v>
          </cell>
          <cell r="V956">
            <v>2007</v>
          </cell>
          <cell r="W956" t="str">
            <v>Indira Gandhi Govt. Medical College</v>
          </cell>
          <cell r="X956">
            <v>2014</v>
          </cell>
          <cell r="Y956" t="str">
            <v>Topiwala National Medical College</v>
          </cell>
          <cell r="Z956" t="str">
            <v>NA</v>
          </cell>
          <cell r="AA956" t="str">
            <v>MBBS, MD - Microbiology</v>
          </cell>
          <cell r="AB956" t="str">
            <v>APMC/FMR/111060</v>
          </cell>
          <cell r="AC956" t="str">
            <v>Andhra Pradesh Medical Council</v>
          </cell>
          <cell r="AD956">
            <v>44126</v>
          </cell>
          <cell r="AE956">
            <v>45951</v>
          </cell>
          <cell r="AF956">
            <v>9100312551</v>
          </cell>
          <cell r="AG956" t="str">
            <v>lata.galate@gmail.com</v>
          </cell>
          <cell r="AH956" t="str">
            <v>ICICI Bank</v>
          </cell>
          <cell r="AI956" t="str">
            <v>004801639392</v>
          </cell>
          <cell r="AJ956" t="str">
            <v>ICIC0000048</v>
          </cell>
          <cell r="AK956" t="str">
            <v>ARKPG3652P</v>
          </cell>
          <cell r="AL956">
            <v>526792695779</v>
          </cell>
          <cell r="AM956" t="str">
            <v>Baswanna</v>
          </cell>
          <cell r="AN956">
            <v>45593</v>
          </cell>
          <cell r="AO956">
            <v>45533</v>
          </cell>
          <cell r="AP956" t="str">
            <v>Relocating</v>
          </cell>
          <cell r="AU956">
            <v>0.33333333333333331</v>
          </cell>
          <cell r="AV956">
            <v>0.66666666666666663</v>
          </cell>
          <cell r="AW956">
            <v>31332</v>
          </cell>
          <cell r="AX956" t="str">
            <v>Female</v>
          </cell>
          <cell r="AY956" t="str">
            <v>Part Time</v>
          </cell>
          <cell r="AZ956">
            <v>8</v>
          </cell>
          <cell r="BA956" t="str">
            <v>Visakhapatnam Cluster</v>
          </cell>
        </row>
        <row r="957">
          <cell r="M957" t="str">
            <v>Boduppal - 45</v>
          </cell>
          <cell r="N957" t="str">
            <v>Basic USG, Tiffa, Guided Procedures, Basic CT, X Ray, Plain Radiology, IVP, RGU, MCGU, Barium Swallow, Barium Anema, HSG</v>
          </cell>
          <cell r="O957" t="str">
            <v>Radiology</v>
          </cell>
          <cell r="P957" t="str">
            <v>Consultant Radiologist</v>
          </cell>
          <cell r="Q957" t="str">
            <v>Dr. Krishna Mohan Pottala</v>
          </cell>
          <cell r="R957">
            <v>45239</v>
          </cell>
          <cell r="S957">
            <v>45239</v>
          </cell>
          <cell r="T957">
            <v>45969</v>
          </cell>
          <cell r="U957">
            <v>45970</v>
          </cell>
          <cell r="V957">
            <v>2017</v>
          </cell>
          <cell r="W957" t="str">
            <v>Mamatha Medical College</v>
          </cell>
          <cell r="X957">
            <v>2023</v>
          </cell>
          <cell r="Y957" t="str">
            <v>Bhaskar Medical college</v>
          </cell>
          <cell r="Z957" t="str">
            <v>NA</v>
          </cell>
          <cell r="AA957" t="str">
            <v>MBBS,MD</v>
          </cell>
          <cell r="AB957" t="str">
            <v>TSMC/FMR/02796</v>
          </cell>
          <cell r="AC957" t="str">
            <v>Telangana State Medical Council</v>
          </cell>
          <cell r="AD957">
            <v>45233</v>
          </cell>
          <cell r="AE957">
            <v>47059</v>
          </cell>
          <cell r="AF957">
            <v>9177230456</v>
          </cell>
          <cell r="AG957" t="str">
            <v>chintalaanuhya@gmail.com</v>
          </cell>
          <cell r="AH957" t="str">
            <v>HDFC Bank</v>
          </cell>
          <cell r="AI957">
            <v>50100005985442</v>
          </cell>
          <cell r="AJ957" t="str">
            <v>HDFC0001631</v>
          </cell>
          <cell r="AK957" t="str">
            <v>BDWPC8742H</v>
          </cell>
          <cell r="AL957">
            <v>576399561778</v>
          </cell>
          <cell r="AN957">
            <v>45594</v>
          </cell>
          <cell r="AO957">
            <v>45566</v>
          </cell>
          <cell r="AP957" t="str">
            <v>Maternity, Infomred orally to Nazia in Sep-24</v>
          </cell>
          <cell r="AQ957" t="str">
            <v>6-1-39 V.D.O S Colony, Khammam, Khanapuram Haweli, Khammam, Andhra Pradesh - 507002</v>
          </cell>
          <cell r="AS957" t="str">
            <v>6-1-39 V.D.O S Colony, Khammam, Khanapuram Haweli, Khammam, Andhra Pradesh - 507002</v>
          </cell>
          <cell r="AU957">
            <v>0.35416666666666669</v>
          </cell>
          <cell r="AV957">
            <v>0.5625</v>
          </cell>
          <cell r="AW957">
            <v>34003</v>
          </cell>
          <cell r="AX957" t="str">
            <v>Female</v>
          </cell>
          <cell r="AY957" t="str">
            <v>Part Time</v>
          </cell>
          <cell r="AZ957">
            <v>5</v>
          </cell>
          <cell r="BA957" t="str">
            <v>Dilshuknagar Cluster</v>
          </cell>
        </row>
        <row r="958">
          <cell r="M958" t="str">
            <v>Hanamkonda - 40</v>
          </cell>
          <cell r="N958" t="str">
            <v>Basic USG, Tiffa, Fetal Echo, MSK, Guided Procedures, Basic CT, All Angios, X Ray, Plain Radiology, Mammography, IVP, RGU, MCGU, Barium Swallow, Barium Anema, HSG</v>
          </cell>
          <cell r="O958" t="str">
            <v>Radiology</v>
          </cell>
          <cell r="P958" t="str">
            <v>Consultant Radiologist</v>
          </cell>
          <cell r="Q958" t="str">
            <v>Dr. Krishna Mohan Pottala</v>
          </cell>
          <cell r="R958">
            <v>45245</v>
          </cell>
          <cell r="S958">
            <v>45245</v>
          </cell>
          <cell r="T958">
            <v>45975</v>
          </cell>
          <cell r="U958">
            <v>45976</v>
          </cell>
          <cell r="V958">
            <v>2009</v>
          </cell>
          <cell r="W958" t="str">
            <v>Prathima Institute of Medical Science</v>
          </cell>
          <cell r="X958">
            <v>2015</v>
          </cell>
          <cell r="Y958" t="str">
            <v>Kamineni Medical College</v>
          </cell>
          <cell r="Z958" t="str">
            <v>NA</v>
          </cell>
          <cell r="AA958" t="str">
            <v>MBBS,MD</v>
          </cell>
          <cell r="AB958">
            <v>62070</v>
          </cell>
          <cell r="AC958" t="str">
            <v>Telangana State Medical Council</v>
          </cell>
          <cell r="AD958">
            <v>44376</v>
          </cell>
          <cell r="AE958">
            <v>46201</v>
          </cell>
          <cell r="AF958">
            <v>9866864646</v>
          </cell>
          <cell r="AG958" t="str">
            <v>madhulikadamera03@gmail.com</v>
          </cell>
          <cell r="AH958" t="str">
            <v>HDFC Bank</v>
          </cell>
          <cell r="AI958">
            <v>50100231985552</v>
          </cell>
          <cell r="AJ958" t="str">
            <v>HDFC0000375</v>
          </cell>
          <cell r="AK958" t="str">
            <v>ARUPD9632N</v>
          </cell>
          <cell r="AL958">
            <v>368422909889</v>
          </cell>
          <cell r="AQ958" t="str">
            <v>2-4-163 Ram Nagar, Hanamkonda, Warangal, Telangana -506001</v>
          </cell>
          <cell r="AS958" t="str">
            <v>2-4-163 Ram Nagar, Hanamkonda, Warangal, Telangana -506001</v>
          </cell>
          <cell r="AU958">
            <v>0.45833333333333331</v>
          </cell>
          <cell r="AV958">
            <v>0.70833333333333337</v>
          </cell>
          <cell r="AW958">
            <v>30967</v>
          </cell>
          <cell r="AX958" t="str">
            <v>Female</v>
          </cell>
          <cell r="AY958" t="str">
            <v>Part Time</v>
          </cell>
          <cell r="AZ958">
            <v>6</v>
          </cell>
          <cell r="BA958" t="str">
            <v>TS - Upcountry</v>
          </cell>
        </row>
        <row r="959">
          <cell r="M959" t="str">
            <v>Kalaburagi-Gulbarga-144</v>
          </cell>
          <cell r="N959" t="str">
            <v>N/A</v>
          </cell>
          <cell r="O959" t="str">
            <v>Pathology</v>
          </cell>
          <cell r="P959" t="str">
            <v>Consultant Pathologist</v>
          </cell>
          <cell r="R959">
            <v>45246</v>
          </cell>
          <cell r="S959">
            <v>45246</v>
          </cell>
          <cell r="T959">
            <v>45976</v>
          </cell>
          <cell r="U959">
            <v>45977</v>
          </cell>
          <cell r="V959">
            <v>2010</v>
          </cell>
          <cell r="W959" t="str">
            <v>Navodaya Medical College</v>
          </cell>
          <cell r="X959">
            <v>2015</v>
          </cell>
          <cell r="Y959" t="str">
            <v>MRMS</v>
          </cell>
          <cell r="AB959">
            <v>89487</v>
          </cell>
          <cell r="AC959" t="str">
            <v>Karnataka Medical Council</v>
          </cell>
          <cell r="AD959">
            <v>44613</v>
          </cell>
          <cell r="AE959">
            <v>46439</v>
          </cell>
          <cell r="AF959">
            <v>9964165832</v>
          </cell>
          <cell r="AG959" t="str">
            <v>shilpabhimalli1234@gmail.com</v>
          </cell>
          <cell r="AK959" t="str">
            <v>DPQPS7166B</v>
          </cell>
          <cell r="AL959">
            <v>470955734069</v>
          </cell>
          <cell r="AN959">
            <v>45246</v>
          </cell>
          <cell r="AQ959" t="str">
            <v>Plot No. 10, Matoshree Nilaya, New Jewargi Road, Mahveer Nagar, Gulbarga, Karnataka - 585102</v>
          </cell>
          <cell r="AS959" t="str">
            <v>Plot No. 10, Matoshree Nilaya, New Jewargi Road, Mahveer Nagar, Gulbarga, Karnataka - 585102</v>
          </cell>
          <cell r="AX959" t="str">
            <v>Female</v>
          </cell>
          <cell r="AY959" t="str">
            <v>Part Time</v>
          </cell>
          <cell r="AZ959">
            <v>4</v>
          </cell>
          <cell r="BA959" t="str">
            <v>Gulbarga Cluster</v>
          </cell>
        </row>
        <row r="960">
          <cell r="M960" t="str">
            <v>Kalaburagi-Gulbarga-144</v>
          </cell>
          <cell r="N960" t="str">
            <v>N/A</v>
          </cell>
          <cell r="O960" t="str">
            <v>Pathology</v>
          </cell>
          <cell r="P960" t="str">
            <v>Consultant Pathologist</v>
          </cell>
          <cell r="Q960" t="str">
            <v>Dr. PTS. Shashikanth</v>
          </cell>
          <cell r="R960">
            <v>45246</v>
          </cell>
          <cell r="S960">
            <v>45246</v>
          </cell>
          <cell r="T960">
            <v>45976</v>
          </cell>
          <cell r="U960">
            <v>45977</v>
          </cell>
          <cell r="V960">
            <v>2015</v>
          </cell>
          <cell r="W960" t="str">
            <v>KIMS</v>
          </cell>
          <cell r="X960">
            <v>2022</v>
          </cell>
          <cell r="Y960" t="str">
            <v>SIMS</v>
          </cell>
          <cell r="Z960" t="str">
            <v>NA</v>
          </cell>
          <cell r="AA960" t="str">
            <v>MBBS,MD</v>
          </cell>
          <cell r="AB960">
            <v>112166</v>
          </cell>
          <cell r="AC960" t="str">
            <v>Karnataka Medical Council</v>
          </cell>
          <cell r="AD960">
            <v>44744</v>
          </cell>
          <cell r="AE960">
            <v>46569</v>
          </cell>
          <cell r="AF960">
            <v>7892048554</v>
          </cell>
          <cell r="AG960" t="str">
            <v>jchandrashree@gmail.com</v>
          </cell>
          <cell r="AH960" t="str">
            <v>SBI Bank</v>
          </cell>
          <cell r="AI960">
            <v>41333340342</v>
          </cell>
          <cell r="AJ960" t="str">
            <v>SBIN0017792</v>
          </cell>
          <cell r="AK960" t="str">
            <v>BFMPC7131N</v>
          </cell>
          <cell r="AL960">
            <v>241849661102</v>
          </cell>
          <cell r="AN960">
            <v>45392</v>
          </cell>
          <cell r="AO960">
            <v>45332</v>
          </cell>
          <cell r="AP960" t="str">
            <v>Personal Reason</v>
          </cell>
          <cell r="AQ960" t="str">
            <v>#51 80th Cross Kumarswamy Layout 1st Stage Bangalore, Karnataka - 560078</v>
          </cell>
          <cell r="AS960" t="str">
            <v>#51 80th Cross Kumarswamy Layout 1st Stage Bangalore, Karnataka - 560078</v>
          </cell>
          <cell r="AU960">
            <v>0.33333333333333331</v>
          </cell>
          <cell r="AV960">
            <v>0.66666666666666663</v>
          </cell>
          <cell r="AW960">
            <v>33481</v>
          </cell>
          <cell r="AX960" t="str">
            <v>Female</v>
          </cell>
          <cell r="AY960" t="str">
            <v>Full Time</v>
          </cell>
          <cell r="AZ960">
            <v>8</v>
          </cell>
          <cell r="BA960" t="str">
            <v>Gulbarga Cluster</v>
          </cell>
        </row>
        <row r="961">
          <cell r="M961" t="str">
            <v>Himayatnagar</v>
          </cell>
          <cell r="N961" t="str">
            <v>N/A</v>
          </cell>
          <cell r="O961" t="str">
            <v>Biochemistry</v>
          </cell>
          <cell r="P961" t="str">
            <v>Consultant Biochemist</v>
          </cell>
          <cell r="Q961" t="str">
            <v>Dr P T S Shashikant</v>
          </cell>
          <cell r="R961">
            <v>45310</v>
          </cell>
          <cell r="S961">
            <v>45310</v>
          </cell>
          <cell r="T961">
            <v>46040</v>
          </cell>
          <cell r="U961">
            <v>46041</v>
          </cell>
          <cell r="V961">
            <v>2017</v>
          </cell>
          <cell r="W961" t="str">
            <v>Apollo Institute Of Medical Sciences</v>
          </cell>
          <cell r="X961">
            <v>2023</v>
          </cell>
          <cell r="Y961" t="str">
            <v>Osmania Medical College</v>
          </cell>
          <cell r="Z961" t="str">
            <v>NA</v>
          </cell>
          <cell r="AA961" t="str">
            <v>MBBS,MD</v>
          </cell>
          <cell r="AB961" t="str">
            <v>TSMC/FMR/05779</v>
          </cell>
          <cell r="AC961" t="str">
            <v>Telangana State Medical Council</v>
          </cell>
          <cell r="AD961">
            <v>45184</v>
          </cell>
          <cell r="AE961">
            <v>47010</v>
          </cell>
          <cell r="AF961">
            <v>8919139528</v>
          </cell>
          <cell r="AG961" t="str">
            <v>allamuralikrishna21@gmail.com</v>
          </cell>
          <cell r="AH961" t="str">
            <v>SBI Bank</v>
          </cell>
          <cell r="AI961" t="str">
            <v>39565350895</v>
          </cell>
          <cell r="AJ961" t="str">
            <v>SBIN0021110</v>
          </cell>
          <cell r="AK961" t="str">
            <v>BESPA5761F</v>
          </cell>
          <cell r="AL961">
            <v>467043226889</v>
          </cell>
          <cell r="AN961">
            <v>45594</v>
          </cell>
          <cell r="AO961">
            <v>45579</v>
          </cell>
          <cell r="AP961" t="str">
            <v>Senior residency at central institute</v>
          </cell>
          <cell r="AQ961" t="str">
            <v>H No. 1-4-35, Shikarkanigadda, Near Kuravigate, Mahabubabad, Telangana - 506101</v>
          </cell>
          <cell r="AS961">
            <v>31</v>
          </cell>
          <cell r="AU961">
            <v>0.875</v>
          </cell>
          <cell r="AV961">
            <v>4</v>
          </cell>
          <cell r="AW961">
            <v>34506</v>
          </cell>
          <cell r="AX961" t="str">
            <v>Male</v>
          </cell>
          <cell r="AY961" t="str">
            <v>Part Time</v>
          </cell>
          <cell r="AZ961">
            <v>4</v>
          </cell>
          <cell r="BA961" t="str">
            <v>Himayathnagar Cluster</v>
          </cell>
        </row>
        <row r="962">
          <cell r="M962" t="str">
            <v>Tele reporting</v>
          </cell>
          <cell r="N962" t="str">
            <v>Basic USG, Tiffa, Guided Procedures, Basic CT, All Angios, Virtual Endoscopy, CT Entrorily, Guided Procedures, Basic MRI, MR Defecography, MR Prostate, X Ray, Plain Radiology, IVP, RGU, MCGU, Barium Swallow, Barium Anema, HSG</v>
          </cell>
          <cell r="O962" t="str">
            <v>Radiology</v>
          </cell>
          <cell r="P962" t="str">
            <v>Consultant Radiologist</v>
          </cell>
          <cell r="Q962" t="str">
            <v>Dr Vijayanand</v>
          </cell>
          <cell r="R962">
            <v>45246</v>
          </cell>
          <cell r="S962">
            <v>45246</v>
          </cell>
          <cell r="T962">
            <v>45976</v>
          </cell>
          <cell r="U962">
            <v>45977</v>
          </cell>
          <cell r="V962">
            <v>2011</v>
          </cell>
          <cell r="W962" t="str">
            <v>karnataka institute of medical sciences</v>
          </cell>
          <cell r="X962">
            <v>2016</v>
          </cell>
          <cell r="Y962" t="str">
            <v>JJM Medical College</v>
          </cell>
          <cell r="Z962" t="str">
            <v>NA</v>
          </cell>
          <cell r="AA962" t="str">
            <v>MBBS, MD Radio Diagnosis</v>
          </cell>
          <cell r="AB962">
            <v>94882</v>
          </cell>
          <cell r="AC962" t="str">
            <v>Karnataka Medical Council</v>
          </cell>
          <cell r="AD962">
            <v>45367</v>
          </cell>
          <cell r="AE962">
            <v>47193</v>
          </cell>
          <cell r="AF962">
            <v>9620097350</v>
          </cell>
          <cell r="AG962" t="str">
            <v>kedar10nath@gmail.com</v>
          </cell>
          <cell r="AH962" t="str">
            <v>SBI Bank</v>
          </cell>
          <cell r="AI962">
            <v>30366868183</v>
          </cell>
          <cell r="AJ962" t="str">
            <v>SBIN0001934</v>
          </cell>
          <cell r="AK962" t="str">
            <v>BZNPK7247L</v>
          </cell>
          <cell r="AL962" t="str">
            <v>525866924546</v>
          </cell>
          <cell r="AN962" t="str">
            <v>Tele</v>
          </cell>
          <cell r="AO962" t="str">
            <v>NA</v>
          </cell>
          <cell r="AP962" t="str">
            <v>not doing cases</v>
          </cell>
          <cell r="AQ962" t="str">
            <v>#13/2b BAKUL, Vivekananda Nagar, Gulbarga, Karnataka-11</v>
          </cell>
          <cell r="AR962">
            <v>37</v>
          </cell>
          <cell r="AW962">
            <v>32273</v>
          </cell>
          <cell r="AX962" t="str">
            <v>Male</v>
          </cell>
          <cell r="AY962" t="str">
            <v>Part Time</v>
          </cell>
        </row>
        <row r="963">
          <cell r="M963" t="str">
            <v>Ameerpet - 14</v>
          </cell>
          <cell r="N963" t="str">
            <v>N/A</v>
          </cell>
          <cell r="O963" t="str">
            <v>Physician Services</v>
          </cell>
          <cell r="P963" t="str">
            <v>Consultant Physician</v>
          </cell>
          <cell r="Q963" t="str">
            <v>N/A</v>
          </cell>
          <cell r="R963">
            <v>45250</v>
          </cell>
          <cell r="S963">
            <v>45250</v>
          </cell>
          <cell r="T963">
            <v>45980</v>
          </cell>
          <cell r="U963">
            <v>45981</v>
          </cell>
          <cell r="V963">
            <v>2019</v>
          </cell>
          <cell r="W963" t="str">
            <v>Guntur Medical College</v>
          </cell>
          <cell r="X963" t="str">
            <v>N/A</v>
          </cell>
          <cell r="Y963" t="str">
            <v>N/A</v>
          </cell>
          <cell r="Z963" t="str">
            <v>NA</v>
          </cell>
          <cell r="AA963" t="str">
            <v>MBBS</v>
          </cell>
          <cell r="AB963" t="str">
            <v>APMC/FMR/117116</v>
          </cell>
          <cell r="AC963" t="str">
            <v>Andhra Pradesh Medical Council</v>
          </cell>
          <cell r="AD963">
            <v>44582</v>
          </cell>
          <cell r="AE963">
            <v>46407</v>
          </cell>
          <cell r="AF963">
            <v>9390854528</v>
          </cell>
          <cell r="AG963" t="str">
            <v>pranithalella@gmail.com</v>
          </cell>
          <cell r="AH963" t="str">
            <v>SBI Bank</v>
          </cell>
          <cell r="AI963">
            <v>38458676088</v>
          </cell>
          <cell r="AJ963" t="str">
            <v>SBIN0010278</v>
          </cell>
          <cell r="AK963" t="str">
            <v>BDCPL8453N</v>
          </cell>
          <cell r="AL963">
            <v>267381830420</v>
          </cell>
          <cell r="AN963">
            <v>45412</v>
          </cell>
          <cell r="AO963">
            <v>45352</v>
          </cell>
          <cell r="AP963" t="str">
            <v>Personal Reason</v>
          </cell>
          <cell r="AQ963" t="str">
            <v>1-567, Bantumilli Road, Bapuji Nagar, Gudivada, Krishna, Andhra Pradesh - 521301</v>
          </cell>
          <cell r="AS963" t="str">
            <v>1-567, Bantumilli Road, Bapuji Nagar, Gudivada, Krishna, Andhra Pradesh - 521301</v>
          </cell>
          <cell r="AU963">
            <v>0.375</v>
          </cell>
          <cell r="AV963">
            <v>0.45833333333333331</v>
          </cell>
          <cell r="AW963">
            <v>34860</v>
          </cell>
          <cell r="AX963" t="str">
            <v>Female</v>
          </cell>
          <cell r="AY963" t="str">
            <v>Part Time</v>
          </cell>
          <cell r="AZ963">
            <v>2</v>
          </cell>
          <cell r="BA963" t="str">
            <v>Himayathnagar Cluster</v>
          </cell>
        </row>
        <row r="964">
          <cell r="M964" t="str">
            <v>Chandrayangutta - 71</v>
          </cell>
          <cell r="N964" t="str">
            <v>N/A</v>
          </cell>
          <cell r="O964" t="str">
            <v>Physician Services</v>
          </cell>
          <cell r="P964" t="str">
            <v>Consultant Physician</v>
          </cell>
          <cell r="Q964" t="str">
            <v>N/A</v>
          </cell>
          <cell r="R964">
            <v>45251</v>
          </cell>
          <cell r="S964">
            <v>45251</v>
          </cell>
          <cell r="T964">
            <v>45981</v>
          </cell>
          <cell r="U964">
            <v>45982</v>
          </cell>
          <cell r="V964">
            <v>2021</v>
          </cell>
          <cell r="W964" t="str">
            <v>Shadan institute of Medical &amp; Health Sciences</v>
          </cell>
          <cell r="X964" t="str">
            <v>N/A</v>
          </cell>
          <cell r="Y964" t="str">
            <v>N/A</v>
          </cell>
          <cell r="Z964" t="str">
            <v>NA</v>
          </cell>
          <cell r="AA964" t="str">
            <v>MBBS</v>
          </cell>
          <cell r="AB964" t="str">
            <v>TSMC/FMR/24184</v>
          </cell>
          <cell r="AC964" t="str">
            <v>Telangana State Medical Council</v>
          </cell>
          <cell r="AD964">
            <v>44925</v>
          </cell>
          <cell r="AE964">
            <v>46750</v>
          </cell>
          <cell r="AF964" t="str">
            <v>9391231994, 8897541919</v>
          </cell>
          <cell r="AG964" t="str">
            <v>akhil1231994@gmail.com</v>
          </cell>
          <cell r="AH964" t="str">
            <v>HDFC Bank</v>
          </cell>
          <cell r="AI964">
            <v>59109391231994</v>
          </cell>
          <cell r="AJ964" t="str">
            <v>HDFC0008332</v>
          </cell>
          <cell r="AK964" t="str">
            <v>BKFPB9500C</v>
          </cell>
          <cell r="AL964">
            <v>638671190696</v>
          </cell>
          <cell r="AN964">
            <v>45433</v>
          </cell>
          <cell r="AO964" t="str">
            <v>NA</v>
          </cell>
          <cell r="AP964" t="str">
            <v xml:space="preserve">Terminated </v>
          </cell>
          <cell r="AQ964" t="str">
            <v>6-156s, SL N S Colony, Meerpet, Balapur X Road, Saroornagar, Rangareddi, Telangana - 500079</v>
          </cell>
          <cell r="AS964" t="str">
            <v>6-156s, SL N S Colony, Meerpet, Balapur X Road, Saroornagar, Rangareddi, Telangana - 500079</v>
          </cell>
          <cell r="AU964">
            <v>0.375</v>
          </cell>
          <cell r="AV964">
            <v>0.41666666666666669</v>
          </cell>
          <cell r="AW964">
            <v>34357</v>
          </cell>
          <cell r="AX964" t="str">
            <v>Male</v>
          </cell>
          <cell r="AY964" t="str">
            <v>Part Time</v>
          </cell>
          <cell r="AZ964">
            <v>1</v>
          </cell>
          <cell r="BA964" t="str">
            <v>Santosh Nagar Cluster</v>
          </cell>
        </row>
        <row r="965">
          <cell r="M965" t="str">
            <v>Madinaguda - 112</v>
          </cell>
          <cell r="N965" t="str">
            <v>Basic USG, Tiffa, Guided Procedures, Basic CT, X Ray, Plain Radiology, IVP, RGU, MCGU, Barium Swallow, Barium Anema, HSG</v>
          </cell>
          <cell r="O965" t="str">
            <v>Radiology</v>
          </cell>
          <cell r="P965" t="str">
            <v>Consultant Radiologist</v>
          </cell>
          <cell r="Q965" t="str">
            <v>Dr. Krishna Mohan Pottala</v>
          </cell>
          <cell r="R965">
            <v>45248</v>
          </cell>
          <cell r="S965">
            <v>45248</v>
          </cell>
          <cell r="T965">
            <v>45978</v>
          </cell>
          <cell r="U965">
            <v>45979</v>
          </cell>
          <cell r="V965">
            <v>2018</v>
          </cell>
          <cell r="W965" t="str">
            <v>Mediciti Institute of Medical Sciences</v>
          </cell>
          <cell r="X965">
            <v>2023</v>
          </cell>
          <cell r="Y965" t="str">
            <v>Chalmeda Anand Rao Institute of Medical Sciences College Karimnagar-</v>
          </cell>
          <cell r="AB965" t="str">
            <v>TSMC/FMR/08750</v>
          </cell>
          <cell r="AC965" t="str">
            <v>Telangana State Medical Council</v>
          </cell>
          <cell r="AD965">
            <v>45232</v>
          </cell>
          <cell r="AE965">
            <v>47058</v>
          </cell>
          <cell r="AF965" t="str">
            <v>9704553344, 6301728068</v>
          </cell>
          <cell r="AG965" t="str">
            <v>vamshikonakanchi@gmail.com</v>
          </cell>
          <cell r="AH965" t="str">
            <v>HDFC Bank</v>
          </cell>
          <cell r="AI965">
            <v>50100685434819</v>
          </cell>
          <cell r="AJ965" t="str">
            <v>HDFC0001627</v>
          </cell>
          <cell r="AK965" t="str">
            <v>JBAPK6326K</v>
          </cell>
          <cell r="AL965">
            <v>983764112364</v>
          </cell>
          <cell r="AN965">
            <v>45322</v>
          </cell>
          <cell r="AO965">
            <v>45322</v>
          </cell>
          <cell r="AU965">
            <v>28</v>
          </cell>
          <cell r="AV965">
            <v>0.35416666666666669</v>
          </cell>
          <cell r="AX965" t="str">
            <v>Male</v>
          </cell>
          <cell r="AY965" t="str">
            <v>Full Time</v>
          </cell>
          <cell r="AZ965">
            <v>8</v>
          </cell>
          <cell r="BA965" t="str">
            <v>Madhapur Cluster</v>
          </cell>
        </row>
        <row r="966">
          <cell r="M966" t="str">
            <v>Safilguda - 58</v>
          </cell>
          <cell r="N966" t="str">
            <v>Basic USG, Tiffa, Guided Procedures, X Ray, Plain Radiology, IVP, RGU, MCGU, Barium Swallow, Barium Anema, HSG</v>
          </cell>
          <cell r="O966" t="str">
            <v>Radiology</v>
          </cell>
          <cell r="P966" t="str">
            <v>Consultant Radiologist</v>
          </cell>
          <cell r="Q966" t="str">
            <v>Dr.Krishna Mohan</v>
          </cell>
          <cell r="R966">
            <v>45254</v>
          </cell>
          <cell r="S966">
            <v>45254</v>
          </cell>
          <cell r="T966">
            <v>45984</v>
          </cell>
          <cell r="U966">
            <v>45985</v>
          </cell>
          <cell r="V966">
            <v>2016</v>
          </cell>
          <cell r="W966" t="str">
            <v>Mamata Medical College</v>
          </cell>
          <cell r="X966">
            <v>2023</v>
          </cell>
          <cell r="Y966" t="str">
            <v>Navodaya Medical College</v>
          </cell>
          <cell r="Z966" t="str">
            <v>NA</v>
          </cell>
          <cell r="AA966" t="str">
            <v>MBBS,MD</v>
          </cell>
          <cell r="AB966" t="str">
            <v>TSMC/FMR/02487</v>
          </cell>
          <cell r="AC966" t="str">
            <v>Telangana State Medical Council</v>
          </cell>
          <cell r="AD966">
            <v>45240</v>
          </cell>
          <cell r="AE966">
            <v>47066</v>
          </cell>
          <cell r="AF966">
            <v>9849523451</v>
          </cell>
          <cell r="AG966" t="str">
            <v>sanjana.kilari1993@gmail.com</v>
          </cell>
          <cell r="AH966" t="str">
            <v>INDIAN BANK</v>
          </cell>
          <cell r="AI966">
            <v>6901144628</v>
          </cell>
          <cell r="AJ966" t="str">
            <v>IDIB000B053</v>
          </cell>
          <cell r="AK966" t="str">
            <v>HIPPK2485B</v>
          </cell>
          <cell r="AL966">
            <v>564053001671</v>
          </cell>
          <cell r="AN966">
            <v>45421</v>
          </cell>
          <cell r="AO966" t="str">
            <v>NA</v>
          </cell>
          <cell r="AP966" t="str">
            <v>Personal Reason</v>
          </cell>
          <cell r="AQ966" t="str">
            <v>H No. 6-1-38/13, V D Os Colony, Khammam, Andhra Pradesh - 507001</v>
          </cell>
          <cell r="AS966" t="str">
            <v>H No. 6-1-38/13, V D Os Colony, Khammam, Andhra Pradesh - 507001</v>
          </cell>
          <cell r="AU966">
            <v>0.35416666666666669</v>
          </cell>
          <cell r="AV966">
            <v>0.60416666666666663</v>
          </cell>
          <cell r="AW966">
            <v>34186</v>
          </cell>
          <cell r="AX966" t="str">
            <v>Female</v>
          </cell>
          <cell r="AY966" t="str">
            <v>Part Time</v>
          </cell>
          <cell r="AZ966">
            <v>6</v>
          </cell>
          <cell r="BA966" t="str">
            <v>A.S. Rao Nagar Cluster</v>
          </cell>
        </row>
        <row r="967">
          <cell r="M967" t="str">
            <v>Chandrayangutta - 71</v>
          </cell>
          <cell r="N967" t="str">
            <v>USG, X-Ray</v>
          </cell>
          <cell r="O967" t="str">
            <v>Radiology</v>
          </cell>
          <cell r="P967" t="str">
            <v>Consultant Radiologist</v>
          </cell>
          <cell r="Q967" t="str">
            <v>Dr. Krishna Mohan Pottala</v>
          </cell>
          <cell r="R967">
            <v>42675</v>
          </cell>
          <cell r="S967">
            <v>44866</v>
          </cell>
          <cell r="T967">
            <v>45596</v>
          </cell>
          <cell r="U967">
            <v>45597</v>
          </cell>
          <cell r="V967">
            <v>2001</v>
          </cell>
          <cell r="W967" t="str">
            <v>Deccan Medical College</v>
          </cell>
          <cell r="X967">
            <v>2008</v>
          </cell>
          <cell r="Y967" t="str">
            <v>M R Medical College</v>
          </cell>
          <cell r="Z967" t="str">
            <v>NA</v>
          </cell>
          <cell r="AA967" t="str">
            <v>MBBS, DMRD - Radio Diagnosis</v>
          </cell>
          <cell r="AB967">
            <v>45950</v>
          </cell>
          <cell r="AC967" t="str">
            <v>Telangana State Medical Council</v>
          </cell>
          <cell r="AD967">
            <v>44490</v>
          </cell>
          <cell r="AE967">
            <v>46315</v>
          </cell>
          <cell r="AF967">
            <v>9494209538</v>
          </cell>
          <cell r="AG967" t="str">
            <v>basith400@yahoo.com</v>
          </cell>
          <cell r="AH967" t="str">
            <v>ICICI Bank</v>
          </cell>
          <cell r="AI967" t="str">
            <v>000801581011</v>
          </cell>
          <cell r="AJ967" t="str">
            <v>ICIC0000242</v>
          </cell>
          <cell r="AK967" t="str">
            <v>ANTPB2383D</v>
          </cell>
          <cell r="AL967">
            <v>853014440419</v>
          </cell>
          <cell r="AM967" t="str">
            <v>Mohammed Abdul Salam</v>
          </cell>
          <cell r="AN967">
            <v>45596</v>
          </cell>
          <cell r="AO967" t="str">
            <v>NA</v>
          </cell>
          <cell r="AP967" t="str">
            <v>Converted to fill time in Shah Ali banda branch</v>
          </cell>
          <cell r="AQ967" t="str">
            <v>10-2-11,11/2 11/3, maphar annexe apartment Flat No.207, AC Guards, Near Aziz function hall, Khairatabad, Telangana-500004.</v>
          </cell>
          <cell r="AR967">
            <v>49</v>
          </cell>
          <cell r="AS967">
            <v>0.375</v>
          </cell>
          <cell r="AW967">
            <v>27655</v>
          </cell>
          <cell r="AX967" t="str">
            <v>Male</v>
          </cell>
          <cell r="AY967" t="str">
            <v>Part Time</v>
          </cell>
          <cell r="AZ967">
            <v>3</v>
          </cell>
          <cell r="BA967" t="str">
            <v>Santosh Nagar Cluster</v>
          </cell>
        </row>
        <row r="968">
          <cell r="M968" t="str">
            <v>Shah-Ali-Banda - 85</v>
          </cell>
          <cell r="N968" t="str">
            <v>Basic USG, MSK,Tiffa, Guided Procedures, Basic CT, X-Ray, IVP, RGU, Barium Swallow, Barium Enema, HSG</v>
          </cell>
          <cell r="O968" t="str">
            <v>Radiology</v>
          </cell>
          <cell r="P968" t="str">
            <v>Consultant Radiologist</v>
          </cell>
          <cell r="Q968" t="str">
            <v>Dr. Krishna Mohan Pottala</v>
          </cell>
          <cell r="R968">
            <v>43633</v>
          </cell>
          <cell r="S968">
            <v>44682</v>
          </cell>
          <cell r="T968">
            <v>45412</v>
          </cell>
          <cell r="U968">
            <v>45413</v>
          </cell>
          <cell r="V968">
            <v>2006</v>
          </cell>
          <cell r="W968" t="str">
            <v>NTR University</v>
          </cell>
          <cell r="X968">
            <v>2012</v>
          </cell>
          <cell r="Y968" t="str">
            <v>Deccan College of Medical Science</v>
          </cell>
          <cell r="Z968" t="str">
            <v>NA</v>
          </cell>
          <cell r="AA968" t="str">
            <v>MBBS, DMRD - Radio Diagnosis</v>
          </cell>
          <cell r="AB968">
            <v>58769</v>
          </cell>
          <cell r="AC968" t="str">
            <v>Telangana State Medical Council</v>
          </cell>
          <cell r="AD968">
            <v>44238</v>
          </cell>
          <cell r="AE968">
            <v>46063</v>
          </cell>
          <cell r="AF968">
            <v>9849159778</v>
          </cell>
          <cell r="AG968" t="str">
            <v>dr_naseeruddin@yahoo.com, drnaseeruddin@gmail.com</v>
          </cell>
          <cell r="AH968" t="str">
            <v>IDBI Bank</v>
          </cell>
          <cell r="AI968" t="str">
            <v>1327104000120326</v>
          </cell>
          <cell r="AJ968" t="str">
            <v>IBKL0001327</v>
          </cell>
          <cell r="AK968" t="str">
            <v>BKBPM9457R</v>
          </cell>
          <cell r="AL968">
            <v>649850656196</v>
          </cell>
          <cell r="AM968" t="str">
            <v>Khaja Moindduin Iqbal</v>
          </cell>
          <cell r="AN968">
            <v>45596</v>
          </cell>
          <cell r="AO968" t="str">
            <v>NA</v>
          </cell>
          <cell r="AP968" t="str">
            <v>Separation Notice</v>
          </cell>
          <cell r="AU968">
            <v>0.33333333333333331</v>
          </cell>
          <cell r="AV968">
            <v>0.45833333333333331</v>
          </cell>
          <cell r="AW968">
            <v>30347</v>
          </cell>
          <cell r="AX968" t="str">
            <v>Male</v>
          </cell>
          <cell r="AY968" t="str">
            <v>Part Time</v>
          </cell>
          <cell r="AZ968">
            <v>3</v>
          </cell>
          <cell r="BA968" t="str">
            <v>Tolichowki Cluster</v>
          </cell>
        </row>
        <row r="969">
          <cell r="M969" t="str">
            <v>Madhapur-2 - 70</v>
          </cell>
          <cell r="N969" t="str">
            <v>N/A</v>
          </cell>
          <cell r="O969" t="str">
            <v>Physician Services</v>
          </cell>
          <cell r="P969" t="str">
            <v>Consultant Physician</v>
          </cell>
          <cell r="Q969" t="str">
            <v>N/A</v>
          </cell>
          <cell r="R969">
            <v>45257</v>
          </cell>
          <cell r="S969">
            <v>45257</v>
          </cell>
          <cell r="T969">
            <v>45987</v>
          </cell>
          <cell r="U969">
            <v>45988</v>
          </cell>
          <cell r="V969">
            <v>2016</v>
          </cell>
          <cell r="W969" t="str">
            <v>Dr. NTR Health Sciences University</v>
          </cell>
          <cell r="X969">
            <v>2021</v>
          </cell>
          <cell r="Y969" t="str">
            <v>Sanjay Gandhi Institute of Medical Sciences</v>
          </cell>
          <cell r="Z969" t="str">
            <v>NA</v>
          </cell>
          <cell r="AA969" t="str">
            <v>MBBS,MD</v>
          </cell>
          <cell r="AB969" t="str">
            <v>APMC/FMR/640902</v>
          </cell>
          <cell r="AC969" t="str">
            <v>Andhra Pradesh Medical Council</v>
          </cell>
          <cell r="AD969">
            <v>42621</v>
          </cell>
          <cell r="AF969">
            <v>6281991818</v>
          </cell>
          <cell r="AG969" t="str">
            <v>drkellanvssprabhu@gmail.com</v>
          </cell>
          <cell r="AH969" t="str">
            <v>ICICI Bank</v>
          </cell>
          <cell r="AI969">
            <v>662801537794</v>
          </cell>
          <cell r="AJ969" t="str">
            <v>ICIC0006628</v>
          </cell>
          <cell r="AK969" t="str">
            <v>HJLPS1604F</v>
          </cell>
          <cell r="AL969">
            <v>944514653777</v>
          </cell>
          <cell r="AN969">
            <v>45261</v>
          </cell>
          <cell r="AO969">
            <v>45627</v>
          </cell>
          <cell r="AP969" t="str">
            <v>Because of Marrege</v>
          </cell>
          <cell r="AQ969" t="str">
            <v>24-1-96, Nagaraju High School Daggara, Wivars Colony, Rajamandry, East Godavari, Andhra Pradesh - 533101</v>
          </cell>
          <cell r="AS969" t="str">
            <v>24-1-96, Nagaraju High School Daggara, Wivars Colony, Rajamandry, East Godavari, Andhra Pradesh - 533101</v>
          </cell>
          <cell r="AU969">
            <v>0.39583333333333331</v>
          </cell>
          <cell r="AV969">
            <v>0.47916666666666669</v>
          </cell>
          <cell r="AX969" t="str">
            <v>Male</v>
          </cell>
          <cell r="AY969" t="str">
            <v>Part Time</v>
          </cell>
          <cell r="AZ969">
            <v>2</v>
          </cell>
          <cell r="BA969" t="str">
            <v>Madhapur Cluster</v>
          </cell>
        </row>
        <row r="970">
          <cell r="M970" t="str">
            <v>Mehdipatnam - 8</v>
          </cell>
          <cell r="N970" t="str">
            <v>Basic USG, Tiffa, Guided Procedures, X-Ray, IVP, RGU, MCGU</v>
          </cell>
          <cell r="O970" t="str">
            <v>Radiology</v>
          </cell>
          <cell r="P970" t="str">
            <v>Consultant Radiologist</v>
          </cell>
          <cell r="Q970" t="str">
            <v>Dr. Krishna Mohan Pottala</v>
          </cell>
          <cell r="R970">
            <v>44866</v>
          </cell>
          <cell r="S970">
            <v>44866</v>
          </cell>
          <cell r="T970">
            <v>45596</v>
          </cell>
          <cell r="U970">
            <v>45597</v>
          </cell>
          <cell r="V970">
            <v>2013</v>
          </cell>
          <cell r="W970" t="str">
            <v>Chzheng Zhou Medical University, China</v>
          </cell>
          <cell r="X970">
            <v>2019</v>
          </cell>
          <cell r="Y970" t="str">
            <v>Deccan Medical College, Hyderabad</v>
          </cell>
          <cell r="Z970" t="str">
            <v>NA</v>
          </cell>
          <cell r="AA970" t="str">
            <v>MBBS, MD</v>
          </cell>
          <cell r="AB970" t="str">
            <v>TSMC/FMR/00442</v>
          </cell>
          <cell r="AC970" t="str">
            <v>Telangana State Medical Council</v>
          </cell>
          <cell r="AD970">
            <v>44137</v>
          </cell>
          <cell r="AE970">
            <v>45962</v>
          </cell>
          <cell r="AF970">
            <v>9513000000</v>
          </cell>
          <cell r="AG970" t="str">
            <v>drsohebkhan@gmail.com</v>
          </cell>
          <cell r="AH970" t="str">
            <v>Axis Bank</v>
          </cell>
          <cell r="AI970" t="str">
            <v>342010100034131</v>
          </cell>
          <cell r="AJ970" t="str">
            <v>UTIB0000342</v>
          </cell>
          <cell r="AK970" t="str">
            <v>EEYPS9879K</v>
          </cell>
          <cell r="AL970">
            <v>613794606319</v>
          </cell>
          <cell r="AM970" t="str">
            <v>Mukram Khan</v>
          </cell>
          <cell r="AN970">
            <v>45596</v>
          </cell>
          <cell r="AO970" t="str">
            <v>NA</v>
          </cell>
          <cell r="AP970" t="str">
            <v>Performance issues</v>
          </cell>
          <cell r="AQ970" t="str">
            <v>H NO 7/15, G K Road, Batgera B Cross, Batgera, Batgera(b), Gulbarga, Karnataka-585222.</v>
          </cell>
          <cell r="AS970" t="str">
            <v>H NO 7/15, G K Road, Batgera B Cross, Batgera, Batgera(b), Gulbarga, Karnataka-585222.</v>
          </cell>
          <cell r="AU970">
            <v>0.375</v>
          </cell>
          <cell r="AV970">
            <v>0.625</v>
          </cell>
          <cell r="AW970">
            <v>31867</v>
          </cell>
          <cell r="AX970" t="str">
            <v>Male</v>
          </cell>
          <cell r="AY970" t="str">
            <v>Part Time</v>
          </cell>
          <cell r="AZ970">
            <v>6</v>
          </cell>
          <cell r="BA970" t="str">
            <v>Tolichowki Cluster</v>
          </cell>
        </row>
        <row r="971">
          <cell r="M971" t="str">
            <v>Nandyal - 48</v>
          </cell>
          <cell r="N971" t="str">
            <v>Hematology, Cytopathology, Clinical Pathology</v>
          </cell>
          <cell r="O971" t="str">
            <v>Pathology</v>
          </cell>
          <cell r="P971" t="str">
            <v>Consultant Pathologist</v>
          </cell>
          <cell r="Q971" t="str">
            <v>Dr P T S Shashikant</v>
          </cell>
          <cell r="R971">
            <v>44951</v>
          </cell>
          <cell r="S971">
            <v>45078</v>
          </cell>
          <cell r="T971">
            <v>45838</v>
          </cell>
          <cell r="U971">
            <v>45809</v>
          </cell>
          <cell r="V971">
            <v>2009</v>
          </cell>
          <cell r="W971" t="str">
            <v>Kurnool Medical College, Kurnool</v>
          </cell>
          <cell r="X971">
            <v>2014</v>
          </cell>
          <cell r="Y971" t="str">
            <v>Nizams institute of medical sciences, Hyderabad</v>
          </cell>
          <cell r="Z971" t="str">
            <v>NA</v>
          </cell>
          <cell r="AA971" t="str">
            <v>MBBS, MD</v>
          </cell>
          <cell r="AB971">
            <v>67461</v>
          </cell>
          <cell r="AC971" t="str">
            <v>Andhra Pradesh Medical Council</v>
          </cell>
          <cell r="AD971">
            <v>44477</v>
          </cell>
          <cell r="AE971">
            <v>46302</v>
          </cell>
          <cell r="AF971">
            <v>9491526545</v>
          </cell>
          <cell r="AG971" t="str">
            <v>eswar.bathula@gmail.com</v>
          </cell>
          <cell r="AH971" t="str">
            <v>Union Bank of India</v>
          </cell>
          <cell r="AI971" t="str">
            <v>107910100013153</v>
          </cell>
          <cell r="AJ971" t="str">
            <v>UBIN0800538</v>
          </cell>
          <cell r="AK971" t="str">
            <v>BIQPB6783G</v>
          </cell>
          <cell r="AL971">
            <v>368659955116</v>
          </cell>
          <cell r="AN971">
            <v>45596</v>
          </cell>
          <cell r="AO971" t="str">
            <v>NA</v>
          </cell>
          <cell r="AP971" t="str">
            <v>Separation Notice</v>
          </cell>
          <cell r="AQ971" t="str">
            <v>Working hours 09:00 AM to 03:00 PM , Revised Amount - 114000, Eff from 1st June 2023</v>
          </cell>
          <cell r="AU971">
            <v>0.375</v>
          </cell>
          <cell r="AV971">
            <v>0.625</v>
          </cell>
          <cell r="AW971">
            <v>31534</v>
          </cell>
          <cell r="AX971" t="str">
            <v>Male</v>
          </cell>
          <cell r="AY971" t="str">
            <v>Part Time</v>
          </cell>
          <cell r="AZ971">
            <v>6</v>
          </cell>
          <cell r="BA971" t="str">
            <v>Kurnool Cluster</v>
          </cell>
        </row>
        <row r="972">
          <cell r="M972" t="str">
            <v>Nellore - 27</v>
          </cell>
          <cell r="N972" t="str">
            <v>N/A</v>
          </cell>
          <cell r="O972" t="str">
            <v>Pathology</v>
          </cell>
          <cell r="P972" t="str">
            <v>Consultant Pathologist</v>
          </cell>
          <cell r="R972">
            <v>45261</v>
          </cell>
          <cell r="S972">
            <v>45261</v>
          </cell>
          <cell r="T972">
            <v>45991</v>
          </cell>
          <cell r="U972">
            <v>45992</v>
          </cell>
          <cell r="V972">
            <v>2018</v>
          </cell>
          <cell r="W972" t="str">
            <v>Narayana Medical College</v>
          </cell>
          <cell r="X972">
            <v>2023</v>
          </cell>
          <cell r="Y972" t="str">
            <v>Narayana Medical College</v>
          </cell>
          <cell r="AB972" t="str">
            <v>APMC/FMR/105368</v>
          </cell>
          <cell r="AC972" t="str">
            <v>Andhra Pradesh Medical Council</v>
          </cell>
          <cell r="AD972">
            <v>45162</v>
          </cell>
          <cell r="AE972">
            <v>46988</v>
          </cell>
          <cell r="AF972">
            <v>9507885555</v>
          </cell>
          <cell r="AG972" t="str">
            <v>ayeshagaleti36@gmail.com</v>
          </cell>
          <cell r="AH972" t="str">
            <v>INDIA Bank</v>
          </cell>
          <cell r="AI972" t="str">
            <v>7431466471</v>
          </cell>
          <cell r="AJ972" t="str">
            <v>IDIB000V156</v>
          </cell>
          <cell r="AK972" t="str">
            <v>BNSPG1124K</v>
          </cell>
          <cell r="AL972">
            <v>509461602103</v>
          </cell>
          <cell r="AN972">
            <v>45291</v>
          </cell>
          <cell r="AQ972" t="str">
            <v>2-1675 LBS Road, Pileru, Kondreddigaripalle, Chittoor, Andhra Pradesh - 517214</v>
          </cell>
          <cell r="AS972" t="str">
            <v>2-1675 LBS Road, Pileru, Kondreddigaripalle, Chittoor, Andhra Pradesh - 517214</v>
          </cell>
          <cell r="AU972">
            <v>0.39583333333333331</v>
          </cell>
          <cell r="AV972">
            <v>0.6875</v>
          </cell>
          <cell r="AX972" t="str">
            <v>Female</v>
          </cell>
          <cell r="AY972" t="str">
            <v>Part Time</v>
          </cell>
          <cell r="AZ972">
            <v>7</v>
          </cell>
          <cell r="BA972" t="str">
            <v>Tirupati Cluster</v>
          </cell>
        </row>
        <row r="973">
          <cell r="M973" t="str">
            <v>Kharkhana - 35</v>
          </cell>
          <cell r="N973" t="str">
            <v>USG Basic, Tiffa, Fetal Echo, MSK, Guided Procedures, X Ray, IVP, RGU, MCGU, Barium Swallow, Barium Enema, HSG</v>
          </cell>
          <cell r="O973" t="str">
            <v>Radiology</v>
          </cell>
          <cell r="P973" t="str">
            <v>Consultant Radiologist</v>
          </cell>
          <cell r="Q973" t="str">
            <v>Dr. Krishna Mohan Pottala</v>
          </cell>
          <cell r="R973">
            <v>45362</v>
          </cell>
          <cell r="S973">
            <v>45362</v>
          </cell>
          <cell r="T973">
            <v>46091</v>
          </cell>
          <cell r="U973">
            <v>46092</v>
          </cell>
          <cell r="V973">
            <v>2012</v>
          </cell>
          <cell r="W973" t="str">
            <v>M N R Medical College, Sangareddy, Telangana</v>
          </cell>
          <cell r="X973">
            <v>2017</v>
          </cell>
          <cell r="Y973" t="str">
            <v>M N R Medical College, Sangareddy, Telangana</v>
          </cell>
          <cell r="Z973" t="str">
            <v>NA</v>
          </cell>
          <cell r="AA973" t="str">
            <v>MBBS, MD - Radiodiagnosis</v>
          </cell>
          <cell r="AB973" t="str">
            <v>APMC/FMR/83475</v>
          </cell>
          <cell r="AC973" t="str">
            <v>Telangana State Medical Council</v>
          </cell>
          <cell r="AD973">
            <v>45324</v>
          </cell>
          <cell r="AE973">
            <v>47150</v>
          </cell>
          <cell r="AF973">
            <v>9959546834</v>
          </cell>
          <cell r="AG973" t="str">
            <v>minilss15@gmail.com</v>
          </cell>
          <cell r="AH973" t="str">
            <v>ICICI Bank</v>
          </cell>
          <cell r="AI973" t="str">
            <v>131501501989</v>
          </cell>
          <cell r="AJ973" t="str">
            <v>ICIC0001315</v>
          </cell>
          <cell r="AK973" t="str">
            <v>BMNPP1754J</v>
          </cell>
          <cell r="AL973">
            <v>664862865826</v>
          </cell>
          <cell r="AM973" t="str">
            <v>P Narender</v>
          </cell>
          <cell r="AN973">
            <v>45602</v>
          </cell>
          <cell r="AO973" t="str">
            <v>NA</v>
          </cell>
          <cell r="AP973" t="str">
            <v>PCPNDT registration issue</v>
          </cell>
          <cell r="AQ973" t="str">
            <v>Plot No. 108 H. No. 3, 108 Bazar Road Jyothi Colony, Kakaguda, Hyderabad, Telangana - 500015</v>
          </cell>
          <cell r="AS973">
            <v>36</v>
          </cell>
          <cell r="AU973">
            <v>0.5</v>
          </cell>
          <cell r="AV973">
            <v>3</v>
          </cell>
          <cell r="AW973">
            <v>32821</v>
          </cell>
          <cell r="AX973" t="str">
            <v>Male</v>
          </cell>
          <cell r="AY973" t="str">
            <v>Part Time</v>
          </cell>
          <cell r="AZ973">
            <v>3</v>
          </cell>
          <cell r="BA973" t="str">
            <v>Secunderabad Cluster</v>
          </cell>
        </row>
        <row r="974">
          <cell r="M974" t="str">
            <v>Kukatpally - 20</v>
          </cell>
          <cell r="N974" t="str">
            <v>N/A</v>
          </cell>
          <cell r="O974" t="str">
            <v>Physician Services</v>
          </cell>
          <cell r="P974" t="str">
            <v>Consultant Physician</v>
          </cell>
          <cell r="Q974" t="str">
            <v>N/A</v>
          </cell>
          <cell r="R974">
            <v>45261</v>
          </cell>
          <cell r="S974">
            <v>45261</v>
          </cell>
          <cell r="T974">
            <v>45991</v>
          </cell>
          <cell r="U974">
            <v>45992</v>
          </cell>
          <cell r="V974">
            <v>2020</v>
          </cell>
          <cell r="W974" t="str">
            <v>RIMS Adilabad</v>
          </cell>
          <cell r="X974" t="str">
            <v>N/A</v>
          </cell>
          <cell r="Y974" t="str">
            <v>N/A</v>
          </cell>
          <cell r="Z974" t="str">
            <v>NA</v>
          </cell>
          <cell r="AA974" t="str">
            <v>MBBS</v>
          </cell>
          <cell r="AB974" t="str">
            <v>TSMC/FMR/14319</v>
          </cell>
          <cell r="AC974" t="str">
            <v>Telangana State Medical Council</v>
          </cell>
          <cell r="AD974">
            <v>44149</v>
          </cell>
          <cell r="AE974">
            <v>45974</v>
          </cell>
          <cell r="AF974">
            <v>9392123846</v>
          </cell>
          <cell r="AG974" t="str">
            <v>sravyasai9@gmail.com</v>
          </cell>
          <cell r="AH974" t="str">
            <v>SBI Bank</v>
          </cell>
          <cell r="AI974" t="str">
            <v>31847688403</v>
          </cell>
          <cell r="AJ974" t="str">
            <v>SBIN0010098</v>
          </cell>
          <cell r="AK974" t="str">
            <v>LKUPS1282H</v>
          </cell>
          <cell r="AL974">
            <v>511084223954</v>
          </cell>
          <cell r="AN974">
            <v>45359</v>
          </cell>
          <cell r="AO974">
            <v>45359</v>
          </cell>
          <cell r="AQ974" t="str">
            <v>H No. LIG - 410, Road No. 3, KPHB, Kukatpally, Hyderabad, Telangana - 500072</v>
          </cell>
          <cell r="AS974" t="str">
            <v>H No. LIG - 410, Road No. 3, KPHB, Kukatpally, Hyderabad, Telangana - 500072</v>
          </cell>
          <cell r="AU974">
            <v>0.375</v>
          </cell>
          <cell r="AV974">
            <v>0.45833333333333331</v>
          </cell>
          <cell r="AW974">
            <v>35075</v>
          </cell>
          <cell r="AX974" t="str">
            <v>Female</v>
          </cell>
          <cell r="AY974" t="str">
            <v>Part Time</v>
          </cell>
          <cell r="AZ974">
            <v>2</v>
          </cell>
          <cell r="BA974" t="str">
            <v>Kukatpally Cluster</v>
          </cell>
        </row>
        <row r="975">
          <cell r="M975" t="str">
            <v>Vizag - 37</v>
          </cell>
          <cell r="N975" t="str">
            <v>N/A</v>
          </cell>
          <cell r="O975" t="str">
            <v>Physician Services</v>
          </cell>
          <cell r="P975" t="str">
            <v>Consultant Physician</v>
          </cell>
          <cell r="Q975" t="str">
            <v>N/A</v>
          </cell>
          <cell r="R975">
            <v>45261</v>
          </cell>
          <cell r="S975">
            <v>45261</v>
          </cell>
          <cell r="T975">
            <v>45991</v>
          </cell>
          <cell r="U975">
            <v>45992</v>
          </cell>
          <cell r="V975">
            <v>2017</v>
          </cell>
          <cell r="W975" t="str">
            <v>NRIIMS</v>
          </cell>
          <cell r="X975" t="str">
            <v>N/A</v>
          </cell>
          <cell r="Y975" t="str">
            <v>N/A</v>
          </cell>
          <cell r="Z975" t="str">
            <v>NA</v>
          </cell>
          <cell r="AA975" t="str">
            <v>MBBS</v>
          </cell>
          <cell r="AB975" t="str">
            <v>APMC/FMR/101347</v>
          </cell>
          <cell r="AC975" t="str">
            <v>Andhra Pradesh Medical Council</v>
          </cell>
          <cell r="AD975">
            <v>45114</v>
          </cell>
          <cell r="AE975">
            <v>46940</v>
          </cell>
          <cell r="AF975">
            <v>9959306275</v>
          </cell>
          <cell r="AG975" t="str">
            <v>ramyasatyala3426@gmail.com</v>
          </cell>
          <cell r="AH975" t="str">
            <v>Canara Bank</v>
          </cell>
          <cell r="AI975" t="str">
            <v>6180101002572</v>
          </cell>
          <cell r="AJ975" t="str">
            <v>CNRB0006180</v>
          </cell>
          <cell r="AK975" t="str">
            <v>HXQPS3657R</v>
          </cell>
          <cell r="AL975">
            <v>474069469596</v>
          </cell>
          <cell r="AN975">
            <v>45351</v>
          </cell>
          <cell r="AO975">
            <v>45351</v>
          </cell>
          <cell r="AQ975" t="str">
            <v>65-1-104A, Srinivasa Nagar, Sriharipuram, Malkapuram, Visakhapatnam, Andhra Pradesh - 530011</v>
          </cell>
          <cell r="AS975" t="str">
            <v>65-1-104A, Srinivasa Nagar, Sriharipuram, Malkapuram, Visakhapatnam, Andhra Pradesh - 530011</v>
          </cell>
          <cell r="AU975">
            <v>0.6875</v>
          </cell>
          <cell r="AV975">
            <v>0.77083333333333337</v>
          </cell>
          <cell r="AW975">
            <v>34653</v>
          </cell>
          <cell r="AX975" t="str">
            <v>Female</v>
          </cell>
          <cell r="AY975" t="str">
            <v>Part Time</v>
          </cell>
          <cell r="AZ975">
            <v>2</v>
          </cell>
          <cell r="BA975" t="str">
            <v>Visakhapatnam Cluster</v>
          </cell>
        </row>
        <row r="976">
          <cell r="M976" t="str">
            <v>Panjagutta-121</v>
          </cell>
          <cell r="N976" t="str">
            <v>Basic USG, Tiffa, Doppler, Guided Procedures, Basic CT, X Ray, Plain Radiology, Mammography, IVP, RGU, MCGU, Barium Swallow, Barium Anema, HSG</v>
          </cell>
          <cell r="O976" t="str">
            <v>Radiology</v>
          </cell>
          <cell r="P976" t="str">
            <v>Consultant Radiologist</v>
          </cell>
          <cell r="Q976" t="str">
            <v>Dr. Krishna Mohan Pottala</v>
          </cell>
          <cell r="R976">
            <v>45390</v>
          </cell>
          <cell r="S976">
            <v>45390</v>
          </cell>
          <cell r="T976">
            <v>46119</v>
          </cell>
          <cell r="U976">
            <v>46120</v>
          </cell>
          <cell r="V976">
            <v>2016</v>
          </cell>
          <cell r="W976" t="str">
            <v>Dr. N T R University</v>
          </cell>
          <cell r="X976">
            <v>2022</v>
          </cell>
          <cell r="Y976" t="str">
            <v>Dr. N T R University</v>
          </cell>
          <cell r="Z976" t="str">
            <v>NA</v>
          </cell>
          <cell r="AA976" t="str">
            <v>MBBS,MD</v>
          </cell>
          <cell r="AB976" t="str">
            <v>TSMC/FMR/23362</v>
          </cell>
          <cell r="AC976" t="str">
            <v>Telangana State Medical Council</v>
          </cell>
          <cell r="AD976">
            <v>44882</v>
          </cell>
          <cell r="AE976">
            <v>46707</v>
          </cell>
          <cell r="AF976">
            <v>9703447111</v>
          </cell>
          <cell r="AG976" t="str">
            <v>baddulaanil@gmail.com</v>
          </cell>
          <cell r="AH976" t="str">
            <v>Bank of India</v>
          </cell>
          <cell r="AI976" t="str">
            <v>572810110005524</v>
          </cell>
          <cell r="AJ976" t="str">
            <v>BKID0005710</v>
          </cell>
          <cell r="AK976" t="str">
            <v>CAFPB9329C</v>
          </cell>
          <cell r="AL976">
            <v>839669499565</v>
          </cell>
          <cell r="AN976">
            <v>45603</v>
          </cell>
          <cell r="AO976">
            <v>45549</v>
          </cell>
          <cell r="AP976" t="str">
            <v>Fellowship</v>
          </cell>
          <cell r="AQ976" t="str">
            <v>Saibaba Peta, Nandi Kotkur, Kurnool, Andhra Pradesh - 518401</v>
          </cell>
          <cell r="AS976">
            <v>33</v>
          </cell>
          <cell r="AU976">
            <v>0.875</v>
          </cell>
          <cell r="AV976">
            <v>3</v>
          </cell>
          <cell r="AW976">
            <v>33644</v>
          </cell>
          <cell r="AX976" t="str">
            <v>Male</v>
          </cell>
          <cell r="AY976" t="str">
            <v>Part Time</v>
          </cell>
          <cell r="AZ976">
            <v>3</v>
          </cell>
          <cell r="BA976" t="str">
            <v>Punjagutta Cluster</v>
          </cell>
        </row>
        <row r="977">
          <cell r="M977" t="str">
            <v>Balapur - 63</v>
          </cell>
          <cell r="N977" t="str">
            <v>X-Ray (Palim Radiography-Basic,Advanced), USG(Doppler Studies,Thyroid / Scrotum USG, Breast USG, USG Guided FNAC, USG Guided Aspiration, CT (Basic, Chest/Abdomen/Neck, CT Angiography), MRI (Basic, MR Prostate / Rectum, MR Neurography), Special Procedures ( IVP, RGU, MCUG, Barium Swallow, Barium Enema, HSG)</v>
          </cell>
          <cell r="O977" t="str">
            <v>Radiology</v>
          </cell>
          <cell r="P977" t="str">
            <v>Consultant Radiologist</v>
          </cell>
          <cell r="Q977" t="str">
            <v>Dr. Krishna Mohan Pottala</v>
          </cell>
          <cell r="R977">
            <v>45593</v>
          </cell>
          <cell r="S977">
            <v>45593</v>
          </cell>
          <cell r="T977">
            <v>46322</v>
          </cell>
          <cell r="U977">
            <v>46323</v>
          </cell>
          <cell r="V977">
            <v>2020</v>
          </cell>
          <cell r="W977" t="str">
            <v>Jawaharlal Nehru Medical College</v>
          </cell>
          <cell r="X977">
            <v>2023</v>
          </cell>
          <cell r="Y977" t="str">
            <v>M S Ramaiah Medical College</v>
          </cell>
          <cell r="Z977" t="str">
            <v>NA</v>
          </cell>
          <cell r="AA977" t="str">
            <v>MBBS, MD Radio diagnosis</v>
          </cell>
          <cell r="AB977" t="str">
            <v>TSMC/FMR/33861</v>
          </cell>
          <cell r="AC977" t="str">
            <v>Telangana State Medical Council</v>
          </cell>
          <cell r="AD977">
            <v>45518</v>
          </cell>
          <cell r="AE977">
            <v>47343</v>
          </cell>
          <cell r="AF977" t="str">
            <v>8867891999 / 8861303388</v>
          </cell>
          <cell r="AG977" t="str">
            <v>pranayrdy@gmail.com</v>
          </cell>
          <cell r="AH977" t="str">
            <v>Axis Bank</v>
          </cell>
          <cell r="AI977" t="str">
            <v>916010068374795</v>
          </cell>
          <cell r="AJ977" t="str">
            <v>UTIB0001305</v>
          </cell>
          <cell r="AK977" t="str">
            <v>DDFPM9883N</v>
          </cell>
          <cell r="AL977">
            <v>905471712981</v>
          </cell>
          <cell r="AM977" t="str">
            <v>Chandra Kanth reddy Manda</v>
          </cell>
          <cell r="AN977">
            <v>45603</v>
          </cell>
          <cell r="AO977" t="str">
            <v>NA</v>
          </cell>
          <cell r="AP977" t="str">
            <v>Higher Studies</v>
          </cell>
          <cell r="AQ977" t="str">
            <v>17-1-382/K/6/8, Champapet, Saidabad, Hyderabad, Telangana- 500059.</v>
          </cell>
          <cell r="AS977">
            <v>29</v>
          </cell>
          <cell r="AW977">
            <v>35085</v>
          </cell>
          <cell r="AX977" t="str">
            <v>Male</v>
          </cell>
          <cell r="AY977" t="str">
            <v>Part Time</v>
          </cell>
          <cell r="AZ977">
            <v>3</v>
          </cell>
          <cell r="BA977" t="str">
            <v>Santosh Nagar Cluster</v>
          </cell>
        </row>
        <row r="978">
          <cell r="M978" t="str">
            <v>Tirupathi-333</v>
          </cell>
          <cell r="N978" t="str">
            <v>NA</v>
          </cell>
          <cell r="O978" t="str">
            <v>Pathology</v>
          </cell>
          <cell r="P978" t="str">
            <v>Consultant Pathologist</v>
          </cell>
          <cell r="Q978" t="str">
            <v>Dr P T S Shashikant</v>
          </cell>
          <cell r="R978">
            <v>44970</v>
          </cell>
          <cell r="S978">
            <v>44988</v>
          </cell>
          <cell r="T978">
            <v>45718</v>
          </cell>
          <cell r="U978">
            <v>45719</v>
          </cell>
          <cell r="V978">
            <v>2006</v>
          </cell>
          <cell r="W978" t="str">
            <v>Govt. Medical College, Anantapur -2006</v>
          </cell>
          <cell r="X978">
            <v>2012</v>
          </cell>
          <cell r="Y978" t="str">
            <v>NRI Medical College, Chinakakani, Mangalagiri-2012</v>
          </cell>
          <cell r="Z978" t="str">
            <v>NA</v>
          </cell>
          <cell r="AA978" t="str">
            <v>MBBS, MD</v>
          </cell>
          <cell r="AB978">
            <v>58856</v>
          </cell>
          <cell r="AC978" t="str">
            <v xml:space="preserve"> Andhra Pradesh Medical Counil</v>
          </cell>
          <cell r="AD978">
            <v>43994</v>
          </cell>
          <cell r="AE978">
            <v>45819</v>
          </cell>
          <cell r="AF978">
            <v>9866313588</v>
          </cell>
          <cell r="AG978" t="str">
            <v>dr.sushmachintam@gmail.com</v>
          </cell>
          <cell r="AH978" t="str">
            <v>SBI Bank</v>
          </cell>
          <cell r="AI978" t="str">
            <v>30614915204</v>
          </cell>
          <cell r="AJ978" t="str">
            <v>SBIN0017800</v>
          </cell>
          <cell r="AK978" t="str">
            <v>CAKPS9258J</v>
          </cell>
          <cell r="AL978">
            <v>592836556635</v>
          </cell>
          <cell r="AM978" t="str">
            <v>Gundluru Uma Maheshwara Reddy</v>
          </cell>
          <cell r="AN978">
            <v>45605</v>
          </cell>
          <cell r="AO978">
            <v>45596</v>
          </cell>
          <cell r="AP978" t="str">
            <v>Personal reasons</v>
          </cell>
          <cell r="AS978">
            <v>42</v>
          </cell>
          <cell r="AU978">
            <v>0.875</v>
          </cell>
          <cell r="AV978">
            <v>2</v>
          </cell>
          <cell r="AW978">
            <v>30506</v>
          </cell>
          <cell r="AX978" t="str">
            <v>Female</v>
          </cell>
          <cell r="AY978" t="str">
            <v>Part Time</v>
          </cell>
          <cell r="AZ978">
            <v>2</v>
          </cell>
          <cell r="BA978" t="str">
            <v>Tirupati Cluster</v>
          </cell>
        </row>
        <row r="979">
          <cell r="M979" t="str">
            <v>Karmanghat - 68</v>
          </cell>
          <cell r="N979" t="str">
            <v>Basic USG, Tiffa, Guided Procedures, Basic CT, X Ray, Plain Radiology, IVP, RGU, MCGU, Barium Swallow, Barium Anema, HSG 
(Note :- Can do USG, Tiffa, CT, Included FNAC and X-Ray)</v>
          </cell>
          <cell r="O979" t="str">
            <v>Radiology</v>
          </cell>
          <cell r="P979" t="str">
            <v>Consultant Radiologist</v>
          </cell>
          <cell r="Q979" t="str">
            <v>Dr.Krishna Mohan</v>
          </cell>
          <cell r="R979">
            <v>45264</v>
          </cell>
          <cell r="S979">
            <v>45264</v>
          </cell>
          <cell r="T979">
            <v>45994</v>
          </cell>
          <cell r="U979">
            <v>45995</v>
          </cell>
          <cell r="V979">
            <v>2013</v>
          </cell>
          <cell r="W979" t="str">
            <v>SS Institute of Medical Science</v>
          </cell>
          <cell r="X979">
            <v>2018</v>
          </cell>
          <cell r="Y979" t="str">
            <v>Mamata Medical College</v>
          </cell>
          <cell r="Z979" t="str">
            <v>NA</v>
          </cell>
          <cell r="AA979" t="str">
            <v>MBBS,MD</v>
          </cell>
          <cell r="AB979" t="str">
            <v>APMC/FMR/90654</v>
          </cell>
          <cell r="AC979" t="str">
            <v>Telangana State Medical Council</v>
          </cell>
          <cell r="AD979">
            <v>44100</v>
          </cell>
          <cell r="AE979">
            <v>45925</v>
          </cell>
          <cell r="AF979">
            <v>9618029750</v>
          </cell>
          <cell r="AG979" t="str">
            <v>adiabhi1818@gmail.com</v>
          </cell>
          <cell r="AH979" t="str">
            <v>HDFC Bank</v>
          </cell>
          <cell r="AI979">
            <v>50100326275828</v>
          </cell>
          <cell r="AJ979" t="str">
            <v>HDFC0004326</v>
          </cell>
          <cell r="AK979" t="str">
            <v>BLEPK3553J</v>
          </cell>
          <cell r="AL979">
            <v>625994192583</v>
          </cell>
          <cell r="AN979">
            <v>45413</v>
          </cell>
          <cell r="AO979">
            <v>45360</v>
          </cell>
          <cell r="AP979" t="str">
            <v>Personal Reason</v>
          </cell>
          <cell r="AQ979" t="str">
            <v>14-39/1, P&amp;T Colony, Dilsukhnagar, Hyderabad, Telangana - 500060</v>
          </cell>
          <cell r="AS979" t="str">
            <v>14-39/1, P&amp;T Colony, Dilsukhnagar, Hyderabad, Telangana - 500060</v>
          </cell>
          <cell r="AU979">
            <v>0.35416666666666669</v>
          </cell>
          <cell r="AV979">
            <v>0.52083333333333337</v>
          </cell>
          <cell r="AW979">
            <v>32747</v>
          </cell>
          <cell r="AX979" t="str">
            <v>Male</v>
          </cell>
          <cell r="AY979" t="str">
            <v>Part Time</v>
          </cell>
          <cell r="AZ979">
            <v>4</v>
          </cell>
          <cell r="BA979" t="str">
            <v>Santosh Nagar Cluster</v>
          </cell>
        </row>
        <row r="980">
          <cell r="M980" t="str">
            <v>Hadapsar</v>
          </cell>
          <cell r="N980" t="str">
            <v>CT,MRI,USG,Doppler,X-Ray</v>
          </cell>
          <cell r="O980" t="str">
            <v>Radiology</v>
          </cell>
          <cell r="P980" t="str">
            <v>Consultant Radiologist</v>
          </cell>
          <cell r="Q980" t="str">
            <v>Dr Vijayanand</v>
          </cell>
          <cell r="R980">
            <v>45246</v>
          </cell>
          <cell r="S980">
            <v>45383</v>
          </cell>
          <cell r="T980">
            <v>46112</v>
          </cell>
          <cell r="U980">
            <v>46113</v>
          </cell>
          <cell r="V980">
            <v>2012</v>
          </cell>
          <cell r="W980" t="str">
            <v>Mahatma Gandhi institute of Medical Sciences,Sewagram</v>
          </cell>
          <cell r="X980">
            <v>2018</v>
          </cell>
          <cell r="Y980" t="str">
            <v>Mahatma Gandhi institute of Medical Sciences,Sewagram</v>
          </cell>
          <cell r="Z980" t="str">
            <v>DNB(2020)</v>
          </cell>
          <cell r="AA980" t="str">
            <v>MBBS, DNB, DMRD</v>
          </cell>
          <cell r="AB980" t="str">
            <v>2021/07/6882</v>
          </cell>
          <cell r="AC980" t="str">
            <v>Maharashtra Medical Council, Mumbai</v>
          </cell>
          <cell r="AD980">
            <v>44396</v>
          </cell>
          <cell r="AE980">
            <v>46222</v>
          </cell>
          <cell r="AF980">
            <v>8888804808</v>
          </cell>
          <cell r="AG980" t="str">
            <v>bhagyashri.4ever4u@gmail.com</v>
          </cell>
          <cell r="AH980" t="str">
            <v>Punjab National Bank</v>
          </cell>
          <cell r="AI980" t="str">
            <v>1674100100003883</v>
          </cell>
          <cell r="AJ980" t="str">
            <v>PUNB0167410</v>
          </cell>
          <cell r="AK980" t="str">
            <v>BXVPB2045P</v>
          </cell>
          <cell r="AL980">
            <v>863606407374</v>
          </cell>
          <cell r="AM980" t="str">
            <v>Yogesh Borikar</v>
          </cell>
          <cell r="AN980">
            <v>45607</v>
          </cell>
          <cell r="AO980">
            <v>45667</v>
          </cell>
          <cell r="AP980" t="str">
            <v>Family shifting</v>
          </cell>
          <cell r="AQ980" t="str">
            <v>flat 721,tower 25, amanora metro towers hadapsar,pune 411028</v>
          </cell>
          <cell r="AR980">
            <v>55</v>
          </cell>
          <cell r="AW980" t="str">
            <v>01-01-1970</v>
          </cell>
          <cell r="AX980" t="str">
            <v>Female</v>
          </cell>
          <cell r="AY980" t="str">
            <v>Full Time</v>
          </cell>
          <cell r="AZ980">
            <v>8</v>
          </cell>
          <cell r="BA980" t="str">
            <v>Pune</v>
          </cell>
        </row>
        <row r="981">
          <cell r="M981" t="str">
            <v>Vijayanagar - 51</v>
          </cell>
          <cell r="N981" t="str">
            <v>N/A</v>
          </cell>
          <cell r="O981" t="str">
            <v>Physician Services</v>
          </cell>
          <cell r="P981" t="str">
            <v>Consultant Physician</v>
          </cell>
          <cell r="Q981" t="str">
            <v>N/A</v>
          </cell>
          <cell r="R981">
            <v>45274</v>
          </cell>
          <cell r="S981">
            <v>45274</v>
          </cell>
          <cell r="T981">
            <v>46004</v>
          </cell>
          <cell r="U981">
            <v>46005</v>
          </cell>
          <cell r="V981">
            <v>2018</v>
          </cell>
          <cell r="W981" t="str">
            <v>Santhiram Medical College</v>
          </cell>
          <cell r="Z981" t="str">
            <v>NA</v>
          </cell>
          <cell r="AA981" t="str">
            <v>MBBS</v>
          </cell>
          <cell r="AB981" t="str">
            <v>APMC/FMR/102606</v>
          </cell>
          <cell r="AC981" t="str">
            <v>Andhra Pradesh Medical Council</v>
          </cell>
          <cell r="AD981">
            <v>43339</v>
          </cell>
          <cell r="AE981">
            <v>45164</v>
          </cell>
          <cell r="AF981">
            <v>8978389123</v>
          </cell>
          <cell r="AG981" t="str">
            <v>imtyaz.ahammad@gmail.com</v>
          </cell>
          <cell r="AH981" t="str">
            <v>HDFC Bank</v>
          </cell>
          <cell r="AI981" t="str">
            <v>50100272258404</v>
          </cell>
          <cell r="AJ981" t="str">
            <v>HDFC0001013</v>
          </cell>
          <cell r="AK981" t="str">
            <v>LYYPS9718J</v>
          </cell>
          <cell r="AL981">
            <v>397378161948</v>
          </cell>
          <cell r="AN981">
            <v>45339</v>
          </cell>
          <cell r="AO981">
            <v>45339</v>
          </cell>
          <cell r="AQ981" t="str">
            <v>3/223-A, Sai Kuteer Road, YMR Colony, Proddatur, Cuddapah, Andhra Pradesh - 516360</v>
          </cell>
          <cell r="AS981" t="str">
            <v>3/223-A, Sai Kuteer Road, YMR Colony, Proddatur, Cuddapah, Andhra Pradesh - 516360</v>
          </cell>
          <cell r="AU981">
            <v>0.375</v>
          </cell>
          <cell r="AV981">
            <v>0.41666666666666669</v>
          </cell>
          <cell r="AW981">
            <v>32736</v>
          </cell>
          <cell r="AX981" t="str">
            <v>Male</v>
          </cell>
          <cell r="AY981" t="str">
            <v>Part Time</v>
          </cell>
          <cell r="AZ981">
            <v>1</v>
          </cell>
          <cell r="BA981" t="str">
            <v>Himayathnagar Cluster</v>
          </cell>
        </row>
        <row r="982">
          <cell r="M982" t="str">
            <v>Gachibowli-66</v>
          </cell>
          <cell r="N982" t="str">
            <v>N/A</v>
          </cell>
          <cell r="O982" t="str">
            <v>Physician Services</v>
          </cell>
          <cell r="P982" t="str">
            <v>Consultant Physician</v>
          </cell>
          <cell r="R982">
            <v>45274</v>
          </cell>
          <cell r="S982">
            <v>45274</v>
          </cell>
          <cell r="T982">
            <v>46004</v>
          </cell>
          <cell r="U982">
            <v>46005</v>
          </cell>
          <cell r="V982">
            <v>2016</v>
          </cell>
          <cell r="W982" t="str">
            <v>Dr. NTR Health Sciences University</v>
          </cell>
          <cell r="AB982" t="str">
            <v>TSMC/FMR/04855</v>
          </cell>
          <cell r="AC982" t="str">
            <v>Telangana State Medical Council</v>
          </cell>
          <cell r="AF982">
            <v>9700772165</v>
          </cell>
          <cell r="AG982" t="str">
            <v>dinesh.rdd1@gmail.com</v>
          </cell>
          <cell r="AK982" t="str">
            <v>KGAPK5464G</v>
          </cell>
          <cell r="AL982">
            <v>906744534800</v>
          </cell>
          <cell r="AN982">
            <v>45274</v>
          </cell>
          <cell r="AQ982" t="str">
            <v>3-104, Shakhapur, Wanaparthy, Telangana - 509104</v>
          </cell>
          <cell r="AS982" t="str">
            <v>3-104, Shakhapur, Wanaparthy, Telangana - 509104</v>
          </cell>
          <cell r="AU982" t="e">
            <v>#N/A</v>
          </cell>
          <cell r="AX982" t="str">
            <v>Male</v>
          </cell>
          <cell r="AY982" t="str">
            <v>Part Time</v>
          </cell>
          <cell r="AZ982">
            <v>2</v>
          </cell>
          <cell r="BA982" t="str">
            <v>Madhapur Cluster</v>
          </cell>
        </row>
        <row r="983">
          <cell r="M983" t="str">
            <v>Kompally - 65</v>
          </cell>
          <cell r="N983" t="str">
            <v>N/A</v>
          </cell>
          <cell r="O983" t="str">
            <v>Physician Services</v>
          </cell>
          <cell r="P983" t="str">
            <v>Consultant Physician</v>
          </cell>
          <cell r="Q983" t="str">
            <v>N/A</v>
          </cell>
          <cell r="R983">
            <v>45274</v>
          </cell>
          <cell r="S983">
            <v>45274</v>
          </cell>
          <cell r="T983">
            <v>46004</v>
          </cell>
          <cell r="U983">
            <v>46005</v>
          </cell>
          <cell r="V983">
            <v>2018</v>
          </cell>
          <cell r="W983" t="str">
            <v>Dr. NTR Health Sciences University</v>
          </cell>
          <cell r="Z983" t="str">
            <v>NA</v>
          </cell>
          <cell r="AA983" t="str">
            <v>MBBS</v>
          </cell>
          <cell r="AB983" t="str">
            <v>TSMC/FMR/11784</v>
          </cell>
          <cell r="AC983" t="str">
            <v>Telangana State Medical Council</v>
          </cell>
          <cell r="AD983">
            <v>43888</v>
          </cell>
          <cell r="AE983">
            <v>45714</v>
          </cell>
          <cell r="AF983">
            <v>8374184360</v>
          </cell>
          <cell r="AG983" t="str">
            <v>lokabharani.banothu@gmail.com</v>
          </cell>
          <cell r="AH983" t="str">
            <v>SBI Bank</v>
          </cell>
          <cell r="AI983" t="str">
            <v>35134493437</v>
          </cell>
          <cell r="AJ983" t="str">
            <v>SBIN0012906</v>
          </cell>
          <cell r="AK983" t="str">
            <v>CSIPB5521R</v>
          </cell>
          <cell r="AL983">
            <v>739135216188</v>
          </cell>
          <cell r="AN983">
            <v>45322</v>
          </cell>
          <cell r="AO983">
            <v>45322</v>
          </cell>
          <cell r="AQ983" t="str">
            <v>4-1/1, LB Nagar, Near Church Gopalapuram, Khammam, Telangana - 507001</v>
          </cell>
          <cell r="AS983" t="str">
            <v>4-1/1, LB Nagar, Near Church Gopalapuram, Khammam, Telangana - 507001</v>
          </cell>
          <cell r="AU983">
            <v>0.375</v>
          </cell>
          <cell r="AV983">
            <v>0.45833333333333331</v>
          </cell>
          <cell r="AW983">
            <v>34830</v>
          </cell>
          <cell r="AX983" t="str">
            <v>Male</v>
          </cell>
          <cell r="AY983" t="str">
            <v>Part Time</v>
          </cell>
          <cell r="AZ983">
            <v>2</v>
          </cell>
          <cell r="BA983" t="str">
            <v>Secunderabad Cluster</v>
          </cell>
        </row>
        <row r="984">
          <cell r="M984" t="str">
            <v>Shaikpet-127</v>
          </cell>
          <cell r="N984" t="str">
            <v>N/A</v>
          </cell>
          <cell r="O984" t="str">
            <v>Physician Services</v>
          </cell>
          <cell r="P984" t="str">
            <v>Consultant Physician</v>
          </cell>
          <cell r="Q984" t="str">
            <v>N/A</v>
          </cell>
          <cell r="R984">
            <v>45274</v>
          </cell>
          <cell r="S984">
            <v>45274</v>
          </cell>
          <cell r="T984">
            <v>46004</v>
          </cell>
          <cell r="U984">
            <v>46005</v>
          </cell>
          <cell r="V984">
            <v>2022</v>
          </cell>
          <cell r="W984" t="str">
            <v>Mahdevappa Rampure Medical College</v>
          </cell>
          <cell r="Z984" t="str">
            <v>NA</v>
          </cell>
          <cell r="AB984">
            <v>168331</v>
          </cell>
          <cell r="AC984" t="str">
            <v>Karnataka Medical Council</v>
          </cell>
          <cell r="AD984">
            <v>45224</v>
          </cell>
          <cell r="AE984">
            <v>45223</v>
          </cell>
          <cell r="AF984">
            <v>6304267072</v>
          </cell>
          <cell r="AG984" t="str">
            <v>ironmanmarvel1890@gmail.com</v>
          </cell>
          <cell r="AH984" t="str">
            <v>IDBI Bank</v>
          </cell>
          <cell r="AI984" t="str">
            <v>1275104000102131</v>
          </cell>
          <cell r="AJ984" t="str">
            <v>IBKL0001275</v>
          </cell>
          <cell r="AK984" t="str">
            <v>DNYPS3843F</v>
          </cell>
          <cell r="AL984">
            <v>471078421717</v>
          </cell>
          <cell r="AN984">
            <v>45283</v>
          </cell>
          <cell r="AO984">
            <v>45283</v>
          </cell>
          <cell r="AQ984" t="str">
            <v>6-5-54/B/1 Babul Reddy Nagar, Rajendranagar, Kattedan le, K V Rangareddy, Telangana - 500077</v>
          </cell>
          <cell r="AS984" t="str">
            <v>6-5-54/B/1 Babul Reddy Nagar, Rajendranagar, Kattedan le, K V Rangareddy, Telangana - 500077</v>
          </cell>
          <cell r="AU984">
            <v>0.39583333333333331</v>
          </cell>
          <cell r="AV984">
            <v>0.4375</v>
          </cell>
          <cell r="AX984" t="str">
            <v>Male</v>
          </cell>
          <cell r="AY984" t="str">
            <v>Part Time</v>
          </cell>
          <cell r="AZ984">
            <v>1</v>
          </cell>
          <cell r="BA984" t="str">
            <v>Tolichowki Cluster</v>
          </cell>
        </row>
        <row r="985">
          <cell r="M985" t="str">
            <v>Santosh Nagar-15</v>
          </cell>
          <cell r="N985" t="str">
            <v>N/A</v>
          </cell>
          <cell r="O985" t="str">
            <v>Pathology</v>
          </cell>
          <cell r="P985" t="str">
            <v>Consultant Pathologist</v>
          </cell>
          <cell r="Q985" t="str">
            <v>Dr. PTS. Shashikanth</v>
          </cell>
          <cell r="R985">
            <v>45274</v>
          </cell>
          <cell r="S985">
            <v>45274</v>
          </cell>
          <cell r="T985">
            <v>46004</v>
          </cell>
          <cell r="U985">
            <v>46005</v>
          </cell>
          <cell r="V985">
            <v>2018</v>
          </cell>
          <cell r="W985" t="str">
            <v>Shadan Institute of Medical Sciences</v>
          </cell>
          <cell r="X985">
            <v>2022</v>
          </cell>
          <cell r="Y985" t="str">
            <v>Osmania Medical College</v>
          </cell>
          <cell r="Z985" t="str">
            <v>NA</v>
          </cell>
          <cell r="AA985" t="str">
            <v>MBBS,MD</v>
          </cell>
          <cell r="AB985" t="str">
            <v>TSMC/FMR/06737</v>
          </cell>
          <cell r="AC985" t="str">
            <v>Telangana State Medical Council</v>
          </cell>
          <cell r="AD985">
            <v>44979</v>
          </cell>
          <cell r="AE985">
            <v>46804</v>
          </cell>
          <cell r="AF985">
            <v>9989438936</v>
          </cell>
          <cell r="AG985" t="str">
            <v>drasmasiddiqua2012@gmail.com</v>
          </cell>
          <cell r="AH985" t="str">
            <v>SBI Bank</v>
          </cell>
          <cell r="AI985" t="str">
            <v>38537389801</v>
          </cell>
          <cell r="AJ985" t="str">
            <v>SBIN0021110</v>
          </cell>
          <cell r="AK985" t="str">
            <v>LBSPS1960D</v>
          </cell>
          <cell r="AL985">
            <v>589976795540</v>
          </cell>
          <cell r="AN985">
            <v>45412</v>
          </cell>
          <cell r="AO985">
            <v>45405</v>
          </cell>
          <cell r="AP985" t="str">
            <v>Maternity Leave</v>
          </cell>
          <cell r="AQ985" t="str">
            <v>17-9-179/B/2 Kurmaguda, Saidabad, Hyderabad, Telangana - 500059</v>
          </cell>
          <cell r="AS985" t="str">
            <v>17-9-179/B/2 Kurmaguda, Saidabad, Hyderabad, Telangana - 500059</v>
          </cell>
          <cell r="AU985">
            <v>0.41666666666666669</v>
          </cell>
          <cell r="AV985">
            <v>0.5</v>
          </cell>
          <cell r="AW985">
            <v>34920</v>
          </cell>
          <cell r="AX985" t="str">
            <v>Female</v>
          </cell>
          <cell r="AY985" t="str">
            <v>Part Time</v>
          </cell>
          <cell r="AZ985">
            <v>2</v>
          </cell>
          <cell r="BA985" t="str">
            <v>Santosh Nagar Cluster</v>
          </cell>
        </row>
        <row r="986">
          <cell r="M986" t="str">
            <v>Madinaguda - 112</v>
          </cell>
          <cell r="N986" t="str">
            <v>N/A</v>
          </cell>
          <cell r="O986" t="str">
            <v>Physician Services</v>
          </cell>
          <cell r="P986" t="str">
            <v>Consultant Physician</v>
          </cell>
          <cell r="Q986" t="str">
            <v>N/A</v>
          </cell>
          <cell r="R986">
            <v>45275</v>
          </cell>
          <cell r="S986">
            <v>45275</v>
          </cell>
          <cell r="T986">
            <v>46005</v>
          </cell>
          <cell r="U986">
            <v>46006</v>
          </cell>
          <cell r="V986">
            <v>2018</v>
          </cell>
          <cell r="W986" t="str">
            <v>Zaporozhye State Medical University</v>
          </cell>
          <cell r="Z986" t="str">
            <v>NA</v>
          </cell>
          <cell r="AA986" t="str">
            <v>MBBS</v>
          </cell>
          <cell r="AB986" t="str">
            <v>TSMC/FMR/16260</v>
          </cell>
          <cell r="AC986" t="str">
            <v>Telangana State Medical Council</v>
          </cell>
          <cell r="AD986">
            <v>44356</v>
          </cell>
          <cell r="AE986">
            <v>46181</v>
          </cell>
          <cell r="AF986">
            <v>8297602319</v>
          </cell>
          <cell r="AG986" t="str">
            <v>vani.naidus16@gmail.com</v>
          </cell>
          <cell r="AH986" t="str">
            <v>Union Bank of India</v>
          </cell>
          <cell r="AI986" t="str">
            <v>052210100105339</v>
          </cell>
          <cell r="AJ986" t="str">
            <v>UBIN0805220</v>
          </cell>
          <cell r="AK986" t="str">
            <v>AROPV7792H</v>
          </cell>
          <cell r="AL986">
            <v>728516517007</v>
          </cell>
          <cell r="AN986">
            <v>45376</v>
          </cell>
          <cell r="AO986">
            <v>45348</v>
          </cell>
          <cell r="AP986" t="str">
            <v>Personal Reason</v>
          </cell>
          <cell r="AQ986" t="str">
            <v>8-3-228-678/1009/323/a, Shivamma Papi Reddy Hills, Karmika Nagar, Om Nagar, Khairatabad, Yousufguda, Hyderabad, Telangana - 500045</v>
          </cell>
          <cell r="AS986" t="str">
            <v>8-3-228-678/1009/323/a, Shivamma Papi Reddy Hills, Karmika Nagar, Om Nagar, Khairatabad, Yousufguda, Hyderabad, Telangana - 500045</v>
          </cell>
          <cell r="AU986">
            <v>0.70833333333333337</v>
          </cell>
          <cell r="AV986">
            <v>0.79166666666666663</v>
          </cell>
          <cell r="AW986">
            <v>34562</v>
          </cell>
          <cell r="AX986" t="str">
            <v>Female</v>
          </cell>
          <cell r="AY986" t="str">
            <v>Part Time</v>
          </cell>
          <cell r="AZ986">
            <v>2</v>
          </cell>
          <cell r="BA986" t="str">
            <v>Madhapur Cluster</v>
          </cell>
        </row>
        <row r="987">
          <cell r="M987" t="str">
            <v>Habsiguda - 17</v>
          </cell>
          <cell r="N987" t="str">
            <v>NA</v>
          </cell>
          <cell r="O987" t="str">
            <v>Biochemistry</v>
          </cell>
          <cell r="P987" t="str">
            <v>Consultant Biochemist</v>
          </cell>
          <cell r="Q987" t="str">
            <v>Dr P T S Shashikant</v>
          </cell>
          <cell r="R987">
            <v>45498</v>
          </cell>
          <cell r="S987">
            <v>45498</v>
          </cell>
          <cell r="T987">
            <v>46227</v>
          </cell>
          <cell r="U987">
            <v>46228</v>
          </cell>
          <cell r="V987">
            <v>2013</v>
          </cell>
          <cell r="W987" t="str">
            <v>Prathima Institute of Medical Science</v>
          </cell>
          <cell r="X987">
            <v>2022</v>
          </cell>
          <cell r="Y987" t="str">
            <v>Osmania Medical College</v>
          </cell>
          <cell r="Z987" t="str">
            <v>NA</v>
          </cell>
          <cell r="AA987" t="str">
            <v>MBBS, MD-Biochemistry</v>
          </cell>
          <cell r="AB987" t="str">
            <v>APMC/FMR/86620</v>
          </cell>
          <cell r="AC987" t="str">
            <v>Telangana State Medical Council</v>
          </cell>
          <cell r="AD987">
            <v>44964</v>
          </cell>
          <cell r="AE987">
            <v>46789</v>
          </cell>
          <cell r="AF987">
            <v>9959868869</v>
          </cell>
          <cell r="AG987" t="str">
            <v>srilahari.koneru@gmail.com</v>
          </cell>
          <cell r="AH987" t="str">
            <v>ICICI Bank</v>
          </cell>
          <cell r="AI987" t="str">
            <v>386801503191</v>
          </cell>
          <cell r="AJ987" t="str">
            <v>ICIC0001314</v>
          </cell>
          <cell r="AK987" t="str">
            <v>BZFPK2494D</v>
          </cell>
          <cell r="AL987">
            <v>351440249887</v>
          </cell>
          <cell r="AM987" t="str">
            <v>k Lakshmanadas</v>
          </cell>
          <cell r="AN987">
            <v>45616</v>
          </cell>
          <cell r="AO987">
            <v>45601</v>
          </cell>
          <cell r="AP987" t="str">
            <v>Leaves policy,More Public Holidays needed</v>
          </cell>
          <cell r="AQ987" t="str">
            <v>H.No- 5-12-70/2, Mangapuram Colony, Near Venkateswara Temple, Moulali, Secunderabad, Hyderabad, Telangana-500040.</v>
          </cell>
          <cell r="AS987">
            <v>36</v>
          </cell>
          <cell r="AV987" t="str">
            <v>Challagulla Lakshmi Vineela</v>
          </cell>
          <cell r="AW987">
            <v>32550</v>
          </cell>
          <cell r="AX987" t="str">
            <v>Female</v>
          </cell>
          <cell r="AY987" t="str">
            <v>Full Time</v>
          </cell>
          <cell r="AZ987">
            <v>6</v>
          </cell>
          <cell r="BA987" t="str">
            <v>A.S. Rao Nagar Cluster</v>
          </cell>
        </row>
        <row r="988">
          <cell r="M988" t="str">
            <v>Nallagandla - 84</v>
          </cell>
          <cell r="N988" t="str">
            <v>N/A</v>
          </cell>
          <cell r="O988" t="str">
            <v>Physician Services</v>
          </cell>
          <cell r="P988" t="str">
            <v>Consultant Physician</v>
          </cell>
          <cell r="R988">
            <v>45278</v>
          </cell>
          <cell r="S988">
            <v>45278</v>
          </cell>
          <cell r="T988">
            <v>46008</v>
          </cell>
          <cell r="U988">
            <v>46009</v>
          </cell>
          <cell r="V988">
            <v>2015</v>
          </cell>
          <cell r="W988" t="str">
            <v>Aparna Sarovar Grande</v>
          </cell>
          <cell r="AB988" t="str">
            <v>APMC/FMR/92990</v>
          </cell>
          <cell r="AC988" t="str">
            <v>Telangana State Medical Council</v>
          </cell>
          <cell r="AD988">
            <v>45209</v>
          </cell>
          <cell r="AE988">
            <v>47035</v>
          </cell>
          <cell r="AF988">
            <v>9652939188</v>
          </cell>
          <cell r="AG988" t="str">
            <v>bdeepu2001@gmail.com</v>
          </cell>
          <cell r="AK988" t="str">
            <v>AYCPB8075G</v>
          </cell>
          <cell r="AL988">
            <v>554761898593</v>
          </cell>
          <cell r="AN988">
            <v>45278</v>
          </cell>
          <cell r="AQ988" t="str">
            <v>Aparna Sarovar Grande, Block - D, Flat no. - G02, Kanchi Gachibowli Road, Nalagandla, K V Rangareddy, Telangana - 500019</v>
          </cell>
          <cell r="AS988" t="str">
            <v>Aparna Sarovar Grande, Block - D, Flat no. - G02, Kanchi Gachibowli Road, Nalagandla, K V Rangareddy, Telangana - 500019</v>
          </cell>
          <cell r="AU988" t="e">
            <v>#N/A</v>
          </cell>
          <cell r="AX988" t="str">
            <v>Male</v>
          </cell>
          <cell r="AY988" t="str">
            <v>Part Time</v>
          </cell>
          <cell r="AZ988">
            <v>1</v>
          </cell>
          <cell r="BA988" t="str">
            <v>Madhapur Cluster</v>
          </cell>
        </row>
        <row r="989">
          <cell r="M989" t="str">
            <v>Himayatnagar</v>
          </cell>
          <cell r="N989" t="str">
            <v>X-Ray (Plain Radiography-Basic,Advanced), Mammography, USG(Basic, Doppler Studies,Thyroid/Scrotum USG, Breast USG,TIFFA, MSK USG, USG Guided FNAC,USG Guided Aspirations), CT (Basic, Chest/Abdomen,3DCT,CT Angiography), MRI(Basic, MSk Studies- Knee/Shoulder, MRI MRCP / Abdomen / Liver), Special Procedures (RGU,MCUG, Barium Swallow, Barium Enema, HSG)</v>
          </cell>
          <cell r="O989" t="str">
            <v>Radiology</v>
          </cell>
          <cell r="P989" t="str">
            <v>Consultant Radiologist</v>
          </cell>
          <cell r="Q989" t="str">
            <v>Dr. Krishna Mohan Pottala</v>
          </cell>
          <cell r="R989">
            <v>45524</v>
          </cell>
          <cell r="S989">
            <v>45524</v>
          </cell>
          <cell r="T989">
            <v>46253</v>
          </cell>
          <cell r="U989">
            <v>46254</v>
          </cell>
          <cell r="V989">
            <v>2008</v>
          </cell>
          <cell r="W989" t="str">
            <v>Kakatiya Medical College</v>
          </cell>
          <cell r="X989">
            <v>2013</v>
          </cell>
          <cell r="Y989" t="str">
            <v>Osmania Medical College</v>
          </cell>
          <cell r="Z989" t="str">
            <v>NA</v>
          </cell>
          <cell r="AA989" t="str">
            <v>MBBS, MD Radio diagnosis</v>
          </cell>
          <cell r="AB989">
            <v>63409</v>
          </cell>
          <cell r="AC989" t="str">
            <v>Telangana State Medical Council</v>
          </cell>
          <cell r="AD989">
            <v>44007</v>
          </cell>
          <cell r="AE989">
            <v>45832</v>
          </cell>
          <cell r="AF989">
            <v>9052404990</v>
          </cell>
          <cell r="AG989" t="str">
            <v>madhavimdrd@gmail.com</v>
          </cell>
          <cell r="AH989" t="str">
            <v>HDFC Bank</v>
          </cell>
          <cell r="AI989" t="str">
            <v>50100166925899</v>
          </cell>
          <cell r="AJ989" t="str">
            <v>HDFC0002391</v>
          </cell>
          <cell r="AK989" t="str">
            <v>ALWPT8097P</v>
          </cell>
          <cell r="AL989">
            <v>775183407827</v>
          </cell>
          <cell r="AM989" t="str">
            <v>Chandramouli Thatipamula</v>
          </cell>
          <cell r="AN989">
            <v>45619</v>
          </cell>
          <cell r="AO989">
            <v>45590</v>
          </cell>
          <cell r="AP989" t="str">
            <v>Promotion in a medical college</v>
          </cell>
          <cell r="AQ989" t="str">
            <v>Flat No:- 403, Super Homes Sunshine Apparments, Near Modern Function hall, Khairatabad, Hyderabad, Telangana-500004.</v>
          </cell>
          <cell r="AS989">
            <v>40</v>
          </cell>
          <cell r="AW989">
            <v>31206</v>
          </cell>
          <cell r="AX989" t="str">
            <v>Female</v>
          </cell>
          <cell r="AY989" t="str">
            <v>Full Time</v>
          </cell>
          <cell r="AZ989">
            <v>8</v>
          </cell>
          <cell r="BA989" t="str">
            <v>Himayathnagar Cluster</v>
          </cell>
        </row>
        <row r="990">
          <cell r="M990" t="str">
            <v>Hanamkonda - 40</v>
          </cell>
          <cell r="N990" t="str">
            <v>N/A</v>
          </cell>
          <cell r="O990" t="str">
            <v>Microbiology</v>
          </cell>
          <cell r="P990" t="str">
            <v>Consultant Microbiologist</v>
          </cell>
          <cell r="Q990" t="str">
            <v>Dr. Bikash Chowdhary</v>
          </cell>
          <cell r="R990">
            <v>45288</v>
          </cell>
          <cell r="S990">
            <v>45288</v>
          </cell>
          <cell r="T990">
            <v>46018</v>
          </cell>
          <cell r="U990">
            <v>46019</v>
          </cell>
          <cell r="V990">
            <v>2017</v>
          </cell>
          <cell r="W990" t="str">
            <v>Deccan College of medical sciences</v>
          </cell>
          <cell r="X990">
            <v>2022</v>
          </cell>
          <cell r="Y990" t="str">
            <v>Kakatiya Medical College</v>
          </cell>
          <cell r="Z990" t="str">
            <v>NA</v>
          </cell>
          <cell r="AA990" t="str">
            <v>MBBS, MD</v>
          </cell>
          <cell r="AB990" t="str">
            <v>TSMC/FMR/06946</v>
          </cell>
          <cell r="AC990" t="str">
            <v>Telangana State Medical Council</v>
          </cell>
          <cell r="AD990">
            <v>44977</v>
          </cell>
          <cell r="AE990">
            <v>46802</v>
          </cell>
          <cell r="AF990">
            <v>9492093807</v>
          </cell>
          <cell r="AG990" t="str">
            <v>djuveria@gmail.com</v>
          </cell>
          <cell r="AH990" t="str">
            <v>SBI Bank</v>
          </cell>
          <cell r="AI990" t="str">
            <v>38580356088</v>
          </cell>
          <cell r="AJ990" t="str">
            <v>SBIN0021119</v>
          </cell>
          <cell r="AK990" t="str">
            <v>EILPS0809E</v>
          </cell>
          <cell r="AL990">
            <v>775305154997</v>
          </cell>
          <cell r="AN990">
            <v>45344</v>
          </cell>
          <cell r="AO990">
            <v>45320</v>
          </cell>
          <cell r="AP990" t="str">
            <v>Personal Reasons</v>
          </cell>
          <cell r="AQ990" t="str">
            <v>H. No. 14-2-153, JPN Road, Mandi Bazar, Warangal, Telangana - 506002</v>
          </cell>
          <cell r="AS990" t="str">
            <v>H. No. 14-2-153, JPN Road, Mandi Bazar, Warangal, Telangana - 506002</v>
          </cell>
          <cell r="AU990">
            <v>0.77083333333333337</v>
          </cell>
          <cell r="AV990">
            <v>0.85416666666666663</v>
          </cell>
          <cell r="AW990">
            <v>34873</v>
          </cell>
          <cell r="AX990" t="str">
            <v>Female</v>
          </cell>
          <cell r="AY990" t="str">
            <v>Part Time</v>
          </cell>
          <cell r="AZ990">
            <v>2</v>
          </cell>
          <cell r="BA990" t="str">
            <v>TS - Upcountry</v>
          </cell>
        </row>
        <row r="991">
          <cell r="M991" t="str">
            <v>Nizampet - 46</v>
          </cell>
          <cell r="N991" t="str">
            <v>Basic USG, Tiffa, MSK, Basic CT, All Angios except Coronary, CT Enterclysis, Xray-Plain, Mammography, Special Procedure- IVP,RGU,MCUG,Barrium Swallow, Barium Enema, HSG</v>
          </cell>
          <cell r="O991" t="str">
            <v>Radiology</v>
          </cell>
          <cell r="P991" t="str">
            <v>Consultant Radiologist</v>
          </cell>
          <cell r="Q991" t="str">
            <v>Dr Krishna Mohan Pottala</v>
          </cell>
          <cell r="R991">
            <v>45516</v>
          </cell>
          <cell r="S991">
            <v>45516</v>
          </cell>
          <cell r="T991">
            <v>46245</v>
          </cell>
          <cell r="U991">
            <v>46246</v>
          </cell>
          <cell r="V991">
            <v>2014</v>
          </cell>
          <cell r="W991" t="str">
            <v>Kamineni Institute of Medical Sciences, Narketpally</v>
          </cell>
          <cell r="X991">
            <v>2022</v>
          </cell>
          <cell r="Y991" t="str">
            <v>Rajarajeswari Medical College, Bangalore</v>
          </cell>
          <cell r="Z991" t="str">
            <v>NA</v>
          </cell>
          <cell r="AA991" t="str">
            <v>MBBS, MD Radio diagnosis</v>
          </cell>
          <cell r="AB991" t="str">
            <v>TSMC/FMR/05146</v>
          </cell>
          <cell r="AC991" t="str">
            <v>Telangana State Medical Council</v>
          </cell>
          <cell r="AD991">
            <v>44805</v>
          </cell>
          <cell r="AE991">
            <v>46630</v>
          </cell>
          <cell r="AF991">
            <v>9618949027</v>
          </cell>
          <cell r="AG991" t="str">
            <v>daidaalekya@gmail.com</v>
          </cell>
          <cell r="AH991" t="str">
            <v>HDFC Bank</v>
          </cell>
          <cell r="AI991" t="str">
            <v>50100494634812</v>
          </cell>
          <cell r="AJ991" t="str">
            <v>HDFC0007059</v>
          </cell>
          <cell r="AK991" t="str">
            <v>DSZPD0337M</v>
          </cell>
          <cell r="AL991">
            <v>783219738106</v>
          </cell>
          <cell r="AM991" t="str">
            <v>Sudarshan Daida</v>
          </cell>
          <cell r="AN991">
            <v>45625</v>
          </cell>
          <cell r="AO991" t="str">
            <v>NA</v>
          </cell>
          <cell r="AP991" t="str">
            <v>Personal resons</v>
          </cell>
          <cell r="AQ991" t="str">
            <v>Plot.No-1100, Phase 2, Bhagathsingh Nagar, Hydernagar, Kukatpally, Hyderabad, Telangana-500085.</v>
          </cell>
          <cell r="AR991">
            <v>32</v>
          </cell>
          <cell r="AW991">
            <v>33922</v>
          </cell>
          <cell r="AX991" t="str">
            <v>Female</v>
          </cell>
          <cell r="AY991" t="str">
            <v>Part Time</v>
          </cell>
          <cell r="AZ991">
            <v>3</v>
          </cell>
          <cell r="BA991" t="str">
            <v>Kukatpally Cluster</v>
          </cell>
        </row>
        <row r="992">
          <cell r="M992" t="str">
            <v>Sujathanagar-138</v>
          </cell>
          <cell r="N992" t="str">
            <v>Basic USG, Tiffa, Guided Procedures, Basic CT, X Ray, Plain Radiology, Mammography, IVP, RGU, MCGU, Barium Swallow, Barium Anema, HSG</v>
          </cell>
          <cell r="O992" t="str">
            <v>Radiology</v>
          </cell>
          <cell r="P992" t="str">
            <v>Consultant Radiologist</v>
          </cell>
          <cell r="Q992" t="str">
            <v>Dr. Krishna Mohan Pottala</v>
          </cell>
          <cell r="R992">
            <v>45194</v>
          </cell>
          <cell r="S992">
            <v>45194</v>
          </cell>
          <cell r="T992">
            <v>45924</v>
          </cell>
          <cell r="U992">
            <v>45925</v>
          </cell>
          <cell r="V992">
            <v>2018</v>
          </cell>
          <cell r="W992" t="str">
            <v>MIMS , Vizayanaram</v>
          </cell>
          <cell r="X992">
            <v>2023</v>
          </cell>
          <cell r="Y992" t="str">
            <v>Asram Medical College, Eluru</v>
          </cell>
          <cell r="Z992" t="str">
            <v>NA</v>
          </cell>
          <cell r="AA992" t="str">
            <v>MBBS,MD</v>
          </cell>
          <cell r="AB992" t="str">
            <v>APMC/FMR/103325</v>
          </cell>
          <cell r="AC992" t="str">
            <v>Andhra Pradesh Medical Council</v>
          </cell>
          <cell r="AD992">
            <v>45168</v>
          </cell>
          <cell r="AE992">
            <v>46994</v>
          </cell>
          <cell r="AF992">
            <v>9515286164</v>
          </cell>
          <cell r="AG992" t="str">
            <v>monicaaneesha1994thecool@gmail.com</v>
          </cell>
          <cell r="AH992" t="str">
            <v>Union Bank of India</v>
          </cell>
          <cell r="AI992" t="str">
            <v>050810100131334</v>
          </cell>
          <cell r="AJ992" t="str">
            <v>UBIN0825069</v>
          </cell>
          <cell r="AK992" t="str">
            <v>DDJPP6953E</v>
          </cell>
          <cell r="AL992">
            <v>818859341815</v>
          </cell>
          <cell r="AN992">
            <v>45626</v>
          </cell>
          <cell r="AO992" t="str">
            <v>NA</v>
          </cell>
          <cell r="AP992" t="str">
            <v>Health Issues</v>
          </cell>
          <cell r="AQ992" t="str">
            <v>24-167, Gayatrinagar, Opp: Chandana girl towers, Simhapuri colony Road, Pendurthi, Vepugunta, Visakhapatnam, Andhra Pradesh-530047</v>
          </cell>
          <cell r="AS992">
            <v>30</v>
          </cell>
          <cell r="AU992">
            <v>0.52083333333333337</v>
          </cell>
          <cell r="AV992">
            <v>4</v>
          </cell>
          <cell r="AW992">
            <v>34692</v>
          </cell>
          <cell r="AX992" t="str">
            <v>Female</v>
          </cell>
          <cell r="AY992" t="str">
            <v>Part Time</v>
          </cell>
          <cell r="AZ992">
            <v>4</v>
          </cell>
          <cell r="BA992" t="str">
            <v>Visakhapatnam Cluster</v>
          </cell>
        </row>
        <row r="993">
          <cell r="M993" t="str">
            <v>Kphb-Malaysian - 77</v>
          </cell>
          <cell r="N993" t="str">
            <v>Basic USG, Tiffa, Doppler, Guided Procedures, Basic CT, X Ray, Plain Radiology, IVP, RGU, MCGU, Barium Swallow, Barium Anema, HSG</v>
          </cell>
          <cell r="O993" t="str">
            <v>Radiology</v>
          </cell>
          <cell r="P993" t="str">
            <v>Consultant Radiologist</v>
          </cell>
          <cell r="Q993" t="str">
            <v>Dr Krishna Mohan Pottala</v>
          </cell>
          <cell r="R993">
            <v>45208</v>
          </cell>
          <cell r="S993">
            <v>45208</v>
          </cell>
          <cell r="T993">
            <v>45938</v>
          </cell>
          <cell r="U993">
            <v>45939</v>
          </cell>
          <cell r="V993">
            <v>2018</v>
          </cell>
          <cell r="W993" t="str">
            <v>Hassan Institute of Medical Science</v>
          </cell>
          <cell r="X993">
            <v>2022</v>
          </cell>
          <cell r="Y993" t="str">
            <v>Gandhi Medical College</v>
          </cell>
          <cell r="Z993" t="str">
            <v>NA</v>
          </cell>
          <cell r="AA993" t="str">
            <v>MBBS,MD</v>
          </cell>
          <cell r="AB993" t="str">
            <v>TSMC/FMR/24394</v>
          </cell>
          <cell r="AC993" t="str">
            <v>Telangana State Medical Council</v>
          </cell>
          <cell r="AD993">
            <v>44933</v>
          </cell>
          <cell r="AE993">
            <v>46758</v>
          </cell>
          <cell r="AF993">
            <v>9902818105</v>
          </cell>
          <cell r="AG993" t="str">
            <v>abhilash1159@gmail.com</v>
          </cell>
          <cell r="AH993" t="str">
            <v>Karnataka Bank</v>
          </cell>
          <cell r="AI993" t="str">
            <v>2902500100173201</v>
          </cell>
          <cell r="AJ993" t="str">
            <v>KARB0000290</v>
          </cell>
          <cell r="AK993" t="str">
            <v>DSZPD2298P</v>
          </cell>
          <cell r="AL993">
            <v>785716887843</v>
          </cell>
          <cell r="AN993">
            <v>45626</v>
          </cell>
          <cell r="AO993">
            <v>45607</v>
          </cell>
          <cell r="AQ993" t="str">
            <v>H.No-#186,Gorur Road,Bittagowdanahali, Hassan, Karnataka-573217</v>
          </cell>
          <cell r="AR993">
            <v>31</v>
          </cell>
          <cell r="AW993">
            <v>34565</v>
          </cell>
          <cell r="AX993" t="str">
            <v>Male</v>
          </cell>
          <cell r="AY993" t="str">
            <v>Part Time</v>
          </cell>
          <cell r="AZ993">
            <v>3</v>
          </cell>
          <cell r="BA993" t="str">
            <v>Kukatpally Cluster</v>
          </cell>
        </row>
        <row r="994">
          <cell r="M994" t="str">
            <v>Safilguda - 58</v>
          </cell>
          <cell r="N994" t="str">
            <v>X-Ray (Plain Radiography), USG(Basic, TIFFA, Fetal Echo, Guided Procedures), CT (Basic, All Angios), MRI(Basic, MR Prostate), Special Procedures (IVP,RGU,MCUG, Barium Swallow, Barium Enema,HSG)</v>
          </cell>
          <cell r="O994" t="str">
            <v>Radiology</v>
          </cell>
          <cell r="P994" t="str">
            <v>Consultant Radiologist</v>
          </cell>
          <cell r="Q994" t="str">
            <v>Dr. Krishna Mohan Pottala</v>
          </cell>
          <cell r="R994">
            <v>45532</v>
          </cell>
          <cell r="S994">
            <v>45532</v>
          </cell>
          <cell r="T994">
            <v>46261</v>
          </cell>
          <cell r="U994">
            <v>46262</v>
          </cell>
          <cell r="V994">
            <v>2017</v>
          </cell>
          <cell r="W994" t="str">
            <v>MGM Institute of Health Sciences</v>
          </cell>
          <cell r="X994">
            <v>2022</v>
          </cell>
          <cell r="Y994" t="str">
            <v>Topiwala National Medical College</v>
          </cell>
          <cell r="Z994" t="str">
            <v>NA</v>
          </cell>
          <cell r="AA994" t="str">
            <v>MBBS, MD Radio diagnosis</v>
          </cell>
          <cell r="AB994" t="str">
            <v>TSMC/FMR/29078</v>
          </cell>
          <cell r="AC994" t="str">
            <v>Telangana State Medical Council</v>
          </cell>
          <cell r="AD994">
            <v>45315</v>
          </cell>
          <cell r="AE994">
            <v>46045</v>
          </cell>
          <cell r="AF994" t="str">
            <v>9320790032/8169068310</v>
          </cell>
          <cell r="AG994" t="str">
            <v>mopurisai@yahoo.com</v>
          </cell>
          <cell r="AH994" t="str">
            <v>ICICI Bank</v>
          </cell>
          <cell r="AI994" t="str">
            <v>004901001458</v>
          </cell>
          <cell r="AJ994" t="str">
            <v>ICIC0000049</v>
          </cell>
          <cell r="AK994" t="str">
            <v>BRRPM7842M</v>
          </cell>
          <cell r="AL994">
            <v>484399378630</v>
          </cell>
          <cell r="AM994" t="str">
            <v>Vijaykumar Krishnaiah Mopuri</v>
          </cell>
          <cell r="AN994">
            <v>45626</v>
          </cell>
          <cell r="AO994">
            <v>45566</v>
          </cell>
          <cell r="AP994" t="str">
            <v>Better offer</v>
          </cell>
          <cell r="AQ994" t="str">
            <v>DTPS Nagar, B-3/2, DTPS Road, Dahanu Road, Dahanu TPS Thane, Maharastra-401608.</v>
          </cell>
          <cell r="AS994">
            <v>31</v>
          </cell>
          <cell r="AW994">
            <v>34295</v>
          </cell>
          <cell r="AX994" t="str">
            <v>Male</v>
          </cell>
          <cell r="AY994" t="str">
            <v>Part Time</v>
          </cell>
          <cell r="AZ994">
            <v>4</v>
          </cell>
          <cell r="BA994" t="str">
            <v>A.S. Rao Nagar Cluster</v>
          </cell>
        </row>
        <row r="995">
          <cell r="M995" t="str">
            <v>Kokapet - 03</v>
          </cell>
          <cell r="N995" t="str">
            <v>Basic USG, Basic CT, Xray, Plain Radiography
(Cant do Antenatal, Tiffa Scans, Can do Routine USG, X-Rays)</v>
          </cell>
          <cell r="O995" t="str">
            <v>Radiology</v>
          </cell>
          <cell r="P995" t="str">
            <v>Consultant Radiologist</v>
          </cell>
          <cell r="Q995" t="str">
            <v>Dr.Krishna Mohan</v>
          </cell>
          <cell r="R995">
            <v>45299</v>
          </cell>
          <cell r="S995">
            <v>45299</v>
          </cell>
          <cell r="T995">
            <v>46029</v>
          </cell>
          <cell r="U995">
            <v>46030</v>
          </cell>
          <cell r="V995">
            <v>2019</v>
          </cell>
          <cell r="W995" t="str">
            <v>Jawaharlal Nehru Medical College</v>
          </cell>
          <cell r="X995">
            <v>2023</v>
          </cell>
          <cell r="Y995" t="str">
            <v>Ramaiah Medical College</v>
          </cell>
          <cell r="Z995" t="str">
            <v>NA</v>
          </cell>
          <cell r="AA995" t="str">
            <v>MBBS, MD</v>
          </cell>
          <cell r="AB995" t="str">
            <v>TSMC/FMR/27882</v>
          </cell>
          <cell r="AC995" t="str">
            <v>Telangana State Medical Council</v>
          </cell>
          <cell r="AD995">
            <v>45252</v>
          </cell>
          <cell r="AE995">
            <v>47078</v>
          </cell>
          <cell r="AF995">
            <v>9959699959</v>
          </cell>
          <cell r="AG995" t="str">
            <v>rakshithreddykatpally@gmail.com</v>
          </cell>
          <cell r="AH995" t="str">
            <v>ICICI Bank</v>
          </cell>
          <cell r="AI995" t="str">
            <v>038201003630</v>
          </cell>
          <cell r="AJ995" t="str">
            <v>ICIC0000382</v>
          </cell>
          <cell r="AK995" t="str">
            <v>CXRPK5479B</v>
          </cell>
          <cell r="AL995">
            <v>260530520741</v>
          </cell>
          <cell r="AN995">
            <v>45414</v>
          </cell>
          <cell r="AQ995" t="str">
            <v>Villa 5, Ektha Highland Park, Financial District, Nanakramguda, Hyderabad, Telangana - 500032</v>
          </cell>
          <cell r="AU995">
            <v>0.35416666666666669</v>
          </cell>
          <cell r="AV995">
            <v>0.52083333333333337</v>
          </cell>
          <cell r="AW995">
            <v>34522</v>
          </cell>
          <cell r="AX995" t="str">
            <v>Male</v>
          </cell>
          <cell r="AY995" t="str">
            <v>Part Time</v>
          </cell>
          <cell r="AZ995">
            <v>4</v>
          </cell>
          <cell r="BA995" t="str">
            <v>Tolichowki Cluster</v>
          </cell>
        </row>
        <row r="996">
          <cell r="M996" t="str">
            <v>Pragathi Nagar-89</v>
          </cell>
          <cell r="N996" t="str">
            <v>Basic USG, Tiffa, Fetal Echo, MSK, TRUS, Guided procedures,  X-Ray, Mammography, IVP, RGU, MCGU, Barium Swallow, Barium Enema, HSG</v>
          </cell>
          <cell r="O996" t="str">
            <v>Radiology</v>
          </cell>
          <cell r="P996" t="str">
            <v>Consultant Radiologist</v>
          </cell>
          <cell r="Q996" t="str">
            <v>Dr.Krishna Mohan</v>
          </cell>
          <cell r="R996">
            <v>45300</v>
          </cell>
          <cell r="S996">
            <v>45300</v>
          </cell>
          <cell r="T996">
            <v>46030</v>
          </cell>
          <cell r="U996">
            <v>46031</v>
          </cell>
          <cell r="V996">
            <v>2013</v>
          </cell>
          <cell r="W996" t="str">
            <v xml:space="preserve">Government Medical College, Miraj, Sangli, Maharashtra </v>
          </cell>
          <cell r="X996">
            <v>2020</v>
          </cell>
          <cell r="Y996" t="str">
            <v>Indira Gandhi Medical College and Hospital, Nagpur, Maharahtra</v>
          </cell>
          <cell r="Z996" t="str">
            <v>NA</v>
          </cell>
          <cell r="AA996" t="str">
            <v>MBBS, MD</v>
          </cell>
          <cell r="AB996" t="str">
            <v>TSMC/FMR/21023</v>
          </cell>
          <cell r="AC996" t="str">
            <v>Telangana State Medical Council</v>
          </cell>
          <cell r="AD996">
            <v>44784</v>
          </cell>
          <cell r="AE996">
            <v>46609</v>
          </cell>
          <cell r="AF996" t="str">
            <v>7410063644, 9309478693</v>
          </cell>
          <cell r="AG996" t="str">
            <v>inmanadesana1184@gmail.com</v>
          </cell>
          <cell r="AH996" t="str">
            <v>ICICI Bank</v>
          </cell>
          <cell r="AI996" t="str">
            <v>000801660181</v>
          </cell>
          <cell r="AJ996" t="str">
            <v>ICIC0000008</v>
          </cell>
          <cell r="AK996" t="str">
            <v>ARIPT0967C</v>
          </cell>
          <cell r="AL996">
            <v>496521594312</v>
          </cell>
          <cell r="AM996" t="str">
            <v>Narayana Naganna Totawar</v>
          </cell>
          <cell r="AN996">
            <v>45391</v>
          </cell>
          <cell r="AO996">
            <v>45331</v>
          </cell>
          <cell r="AP996" t="str">
            <v>Personal Reason</v>
          </cell>
          <cell r="AQ996" t="str">
            <v>Sadhna Nagar, Near Hanuman Mandir, Degloor, Nanded, Maharashtra - 431717</v>
          </cell>
          <cell r="AS996" t="str">
            <v>Sadhna Nagar, Near Hanuman Mandir, Degloor, Nanded, Maharashtra - 431717</v>
          </cell>
          <cell r="AU996">
            <v>0.35416666666666669</v>
          </cell>
          <cell r="AV996">
            <v>0.60416666666666663</v>
          </cell>
          <cell r="AW996">
            <v>32854</v>
          </cell>
          <cell r="AX996" t="str">
            <v>Male</v>
          </cell>
          <cell r="AY996" t="str">
            <v>Full Time</v>
          </cell>
          <cell r="AZ996">
            <v>6</v>
          </cell>
          <cell r="BA996" t="str">
            <v>Kukatpally Cluster</v>
          </cell>
        </row>
        <row r="997">
          <cell r="M997" t="str">
            <v>Shaikpet-127</v>
          </cell>
          <cell r="N997" t="str">
            <v>N/A</v>
          </cell>
          <cell r="O997" t="str">
            <v>Physician Services</v>
          </cell>
          <cell r="P997" t="str">
            <v>Consultant Physician</v>
          </cell>
          <cell r="Q997" t="str">
            <v>N/A</v>
          </cell>
          <cell r="R997">
            <v>45303</v>
          </cell>
          <cell r="S997">
            <v>45303</v>
          </cell>
          <cell r="T997">
            <v>46033</v>
          </cell>
          <cell r="U997">
            <v>46034</v>
          </cell>
          <cell r="V997">
            <v>2016</v>
          </cell>
          <cell r="W997" t="str">
            <v>Shadan Medical College, Hyderabad, Telangana</v>
          </cell>
          <cell r="X997" t="str">
            <v>NA</v>
          </cell>
          <cell r="Y997" t="str">
            <v>NA</v>
          </cell>
          <cell r="Z997" t="str">
            <v>NA</v>
          </cell>
          <cell r="AA997" t="str">
            <v>MBBS</v>
          </cell>
          <cell r="AB997" t="str">
            <v>TSMC/FMR/05715</v>
          </cell>
          <cell r="AC997" t="str">
            <v>Telangana State Medical Council</v>
          </cell>
          <cell r="AD997">
            <v>41441</v>
          </cell>
          <cell r="AE997">
            <v>46919</v>
          </cell>
          <cell r="AF997">
            <v>9618627121</v>
          </cell>
          <cell r="AG997" t="str">
            <v>tasmiyaelensar1518@gmail.com</v>
          </cell>
          <cell r="AH997" t="str">
            <v>HDFC Bank</v>
          </cell>
          <cell r="AI997" t="str">
            <v>50100211328904</v>
          </cell>
          <cell r="AJ997" t="str">
            <v>HDFC0003788</v>
          </cell>
          <cell r="AK997" t="str">
            <v>BDNPT6971J</v>
          </cell>
          <cell r="AL997">
            <v>547030849796</v>
          </cell>
          <cell r="AM997" t="str">
            <v>Jalal Khan Abdul</v>
          </cell>
          <cell r="AN997">
            <v>45358</v>
          </cell>
          <cell r="AO997">
            <v>45358</v>
          </cell>
          <cell r="AQ997" t="str">
            <v>Flat No-5, 1st Floor, Nizam Colony, AI Hasanath Ground, Tolichowki, Golconda, Hyderabad, Telangana - 500008</v>
          </cell>
          <cell r="AS997" t="str">
            <v>Flat No-5, 1st Floor, Nizam Colony, AI Hasanath Ground, Tolichowki, Golconda, Hyderabad, Telangana - 500008</v>
          </cell>
          <cell r="AU997">
            <v>0.39583333333333331</v>
          </cell>
          <cell r="AV997">
            <v>0.4375</v>
          </cell>
          <cell r="AW997">
            <v>33944</v>
          </cell>
          <cell r="AX997" t="str">
            <v>Female</v>
          </cell>
          <cell r="AY997" t="str">
            <v>Part Time</v>
          </cell>
          <cell r="AZ997">
            <v>1</v>
          </cell>
          <cell r="BA997" t="str">
            <v>Tolichowki Cluster</v>
          </cell>
        </row>
        <row r="998">
          <cell r="M998" t="str">
            <v>Santosh Nagar-15</v>
          </cell>
          <cell r="N998" t="str">
            <v>NA</v>
          </cell>
          <cell r="O998" t="str">
            <v>Physician Services</v>
          </cell>
          <cell r="P998" t="str">
            <v>Consultant Physician</v>
          </cell>
          <cell r="Q998" t="str">
            <v>NA</v>
          </cell>
          <cell r="R998">
            <v>45552</v>
          </cell>
          <cell r="S998">
            <v>45552</v>
          </cell>
          <cell r="T998">
            <v>46281</v>
          </cell>
          <cell r="U998">
            <v>46282</v>
          </cell>
          <cell r="V998">
            <v>2021</v>
          </cell>
          <cell r="W998" t="str">
            <v>Dr VRK Women's Medical College</v>
          </cell>
          <cell r="X998" t="str">
            <v>NA</v>
          </cell>
          <cell r="Y998" t="str">
            <v>NA</v>
          </cell>
          <cell r="Z998" t="str">
            <v>NA</v>
          </cell>
          <cell r="AA998" t="str">
            <v>MBBS</v>
          </cell>
          <cell r="AB998" t="str">
            <v>TSMC/FMR/23436</v>
          </cell>
          <cell r="AC998" t="str">
            <v>Telangana State Medical Council</v>
          </cell>
          <cell r="AD998">
            <v>44886</v>
          </cell>
          <cell r="AE998">
            <v>46711</v>
          </cell>
          <cell r="AF998">
            <v>9063231158</v>
          </cell>
          <cell r="AG998" t="str">
            <v>st40537@gmail.com</v>
          </cell>
          <cell r="AH998" t="str">
            <v>STATE BANK OF INDIA</v>
          </cell>
          <cell r="AI998" t="str">
            <v>62250724968</v>
          </cell>
          <cell r="AJ998" t="str">
            <v>SBIN0001879</v>
          </cell>
          <cell r="AK998" t="str">
            <v>CYQPM0106D</v>
          </cell>
          <cell r="AL998">
            <v>748823593729</v>
          </cell>
          <cell r="AM998" t="str">
            <v>Mirza Kareem Baig</v>
          </cell>
          <cell r="AN998">
            <v>45635</v>
          </cell>
          <cell r="AO998" t="str">
            <v>NA</v>
          </cell>
          <cell r="AP998" t="str">
            <v>Personal reasons</v>
          </cell>
          <cell r="AQ998" t="str">
            <v>23-1-782, Moghal Pura, Charminar, Hyderabad, Telangana-500002.</v>
          </cell>
          <cell r="AR998">
            <v>28</v>
          </cell>
          <cell r="AW998">
            <v>35500</v>
          </cell>
          <cell r="AX998" t="str">
            <v>Female</v>
          </cell>
          <cell r="AY998" t="str">
            <v>Part Time</v>
          </cell>
          <cell r="AZ998">
            <v>1</v>
          </cell>
          <cell r="BA998" t="str">
            <v>Santosh Nagar Cluster</v>
          </cell>
        </row>
        <row r="999">
          <cell r="M999" t="str">
            <v>Nandyal - 48</v>
          </cell>
          <cell r="N999" t="str">
            <v>X-Ray (Plain Radiography-Basic,Advanced), USG(Basic, Doppler Studies,Thyroid/Scrotum USG, Breast USG,TIFFA,MSK USG,USG Guided FNAC, USG Guided Aspiration), CT (Basic, Chest/Abdomen/Neck,3DCT,CT Angiography),MRI(Basic, MSK studies-knee/shoulder, MSK studies-Wrist/Ankle, MRI MRCP/Abdomen/Liver,Foetal MR, MRI Enterography), Special Procedures (IVP,RGU,MCUG, Barium Swallow, Barium Enema, HSG)</v>
          </cell>
          <cell r="O999" t="str">
            <v>Radiology</v>
          </cell>
          <cell r="P999" t="str">
            <v>Consultant Radiologist</v>
          </cell>
          <cell r="Q999" t="str">
            <v>Dr Krishna Mohan Pottala</v>
          </cell>
          <cell r="R999">
            <v>45488</v>
          </cell>
          <cell r="S999">
            <v>45488</v>
          </cell>
          <cell r="T999">
            <v>46217</v>
          </cell>
          <cell r="U999">
            <v>46218</v>
          </cell>
          <cell r="V999">
            <v>2015</v>
          </cell>
          <cell r="W999" t="str">
            <v xml:space="preserve">Kurnool Medical College </v>
          </cell>
          <cell r="X999">
            <v>2020</v>
          </cell>
          <cell r="Y999" t="str">
            <v>Dr NTR University of Health Sciences</v>
          </cell>
          <cell r="Z999" t="str">
            <v>NA</v>
          </cell>
          <cell r="AA999" t="str">
            <v>MBBS,MD-Radio Diagnosis</v>
          </cell>
          <cell r="AB999" t="str">
            <v>APMC/FMR/96238</v>
          </cell>
          <cell r="AC999" t="str">
            <v>Andhra Pradesh Medical Council</v>
          </cell>
          <cell r="AD999">
            <v>44546</v>
          </cell>
          <cell r="AE999">
            <v>46371</v>
          </cell>
          <cell r="AF999">
            <v>9494220202</v>
          </cell>
          <cell r="AG999" t="str">
            <v>cindrella.kln121@gmail.com</v>
          </cell>
          <cell r="AH999" t="str">
            <v>AXIS BANK</v>
          </cell>
          <cell r="AI999" t="str">
            <v>921010017864090</v>
          </cell>
          <cell r="AJ999" t="str">
            <v>UTIB0000600</v>
          </cell>
          <cell r="AK999" t="str">
            <v>CTAPS9304N</v>
          </cell>
          <cell r="AL999">
            <v>680549120722</v>
          </cell>
          <cell r="AM999" t="str">
            <v>Kasturi Ananda Kumar</v>
          </cell>
          <cell r="AN999">
            <v>45640</v>
          </cell>
          <cell r="AO999">
            <v>45625</v>
          </cell>
          <cell r="AP999" t="str">
            <v>Personal reasons</v>
          </cell>
          <cell r="AQ999" t="str">
            <v>25-684-191-C, Padmavathi Nagar, Nandyal, Kurnool, Andhra Pradesh-518501.</v>
          </cell>
          <cell r="AR999">
            <v>33</v>
          </cell>
          <cell r="AW999">
            <v>33615</v>
          </cell>
          <cell r="AX999" t="str">
            <v>Female</v>
          </cell>
          <cell r="AY999" t="str">
            <v>Part Time</v>
          </cell>
          <cell r="AZ999">
            <v>2</v>
          </cell>
          <cell r="BA999" t="str">
            <v>Kurnool Cluster</v>
          </cell>
        </row>
        <row r="1000">
          <cell r="M1000" t="str">
            <v>Habsiguda - 17</v>
          </cell>
          <cell r="N1000" t="str">
            <v>N/A</v>
          </cell>
          <cell r="O1000" t="str">
            <v>Pathology</v>
          </cell>
          <cell r="P1000" t="str">
            <v>Consultant Pathologist</v>
          </cell>
          <cell r="R1000">
            <v>45313</v>
          </cell>
          <cell r="S1000">
            <v>45313</v>
          </cell>
          <cell r="T1000">
            <v>46043</v>
          </cell>
          <cell r="U1000">
            <v>46044</v>
          </cell>
          <cell r="V1000">
            <v>2005</v>
          </cell>
          <cell r="W1000" t="str">
            <v>Chalmeda Anand rao Institute of Medical Sciences</v>
          </cell>
          <cell r="X1000">
            <v>2020</v>
          </cell>
          <cell r="Y1000" t="str">
            <v>Gandhi Medical College</v>
          </cell>
          <cell r="AA1000" t="str">
            <v>MBBS,MD</v>
          </cell>
          <cell r="AB1000">
            <v>72498</v>
          </cell>
          <cell r="AC1000" t="str">
            <v>Telangana State Medical Council</v>
          </cell>
          <cell r="AD1000">
            <v>44396</v>
          </cell>
          <cell r="AE1000">
            <v>46221</v>
          </cell>
          <cell r="AF1000">
            <v>9652477793</v>
          </cell>
          <cell r="AG1000" t="str">
            <v>jyothi.mazzu@gmail.com</v>
          </cell>
          <cell r="AH1000" t="str">
            <v>Union Bank of India</v>
          </cell>
          <cell r="AI1000" t="str">
            <v>104810011004301</v>
          </cell>
          <cell r="AJ1000" t="str">
            <v>UBIN0817741</v>
          </cell>
          <cell r="AK1000" t="str">
            <v>AZIPB2904M</v>
          </cell>
          <cell r="AL1000">
            <v>967106429307</v>
          </cell>
          <cell r="AN1000">
            <v>45314</v>
          </cell>
          <cell r="AO1000">
            <v>45314</v>
          </cell>
          <cell r="AP1000" t="str">
            <v>Abscond</v>
          </cell>
          <cell r="AQ1000" t="str">
            <v>Flat No. 307, H. No. 1-4-522/1, Crystal Eshaq Arcade, Bholakpur St 1, Musheerabad, Hyderabad, Telangana - 500020</v>
          </cell>
          <cell r="AS1000" t="str">
            <v>Flat No. 307, H. No. 1-4-522/1, Crystal Eshaq Arcade, Bholakpur St 1, Musheerabad, Hyderabad, Telangana - 500020</v>
          </cell>
          <cell r="AU1000">
            <v>0.33333333333333331</v>
          </cell>
          <cell r="AV1000">
            <v>0.66666666666666663</v>
          </cell>
          <cell r="AX1000" t="str">
            <v>Female</v>
          </cell>
          <cell r="AY1000" t="str">
            <v>Full Time</v>
          </cell>
          <cell r="AZ1000">
            <v>8</v>
          </cell>
          <cell r="BA1000" t="str">
            <v>A.S. Rao Nagar Cluster</v>
          </cell>
        </row>
        <row r="1001">
          <cell r="M1001" t="str">
            <v>Nizampet HT line-143</v>
          </cell>
          <cell r="N1001" t="str">
            <v>Basic USG, Tiffa, Doppler TRUS, Guided Procedures FNAC, Basic CT, X-Ray, Plain Radiography, IVP, RGU, MCUG, Barium Swallow, Barium Enema, HSG</v>
          </cell>
          <cell r="O1001" t="str">
            <v>Radiology</v>
          </cell>
          <cell r="P1001" t="str">
            <v>Consultant Radiologist</v>
          </cell>
          <cell r="Q1001" t="str">
            <v>Dr Krishna Mohan Pottala</v>
          </cell>
          <cell r="R1001">
            <v>44914</v>
          </cell>
          <cell r="S1001">
            <v>44914</v>
          </cell>
          <cell r="T1001">
            <v>45644</v>
          </cell>
          <cell r="U1001">
            <v>45645</v>
          </cell>
          <cell r="V1001">
            <v>2014</v>
          </cell>
          <cell r="W1001" t="str">
            <v>Chalmeda Institute of Medical Sciences</v>
          </cell>
          <cell r="X1001">
            <v>2018</v>
          </cell>
          <cell r="Y1001" t="str">
            <v>JJMMC (RGUHS) DAVANGERE,KARNATAKA</v>
          </cell>
          <cell r="Z1001" t="str">
            <v>NA</v>
          </cell>
          <cell r="AA1001" t="str">
            <v>MBBS, DMRD</v>
          </cell>
          <cell r="AB1001" t="str">
            <v>APMC/FMR/87618</v>
          </cell>
          <cell r="AC1001" t="str">
            <v>Telangana State Medical Council</v>
          </cell>
          <cell r="AD1001">
            <v>43717</v>
          </cell>
          <cell r="AE1001">
            <v>45543</v>
          </cell>
          <cell r="AF1001">
            <v>6303623169</v>
          </cell>
          <cell r="AG1001" t="str">
            <v>drvidya08@outlook.com</v>
          </cell>
          <cell r="AH1001" t="str">
            <v>SBI Bank</v>
          </cell>
          <cell r="AI1001">
            <v>62403360170</v>
          </cell>
          <cell r="AJ1001" t="str">
            <v>SBIN0020095</v>
          </cell>
          <cell r="AK1001" t="str">
            <v>BHAPR1424D</v>
          </cell>
          <cell r="AL1001" t="str">
            <v>460827806232</v>
          </cell>
          <cell r="AM1001" t="str">
            <v>Rasala Balaram</v>
          </cell>
          <cell r="AN1001">
            <v>45644</v>
          </cell>
          <cell r="AO1001">
            <v>45636</v>
          </cell>
          <cell r="AQ1001" t="str">
            <v>1-9-295/10/3/A, 2nd Floor, Vidyanagar, Musheerabad, New Nallakunta, Hyderabad, Telangana-500044.</v>
          </cell>
          <cell r="AR1001">
            <v>34</v>
          </cell>
          <cell r="AW1001">
            <v>33326</v>
          </cell>
          <cell r="AX1001" t="str">
            <v>Female</v>
          </cell>
          <cell r="AY1001" t="str">
            <v>Part Time</v>
          </cell>
          <cell r="AZ1001">
            <v>2.5</v>
          </cell>
          <cell r="BA1001" t="str">
            <v>Kukatpally Cluster</v>
          </cell>
        </row>
        <row r="1002">
          <cell r="M1002" t="str">
            <v>Kalaburagi-Gulbarga-144</v>
          </cell>
          <cell r="N1002" t="str">
            <v>Basic USG, Tiffa, Fetal Echo, Guided Procedure, Basic CT, All Angios, Guided Procedures, Basic MRI, X Ray, Plain Radiography, Mammography, IVP, RGU, MCUG, Barium Swallow, Barium Anema, HSG
(Dr Radha has done Fetal Medicine felloship . She is a gold medal in Md. Can handle USG, Tiffa, Guided FNAC, CT , MRI)</v>
          </cell>
          <cell r="O1002" t="str">
            <v>Radiology</v>
          </cell>
          <cell r="P1002" t="str">
            <v>Consultant Radiologist</v>
          </cell>
          <cell r="Q1002" t="str">
            <v>Dr Krishna Mohan Pottala</v>
          </cell>
          <cell r="R1002">
            <v>45292</v>
          </cell>
          <cell r="S1002">
            <v>45292</v>
          </cell>
          <cell r="T1002">
            <v>46022</v>
          </cell>
          <cell r="U1002">
            <v>46023</v>
          </cell>
          <cell r="V1002">
            <v>2017</v>
          </cell>
          <cell r="W1002" t="str">
            <v>Lokmanya Tilak Municipal General Hospital And Medical College</v>
          </cell>
          <cell r="X1002">
            <v>2022</v>
          </cell>
          <cell r="Y1002" t="str">
            <v>Krishna Institute of Medical Science</v>
          </cell>
          <cell r="Z1002" t="str">
            <v>NA</v>
          </cell>
          <cell r="AA1002" t="str">
            <v>MBBS, MD</v>
          </cell>
          <cell r="AB1002">
            <v>159685</v>
          </cell>
          <cell r="AC1002" t="str">
            <v>Karnataka Medical Council</v>
          </cell>
          <cell r="AD1002">
            <v>45057</v>
          </cell>
          <cell r="AE1002">
            <v>46883</v>
          </cell>
          <cell r="AF1002">
            <v>9404156351</v>
          </cell>
          <cell r="AG1002" t="str">
            <v>radharameshbawage@gmail.com</v>
          </cell>
          <cell r="AH1002" t="str">
            <v>Bank of Baroda</v>
          </cell>
          <cell r="AI1002" t="str">
            <v>61450100001587</v>
          </cell>
          <cell r="AJ1002" t="str">
            <v>BARB0MOHAMP</v>
          </cell>
          <cell r="AK1002" t="str">
            <v>EHRPB4597K</v>
          </cell>
          <cell r="AL1002">
            <v>545864380782</v>
          </cell>
          <cell r="AN1002">
            <v>45644</v>
          </cell>
          <cell r="AO1002">
            <v>45639</v>
          </cell>
          <cell r="AQ1002" t="str">
            <v>Vishwashanti Niwas, Vishal Nagar, Latur, Maharashtra - 413512</v>
          </cell>
          <cell r="AR1002">
            <v>30</v>
          </cell>
          <cell r="AW1002">
            <v>34791</v>
          </cell>
          <cell r="AX1002" t="str">
            <v>Female</v>
          </cell>
          <cell r="AY1002" t="str">
            <v>Part Time</v>
          </cell>
          <cell r="AZ1002">
            <v>4</v>
          </cell>
          <cell r="BA1002" t="str">
            <v>Gulbarga Cluster</v>
          </cell>
        </row>
        <row r="1003">
          <cell r="M1003" t="str">
            <v>Akruthi Township-108</v>
          </cell>
          <cell r="N1003" t="str">
            <v>N/A</v>
          </cell>
          <cell r="O1003" t="str">
            <v>Physician Services</v>
          </cell>
          <cell r="P1003" t="str">
            <v>Consultant Physician</v>
          </cell>
          <cell r="Q1003" t="str">
            <v>N/A</v>
          </cell>
          <cell r="R1003">
            <v>45313</v>
          </cell>
          <cell r="S1003">
            <v>45313</v>
          </cell>
          <cell r="T1003">
            <v>46043</v>
          </cell>
          <cell r="U1003">
            <v>46044</v>
          </cell>
          <cell r="V1003">
            <v>2017</v>
          </cell>
          <cell r="W1003" t="str">
            <v>Rajiv Gandhi Institute of Medical Sciences</v>
          </cell>
          <cell r="Z1003" t="str">
            <v>NA</v>
          </cell>
          <cell r="AA1003" t="str">
            <v>MBBS</v>
          </cell>
          <cell r="AB1003" t="str">
            <v>TSMC/FMR/02929</v>
          </cell>
          <cell r="AC1003" t="str">
            <v>Telangana State Medical Council</v>
          </cell>
          <cell r="AD1003">
            <v>44819</v>
          </cell>
          <cell r="AE1003">
            <v>46644</v>
          </cell>
          <cell r="AF1003">
            <v>7702868397</v>
          </cell>
          <cell r="AG1003" t="str">
            <v>drvineethakalla@gmail.com</v>
          </cell>
          <cell r="AH1003" t="str">
            <v>ICICI Bank</v>
          </cell>
          <cell r="AI1003" t="str">
            <v>038201548549</v>
          </cell>
          <cell r="AJ1003" t="str">
            <v>ICIC0000382</v>
          </cell>
          <cell r="AK1003" t="str">
            <v>FMFPK5540H</v>
          </cell>
          <cell r="AL1003">
            <v>821122520308</v>
          </cell>
          <cell r="AN1003">
            <v>45355</v>
          </cell>
          <cell r="AO1003">
            <v>45355</v>
          </cell>
          <cell r="AQ1003" t="str">
            <v>3-4-101/A, Laxmi Nagar, St. No. 8, Ramanthapur, Amberpet, Hyderabad, Telangana - 500013</v>
          </cell>
          <cell r="AS1003" t="str">
            <v>3-4-101/A, Laxmi Nagar, St. No. 8, Ramanthapur, Amberpet, Hyderabad, Telangana - 500013</v>
          </cell>
          <cell r="AU1003">
            <v>0.39583333333333331</v>
          </cell>
          <cell r="AV1003">
            <v>0.4375</v>
          </cell>
          <cell r="AW1003">
            <v>34613</v>
          </cell>
          <cell r="AX1003" t="str">
            <v>Female</v>
          </cell>
          <cell r="AY1003" t="str">
            <v>Part Time</v>
          </cell>
          <cell r="AZ1003">
            <v>1</v>
          </cell>
          <cell r="BA1003" t="str">
            <v>Dilshuknagar Cluster</v>
          </cell>
        </row>
        <row r="1004">
          <cell r="M1004" t="str">
            <v>Madhapur-2 - 70</v>
          </cell>
          <cell r="N1004" t="str">
            <v>N/A</v>
          </cell>
          <cell r="O1004" t="str">
            <v>Physician Services</v>
          </cell>
          <cell r="P1004" t="str">
            <v>Consultant Physician</v>
          </cell>
          <cell r="Q1004" t="str">
            <v>N/A</v>
          </cell>
          <cell r="R1004">
            <v>45315</v>
          </cell>
          <cell r="S1004">
            <v>45315</v>
          </cell>
          <cell r="T1004">
            <v>46045</v>
          </cell>
          <cell r="U1004">
            <v>46046</v>
          </cell>
          <cell r="V1004">
            <v>2018</v>
          </cell>
          <cell r="W1004" t="str">
            <v>Zhenzhou university</v>
          </cell>
          <cell r="X1004" t="str">
            <v>NA</v>
          </cell>
          <cell r="Y1004" t="str">
            <v>NA</v>
          </cell>
          <cell r="Z1004" t="str">
            <v>NA</v>
          </cell>
          <cell r="AA1004" t="str">
            <v>MBBS</v>
          </cell>
          <cell r="AB1004" t="str">
            <v>TSMC/FMR/08575</v>
          </cell>
          <cell r="AC1004" t="str">
            <v>Telangana State Medical Council</v>
          </cell>
          <cell r="AD1004">
            <v>43599</v>
          </cell>
          <cell r="AE1004">
            <v>45425</v>
          </cell>
          <cell r="AF1004">
            <v>9642469019</v>
          </cell>
          <cell r="AG1004" t="str">
            <v>ahmedmuk92@hotmail.com</v>
          </cell>
          <cell r="AH1004" t="str">
            <v>Canara Bank</v>
          </cell>
          <cell r="AI1004" t="str">
            <v>1181101028503</v>
          </cell>
          <cell r="AJ1004" t="str">
            <v>CNRB0001181</v>
          </cell>
          <cell r="AK1004" t="str">
            <v>DNJPA2957M</v>
          </cell>
          <cell r="AL1004">
            <v>674941968986</v>
          </cell>
          <cell r="AN1004">
            <v>45384</v>
          </cell>
          <cell r="AP1004" t="str">
            <v>Performance issues, asked to leave from our end</v>
          </cell>
          <cell r="AQ1004" t="str">
            <v>8-2-603/B/33/A/5, Road No. 10, Khairatabad, Banjara Hills, Hyderabad, Telangana - 500034</v>
          </cell>
          <cell r="AS1004" t="str">
            <v>8-2-603/B/33/A/5, Road No. 10, Khairatabad, Banjara Hills, Hyderabad, Telangana - 500034</v>
          </cell>
          <cell r="AU1004">
            <v>0.39583333333333331</v>
          </cell>
          <cell r="AV1004">
            <v>0.47916666666666669</v>
          </cell>
          <cell r="AW1004">
            <v>33857</v>
          </cell>
          <cell r="AX1004" t="str">
            <v>Male</v>
          </cell>
          <cell r="AY1004" t="str">
            <v>Part Time</v>
          </cell>
          <cell r="AZ1004">
            <v>2</v>
          </cell>
          <cell r="BA1004" t="str">
            <v>Madhapur Cluster</v>
          </cell>
        </row>
        <row r="1005">
          <cell r="M1005" t="str">
            <v>Lothukunta-90</v>
          </cell>
          <cell r="N1005" t="str">
            <v>N/A</v>
          </cell>
          <cell r="O1005" t="str">
            <v>Physician Services</v>
          </cell>
          <cell r="P1005" t="str">
            <v>Consultant Physician</v>
          </cell>
          <cell r="Q1005" t="str">
            <v>N/A</v>
          </cell>
          <cell r="R1005">
            <v>45320</v>
          </cell>
          <cell r="S1005">
            <v>45320</v>
          </cell>
          <cell r="T1005">
            <v>46050</v>
          </cell>
          <cell r="U1005">
            <v>46051</v>
          </cell>
          <cell r="V1005">
            <v>2018</v>
          </cell>
          <cell r="W1005" t="str">
            <v>International Higher School of Medicine</v>
          </cell>
          <cell r="X1005" t="str">
            <v>NA</v>
          </cell>
          <cell r="Y1005" t="str">
            <v>NA</v>
          </cell>
          <cell r="Z1005" t="str">
            <v>NA</v>
          </cell>
          <cell r="AA1005" t="str">
            <v>MBBS</v>
          </cell>
          <cell r="AB1005" t="str">
            <v>APMC/FMR/111514</v>
          </cell>
          <cell r="AC1005" t="str">
            <v>Andhra Pradesh Medical Council</v>
          </cell>
          <cell r="AD1005">
            <v>44145</v>
          </cell>
          <cell r="AE1005">
            <v>45970</v>
          </cell>
          <cell r="AF1005">
            <v>6303817029</v>
          </cell>
          <cell r="AG1005" t="str">
            <v>iamthanmaisri@gmail.com</v>
          </cell>
          <cell r="AH1005" t="str">
            <v>INDIAN BANK</v>
          </cell>
          <cell r="AI1005" t="str">
            <v>7512494204</v>
          </cell>
          <cell r="AJ1005" t="str">
            <v>IDIB000V171</v>
          </cell>
          <cell r="AK1005" t="str">
            <v>DVYPG8635P</v>
          </cell>
          <cell r="AL1005">
            <v>373511027844</v>
          </cell>
          <cell r="AN1005">
            <v>45349</v>
          </cell>
          <cell r="AO1005">
            <v>45349</v>
          </cell>
          <cell r="AQ1005" t="str">
            <v>24-94/53, Plot No. - 203, Venkat Plaza, Asta Bhuja Temple Road, Anangbagh West, Hyderabad, Rangareddi, Telangana - 500047</v>
          </cell>
          <cell r="AS1005" t="str">
            <v>24-94/53, Plot No. - 203, Venkat Plaza, Asta Bhuja Temple Road, Anangbagh West, Hyderabad, Rangareddi, Telangana - 500047</v>
          </cell>
          <cell r="AU1005">
            <v>0.375</v>
          </cell>
          <cell r="AV1005">
            <v>0.41666666666666669</v>
          </cell>
          <cell r="AW1005">
            <v>35243</v>
          </cell>
          <cell r="AX1005" t="str">
            <v>Female</v>
          </cell>
          <cell r="AY1005" t="str">
            <v>Part Time</v>
          </cell>
          <cell r="AZ1005">
            <v>1</v>
          </cell>
          <cell r="BA1005" t="str">
            <v>Secunderabad Cluster</v>
          </cell>
        </row>
        <row r="1006">
          <cell r="M1006" t="str">
            <v>BHEL-30</v>
          </cell>
          <cell r="N1006" t="str">
            <v>N/A</v>
          </cell>
          <cell r="O1006" t="str">
            <v>Physician Services</v>
          </cell>
          <cell r="P1006" t="str">
            <v>Consultant Physician</v>
          </cell>
          <cell r="Q1006" t="str">
            <v>N/A</v>
          </cell>
          <cell r="R1006">
            <v>45320</v>
          </cell>
          <cell r="S1006">
            <v>45320</v>
          </cell>
          <cell r="T1006">
            <v>46050</v>
          </cell>
          <cell r="U1006">
            <v>46051</v>
          </cell>
          <cell r="V1006">
            <v>2019</v>
          </cell>
          <cell r="W1006" t="str">
            <v>Belize Medical College</v>
          </cell>
          <cell r="X1006" t="str">
            <v>NA</v>
          </cell>
          <cell r="Y1006" t="str">
            <v>NA</v>
          </cell>
          <cell r="Z1006" t="str">
            <v>NA</v>
          </cell>
          <cell r="AA1006" t="str">
            <v>MBBS</v>
          </cell>
          <cell r="AB1006" t="str">
            <v>TSMC/FMR/16166</v>
          </cell>
          <cell r="AC1006" t="str">
            <v>Telangana State Medical Council</v>
          </cell>
          <cell r="AD1006">
            <v>44333</v>
          </cell>
          <cell r="AE1006">
            <v>46159</v>
          </cell>
          <cell r="AF1006">
            <v>9177626145</v>
          </cell>
          <cell r="AG1006" t="str">
            <v>akhildasari96@gmail.com</v>
          </cell>
          <cell r="AH1006" t="str">
            <v>SBI Bank</v>
          </cell>
          <cell r="AI1006" t="str">
            <v>38132379075</v>
          </cell>
          <cell r="AJ1006" t="str">
            <v>SBIN0020064</v>
          </cell>
          <cell r="AK1006" t="str">
            <v>EPDPR0842R</v>
          </cell>
          <cell r="AL1006">
            <v>840015701684</v>
          </cell>
          <cell r="AN1006">
            <v>45394</v>
          </cell>
          <cell r="AQ1006" t="str">
            <v>Q No. 3357, Type 3, ODF Estate O.F. Yeddumailaram, Medak, Andhra Pradesh - 502205</v>
          </cell>
          <cell r="AS1006" t="str">
            <v>Q No. 3357, Type 3, ODF Estate O.F. Yeddumailaram, Medak, Andhra Pradesh - 502205</v>
          </cell>
          <cell r="AU1006">
            <v>0.70833333333333337</v>
          </cell>
          <cell r="AV1006">
            <v>0.79166666666666663</v>
          </cell>
          <cell r="AW1006">
            <v>35183</v>
          </cell>
          <cell r="AX1006" t="str">
            <v>Male</v>
          </cell>
          <cell r="AY1006" t="str">
            <v>Part Time</v>
          </cell>
          <cell r="AZ1006">
            <v>2</v>
          </cell>
          <cell r="BA1006" t="str">
            <v>Madhapur Cluster</v>
          </cell>
        </row>
        <row r="1007">
          <cell r="M1007" t="str">
            <v>BN Reddy Nagar- 110</v>
          </cell>
          <cell r="N1007" t="str">
            <v>Basic USG, Tiffa, FNAC, Foetal Echo, MSK, Guided Procedures, Basic CT, Basic MRI, X Ray, Plain Radiography, Mammography, IVP, RGU, MCUG, Barium Swallow, Barium Anema, HSG.
(Dr. Shamili is good at USG, Foetal Echo, DOPPLER, USG Guided, FNAC, Mammography, X-Ray reporting can do Basic CT, MRI Reporting)</v>
          </cell>
          <cell r="O1007" t="str">
            <v>Radiology</v>
          </cell>
          <cell r="P1007" t="str">
            <v>Consultant Radiologist</v>
          </cell>
          <cell r="Q1007" t="str">
            <v>Dr.Krishna Mohan</v>
          </cell>
          <cell r="R1007">
            <v>45323</v>
          </cell>
          <cell r="S1007">
            <v>45323</v>
          </cell>
          <cell r="T1007">
            <v>46053</v>
          </cell>
          <cell r="U1007">
            <v>46054</v>
          </cell>
          <cell r="V1007">
            <v>2012</v>
          </cell>
          <cell r="W1007" t="str">
            <v>Dr. NTR Health Sciences University</v>
          </cell>
          <cell r="X1007">
            <v>2020</v>
          </cell>
          <cell r="Y1007" t="str">
            <v>Prathima Institute of Medical Science</v>
          </cell>
          <cell r="Z1007" t="str">
            <v>NA</v>
          </cell>
          <cell r="AA1007" t="str">
            <v>MBBS,MD</v>
          </cell>
          <cell r="AB1007" t="str">
            <v>APMC/FMR/75024</v>
          </cell>
          <cell r="AC1007" t="str">
            <v>Telangana State Medical Council</v>
          </cell>
          <cell r="AD1007">
            <v>44221</v>
          </cell>
          <cell r="AE1007">
            <v>46046</v>
          </cell>
          <cell r="AF1007">
            <v>8106764426</v>
          </cell>
          <cell r="AG1007" t="str">
            <v>shamili.me@gmail.com</v>
          </cell>
          <cell r="AH1007" t="str">
            <v>HDFC Bank</v>
          </cell>
          <cell r="AI1007" t="str">
            <v>50100472298521</v>
          </cell>
          <cell r="AJ1007" t="str">
            <v>HDFC0000418</v>
          </cell>
          <cell r="AK1007" t="str">
            <v>ARVPN5452B</v>
          </cell>
          <cell r="AL1007">
            <v>619798087655</v>
          </cell>
          <cell r="AN1007">
            <v>45380</v>
          </cell>
          <cell r="AO1007">
            <v>45380</v>
          </cell>
          <cell r="AQ1007" t="str">
            <v>18-116, Kamalanagar, Road no. 5, P &amp; T Colony, Saroornagar, KV Rangareddy, Telangana - 500060</v>
          </cell>
          <cell r="AS1007" t="str">
            <v>18-116, Kamalanagar, Road no. 5, P &amp; T Colony, Saroornagar, KV Rangareddy, Telangana - 500060</v>
          </cell>
          <cell r="AU1007">
            <v>0.375</v>
          </cell>
          <cell r="AV1007">
            <v>0.625</v>
          </cell>
          <cell r="AW1007">
            <v>32668</v>
          </cell>
          <cell r="AX1007" t="str">
            <v>Female</v>
          </cell>
          <cell r="AY1007" t="str">
            <v>Part Time</v>
          </cell>
          <cell r="AZ1007">
            <v>6</v>
          </cell>
          <cell r="BA1007" t="str">
            <v>Dilshuknagar Cluster</v>
          </cell>
        </row>
        <row r="1008">
          <cell r="M1008" t="str">
            <v>Manikonda - 59</v>
          </cell>
          <cell r="N1008" t="str">
            <v>NA</v>
          </cell>
          <cell r="O1008" t="str">
            <v>Physician Services</v>
          </cell>
          <cell r="P1008" t="str">
            <v>Consultant Physician</v>
          </cell>
          <cell r="Q1008" t="str">
            <v>NA</v>
          </cell>
          <cell r="R1008">
            <v>45623</v>
          </cell>
          <cell r="S1008">
            <v>45623</v>
          </cell>
          <cell r="T1008">
            <v>46352</v>
          </cell>
          <cell r="U1008">
            <v>46353</v>
          </cell>
          <cell r="V1008">
            <v>2000</v>
          </cell>
          <cell r="W1008" t="str">
            <v>B J Medical College, Pune</v>
          </cell>
          <cell r="X1008" t="str">
            <v>NA</v>
          </cell>
          <cell r="Y1008" t="str">
            <v>NA</v>
          </cell>
          <cell r="Z1008" t="str">
            <v>NA</v>
          </cell>
          <cell r="AA1008" t="str">
            <v>MBBS</v>
          </cell>
          <cell r="AB1008" t="str">
            <v>TSMC/FMR/02208</v>
          </cell>
          <cell r="AC1008" t="str">
            <v>Telangana State Medical Council</v>
          </cell>
          <cell r="AD1008">
            <v>44820</v>
          </cell>
          <cell r="AE1008">
            <v>46645</v>
          </cell>
          <cell r="AF1008">
            <v>8106121938</v>
          </cell>
          <cell r="AG1008" t="str">
            <v>deepugdh0220@gmail.com</v>
          </cell>
          <cell r="AH1008" t="str">
            <v>Axis Bank Ltd</v>
          </cell>
          <cell r="AI1008" t="str">
            <v>915010017897037</v>
          </cell>
          <cell r="AJ1008" t="str">
            <v>UTIB0000515</v>
          </cell>
          <cell r="AK1008" t="str">
            <v>BEGPG2809N</v>
          </cell>
          <cell r="AL1008">
            <v>431756745024</v>
          </cell>
          <cell r="AM1008" t="str">
            <v>Prahlad Garlapadu Dhonde hole</v>
          </cell>
          <cell r="AN1008">
            <v>45644</v>
          </cell>
          <cell r="AO1008" t="str">
            <v>NA</v>
          </cell>
          <cell r="AP1008" t="str">
            <v>Personal reasons</v>
          </cell>
          <cell r="AQ1008" t="str">
            <v>Flat No-605, Block No-C, Aurora Block, Chitrapuri Colony Post, Green Grace Apts, Khajaguda, KV Rangareddy, Telangana-500104.</v>
          </cell>
          <cell r="AR1008">
            <v>48</v>
          </cell>
          <cell r="AW1008">
            <v>28176</v>
          </cell>
          <cell r="AX1008" t="str">
            <v>Female</v>
          </cell>
          <cell r="AY1008" t="str">
            <v>Part Time</v>
          </cell>
          <cell r="AZ1008">
            <v>1</v>
          </cell>
          <cell r="BA1008" t="str">
            <v>Tolichowki Cluster</v>
          </cell>
        </row>
        <row r="1009">
          <cell r="M1009" t="str">
            <v>Akruthi Township-108</v>
          </cell>
          <cell r="N1009" t="str">
            <v>Basic USG, Tiffa, MSK, Penile Doppler/ TRUS, Guided Procedures, X-Ray, Mammography, Basic CT, Basic MRI, IVP, RGU, MCGU, Barium Swallow, Barium Enema, HSG</v>
          </cell>
          <cell r="O1009" t="str">
            <v>Radiology</v>
          </cell>
          <cell r="P1009" t="str">
            <v>Consultant Radiologist</v>
          </cell>
          <cell r="Q1009" t="str">
            <v>Dr Krishna Mohan Pottala</v>
          </cell>
          <cell r="R1009">
            <v>43076</v>
          </cell>
          <cell r="S1009">
            <v>45203</v>
          </cell>
          <cell r="T1009">
            <v>45933</v>
          </cell>
          <cell r="U1009">
            <v>45934</v>
          </cell>
          <cell r="V1009">
            <v>2012</v>
          </cell>
          <cell r="W1009" t="str">
            <v>Prathima Institute of Medical Science</v>
          </cell>
          <cell r="X1009">
            <v>2016</v>
          </cell>
          <cell r="Y1009" t="str">
            <v>Alluri Sitarama Raju Academy of Medical Sciences, Eluru, Andhra Pradesh</v>
          </cell>
          <cell r="Z1009" t="str">
            <v>NA</v>
          </cell>
          <cell r="AA1009" t="str">
            <v>MBBS, DMRD - Radio Diagnosis</v>
          </cell>
          <cell r="AB1009" t="str">
            <v>APMC/FMR/77716</v>
          </cell>
          <cell r="AC1009" t="str">
            <v>Telangana State Medical Council</v>
          </cell>
          <cell r="AD1009">
            <v>45212</v>
          </cell>
          <cell r="AE1009">
            <v>47038</v>
          </cell>
          <cell r="AF1009">
            <v>9676907025</v>
          </cell>
          <cell r="AG1009" t="str">
            <v>jalagam_arjun@yahoo.in</v>
          </cell>
          <cell r="AH1009" t="str">
            <v>HDFC Bank</v>
          </cell>
          <cell r="AI1009" t="str">
            <v>50100022517754</v>
          </cell>
          <cell r="AJ1009" t="str">
            <v>HDFC0002413</v>
          </cell>
          <cell r="AK1009" t="str">
            <v>ARQPJ6407K</v>
          </cell>
          <cell r="AL1009">
            <v>811326366056</v>
          </cell>
          <cell r="AM1009" t="str">
            <v>J Rajendra Prasad</v>
          </cell>
          <cell r="AN1009">
            <v>45647</v>
          </cell>
          <cell r="AO1009">
            <v>45587</v>
          </cell>
          <cell r="AR1009">
            <v>38</v>
          </cell>
          <cell r="AW1009">
            <v>31834</v>
          </cell>
          <cell r="AX1009" t="str">
            <v>Male</v>
          </cell>
          <cell r="AY1009" t="str">
            <v>Part Time</v>
          </cell>
          <cell r="AZ1009">
            <v>6</v>
          </cell>
          <cell r="BA1009" t="str">
            <v>Dilshuknagar Cluster</v>
          </cell>
        </row>
        <row r="1010">
          <cell r="M1010" t="str">
            <v>Gurgaon - 54</v>
          </cell>
          <cell r="N1010" t="str">
            <v>Hematology, Cytopathology, Clinical Pathology</v>
          </cell>
          <cell r="O1010" t="str">
            <v>Pathology</v>
          </cell>
          <cell r="P1010" t="str">
            <v>Consultant Pathologist</v>
          </cell>
          <cell r="Q1010" t="str">
            <v>Dr Ramesh Kinha</v>
          </cell>
          <cell r="R1010">
            <v>44896</v>
          </cell>
          <cell r="S1010">
            <v>44896</v>
          </cell>
          <cell r="T1010">
            <v>45626</v>
          </cell>
          <cell r="U1010">
            <v>45627</v>
          </cell>
          <cell r="V1010">
            <v>2012</v>
          </cell>
          <cell r="W1010" t="str">
            <v>Moulana Institute of Medical Sciences, Ambala, Haryana</v>
          </cell>
          <cell r="X1010">
            <v>2018</v>
          </cell>
          <cell r="Y1010" t="str">
            <v>Mahatma Gandhi Medical College and Hospital, Jaipur, Rajasthan</v>
          </cell>
          <cell r="Z1010" t="str">
            <v>NA</v>
          </cell>
          <cell r="AA1010" t="str">
            <v>MBBS, MD</v>
          </cell>
          <cell r="AB1010">
            <v>63631</v>
          </cell>
          <cell r="AC1010" t="str">
            <v>Haryana Medical Council</v>
          </cell>
          <cell r="AD1010">
            <v>45274</v>
          </cell>
          <cell r="AE1010">
            <v>47100</v>
          </cell>
          <cell r="AF1010">
            <v>8377021204</v>
          </cell>
          <cell r="AG1010" t="str">
            <v>garu6287@gmail.com</v>
          </cell>
          <cell r="AH1010" t="str">
            <v>Canara Bank</v>
          </cell>
          <cell r="AI1010" t="str">
            <v>83912300016407</v>
          </cell>
          <cell r="AJ1010" t="str">
            <v>CNRB0019170</v>
          </cell>
          <cell r="AK1010" t="str">
            <v>BZHPS1503H</v>
          </cell>
          <cell r="AL1010" t="str">
            <v>365252707671</v>
          </cell>
          <cell r="AM1010" t="str">
            <v>Naresh Sharma</v>
          </cell>
          <cell r="AN1010">
            <v>45647</v>
          </cell>
          <cell r="AO1010">
            <v>45616</v>
          </cell>
          <cell r="AQ1010" t="str">
            <v>D-419, Near Ramfal Chowk, Palam Extn, Dwaraka Sector 7, South West Delhi, Delhi - 110075.</v>
          </cell>
          <cell r="AR1010">
            <v>36</v>
          </cell>
          <cell r="AW1010">
            <v>32436</v>
          </cell>
          <cell r="AX1010" t="str">
            <v>Female</v>
          </cell>
          <cell r="AY1010" t="str">
            <v>Part Time</v>
          </cell>
          <cell r="AZ1010">
            <v>8</v>
          </cell>
          <cell r="BA1010" t="str">
            <v>Haryana Cluster</v>
          </cell>
        </row>
        <row r="1011">
          <cell r="M1011" t="str">
            <v>Vizag - 37</v>
          </cell>
          <cell r="N1011" t="str">
            <v>X-Ray (Plain Radiography-Basic,Advanced), Mammography, USG(Basic, Doppler Studies,Thyroid/Scrotum USG, Breast USG,TIFFA, MSK USG, USG Guided FNAC,USG Guided Aspirations), CT (Basic, Chest/Abdomen,3DCT,CT Angiography), MRI(Basic, MSk Studies- Knee/Shoulder, MRI MRCP / Abdomen / Liver), Special Procedures (RGU,MCUG, Barium Swallow, Barium Enema, HSG)</v>
          </cell>
          <cell r="O1011" t="str">
            <v>Radiology</v>
          </cell>
          <cell r="P1011" t="str">
            <v>Consultant Radiologist</v>
          </cell>
          <cell r="Q1011" t="str">
            <v>Dr Krishna Mohan Pottala</v>
          </cell>
          <cell r="R1011">
            <v>45523</v>
          </cell>
          <cell r="S1011">
            <v>45523</v>
          </cell>
          <cell r="T1011">
            <v>46252</v>
          </cell>
          <cell r="U1011">
            <v>46253</v>
          </cell>
          <cell r="V1011">
            <v>2012</v>
          </cell>
          <cell r="W1011" t="str">
            <v>NRI Medical College</v>
          </cell>
          <cell r="X1011">
            <v>2018</v>
          </cell>
          <cell r="Y1011" t="str">
            <v>Pinnamaneni Siddhartha Institute of Medical Sciences</v>
          </cell>
          <cell r="Z1011" t="str">
            <v>DNB - Radiodiagnosis</v>
          </cell>
          <cell r="AA1011" t="str">
            <v>MBBS,DMRD,DNB-Radidiagnosis</v>
          </cell>
          <cell r="AB1011" t="str">
            <v>APMC/FMR/79480</v>
          </cell>
          <cell r="AC1011" t="str">
            <v>Andhra Pradesh Medical Council</v>
          </cell>
          <cell r="AD1011">
            <v>45155</v>
          </cell>
          <cell r="AE1011">
            <v>46981</v>
          </cell>
          <cell r="AF1011">
            <v>9150223616</v>
          </cell>
          <cell r="AG1011" t="str">
            <v>vandana233@gmail.com</v>
          </cell>
          <cell r="AH1011" t="str">
            <v>STATE BANK OF INDIA</v>
          </cell>
          <cell r="AI1011" t="str">
            <v>33939298868</v>
          </cell>
          <cell r="AJ1011" t="str">
            <v>SBIN0008998</v>
          </cell>
          <cell r="AK1011" t="str">
            <v>BLEPP7094R</v>
          </cell>
          <cell r="AL1011">
            <v>701474495869</v>
          </cell>
          <cell r="AM1011" t="str">
            <v>PRM Prasad</v>
          </cell>
          <cell r="AN1011">
            <v>45647</v>
          </cell>
          <cell r="AO1011">
            <v>45587</v>
          </cell>
          <cell r="AP1011" t="str">
            <v>Recruited for temporary basis (Dr K Loka Pavani on Maternity leave)</v>
          </cell>
          <cell r="AQ1011" t="str">
            <v>31-28-1/19, Kurmannapalem, Kalyan enclave opposite steel plant gate, Vadlapudi, Duvvada, Visakhapatnam, Andhra Pradesh-530046.</v>
          </cell>
          <cell r="AR1011">
            <v>37</v>
          </cell>
          <cell r="AW1011">
            <v>32225</v>
          </cell>
          <cell r="AX1011" t="str">
            <v>Female</v>
          </cell>
          <cell r="AY1011" t="str">
            <v>Full Time</v>
          </cell>
          <cell r="AZ1011">
            <v>8</v>
          </cell>
          <cell r="BA1011" t="str">
            <v>Visakhapatnam Cluster</v>
          </cell>
        </row>
        <row r="1012">
          <cell r="M1012" t="str">
            <v>Tolichowki - 23</v>
          </cell>
          <cell r="N1012" t="str">
            <v>X-Ray( Plain Radiography, Mammography), Usg(Basic, TIFFA, MSK, Guided Procedures)), CT ( Basic), MRI(Basic), Special Procedures (IVP, RGU, MCUG, Barium Swallow, Barium Enema, HSG)</v>
          </cell>
          <cell r="O1012" t="str">
            <v>Radiology</v>
          </cell>
          <cell r="P1012" t="str">
            <v>Consultant Radiologist</v>
          </cell>
          <cell r="Q1012" t="str">
            <v>Dr Krishna Mohan Pottala</v>
          </cell>
          <cell r="R1012">
            <v>42870</v>
          </cell>
          <cell r="S1012">
            <v>45170</v>
          </cell>
          <cell r="T1012">
            <v>45900</v>
          </cell>
          <cell r="U1012">
            <v>45901</v>
          </cell>
          <cell r="V1012">
            <v>2011</v>
          </cell>
          <cell r="W1012" t="str">
            <v>MNR Medical College</v>
          </cell>
          <cell r="X1012">
            <v>2015</v>
          </cell>
          <cell r="Y1012" t="str">
            <v>Yashoda Super Speciality Hospital</v>
          </cell>
          <cell r="Z1012" t="str">
            <v>NA</v>
          </cell>
          <cell r="AA1012" t="str">
            <v>MBBS, DNB - Radiodiagnosis</v>
          </cell>
          <cell r="AB1012">
            <v>70600</v>
          </cell>
          <cell r="AC1012" t="str">
            <v>Telangana State Medical Council</v>
          </cell>
          <cell r="AD1012">
            <v>45371</v>
          </cell>
          <cell r="AE1012">
            <v>47196</v>
          </cell>
          <cell r="AF1012">
            <v>9676892110</v>
          </cell>
          <cell r="AG1012" t="str">
            <v>maheshwariuma02@gmail.com</v>
          </cell>
          <cell r="AH1012" t="str">
            <v>ICICI Bank</v>
          </cell>
          <cell r="AI1012" t="str">
            <v>004801602787</v>
          </cell>
          <cell r="AJ1012" t="str">
            <v>ICIC0000048</v>
          </cell>
          <cell r="AK1012" t="str">
            <v>CDRPM4531Q</v>
          </cell>
          <cell r="AL1012">
            <v>373603557957</v>
          </cell>
          <cell r="AM1012" t="str">
            <v>S Parama Reddy</v>
          </cell>
          <cell r="AN1012">
            <v>45654</v>
          </cell>
          <cell r="AO1012">
            <v>45616</v>
          </cell>
          <cell r="AR1012">
            <v>39</v>
          </cell>
          <cell r="AT1012" t="str">
            <v>4021/A/303259839/00/000</v>
          </cell>
          <cell r="AU1012">
            <v>45160</v>
          </cell>
          <cell r="AV1012">
            <v>45525</v>
          </cell>
          <cell r="AW1012">
            <v>31459</v>
          </cell>
          <cell r="AX1012" t="str">
            <v>Female</v>
          </cell>
          <cell r="AY1012" t="str">
            <v>Full Time</v>
          </cell>
          <cell r="AZ1012">
            <v>6</v>
          </cell>
          <cell r="BA1012" t="str">
            <v>Tolichowki Cluster</v>
          </cell>
        </row>
        <row r="1013">
          <cell r="M1013" t="str">
            <v>Dilsukhnagar - 12</v>
          </cell>
          <cell r="N1013" t="str">
            <v>N/A</v>
          </cell>
          <cell r="O1013" t="str">
            <v>Pathology</v>
          </cell>
          <cell r="P1013" t="str">
            <v>Consultant Pathologist</v>
          </cell>
          <cell r="Q1013" t="str">
            <v>Dr Ramesh Kinha</v>
          </cell>
          <cell r="R1013">
            <v>45161</v>
          </cell>
          <cell r="S1013">
            <v>45161</v>
          </cell>
          <cell r="T1013">
            <v>45891</v>
          </cell>
          <cell r="U1013">
            <v>45892</v>
          </cell>
          <cell r="V1013">
            <v>2015</v>
          </cell>
          <cell r="W1013" t="str">
            <v>CHALMEDA ANAND RAO INSTITUTE OF MEDICAL SCIENCES, KARIMNAGAR</v>
          </cell>
          <cell r="X1013">
            <v>2022</v>
          </cell>
          <cell r="Y1013" t="str">
            <v>GOVERNMENT MEDICAL COLLEGE ,AKOLA MAHARASHTRA</v>
          </cell>
          <cell r="Z1013" t="str">
            <v>NA</v>
          </cell>
          <cell r="AA1013" t="str">
            <v>MBBS,MD</v>
          </cell>
          <cell r="AB1013" t="str">
            <v>TSMC/FMR/01226</v>
          </cell>
          <cell r="AC1013" t="str">
            <v>Telangana State Medical Council</v>
          </cell>
          <cell r="AD1013">
            <v>44779</v>
          </cell>
          <cell r="AE1013">
            <v>46604</v>
          </cell>
          <cell r="AF1013">
            <v>9966606334</v>
          </cell>
          <cell r="AG1013" t="str">
            <v>pradeep.rudra77@gmail.com</v>
          </cell>
          <cell r="AH1013" t="str">
            <v>SBI Bank</v>
          </cell>
          <cell r="AI1013">
            <v>20267691006</v>
          </cell>
          <cell r="AJ1013" t="str">
            <v>SBIN0015975</v>
          </cell>
          <cell r="AK1013" t="str">
            <v>CVEPR6617P</v>
          </cell>
          <cell r="AL1013">
            <v>516129161904</v>
          </cell>
          <cell r="AN1013">
            <v>45654</v>
          </cell>
          <cell r="AO1013">
            <v>45593</v>
          </cell>
          <cell r="AQ1013" t="str">
            <v>2-1-7, I B Road, Koratla, Karimnagar, Telangana – 505326.</v>
          </cell>
          <cell r="AR1013">
            <v>35</v>
          </cell>
          <cell r="AW1013">
            <v>33058</v>
          </cell>
          <cell r="AX1013" t="str">
            <v>Male</v>
          </cell>
          <cell r="AY1013" t="str">
            <v>Full Time</v>
          </cell>
          <cell r="AZ1013">
            <v>8</v>
          </cell>
          <cell r="BA1013" t="str">
            <v>Dilshuknagar Cluster</v>
          </cell>
        </row>
        <row r="1014">
          <cell r="M1014" t="str">
            <v>Kurnool - 43</v>
          </cell>
          <cell r="N1014" t="str">
            <v>N/A</v>
          </cell>
          <cell r="O1014" t="str">
            <v>Pathology</v>
          </cell>
          <cell r="P1014" t="str">
            <v>Consultant Pathologist</v>
          </cell>
          <cell r="R1014">
            <v>45337</v>
          </cell>
          <cell r="S1014">
            <v>45337</v>
          </cell>
          <cell r="T1014">
            <v>46067</v>
          </cell>
          <cell r="U1014">
            <v>46068</v>
          </cell>
          <cell r="V1014">
            <v>2009</v>
          </cell>
          <cell r="W1014" t="str">
            <v>NTR University of Health Sciences</v>
          </cell>
          <cell r="X1014">
            <v>2018</v>
          </cell>
          <cell r="Y1014" t="str">
            <v>Osmania Medical College</v>
          </cell>
          <cell r="Z1014" t="str">
            <v>NA</v>
          </cell>
          <cell r="AA1014" t="str">
            <v>MBBS,MD</v>
          </cell>
          <cell r="AB1014">
            <v>62266</v>
          </cell>
          <cell r="AC1014" t="str">
            <v>Telangana State Medical Council</v>
          </cell>
          <cell r="AD1014">
            <v>44254</v>
          </cell>
          <cell r="AE1014">
            <v>46079</v>
          </cell>
          <cell r="AF1014">
            <v>9160796427</v>
          </cell>
          <cell r="AG1014" t="str">
            <v>dr.uday@hotmail.com</v>
          </cell>
          <cell r="AK1014" t="str">
            <v>BKWPS3359F</v>
          </cell>
          <cell r="AL1014">
            <v>968119294057</v>
          </cell>
          <cell r="AN1014">
            <v>45337</v>
          </cell>
          <cell r="AO1014">
            <v>45337</v>
          </cell>
          <cell r="AP1014" t="str">
            <v>Not Joined</v>
          </cell>
          <cell r="AQ1014" t="str">
            <v>10-179/1, Plot No - 105, Gayatri Homes, New Gayatri Nagar, Meerpet, KV Rangareddy, Telangana - 500097</v>
          </cell>
          <cell r="AS1014" t="str">
            <v>10-179/1, Plot No - 105, Gayatri Homes, New Gayatri Nagar, Meerpet, KV Rangareddy, Telangana - 500097</v>
          </cell>
          <cell r="AU1014">
            <v>0.33333333333333331</v>
          </cell>
          <cell r="AV1014">
            <v>0.875</v>
          </cell>
          <cell r="AW1014">
            <v>31155</v>
          </cell>
          <cell r="AX1014" t="str">
            <v>Male</v>
          </cell>
          <cell r="AY1014" t="str">
            <v>Full Time</v>
          </cell>
          <cell r="AZ1014">
            <v>8</v>
          </cell>
          <cell r="BA1014" t="str">
            <v>Kurnool Cluster</v>
          </cell>
        </row>
        <row r="1015">
          <cell r="M1015" t="str">
            <v>Kompally - 65</v>
          </cell>
          <cell r="N1015" t="str">
            <v>N/A</v>
          </cell>
          <cell r="O1015" t="str">
            <v>Physician Services</v>
          </cell>
          <cell r="P1015" t="str">
            <v>Consultant Physician</v>
          </cell>
          <cell r="R1015">
            <v>45336</v>
          </cell>
          <cell r="S1015">
            <v>45336</v>
          </cell>
          <cell r="T1015">
            <v>46066</v>
          </cell>
          <cell r="U1015">
            <v>46067</v>
          </cell>
          <cell r="V1015">
            <v>2021</v>
          </cell>
          <cell r="W1015" t="str">
            <v>International Higher School of Medicine</v>
          </cell>
          <cell r="Z1015" t="str">
            <v>NA</v>
          </cell>
          <cell r="AA1015" t="str">
            <v>MBBS</v>
          </cell>
          <cell r="AB1015" t="str">
            <v>TSMC/FMR/29921</v>
          </cell>
          <cell r="AC1015" t="str">
            <v>Telangana State Medical Council</v>
          </cell>
          <cell r="AD1015">
            <v>45320</v>
          </cell>
          <cell r="AE1015">
            <v>47146</v>
          </cell>
          <cell r="AF1015">
            <v>8074226609</v>
          </cell>
          <cell r="AG1015" t="str">
            <v>rupakranjan213@gmail.com</v>
          </cell>
          <cell r="AH1015" t="str">
            <v>SBI Bank</v>
          </cell>
          <cell r="AI1015" t="str">
            <v>36076415536</v>
          </cell>
          <cell r="AJ1015" t="str">
            <v>SBIN0017761</v>
          </cell>
          <cell r="AK1015" t="str">
            <v>FRIPR9819E</v>
          </cell>
          <cell r="AL1015">
            <v>693133758658</v>
          </cell>
          <cell r="AN1015">
            <v>45336</v>
          </cell>
          <cell r="AO1015">
            <v>45336</v>
          </cell>
          <cell r="AP1015" t="str">
            <v>Not Joined</v>
          </cell>
          <cell r="AQ1015" t="str">
            <v>H. No - 4-42-776, Asbestos Colony, Kukatpally, Hyderabad - 500072</v>
          </cell>
          <cell r="AS1015" t="str">
            <v>H. No - 4-42-776, Asbestos Colony, Kukatpally, Hyderabad - 500072</v>
          </cell>
          <cell r="AU1015">
            <v>0.375</v>
          </cell>
          <cell r="AV1015">
            <v>0.45833333333333331</v>
          </cell>
          <cell r="AW1015">
            <v>35931</v>
          </cell>
          <cell r="AX1015" t="str">
            <v>Male</v>
          </cell>
          <cell r="AY1015" t="str">
            <v>Part Time</v>
          </cell>
          <cell r="AZ1015">
            <v>2</v>
          </cell>
          <cell r="BA1015" t="str">
            <v>Secunderabad Cluster</v>
          </cell>
        </row>
        <row r="1016">
          <cell r="M1016" t="str">
            <v>Nallagandla - 84</v>
          </cell>
          <cell r="N1016" t="str">
            <v>N/A</v>
          </cell>
          <cell r="O1016" t="str">
            <v>Physician Services</v>
          </cell>
          <cell r="P1016" t="str">
            <v>Consultant Physician</v>
          </cell>
          <cell r="Q1016" t="str">
            <v>N/A</v>
          </cell>
          <cell r="R1016">
            <v>45337</v>
          </cell>
          <cell r="S1016">
            <v>45337</v>
          </cell>
          <cell r="T1016">
            <v>46067</v>
          </cell>
          <cell r="U1016">
            <v>46068</v>
          </cell>
          <cell r="V1016">
            <v>2023</v>
          </cell>
          <cell r="W1016" t="str">
            <v>GSL Medical College</v>
          </cell>
          <cell r="X1016" t="str">
            <v>NA</v>
          </cell>
          <cell r="Y1016" t="str">
            <v>NA</v>
          </cell>
          <cell r="Z1016" t="str">
            <v>NA</v>
          </cell>
          <cell r="AA1016" t="str">
            <v>MBBS</v>
          </cell>
          <cell r="AB1016" t="str">
            <v>APMC/FMR/129022</v>
          </cell>
          <cell r="AC1016" t="str">
            <v>Andhra Pradesh Medical Council</v>
          </cell>
          <cell r="AD1016">
            <v>45293</v>
          </cell>
          <cell r="AE1016">
            <v>47119</v>
          </cell>
          <cell r="AF1016">
            <v>8790677960</v>
          </cell>
          <cell r="AG1016" t="str">
            <v>irshad.syed.103@gmail.com</v>
          </cell>
          <cell r="AH1016" t="str">
            <v>Syndicate bank</v>
          </cell>
          <cell r="AI1016">
            <v>36782210050619</v>
          </cell>
          <cell r="AJ1016" t="str">
            <v>CNRB0013698</v>
          </cell>
          <cell r="AK1016" t="str">
            <v>HXSPS6159E</v>
          </cell>
          <cell r="AL1016">
            <v>280132506774</v>
          </cell>
          <cell r="AN1016">
            <v>45380</v>
          </cell>
          <cell r="AO1016">
            <v>45380</v>
          </cell>
          <cell r="AQ1016" t="str">
            <v>1-64, Main Road Syndicate Bank Mundu, Veligandla, Prakasam, Andhra Pradesh - 523224</v>
          </cell>
          <cell r="AS1016" t="str">
            <v>1-64, Main Road Syndicate Bank Mundu, Veligandla, Prakasam, Andhra Pradesh - 523224</v>
          </cell>
          <cell r="AU1016">
            <v>0.375</v>
          </cell>
          <cell r="AV1016">
            <v>0.41666666666666669</v>
          </cell>
          <cell r="AW1016">
            <v>34403</v>
          </cell>
          <cell r="AX1016" t="str">
            <v>Male</v>
          </cell>
          <cell r="AY1016" t="str">
            <v>Part Time</v>
          </cell>
          <cell r="AZ1016">
            <v>1</v>
          </cell>
          <cell r="BA1016" t="str">
            <v>Madhapur Cluster</v>
          </cell>
        </row>
        <row r="1017">
          <cell r="M1017" t="str">
            <v>Botanical Garden-74</v>
          </cell>
          <cell r="N1017" t="str">
            <v>N/A</v>
          </cell>
          <cell r="O1017" t="str">
            <v>Physician Services</v>
          </cell>
          <cell r="P1017" t="str">
            <v>Consultant Physician</v>
          </cell>
          <cell r="R1017">
            <v>45337</v>
          </cell>
          <cell r="S1017">
            <v>45337</v>
          </cell>
          <cell r="T1017">
            <v>46067</v>
          </cell>
          <cell r="U1017">
            <v>46068</v>
          </cell>
          <cell r="V1017">
            <v>2023</v>
          </cell>
          <cell r="W1017" t="str">
            <v>Maheshwara Medical College</v>
          </cell>
          <cell r="X1017" t="str">
            <v>NA</v>
          </cell>
          <cell r="Y1017" t="str">
            <v>NA</v>
          </cell>
          <cell r="Z1017" t="str">
            <v>NA</v>
          </cell>
          <cell r="AA1017" t="str">
            <v>MBBS</v>
          </cell>
          <cell r="AB1017" t="str">
            <v>TSMC/FMR/21369</v>
          </cell>
          <cell r="AC1017" t="str">
            <v>Telangana State Medical Council</v>
          </cell>
          <cell r="AD1017">
            <v>44977</v>
          </cell>
          <cell r="AE1017">
            <v>46802</v>
          </cell>
          <cell r="AF1017">
            <v>8008866899</v>
          </cell>
          <cell r="AG1017" t="str">
            <v>sgouthamreddy1@gmail.com</v>
          </cell>
          <cell r="AL1017">
            <v>646212468645</v>
          </cell>
          <cell r="AN1017">
            <v>45337</v>
          </cell>
          <cell r="AO1017">
            <v>45337</v>
          </cell>
          <cell r="AP1017" t="str">
            <v>Not Joined</v>
          </cell>
          <cell r="AQ1017" t="str">
            <v>5-7/15, Road No-1, Hill County, Bachpalle, Malkajgiri, Telangana, 500090</v>
          </cell>
          <cell r="AS1017" t="str">
            <v>5-7/15, Road No-1, Hill County, Bachpalle, Malkajgiri, Telangana, 500090</v>
          </cell>
          <cell r="AU1017">
            <v>0.375</v>
          </cell>
          <cell r="AV1017">
            <v>0.41666666666666669</v>
          </cell>
          <cell r="AW1017">
            <v>36609</v>
          </cell>
          <cell r="AX1017" t="str">
            <v>Male</v>
          </cell>
          <cell r="AY1017" t="str">
            <v>Part Time</v>
          </cell>
          <cell r="AZ1017">
            <v>1</v>
          </cell>
          <cell r="BA1017" t="str">
            <v>Madhapur Cluster</v>
          </cell>
        </row>
        <row r="1018">
          <cell r="M1018" t="str">
            <v>Tolichowki - 23</v>
          </cell>
          <cell r="N1018" t="str">
            <v>N/A</v>
          </cell>
          <cell r="O1018" t="str">
            <v>Physician Services</v>
          </cell>
          <cell r="P1018" t="str">
            <v>Consultant Physician</v>
          </cell>
          <cell r="R1018">
            <v>45341</v>
          </cell>
          <cell r="S1018">
            <v>45341</v>
          </cell>
          <cell r="T1018">
            <v>46071</v>
          </cell>
          <cell r="U1018">
            <v>46072</v>
          </cell>
          <cell r="V1018">
            <v>2017</v>
          </cell>
          <cell r="W1018" t="str">
            <v>Shadan Institute of Medical Science</v>
          </cell>
          <cell r="X1018" t="str">
            <v>NA</v>
          </cell>
          <cell r="Y1018" t="str">
            <v>NA</v>
          </cell>
          <cell r="Z1018" t="str">
            <v>NA</v>
          </cell>
          <cell r="AA1018" t="str">
            <v>MBBS</v>
          </cell>
          <cell r="AB1018" t="str">
            <v>TSMC/FMR/04856</v>
          </cell>
          <cell r="AC1018" t="str">
            <v>Telangana State Medical Council</v>
          </cell>
          <cell r="AD1018">
            <v>44909</v>
          </cell>
          <cell r="AE1018">
            <v>46734</v>
          </cell>
          <cell r="AF1018">
            <v>7989594836</v>
          </cell>
          <cell r="AG1018" t="str">
            <v>drsughrayasmeen@gmail.com</v>
          </cell>
          <cell r="AH1018" t="str">
            <v>Kotak Mahindra Bank</v>
          </cell>
          <cell r="AI1018" t="str">
            <v>4845478642</v>
          </cell>
          <cell r="AJ1018" t="str">
            <v>KKBK0007487</v>
          </cell>
          <cell r="AK1018" t="str">
            <v>AHWPY3407G</v>
          </cell>
          <cell r="AL1018">
            <v>592138459317</v>
          </cell>
          <cell r="AN1018">
            <v>45341</v>
          </cell>
          <cell r="AO1018">
            <v>45341</v>
          </cell>
          <cell r="AP1018" t="str">
            <v>Not Reported</v>
          </cell>
          <cell r="AQ1018" t="str">
            <v>13-6-823/10, Hasham Nagar, Langar House, Hyderabad - 500008</v>
          </cell>
          <cell r="AS1018" t="str">
            <v>13-6-823/10, Hasham Nagar, Langar House, Hyderabad - 500008</v>
          </cell>
          <cell r="AU1018">
            <v>0.35416666666666669</v>
          </cell>
          <cell r="AV1018">
            <v>0.39583333333333331</v>
          </cell>
          <cell r="AW1018">
            <v>33311</v>
          </cell>
          <cell r="AX1018" t="str">
            <v>Female</v>
          </cell>
          <cell r="AY1018" t="str">
            <v>Part Time</v>
          </cell>
          <cell r="AZ1018">
            <v>1</v>
          </cell>
          <cell r="BA1018" t="str">
            <v>Tolichowki Cluster</v>
          </cell>
        </row>
        <row r="1019">
          <cell r="M1019" t="str">
            <v>Madinaguda - 112</v>
          </cell>
          <cell r="N1019" t="str">
            <v>Basic USG, Tiffa, Guided Procedures, Basic CT, X Ray, Plain Radiography, IVP, RGU, MCUG, Barium Swallow, Barium Anema, HSG.
(Can Do USG, Doppler, TIFFA, Doppler, X-Ray,  Basic CT Chest &amp; Abdomen)</v>
          </cell>
          <cell r="O1019" t="str">
            <v>Radiology</v>
          </cell>
          <cell r="P1019" t="str">
            <v>Consultant Radiologist</v>
          </cell>
          <cell r="Q1019" t="str">
            <v>Dr.Krishna Mohan</v>
          </cell>
          <cell r="R1019">
            <v>45343</v>
          </cell>
          <cell r="S1019">
            <v>45343</v>
          </cell>
          <cell r="T1019">
            <v>46073</v>
          </cell>
          <cell r="U1019">
            <v>46074</v>
          </cell>
          <cell r="V1019">
            <v>2013</v>
          </cell>
          <cell r="W1019" t="str">
            <v>P.S.I Medical College</v>
          </cell>
          <cell r="X1019">
            <v>2022</v>
          </cell>
          <cell r="Y1019" t="str">
            <v>J.N.M.C College</v>
          </cell>
          <cell r="Z1019" t="str">
            <v>NA</v>
          </cell>
          <cell r="AA1019" t="str">
            <v>MBBS,MD</v>
          </cell>
          <cell r="AB1019" t="str">
            <v>APMC/FMR/79902</v>
          </cell>
          <cell r="AC1019" t="str">
            <v>Telangana State Medical Council</v>
          </cell>
          <cell r="AD1019">
            <v>44820</v>
          </cell>
          <cell r="AE1019">
            <v>46645</v>
          </cell>
          <cell r="AF1019">
            <v>9959143438</v>
          </cell>
          <cell r="AG1019" t="str">
            <v>dryaramala@gmail.com</v>
          </cell>
          <cell r="AH1019" t="str">
            <v>SBI Bank</v>
          </cell>
          <cell r="AI1019" t="str">
            <v>11483949773</v>
          </cell>
          <cell r="AJ1019" t="str">
            <v>SBIN0040479</v>
          </cell>
          <cell r="AK1019" t="str">
            <v>BAFPY1487B</v>
          </cell>
          <cell r="AL1019">
            <v>430592823428</v>
          </cell>
          <cell r="AN1019">
            <v>45427</v>
          </cell>
          <cell r="AO1019">
            <v>45374</v>
          </cell>
          <cell r="AP1019" t="str">
            <v>Fellowship in US</v>
          </cell>
          <cell r="AQ1019" t="str">
            <v>3-69, Mylavaram Mandalam, Velvadam, Andhra Pradesh - 521230</v>
          </cell>
          <cell r="AS1019" t="str">
            <v>3-69, Mylavaram Mandalam, Velvadam, Andhra Pradesh - 521230</v>
          </cell>
          <cell r="AU1019">
            <v>0.5</v>
          </cell>
          <cell r="AV1019">
            <v>0.83333333333333337</v>
          </cell>
          <cell r="AW1019">
            <v>32227</v>
          </cell>
          <cell r="AX1019" t="str">
            <v>Male</v>
          </cell>
          <cell r="AY1019" t="str">
            <v>Full Time</v>
          </cell>
          <cell r="AZ1019">
            <v>8</v>
          </cell>
          <cell r="BA1019" t="str">
            <v>Madhapur Cluster</v>
          </cell>
        </row>
        <row r="1020">
          <cell r="M1020" t="str">
            <v>Himayatnagar</v>
          </cell>
          <cell r="N1020" t="str">
            <v>Physician Services</v>
          </cell>
          <cell r="O1020" t="str">
            <v>Physician Services</v>
          </cell>
          <cell r="P1020" t="str">
            <v>Consultant Physician</v>
          </cell>
          <cell r="Q1020" t="str">
            <v>NA</v>
          </cell>
          <cell r="R1020">
            <v>42391</v>
          </cell>
          <cell r="S1020">
            <v>45536</v>
          </cell>
          <cell r="T1020">
            <v>46265</v>
          </cell>
          <cell r="U1020">
            <v>46266</v>
          </cell>
          <cell r="V1020">
            <v>1969</v>
          </cell>
          <cell r="W1020" t="str">
            <v>Stanley Medical College</v>
          </cell>
          <cell r="X1020" t="str">
            <v>N/A</v>
          </cell>
          <cell r="Y1020" t="str">
            <v>N/A</v>
          </cell>
          <cell r="Z1020" t="str">
            <v>NA</v>
          </cell>
          <cell r="AA1020" t="str">
            <v xml:space="preserve">MBBS, </v>
          </cell>
          <cell r="AB1020" t="str">
            <v>APMC/FMR/74181</v>
          </cell>
          <cell r="AC1020" t="str">
            <v>Telangana State Medical Council</v>
          </cell>
          <cell r="AD1020">
            <v>44351</v>
          </cell>
          <cell r="AE1020">
            <v>46176</v>
          </cell>
          <cell r="AF1020">
            <v>9246345068</v>
          </cell>
          <cell r="AG1020" t="str">
            <v>sdrmadan@yahoo.com</v>
          </cell>
          <cell r="AH1020" t="str">
            <v>Axis Bank</v>
          </cell>
          <cell r="AI1020" t="str">
            <v>008010100136662</v>
          </cell>
          <cell r="AJ1020" t="str">
            <v>UTIB0001380</v>
          </cell>
          <cell r="AK1020" t="str">
            <v>AIYPS9713N</v>
          </cell>
          <cell r="AL1020">
            <v>652830225755</v>
          </cell>
          <cell r="AM1020" t="str">
            <v>S Chandrasekhar</v>
          </cell>
          <cell r="AN1020">
            <v>45657</v>
          </cell>
          <cell r="AO1020">
            <v>45610</v>
          </cell>
          <cell r="AQ1020" t="str">
            <v>3-5-850, Flat No-302, Jagannath residency, Hyderguda, Himayathnagar, Hyderabad, Andhra Pradesh-500029.</v>
          </cell>
          <cell r="AR1020">
            <v>74</v>
          </cell>
          <cell r="AW1020">
            <v>18872</v>
          </cell>
          <cell r="AX1020" t="str">
            <v>Male</v>
          </cell>
          <cell r="AY1020" t="str">
            <v>Full Time</v>
          </cell>
          <cell r="AZ1020">
            <v>8</v>
          </cell>
          <cell r="BA1020" t="str">
            <v>Himayathnagar Cluster</v>
          </cell>
        </row>
        <row r="1021">
          <cell r="M1021" t="str">
            <v>Kompally - 65</v>
          </cell>
          <cell r="N1021" t="str">
            <v>N/A</v>
          </cell>
          <cell r="O1021" t="str">
            <v>Physician Services</v>
          </cell>
          <cell r="P1021" t="str">
            <v>Consultant Physician</v>
          </cell>
          <cell r="Q1021" t="str">
            <v>N/A</v>
          </cell>
          <cell r="R1021">
            <v>45343</v>
          </cell>
          <cell r="S1021">
            <v>45343</v>
          </cell>
          <cell r="T1021">
            <v>46073</v>
          </cell>
          <cell r="U1021">
            <v>46074</v>
          </cell>
          <cell r="V1021">
            <v>2022</v>
          </cell>
          <cell r="W1021" t="str">
            <v>Mediciti Institute of Medical Scioences</v>
          </cell>
          <cell r="X1021" t="str">
            <v>NA</v>
          </cell>
          <cell r="Y1021" t="str">
            <v>N/A</v>
          </cell>
          <cell r="Z1021" t="str">
            <v>NA</v>
          </cell>
          <cell r="AA1021" t="str">
            <v>MBBS</v>
          </cell>
          <cell r="AB1021" t="str">
            <v>TSMC/FMR/29579</v>
          </cell>
          <cell r="AC1021" t="str">
            <v>Telangana State Medical Council</v>
          </cell>
          <cell r="AD1021">
            <v>45302</v>
          </cell>
          <cell r="AE1021">
            <v>47128</v>
          </cell>
          <cell r="AF1021">
            <v>9014151783</v>
          </cell>
          <cell r="AG1021" t="str">
            <v>madaram.deepshik@gmail.com</v>
          </cell>
          <cell r="AH1021" t="str">
            <v>Federal Bank</v>
          </cell>
          <cell r="AI1021" t="str">
            <v>55560101012794</v>
          </cell>
          <cell r="AJ1021" t="str">
            <v>FDRL0005556</v>
          </cell>
          <cell r="AK1021" t="str">
            <v>IVFPM3892A</v>
          </cell>
          <cell r="AL1021">
            <v>374300135993</v>
          </cell>
          <cell r="AN1021">
            <v>45412</v>
          </cell>
          <cell r="AO1021">
            <v>45412</v>
          </cell>
          <cell r="AP1021" t="str">
            <v>Personal Reason, not served notice period</v>
          </cell>
          <cell r="AQ1021" t="str">
            <v>20-1-67, Chandrikapuram, Bahadurpura, Hyderabad, Telangana - 500064</v>
          </cell>
          <cell r="AS1021" t="str">
            <v>20-1-67, Chandrikapuram, Bahadurpura, Hyderabad, Telangana - 500064</v>
          </cell>
          <cell r="AU1021">
            <v>0.375</v>
          </cell>
          <cell r="AV1021">
            <v>0.45833333333333331</v>
          </cell>
          <cell r="AW1021">
            <v>36236</v>
          </cell>
          <cell r="AX1021" t="str">
            <v>Male</v>
          </cell>
          <cell r="AY1021" t="str">
            <v>Part Time</v>
          </cell>
          <cell r="AZ1021">
            <v>2</v>
          </cell>
          <cell r="BA1021" t="str">
            <v>Secunderabad Cluster</v>
          </cell>
        </row>
        <row r="1022">
          <cell r="M1022" t="str">
            <v>Habsiguda - 17</v>
          </cell>
          <cell r="N1022" t="str">
            <v>N/A</v>
          </cell>
          <cell r="O1022" t="str">
            <v>Pathology</v>
          </cell>
          <cell r="P1022" t="str">
            <v>Consultant Pathologist</v>
          </cell>
          <cell r="Q1022" t="str">
            <v>Dr Ramesh Kinha</v>
          </cell>
          <cell r="R1022">
            <v>45170</v>
          </cell>
          <cell r="S1022">
            <v>45597</v>
          </cell>
          <cell r="T1022">
            <v>46326</v>
          </cell>
          <cell r="U1022">
            <v>46327</v>
          </cell>
          <cell r="V1022">
            <v>2016</v>
          </cell>
          <cell r="W1022" t="str">
            <v>Dr. NTR University of Health Sciences, Vijayawada</v>
          </cell>
          <cell r="X1022">
            <v>2022</v>
          </cell>
          <cell r="Y1022" t="str">
            <v>SVS Medical College and Hospital</v>
          </cell>
          <cell r="Z1022" t="str">
            <v>NA</v>
          </cell>
          <cell r="AA1022" t="str">
            <v>MBBS,MD</v>
          </cell>
          <cell r="AB1022" t="str">
            <v>TSMC/FMR/02257</v>
          </cell>
          <cell r="AC1022" t="str">
            <v>Telangana State Medical Council</v>
          </cell>
          <cell r="AD1022">
            <v>45120</v>
          </cell>
          <cell r="AE1022">
            <v>46946</v>
          </cell>
          <cell r="AF1022">
            <v>9966091566</v>
          </cell>
          <cell r="AG1022" t="str">
            <v>dr.shamoon@gmail.com</v>
          </cell>
          <cell r="AH1022" t="str">
            <v>ICICI Bank</v>
          </cell>
          <cell r="AI1022" t="str">
            <v>024501535641</v>
          </cell>
          <cell r="AJ1022" t="str">
            <v>ICIC0000245</v>
          </cell>
          <cell r="AK1022" t="str">
            <v>FVOPS4637B</v>
          </cell>
          <cell r="AL1022">
            <v>440337646718</v>
          </cell>
          <cell r="AN1022">
            <v>45657</v>
          </cell>
          <cell r="AO1022" t="str">
            <v>NA</v>
          </cell>
          <cell r="AP1022" t="str">
            <v>Relocating</v>
          </cell>
          <cell r="AQ1022" t="str">
            <v>H.no. 2-2-290/20, Shanti Nagar, Tandur, Vikarabad, Telangana -501141.</v>
          </cell>
          <cell r="AR1022">
            <v>34</v>
          </cell>
          <cell r="AW1022">
            <v>33455</v>
          </cell>
          <cell r="AX1022" t="str">
            <v>Female</v>
          </cell>
          <cell r="AY1022" t="str">
            <v>Full Time</v>
          </cell>
          <cell r="AZ1022">
            <v>4</v>
          </cell>
          <cell r="BA1022" t="str">
            <v>A.S. Rao Nagar Cluster</v>
          </cell>
        </row>
        <row r="1023">
          <cell r="M1023" t="str">
            <v>Kalaburagi-Gulbarga-144</v>
          </cell>
          <cell r="N1023" t="str">
            <v>Basic USG, Tiffa, Guided Procedures, Basic CT, All Angios, Virtual Endoscopy, CT Entrorily, Guided Procedures, Basic MRI, MR Defecography, MR Prostate, X Ray, Plain Radiology, IVP, RGU, MCGU, Barium Swallow, Barium Anema, HSG</v>
          </cell>
          <cell r="O1023" t="str">
            <v>Radiology</v>
          </cell>
          <cell r="P1023" t="str">
            <v>Consultant Radiologist</v>
          </cell>
          <cell r="Q1023" t="str">
            <v>Dr Krishna Mohan Pottala</v>
          </cell>
          <cell r="R1023">
            <v>45246</v>
          </cell>
          <cell r="S1023">
            <v>45246</v>
          </cell>
          <cell r="T1023">
            <v>45976</v>
          </cell>
          <cell r="U1023">
            <v>45977</v>
          </cell>
          <cell r="V1023">
            <v>2011</v>
          </cell>
          <cell r="W1023" t="str">
            <v>karnataka institute of medical sciences</v>
          </cell>
          <cell r="X1023">
            <v>2016</v>
          </cell>
          <cell r="Y1023" t="str">
            <v>JJM Medical College</v>
          </cell>
          <cell r="Z1023" t="str">
            <v>NA</v>
          </cell>
          <cell r="AA1023" t="str">
            <v>MBBS,MD</v>
          </cell>
          <cell r="AB1023">
            <v>94882</v>
          </cell>
          <cell r="AC1023" t="str">
            <v>Karnataka Medical Council</v>
          </cell>
          <cell r="AD1023">
            <v>45367</v>
          </cell>
          <cell r="AE1023">
            <v>47193</v>
          </cell>
          <cell r="AF1023">
            <v>9620097350</v>
          </cell>
          <cell r="AG1023" t="str">
            <v>kedar10nath@gmail.com</v>
          </cell>
          <cell r="AH1023" t="str">
            <v>SBI Bank</v>
          </cell>
          <cell r="AI1023">
            <v>30366868183</v>
          </cell>
          <cell r="AJ1023" t="str">
            <v>SBIN0001934</v>
          </cell>
          <cell r="AK1023" t="str">
            <v>BZNPK7247L</v>
          </cell>
          <cell r="AL1023">
            <v>525866924546</v>
          </cell>
          <cell r="AN1023">
            <v>45657</v>
          </cell>
          <cell r="AO1023">
            <v>45617</v>
          </cell>
          <cell r="AQ1023" t="str">
            <v>#13/2b BAKUL, Vivekananda Nagar, Gulbarga, Karnataka-11</v>
          </cell>
          <cell r="AR1023">
            <v>37</v>
          </cell>
          <cell r="AW1023">
            <v>32273</v>
          </cell>
          <cell r="AX1023" t="str">
            <v>Male</v>
          </cell>
          <cell r="AY1023" t="str">
            <v>Full Time</v>
          </cell>
          <cell r="AZ1023">
            <v>8</v>
          </cell>
          <cell r="BA1023" t="str">
            <v>Gulbarga Cluster</v>
          </cell>
        </row>
        <row r="1024">
          <cell r="M1024" t="str">
            <v>Lothukunta-90</v>
          </cell>
          <cell r="N1024" t="str">
            <v>Basic USG, Tiffa, Guided Procedures, X Ray, Plain Radiology, IVP, RGU, MCGU, Barium Swallow, Barium Anema, HSG</v>
          </cell>
          <cell r="O1024" t="str">
            <v>Radiology</v>
          </cell>
          <cell r="P1024" t="str">
            <v>Consultant Radiologist</v>
          </cell>
          <cell r="Q1024" t="str">
            <v>Dr.Krishna Mohan</v>
          </cell>
          <cell r="R1024">
            <v>45343</v>
          </cell>
          <cell r="S1024">
            <v>45343</v>
          </cell>
          <cell r="T1024">
            <v>46073</v>
          </cell>
          <cell r="U1024">
            <v>46074</v>
          </cell>
          <cell r="V1024">
            <v>2016</v>
          </cell>
          <cell r="W1024" t="str">
            <v>Mamata Medical College</v>
          </cell>
          <cell r="X1024">
            <v>2023</v>
          </cell>
          <cell r="Y1024" t="str">
            <v>Navodaya Medical College</v>
          </cell>
          <cell r="Z1024" t="str">
            <v>NA</v>
          </cell>
          <cell r="AA1024" t="str">
            <v>MBBS,MD</v>
          </cell>
          <cell r="AB1024" t="str">
            <v>TSMC/FMR/02487</v>
          </cell>
          <cell r="AC1024" t="str">
            <v>Telangana State Medical Council</v>
          </cell>
          <cell r="AD1024">
            <v>45240</v>
          </cell>
          <cell r="AE1024">
            <v>47066</v>
          </cell>
          <cell r="AF1024">
            <v>9849523451</v>
          </cell>
          <cell r="AG1024" t="str">
            <v>sanjana.kilari1993@gmail.com</v>
          </cell>
          <cell r="AH1024" t="str">
            <v>INDIAN BANK</v>
          </cell>
          <cell r="AI1024">
            <v>6901144628</v>
          </cell>
          <cell r="AJ1024" t="str">
            <v>IDIB000B053</v>
          </cell>
          <cell r="AK1024" t="str">
            <v>HIPPK2485B</v>
          </cell>
          <cell r="AL1024">
            <v>564053001671</v>
          </cell>
          <cell r="AN1024">
            <v>45382</v>
          </cell>
          <cell r="AO1024">
            <v>45375</v>
          </cell>
          <cell r="AP1024" t="str">
            <v>Personal Health Issues</v>
          </cell>
          <cell r="AQ1024" t="str">
            <v>H No. 6-1-38/13, V D Os Colony, Khammam, Andhra Pradesh - 507001</v>
          </cell>
          <cell r="AS1024" t="str">
            <v>H No. 6-1-38/13, V D Os Colony, Khammam, Andhra Pradesh - 507001</v>
          </cell>
          <cell r="AU1024">
            <v>0.75</v>
          </cell>
          <cell r="AV1024">
            <v>0.83333333333333337</v>
          </cell>
          <cell r="AW1024">
            <v>34186</v>
          </cell>
          <cell r="AX1024" t="str">
            <v>Female</v>
          </cell>
          <cell r="AY1024" t="str">
            <v>Part Time</v>
          </cell>
          <cell r="AZ1024">
            <v>2</v>
          </cell>
          <cell r="BA1024" t="str">
            <v>Secunderabad Cluster</v>
          </cell>
        </row>
        <row r="1025">
          <cell r="M1025" t="str">
            <v>Kalaburagi-Gulbarga-144</v>
          </cell>
          <cell r="N1025" t="str">
            <v>N/A</v>
          </cell>
          <cell r="O1025" t="str">
            <v>Pathology</v>
          </cell>
          <cell r="P1025" t="str">
            <v>Consultant Pathologist</v>
          </cell>
          <cell r="Q1025" t="str">
            <v>Dr Ramesh Kinha</v>
          </cell>
          <cell r="R1025">
            <v>45387</v>
          </cell>
          <cell r="S1025">
            <v>45387</v>
          </cell>
          <cell r="T1025">
            <v>46116</v>
          </cell>
          <cell r="U1025">
            <v>46117</v>
          </cell>
          <cell r="V1025">
            <v>2017</v>
          </cell>
          <cell r="W1025" t="str">
            <v>Mahadevappa Rampure Medical College</v>
          </cell>
          <cell r="X1025">
            <v>2022</v>
          </cell>
          <cell r="Y1025" t="str">
            <v>Nizam Institute of Medical Science</v>
          </cell>
          <cell r="Z1025" t="str">
            <v>NA</v>
          </cell>
          <cell r="AA1025" t="str">
            <v>MBBS,MD</v>
          </cell>
          <cell r="AB1025" t="str">
            <v>TSMC/FMR/26441</v>
          </cell>
          <cell r="AC1025" t="str">
            <v>Telangana State Medical Council</v>
          </cell>
          <cell r="AD1025">
            <v>45117</v>
          </cell>
          <cell r="AE1025">
            <v>46943</v>
          </cell>
          <cell r="AF1025">
            <v>8105914882</v>
          </cell>
          <cell r="AG1025" t="str">
            <v>soumyabadiger83@gmail.com</v>
          </cell>
          <cell r="AH1025" t="str">
            <v>Union Bank of India</v>
          </cell>
          <cell r="AI1025" t="str">
            <v>107910100074880</v>
          </cell>
          <cell r="AJ1025" t="str">
            <v>UBIN0810797</v>
          </cell>
          <cell r="AK1025" t="str">
            <v>GAYPS6146B</v>
          </cell>
          <cell r="AL1025">
            <v>766605066402</v>
          </cell>
          <cell r="AN1025">
            <v>45657</v>
          </cell>
          <cell r="AO1025" t="str">
            <v>NA</v>
          </cell>
          <cell r="AP1025" t="str">
            <v>Health issues</v>
          </cell>
          <cell r="AQ1025" t="str">
            <v>#1/47/1 Sedam Road, Gundagurthi, Chitapur, Gulbarga, Karnataka - 585317</v>
          </cell>
          <cell r="AR1025">
            <v>32</v>
          </cell>
          <cell r="AW1025">
            <v>34201</v>
          </cell>
          <cell r="AX1025" t="str">
            <v>Female</v>
          </cell>
          <cell r="AY1025" t="str">
            <v>Full Time</v>
          </cell>
          <cell r="AZ1025">
            <v>8</v>
          </cell>
          <cell r="BA1025" t="str">
            <v>Gulbarga Cluster</v>
          </cell>
        </row>
        <row r="1026">
          <cell r="M1026" t="str">
            <v>Tolichowki - 23</v>
          </cell>
          <cell r="N1026" t="str">
            <v>N/A</v>
          </cell>
          <cell r="O1026" t="str">
            <v>Physician Services</v>
          </cell>
          <cell r="P1026" t="str">
            <v>Consultant Physician</v>
          </cell>
          <cell r="Q1026" t="str">
            <v>N/A</v>
          </cell>
          <cell r="R1026">
            <v>45348</v>
          </cell>
          <cell r="S1026">
            <v>45348</v>
          </cell>
          <cell r="T1026">
            <v>46078</v>
          </cell>
          <cell r="U1026">
            <v>46079</v>
          </cell>
          <cell r="V1026">
            <v>2019</v>
          </cell>
          <cell r="W1026" t="str">
            <v>Bhaskar Medical College</v>
          </cell>
          <cell r="X1026" t="str">
            <v>NA</v>
          </cell>
          <cell r="Y1026" t="str">
            <v>N/A</v>
          </cell>
          <cell r="Z1026" t="str">
            <v>NA</v>
          </cell>
          <cell r="AA1026" t="str">
            <v>MBBS</v>
          </cell>
          <cell r="AB1026" t="str">
            <v>TSMC/FMR/10005</v>
          </cell>
          <cell r="AC1026" t="str">
            <v>Telangana State Medical Council</v>
          </cell>
          <cell r="AD1026">
            <v>43756</v>
          </cell>
          <cell r="AE1026">
            <v>45583</v>
          </cell>
          <cell r="AF1026">
            <v>9052219387</v>
          </cell>
          <cell r="AG1026" t="str">
            <v>mohammedzeeshanuddin94@gmail.com</v>
          </cell>
          <cell r="AH1026" t="str">
            <v>Union Bank of India</v>
          </cell>
          <cell r="AI1026" t="str">
            <v>107912010000609</v>
          </cell>
          <cell r="AJ1026" t="str">
            <v>UBIN0810797</v>
          </cell>
          <cell r="AK1026" t="str">
            <v>DMIPM4646D</v>
          </cell>
          <cell r="AL1026">
            <v>286940913253</v>
          </cell>
          <cell r="AN1026">
            <v>45381</v>
          </cell>
          <cell r="AO1026">
            <v>45381</v>
          </cell>
          <cell r="AQ1026" t="str">
            <v>10-4-13/11/A, Owaisi Pura, Masab Tank, Asifnagar, Hyderabad, Telangana - 500028</v>
          </cell>
          <cell r="AS1026" t="str">
            <v>10-4-13/11/A, Owaisi Pura, Masab Tank, Asifnagar, Hyderabad, Telangana - 500028</v>
          </cell>
          <cell r="AU1026">
            <v>0.375</v>
          </cell>
          <cell r="AV1026">
            <v>0.41666666666666669</v>
          </cell>
          <cell r="AW1026">
            <v>34607</v>
          </cell>
          <cell r="AX1026" t="str">
            <v>Male</v>
          </cell>
          <cell r="AY1026" t="str">
            <v>Part Time</v>
          </cell>
          <cell r="AZ1026">
            <v>1</v>
          </cell>
          <cell r="BA1026" t="str">
            <v>Tolichowki Cluster</v>
          </cell>
        </row>
        <row r="1027">
          <cell r="M1027" t="str">
            <v>Madinaguda - 112</v>
          </cell>
          <cell r="N1027" t="str">
            <v>Basic USG, Tiffa, Basic CT, X Ray, Plain Radiography, IVP, RGU, MCUG, Barium Swallow, Barium Anema, HSG.
(She is Beginner and Can handle Ultra Sound Study and Basic CT wants to go to Fetal Imaging Fellowship in June for 6  Months)</v>
          </cell>
          <cell r="O1027" t="str">
            <v>Radiology</v>
          </cell>
          <cell r="P1027" t="str">
            <v>Consultant Radiologist</v>
          </cell>
          <cell r="Q1027" t="str">
            <v>Dr.Krishna Mohan</v>
          </cell>
          <cell r="R1027">
            <v>45352</v>
          </cell>
          <cell r="S1027">
            <v>45352</v>
          </cell>
          <cell r="T1027">
            <v>46081</v>
          </cell>
          <cell r="U1027">
            <v>46082</v>
          </cell>
          <cell r="V1027">
            <v>2018</v>
          </cell>
          <cell r="W1027" t="str">
            <v>Kurnool Government Medical College</v>
          </cell>
          <cell r="X1027">
            <v>2023</v>
          </cell>
          <cell r="Y1027" t="str">
            <v>Rajarajeswari Medical College, Bangalore</v>
          </cell>
          <cell r="Z1027" t="str">
            <v>NA</v>
          </cell>
          <cell r="AA1027" t="str">
            <v>MBBS,MD</v>
          </cell>
          <cell r="AB1027" t="str">
            <v>TSMC/FMR/30251</v>
          </cell>
          <cell r="AC1027" t="str">
            <v>telangana State Medical Council</v>
          </cell>
          <cell r="AD1027">
            <v>45343</v>
          </cell>
          <cell r="AE1027">
            <v>47169</v>
          </cell>
          <cell r="AF1027">
            <v>8555869583</v>
          </cell>
          <cell r="AG1027" t="str">
            <v>harshismily3@gmail.com</v>
          </cell>
          <cell r="AH1027" t="str">
            <v>HDFC Bank</v>
          </cell>
          <cell r="AI1027" t="str">
            <v>07051870000673</v>
          </cell>
          <cell r="AJ1027" t="str">
            <v>HDFC0000705</v>
          </cell>
          <cell r="AK1027" t="str">
            <v>AFVPH1082F</v>
          </cell>
          <cell r="AL1027">
            <v>465980695241</v>
          </cell>
          <cell r="AN1027">
            <v>45422</v>
          </cell>
          <cell r="AO1027">
            <v>45402</v>
          </cell>
          <cell r="AP1027" t="str">
            <v>Medical Fellowship</v>
          </cell>
          <cell r="AQ1027" t="str">
            <v>11-1-358, Aravind Nagar, 1st Cross, Anantapur, Andhra Pradesh - 515001</v>
          </cell>
          <cell r="AS1027" t="str">
            <v>11-1-358, Aravind Nagar, 1st Cross, Anantapur, Andhra Pradesh - 515001</v>
          </cell>
          <cell r="AU1027">
            <v>0.41666666666666669</v>
          </cell>
          <cell r="AV1027">
            <v>0.75</v>
          </cell>
          <cell r="AW1027">
            <v>34912</v>
          </cell>
          <cell r="AX1027" t="str">
            <v>Female</v>
          </cell>
          <cell r="AY1027" t="str">
            <v>Full Time</v>
          </cell>
          <cell r="AZ1027">
            <v>8</v>
          </cell>
          <cell r="BA1027" t="str">
            <v>Madhapur Cluster</v>
          </cell>
        </row>
        <row r="1028">
          <cell r="M1028" t="str">
            <v>Mahabubnagar-146</v>
          </cell>
          <cell r="N1028" t="str">
            <v>N/A</v>
          </cell>
          <cell r="O1028" t="str">
            <v>Pathology</v>
          </cell>
          <cell r="P1028" t="str">
            <v>Consultant Pathologist</v>
          </cell>
          <cell r="Q1028" t="str">
            <v>Dr. PTS. Shashikanth</v>
          </cell>
          <cell r="R1028">
            <v>45351</v>
          </cell>
          <cell r="S1028">
            <v>45351</v>
          </cell>
          <cell r="T1028">
            <v>46081</v>
          </cell>
          <cell r="U1028">
            <v>46082</v>
          </cell>
          <cell r="V1028">
            <v>2015</v>
          </cell>
          <cell r="W1028" t="str">
            <v>Medicity institute of medical science</v>
          </cell>
          <cell r="X1028">
            <v>2022</v>
          </cell>
          <cell r="Y1028" t="str">
            <v>Mamata Medical College</v>
          </cell>
          <cell r="Z1028" t="str">
            <v>NA</v>
          </cell>
          <cell r="AA1028" t="str">
            <v>MBBS,MD</v>
          </cell>
          <cell r="AB1028" t="str">
            <v>TSMC/FMR/00615</v>
          </cell>
          <cell r="AC1028" t="str">
            <v>Telangana State Medical Council</v>
          </cell>
          <cell r="AD1028">
            <v>45311</v>
          </cell>
          <cell r="AE1028">
            <v>47137</v>
          </cell>
          <cell r="AF1028">
            <v>9550963043</v>
          </cell>
          <cell r="AG1028" t="str">
            <v>sravyaveerasuri@gmail.com</v>
          </cell>
          <cell r="AH1028" t="str">
            <v>Union Bank of India</v>
          </cell>
          <cell r="AI1028" t="str">
            <v>280910100026120</v>
          </cell>
          <cell r="AJ1028" t="str">
            <v>UBIN0828092</v>
          </cell>
          <cell r="AK1028" t="str">
            <v>BAAPV2760B</v>
          </cell>
          <cell r="AL1028">
            <v>946975346434</v>
          </cell>
          <cell r="AN1028">
            <v>45379</v>
          </cell>
          <cell r="AO1028">
            <v>45379</v>
          </cell>
          <cell r="AQ1028" t="str">
            <v>2-132/2, Sriramnagar, Yadagirigutta, Nalgonda, Andhra Pradesh - 508115</v>
          </cell>
          <cell r="AS1028" t="str">
            <v>2-132/2, Sriramnagar, Yadagirigutta, Nalgonda, Andhra Pradesh - 508115</v>
          </cell>
          <cell r="AU1028">
            <v>0.39583333333333331</v>
          </cell>
          <cell r="AV1028">
            <v>0.60416666666666663</v>
          </cell>
          <cell r="AW1028">
            <v>33271</v>
          </cell>
          <cell r="AX1028" t="str">
            <v>Female</v>
          </cell>
          <cell r="AY1028" t="str">
            <v>Part Time</v>
          </cell>
          <cell r="AZ1028">
            <v>5</v>
          </cell>
          <cell r="BA1028" t="str">
            <v>Tolichowki Cluster</v>
          </cell>
        </row>
        <row r="1029">
          <cell r="M1029" t="str">
            <v>Habsiguda - 17</v>
          </cell>
          <cell r="N1029" t="str">
            <v>Basic USG, Tiffa, Guided Procedures, Basic CT, X Ray, Plain Radiology, IVP, RGU, MCGU, Barium Swallow, Barium Anema, HSG</v>
          </cell>
          <cell r="O1029" t="str">
            <v>Radiology</v>
          </cell>
          <cell r="P1029" t="str">
            <v>Consultant Radiologist</v>
          </cell>
          <cell r="Q1029" t="str">
            <v>Dr Krishna Mohan Pottala</v>
          </cell>
          <cell r="R1029">
            <v>45404</v>
          </cell>
          <cell r="S1029">
            <v>45404</v>
          </cell>
          <cell r="T1029">
            <v>46133</v>
          </cell>
          <cell r="U1029">
            <v>46134</v>
          </cell>
          <cell r="V1029">
            <v>2017</v>
          </cell>
          <cell r="W1029" t="str">
            <v>Mamatha Medical College</v>
          </cell>
          <cell r="X1029">
            <v>2023</v>
          </cell>
          <cell r="Y1029" t="str">
            <v>Bhaskar Medical college</v>
          </cell>
          <cell r="Z1029" t="str">
            <v>NA</v>
          </cell>
          <cell r="AA1029" t="str">
            <v>MBBS,MD</v>
          </cell>
          <cell r="AB1029" t="str">
            <v>TSMC/FMR/02796</v>
          </cell>
          <cell r="AC1029" t="str">
            <v>Telangana State Medical Council</v>
          </cell>
          <cell r="AD1029">
            <v>45233</v>
          </cell>
          <cell r="AE1029">
            <v>47059</v>
          </cell>
          <cell r="AF1029">
            <v>9177230456</v>
          </cell>
          <cell r="AG1029" t="str">
            <v>chintalaanuhya@gmail.com</v>
          </cell>
          <cell r="AH1029" t="str">
            <v>HDFC Bank</v>
          </cell>
          <cell r="AI1029">
            <v>50100005985442</v>
          </cell>
          <cell r="AJ1029" t="str">
            <v>HDFC0001631</v>
          </cell>
          <cell r="AK1029" t="str">
            <v>BDWPC8742H</v>
          </cell>
          <cell r="AL1029">
            <v>576399561778</v>
          </cell>
          <cell r="AN1029">
            <v>45657</v>
          </cell>
          <cell r="AO1029" t="str">
            <v>NA</v>
          </cell>
          <cell r="AP1029" t="str">
            <v>Maternity</v>
          </cell>
          <cell r="AQ1029" t="str">
            <v>6-1-39 V.D.O S Colony, Khammam, Khanapuram Haweli, Khammam, Andhra Pradesh - 507002</v>
          </cell>
          <cell r="AR1029">
            <v>32</v>
          </cell>
          <cell r="AW1029">
            <v>34003</v>
          </cell>
          <cell r="AX1029" t="str">
            <v>Female</v>
          </cell>
          <cell r="AY1029" t="str">
            <v>Part Time</v>
          </cell>
          <cell r="AZ1029">
            <v>4</v>
          </cell>
          <cell r="BA1029" t="str">
            <v>A.S. Rao Nagar Cluster</v>
          </cell>
        </row>
        <row r="1030">
          <cell r="M1030" t="str">
            <v>Shamshabad 2- 113</v>
          </cell>
          <cell r="N1030" t="str">
            <v>Basic USG, Doppler Studies, Thyroid/Scrotum USG, Breast USG, Tiffa, Foetal Echo, MSK USG, USG Guided FNAC, USG Guided Aspiration, Guided Procedures, Basic CT, Chest/Abdomen/Neck,  3DCT, X Ray, Plain Radiography, IVP, RGU, MCUG, Barium Swallow, Barium Anema, HSG.</v>
          </cell>
          <cell r="O1030" t="str">
            <v>Radiology</v>
          </cell>
          <cell r="P1030" t="str">
            <v>Consultant Radiologist</v>
          </cell>
          <cell r="Q1030" t="str">
            <v>Dr.Krishna Mohan</v>
          </cell>
          <cell r="R1030">
            <v>45355</v>
          </cell>
          <cell r="S1030">
            <v>45355</v>
          </cell>
          <cell r="T1030">
            <v>46084</v>
          </cell>
          <cell r="U1030">
            <v>46085</v>
          </cell>
          <cell r="V1030">
            <v>2015</v>
          </cell>
          <cell r="W1030" t="str">
            <v>Bhaskar Medical COllege</v>
          </cell>
          <cell r="X1030">
            <v>2022</v>
          </cell>
          <cell r="Y1030" t="str">
            <v>Mediciti institute of Medical Sciences, Hyderabad</v>
          </cell>
          <cell r="Z1030" t="str">
            <v>NA</v>
          </cell>
          <cell r="AA1030" t="str">
            <v>MBBS,MD</v>
          </cell>
          <cell r="AB1030" t="str">
            <v>APMC/FMR/92586</v>
          </cell>
          <cell r="AC1030" t="str">
            <v>Telangana State Medical Council</v>
          </cell>
          <cell r="AD1030">
            <v>45037</v>
          </cell>
          <cell r="AE1030">
            <v>46863</v>
          </cell>
          <cell r="AF1030">
            <v>9966214584</v>
          </cell>
          <cell r="AG1030" t="str">
            <v>rohit_mylapally@yahoo.com</v>
          </cell>
          <cell r="AH1030" t="str">
            <v>Union Bank of India</v>
          </cell>
          <cell r="AI1030" t="str">
            <v>084010100071564</v>
          </cell>
          <cell r="AJ1030" t="str">
            <v>UBIN0808351</v>
          </cell>
          <cell r="AK1030" t="str">
            <v>CIRPR3919L</v>
          </cell>
          <cell r="AL1030">
            <v>457203691347</v>
          </cell>
          <cell r="AN1030">
            <v>45382</v>
          </cell>
          <cell r="AO1030">
            <v>45372</v>
          </cell>
          <cell r="AP1030" t="str">
            <v>Got Job in OSMANIA College</v>
          </cell>
          <cell r="AQ1030" t="str">
            <v>10-3-218, Humayun Nagar, Asifnagar, Hyderabad, Telangana - 500028</v>
          </cell>
          <cell r="AS1030" t="str">
            <v>10-3-218, Humayun Nagar, Asifnagar, Hyderabad, Telangana - 500028</v>
          </cell>
          <cell r="AU1030">
            <v>0.41666666666666669</v>
          </cell>
          <cell r="AV1030">
            <v>0.58333333333333337</v>
          </cell>
          <cell r="AW1030">
            <v>33348</v>
          </cell>
          <cell r="AX1030" t="str">
            <v>Male</v>
          </cell>
          <cell r="AY1030" t="str">
            <v>Part Time</v>
          </cell>
          <cell r="AZ1030">
            <v>4</v>
          </cell>
          <cell r="BA1030" t="str">
            <v>Tolichowki Cluster</v>
          </cell>
        </row>
        <row r="1031">
          <cell r="M1031" t="str">
            <v>Himayatnagar</v>
          </cell>
          <cell r="N1031" t="str">
            <v>N/A</v>
          </cell>
          <cell r="O1031" t="str">
            <v>Microbiology</v>
          </cell>
          <cell r="P1031" t="str">
            <v>Consultant Microbiologist</v>
          </cell>
          <cell r="Q1031" t="str">
            <v>Dr Ramesh Kinha</v>
          </cell>
          <cell r="R1031">
            <v>45427</v>
          </cell>
          <cell r="S1031">
            <v>45427</v>
          </cell>
          <cell r="T1031">
            <v>46156</v>
          </cell>
          <cell r="U1031">
            <v>46157</v>
          </cell>
          <cell r="V1031">
            <v>2016</v>
          </cell>
          <cell r="W1031" t="str">
            <v xml:space="preserve">Deccan College of Medical Science </v>
          </cell>
          <cell r="X1031">
            <v>2022</v>
          </cell>
          <cell r="Y1031" t="str">
            <v>Osmania Medical college</v>
          </cell>
          <cell r="Z1031" t="str">
            <v>NA</v>
          </cell>
          <cell r="AA1031" t="str">
            <v>MBBS, MD</v>
          </cell>
          <cell r="AB1031" t="str">
            <v>TSMC/FMR/04004</v>
          </cell>
          <cell r="AC1031" t="str">
            <v>Telangana State Medical Council</v>
          </cell>
          <cell r="AD1031">
            <v>44988</v>
          </cell>
          <cell r="AE1031">
            <v>46814</v>
          </cell>
          <cell r="AF1031">
            <v>9618516075</v>
          </cell>
          <cell r="AG1031" t="str">
            <v>fatima.kauser94@gmail.com</v>
          </cell>
          <cell r="AH1031" t="str">
            <v>STATE BANK OF INDIA</v>
          </cell>
          <cell r="AI1031" t="str">
            <v>38496199053</v>
          </cell>
          <cell r="AJ1031" t="str">
            <v>SBIN0021110</v>
          </cell>
          <cell r="AK1031" t="str">
            <v>AEDPF6988F</v>
          </cell>
          <cell r="AL1031">
            <v>435752717400</v>
          </cell>
          <cell r="AN1031">
            <v>45657</v>
          </cell>
          <cell r="AO1031">
            <v>45610</v>
          </cell>
          <cell r="AP1031" t="str">
            <v>Maternity</v>
          </cell>
          <cell r="AQ1031" t="str">
            <v>18-8-243-33/A/1 Fateh Shah Nagar Saidabad TS, 500059</v>
          </cell>
          <cell r="AR1031">
            <v>31</v>
          </cell>
          <cell r="AW1031">
            <v>34497</v>
          </cell>
          <cell r="AX1031" t="str">
            <v>Female</v>
          </cell>
          <cell r="AY1031" t="str">
            <v>Full Time</v>
          </cell>
          <cell r="AZ1031">
            <v>8</v>
          </cell>
          <cell r="BA1031" t="str">
            <v>Himayathnagar Cluster</v>
          </cell>
        </row>
        <row r="1032">
          <cell r="M1032" t="str">
            <v>Himayatnagar</v>
          </cell>
          <cell r="N1032" t="str">
            <v>N/A</v>
          </cell>
          <cell r="O1032" t="str">
            <v>Biochemistry</v>
          </cell>
          <cell r="P1032" t="str">
            <v>Consultant Biochemist</v>
          </cell>
          <cell r="Q1032" t="str">
            <v>Dr Ramesh Kinha</v>
          </cell>
          <cell r="R1032">
            <v>45467</v>
          </cell>
          <cell r="S1032">
            <v>45467</v>
          </cell>
          <cell r="T1032">
            <v>46196</v>
          </cell>
          <cell r="U1032">
            <v>46197</v>
          </cell>
          <cell r="V1032">
            <v>2013</v>
          </cell>
          <cell r="W1032" t="str">
            <v>Gomel State Medical University</v>
          </cell>
          <cell r="X1032">
            <v>2020</v>
          </cell>
          <cell r="Y1032" t="str">
            <v>All India Institute of Medical Sciences, Rishikesh</v>
          </cell>
          <cell r="Z1032" t="str">
            <v>N/A</v>
          </cell>
          <cell r="AA1032" t="str">
            <v>MBBS, MD-Biochemistry</v>
          </cell>
          <cell r="AB1032" t="str">
            <v>APMC/FMR/89473</v>
          </cell>
          <cell r="AC1032" t="str">
            <v>Telangana State Medical Council</v>
          </cell>
          <cell r="AD1032">
            <v>45464</v>
          </cell>
          <cell r="AE1032">
            <v>47289</v>
          </cell>
          <cell r="AF1032">
            <v>9643197146</v>
          </cell>
          <cell r="AG1032" t="str">
            <v>pvshilpa123@gmail.com</v>
          </cell>
          <cell r="AH1032" t="str">
            <v>Canara Bank</v>
          </cell>
          <cell r="AI1032">
            <v>90682180043900</v>
          </cell>
          <cell r="AJ1032" t="str">
            <v>CNRB0019068</v>
          </cell>
          <cell r="AK1032" t="str">
            <v>CUEPP5697N</v>
          </cell>
          <cell r="AL1032">
            <v>735507281694</v>
          </cell>
          <cell r="AN1032">
            <v>45657</v>
          </cell>
          <cell r="AO1032">
            <v>45626</v>
          </cell>
          <cell r="AP1032" t="str">
            <v>Better offer, HOD approved for early relieving</v>
          </cell>
          <cell r="AQ1032" t="str">
            <v>C/O N Laxman,F/A-16 and A-15 First Floor, Madhu Vihar,I.P Extension,East Delhi, Delhi-110092.</v>
          </cell>
          <cell r="AR1032">
            <v>38</v>
          </cell>
          <cell r="AW1032">
            <v>31937</v>
          </cell>
          <cell r="AX1032" t="str">
            <v>Female</v>
          </cell>
          <cell r="AY1032" t="str">
            <v>Full Time</v>
          </cell>
          <cell r="AZ1032">
            <v>8</v>
          </cell>
          <cell r="BA1032" t="str">
            <v>Himayathnagar Cluster</v>
          </cell>
        </row>
        <row r="1033">
          <cell r="M1033" t="str">
            <v>Nizampet - 46</v>
          </cell>
          <cell r="N1033" t="str">
            <v>Basic USG, Doppler Studies, Thyroid/Scrotum USG, Breast USG, Tiffa, MSK USG, USG Guided FNAC, Guided Procedures, Basic CT, X Ray, Plain Radiography, Mammography, IVP, RGU, MCUG, Barium Swallow, Barium Anema, HSG.</v>
          </cell>
          <cell r="O1033" t="str">
            <v>Radiology</v>
          </cell>
          <cell r="P1033" t="str">
            <v>Consultant Radiologist</v>
          </cell>
          <cell r="Q1033" t="str">
            <v>Dr.Krishna Mohan</v>
          </cell>
          <cell r="R1033">
            <v>45360</v>
          </cell>
          <cell r="S1033">
            <v>45360</v>
          </cell>
          <cell r="T1033">
            <v>46089</v>
          </cell>
          <cell r="U1033">
            <v>46090</v>
          </cell>
          <cell r="V1033">
            <v>2019</v>
          </cell>
          <cell r="W1033" t="str">
            <v>Dr. NTR University</v>
          </cell>
          <cell r="X1033">
            <v>2023</v>
          </cell>
          <cell r="Y1033" t="str">
            <v>Bhaskar Medical College</v>
          </cell>
          <cell r="Z1033" t="str">
            <v>NA</v>
          </cell>
          <cell r="AA1033" t="str">
            <v>MBBS,MD</v>
          </cell>
          <cell r="AB1033" t="str">
            <v>TSMC/FMR/10589</v>
          </cell>
          <cell r="AC1033" t="str">
            <v>Telangana State Medical Council</v>
          </cell>
          <cell r="AD1033">
            <v>45216</v>
          </cell>
          <cell r="AE1033">
            <v>47042</v>
          </cell>
          <cell r="AF1033">
            <v>9182526758</v>
          </cell>
          <cell r="AG1033" t="str">
            <v>supriyapandava@gmail.com</v>
          </cell>
          <cell r="AH1033" t="str">
            <v>Karur Vysya Bank</v>
          </cell>
          <cell r="AI1033" t="str">
            <v>1484177000006880</v>
          </cell>
          <cell r="AJ1033" t="str">
            <v>KVBL0001484</v>
          </cell>
          <cell r="AK1033" t="str">
            <v>ENIPP5428J</v>
          </cell>
          <cell r="AL1033">
            <v>794317129500</v>
          </cell>
          <cell r="AN1033">
            <v>45439</v>
          </cell>
          <cell r="AQ1033" t="str">
            <v>Plot No. 130, Vandanapuri Colony, Beeramguda, Ameenapur, Ramachandrapuram, Medak, Andhra Pradesh - 502032</v>
          </cell>
          <cell r="AS1033" t="str">
            <v>Plot No. 130, Vandanapuri Colony, Beeramguda, Ameenapur, Ramachandrapuram, Medak, Andhra Pradesh - 502032</v>
          </cell>
          <cell r="AU1033">
            <v>0.45833333333333331</v>
          </cell>
          <cell r="AV1033">
            <v>0.58333333333333337</v>
          </cell>
          <cell r="AW1033">
            <v>34732</v>
          </cell>
          <cell r="AX1033" t="str">
            <v>Female</v>
          </cell>
          <cell r="AY1033" t="str">
            <v>Part Time</v>
          </cell>
          <cell r="AZ1033">
            <v>3</v>
          </cell>
          <cell r="BA1033" t="str">
            <v>Kukatpally Cluster</v>
          </cell>
        </row>
        <row r="1034">
          <cell r="M1034" t="str">
            <v>Habsiguda - 17</v>
          </cell>
          <cell r="N1034" t="str">
            <v>NA</v>
          </cell>
          <cell r="O1034" t="str">
            <v>Physician Services</v>
          </cell>
          <cell r="P1034" t="str">
            <v>Consultant Physician</v>
          </cell>
          <cell r="Q1034" t="str">
            <v>NA</v>
          </cell>
          <cell r="R1034">
            <v>45505</v>
          </cell>
          <cell r="S1034">
            <v>45505</v>
          </cell>
          <cell r="T1034">
            <v>46234</v>
          </cell>
          <cell r="U1034">
            <v>46235</v>
          </cell>
          <cell r="V1034">
            <v>2022</v>
          </cell>
          <cell r="W1034" t="str">
            <v>South Western university of Medicine, Philippines</v>
          </cell>
          <cell r="X1034" t="str">
            <v>NA</v>
          </cell>
          <cell r="Y1034" t="str">
            <v>NA</v>
          </cell>
          <cell r="Z1034" t="str">
            <v>NA</v>
          </cell>
          <cell r="AA1034" t="str">
            <v>MBBS</v>
          </cell>
          <cell r="AB1034" t="str">
            <v>TSMC/FMR/24749</v>
          </cell>
          <cell r="AC1034" t="str">
            <v>Telangana State Medical Council</v>
          </cell>
          <cell r="AD1034">
            <v>45061</v>
          </cell>
          <cell r="AE1034">
            <v>45791</v>
          </cell>
          <cell r="AF1034">
            <v>9290689343</v>
          </cell>
          <cell r="AG1034" t="str">
            <v>drhimasindhu@gmail.com</v>
          </cell>
          <cell r="AH1034" t="str">
            <v>STATE BANK OF INDIA</v>
          </cell>
          <cell r="AI1034" t="str">
            <v>40820240088</v>
          </cell>
          <cell r="AJ1034" t="str">
            <v>SBIN0020064</v>
          </cell>
          <cell r="AK1034" t="str">
            <v>CWZPM3856K</v>
          </cell>
          <cell r="AL1034">
            <v>822479978418</v>
          </cell>
          <cell r="AM1034" t="str">
            <v>Madabushi Sesha Charyulu</v>
          </cell>
          <cell r="AN1034">
            <v>45657</v>
          </cell>
          <cell r="AO1034">
            <v>45647</v>
          </cell>
          <cell r="AP1034" t="str">
            <v>Fellowship</v>
          </cell>
          <cell r="AQ1034" t="str">
            <v>1-8-526, Jatkar Bhavan, Flat No.305, Chikkadaplly Street no.7, Musheerabad, Hyderabad, Telangana-500020.</v>
          </cell>
          <cell r="AR1034">
            <v>28</v>
          </cell>
          <cell r="AW1034">
            <v>35426</v>
          </cell>
          <cell r="AX1034" t="str">
            <v>Female</v>
          </cell>
          <cell r="AY1034" t="str">
            <v>Part Time</v>
          </cell>
          <cell r="AZ1034">
            <v>1</v>
          </cell>
          <cell r="BA1034" t="str">
            <v>A.S. Rao Nagar Cluster</v>
          </cell>
        </row>
        <row r="1035">
          <cell r="M1035" t="str">
            <v>BHEL-30</v>
          </cell>
          <cell r="N1035" t="str">
            <v>X-Ray (Plain Radiography-Basic,Advanced), USG(Basic, Doppler Studies,Thyroid/Scrotum USG, Breast USG), CT (Basic)</v>
          </cell>
          <cell r="O1035" t="str">
            <v>Radiology</v>
          </cell>
          <cell r="P1035" t="str">
            <v>Consultant Radiologist</v>
          </cell>
          <cell r="Q1035" t="str">
            <v>Dr Krishna Mohan Pottala</v>
          </cell>
          <cell r="R1035">
            <v>45610</v>
          </cell>
          <cell r="S1035">
            <v>45610</v>
          </cell>
          <cell r="T1035">
            <v>46339</v>
          </cell>
          <cell r="U1035">
            <v>46340</v>
          </cell>
          <cell r="V1035">
            <v>2018</v>
          </cell>
          <cell r="W1035" t="str">
            <v>MNR medical college</v>
          </cell>
          <cell r="X1035">
            <v>2023</v>
          </cell>
          <cell r="Y1035" t="str">
            <v>Bhaskar Medical College</v>
          </cell>
          <cell r="Z1035" t="str">
            <v>NA</v>
          </cell>
          <cell r="AA1035" t="str">
            <v>MBBS,MD-Radio Diagnosis</v>
          </cell>
          <cell r="AB1035" t="str">
            <v>TSMC/FMR/07018</v>
          </cell>
          <cell r="AC1035" t="str">
            <v>Telangana State Medical Council</v>
          </cell>
          <cell r="AD1035">
            <v>45447</v>
          </cell>
          <cell r="AE1035">
            <v>47272</v>
          </cell>
          <cell r="AF1035">
            <v>9014112467</v>
          </cell>
          <cell r="AG1035" t="str">
            <v>shirishakondaparthi02@gmail.com</v>
          </cell>
          <cell r="AH1035" t="str">
            <v>STATE BANK OF INDIA</v>
          </cell>
          <cell r="AI1035" t="str">
            <v>00000042202984083</v>
          </cell>
          <cell r="AJ1035" t="str">
            <v>SBIN0020106</v>
          </cell>
          <cell r="AK1035" t="str">
            <v>MYQPS3220N</v>
          </cell>
          <cell r="AL1035">
            <v>508581412165</v>
          </cell>
          <cell r="AM1035" t="str">
            <v>Kondaparthy Bikshapathi</v>
          </cell>
          <cell r="AN1035">
            <v>45657</v>
          </cell>
          <cell r="AO1035">
            <v>45646</v>
          </cell>
          <cell r="AP1035" t="str">
            <v>Personal Reasons</v>
          </cell>
          <cell r="AQ1035" t="str">
            <v>4-114, D-Block, Infront of water plant,  Citizen colony, Indresham, Sangareddy, Telangana-502319.</v>
          </cell>
          <cell r="AR1035">
            <v>30</v>
          </cell>
          <cell r="AW1035">
            <v>34726</v>
          </cell>
          <cell r="AX1035" t="str">
            <v>Female</v>
          </cell>
          <cell r="AY1035" t="str">
            <v>Part Time</v>
          </cell>
          <cell r="AZ1035">
            <v>5</v>
          </cell>
          <cell r="BA1035" t="str">
            <v>Madhapur Cluster</v>
          </cell>
        </row>
        <row r="1036">
          <cell r="M1036" t="str">
            <v>Karimnagar-75</v>
          </cell>
          <cell r="N1036" t="str">
            <v>X-Ray (Plain Radiography-Basic,Advanced), Mammography, USG (Basic,Doppler studies, Thyroid/Scrotum USG, Breast USG, MSK USG, USG Guided FNAC, USG Guided Aspiration, CT(Basic, Chest/Abdomen/Neck,3DCT, CT Angiography, MRI (Basic, MSk studies-Knee/Shoulder, MSK Studies-Wrist/Ankle, MRI MRCP/Abdomen/Liver), Special Procedures (IVP,RGU,MCUG, Barium Swallow, Barium Enema,HSG)</v>
          </cell>
          <cell r="O1036" t="str">
            <v>Radiology</v>
          </cell>
          <cell r="P1036" t="str">
            <v>Consultant Radiologist</v>
          </cell>
          <cell r="Q1036" t="str">
            <v>Dr Krishna Mohan Pottala</v>
          </cell>
          <cell r="R1036">
            <v>45628</v>
          </cell>
          <cell r="S1036">
            <v>45628</v>
          </cell>
          <cell r="T1036">
            <v>46357</v>
          </cell>
          <cell r="U1036">
            <v>46358</v>
          </cell>
          <cell r="V1036">
            <v>2013</v>
          </cell>
          <cell r="W1036" t="str">
            <v>CHALMEDA ANAND RAO INSTITUTE OF MEDICAL SCIENCES, KARIMNAGAR</v>
          </cell>
          <cell r="X1036">
            <v>2019</v>
          </cell>
          <cell r="Y1036" t="str">
            <v>Kakatiya Medical College, Warangal</v>
          </cell>
          <cell r="Z1036" t="str">
            <v>NA</v>
          </cell>
          <cell r="AA1036" t="str">
            <v>MBBS,DMRD,DNB-Radidiagnosis</v>
          </cell>
          <cell r="AB1036" t="str">
            <v>APMC/FMR/88044</v>
          </cell>
          <cell r="AC1036" t="str">
            <v>Telangana State Medical Council</v>
          </cell>
          <cell r="AD1036">
            <v>45624</v>
          </cell>
          <cell r="AE1036">
            <v>47449</v>
          </cell>
          <cell r="AF1036">
            <v>9490314694</v>
          </cell>
          <cell r="AG1036" t="str">
            <v>bhashyasangars@gmail.com</v>
          </cell>
          <cell r="AH1036" t="str">
            <v>ICICI Bank</v>
          </cell>
          <cell r="AI1036" t="str">
            <v>068301000780</v>
          </cell>
          <cell r="AJ1036" t="str">
            <v>ICIC0000683</v>
          </cell>
          <cell r="AK1036" t="str">
            <v>CARPB6306D</v>
          </cell>
          <cell r="AL1036">
            <v>321050838362</v>
          </cell>
          <cell r="AM1036" t="str">
            <v>Bhagawanth Rao</v>
          </cell>
          <cell r="AN1036">
            <v>45657</v>
          </cell>
          <cell r="AO1036" t="str">
            <v>NA</v>
          </cell>
          <cell r="AP1036" t="str">
            <v>Personal reasons</v>
          </cell>
          <cell r="AQ1036" t="str">
            <v>3-42/5, Rangampally, Peddapally Mandal, PP Colony, Karimnagar, Telangana- 505174.</v>
          </cell>
          <cell r="AR1036">
            <v>35</v>
          </cell>
          <cell r="AW1036">
            <v>32799</v>
          </cell>
          <cell r="AX1036" t="str">
            <v>Female</v>
          </cell>
          <cell r="AY1036" t="str">
            <v>Part Time</v>
          </cell>
          <cell r="AZ1036">
            <v>5</v>
          </cell>
          <cell r="BA1036" t="str">
            <v>TS - Upcountry</v>
          </cell>
        </row>
        <row r="1037">
          <cell r="M1037" t="str">
            <v>Panjagutta-121</v>
          </cell>
          <cell r="N1037" t="str">
            <v>N/A</v>
          </cell>
          <cell r="O1037" t="str">
            <v>Pathology</v>
          </cell>
          <cell r="P1037" t="str">
            <v>Consultant Pathologist</v>
          </cell>
          <cell r="Q1037" t="str">
            <v>Dr. PTS. Shashikanth</v>
          </cell>
          <cell r="R1037">
            <v>45383</v>
          </cell>
          <cell r="S1037">
            <v>45383</v>
          </cell>
          <cell r="T1037">
            <v>46112</v>
          </cell>
          <cell r="U1037">
            <v>46113</v>
          </cell>
          <cell r="V1037">
            <v>2016</v>
          </cell>
          <cell r="W1037" t="str">
            <v>S.V.S Medical college</v>
          </cell>
          <cell r="X1037">
            <v>2023</v>
          </cell>
          <cell r="Y1037" t="str">
            <v>Siddhartha Medical College</v>
          </cell>
          <cell r="Z1037" t="str">
            <v>NA</v>
          </cell>
          <cell r="AA1037" t="str">
            <v>MBBS,MD</v>
          </cell>
          <cell r="AB1037" t="str">
            <v>TSMC/FMR/27238</v>
          </cell>
          <cell r="AC1037" t="str">
            <v>Telangana State Medical Council</v>
          </cell>
          <cell r="AD1037">
            <v>45215</v>
          </cell>
          <cell r="AE1037">
            <v>47041</v>
          </cell>
          <cell r="AF1037">
            <v>7989424977</v>
          </cell>
          <cell r="AG1037" t="str">
            <v>shalzsakarey21@gmail.com</v>
          </cell>
          <cell r="AH1037" t="str">
            <v>N/A</v>
          </cell>
          <cell r="AI1037" t="str">
            <v>N/A</v>
          </cell>
          <cell r="AJ1037" t="str">
            <v>N/A</v>
          </cell>
          <cell r="AK1037" t="str">
            <v>DWYPS9760N</v>
          </cell>
          <cell r="AL1037">
            <v>517168177664</v>
          </cell>
          <cell r="AN1037">
            <v>45387</v>
          </cell>
          <cell r="AO1037">
            <v>45387</v>
          </cell>
          <cell r="AP1037" t="str">
            <v>Personal Reason</v>
          </cell>
          <cell r="AQ1037" t="str">
            <v>8-287, Gowlipet Ganesh Circle, Adoni, Kurnool, Andhra Pradesh - 518301</v>
          </cell>
          <cell r="AS1037" t="str">
            <v>8-287, Gowlipet Ganesh Circle, Adoni, Kurnool, Andhra Pradesh - 518301</v>
          </cell>
          <cell r="AU1037">
            <v>0.5</v>
          </cell>
          <cell r="AV1037">
            <v>0.58333333333333337</v>
          </cell>
          <cell r="AW1037">
            <v>34202</v>
          </cell>
          <cell r="AX1037" t="str">
            <v>Female</v>
          </cell>
          <cell r="AY1037" t="str">
            <v>Part Time</v>
          </cell>
          <cell r="AZ1037">
            <v>2</v>
          </cell>
          <cell r="BA1037" t="str">
            <v>Punjagutta Cluster</v>
          </cell>
        </row>
        <row r="1038">
          <cell r="M1038" t="str">
            <v>Dwarakanagar - 6</v>
          </cell>
          <cell r="N1038" t="str">
            <v>Basic USG, Tiffa, MSK, Penile Dopplers, Guided Procedures, X- Ray, Mammography, IVP, RGU, MCGU, Barium Swallow, Barium Enemma, HSG, Basic CT, All Angios, CT Perfusion, CT Enteroclysis, Guided Procedures and Basic MRI, CSF Flow Study, MR Perfusion, MR Prostate and MR Neurography</v>
          </cell>
          <cell r="O1038" t="str">
            <v>Radiology</v>
          </cell>
          <cell r="P1038" t="str">
            <v>Consultant Radiologist</v>
          </cell>
          <cell r="Q1038" t="str">
            <v>Dr Krishna Mohan Pottala</v>
          </cell>
          <cell r="R1038">
            <v>44501</v>
          </cell>
          <cell r="S1038">
            <v>45231</v>
          </cell>
          <cell r="T1038">
            <v>45961</v>
          </cell>
          <cell r="U1038">
            <v>45962</v>
          </cell>
          <cell r="V1038">
            <v>2012</v>
          </cell>
          <cell r="W1038" t="str">
            <v xml:space="preserve">Andhra Medical College </v>
          </cell>
          <cell r="X1038">
            <v>2018</v>
          </cell>
          <cell r="Y1038" t="str">
            <v>PGIMER Chandigarh</v>
          </cell>
          <cell r="Z1038" t="str">
            <v>NA</v>
          </cell>
          <cell r="AA1038" t="str">
            <v>MBBS, MD - Radio Diagnosis</v>
          </cell>
          <cell r="AB1038" t="str">
            <v>APMC/FMR/76433</v>
          </cell>
          <cell r="AC1038" t="str">
            <v>Andhra Pradesh Medical Council</v>
          </cell>
          <cell r="AD1038">
            <v>43413</v>
          </cell>
          <cell r="AE1038">
            <v>45238</v>
          </cell>
          <cell r="AF1038">
            <v>8686633066</v>
          </cell>
          <cell r="AG1038" t="str">
            <v>manu.kanaparti@gmail.com</v>
          </cell>
          <cell r="AH1038" t="str">
            <v>HDFC Bank</v>
          </cell>
          <cell r="AI1038" t="str">
            <v>50100298117361</v>
          </cell>
          <cell r="AJ1038" t="str">
            <v>HDFC0001604</v>
          </cell>
          <cell r="AK1038" t="str">
            <v>CMQPM8939J</v>
          </cell>
          <cell r="AL1038" t="str">
            <v>249619765879</v>
          </cell>
          <cell r="AM1038" t="str">
            <v>Mohan Rao Kanaparthi</v>
          </cell>
          <cell r="AN1038">
            <v>45666</v>
          </cell>
          <cell r="AO1038">
            <v>45606</v>
          </cell>
          <cell r="AR1038">
            <v>36</v>
          </cell>
          <cell r="AW1038">
            <v>32721</v>
          </cell>
          <cell r="AX1038" t="str">
            <v>Male</v>
          </cell>
          <cell r="AY1038" t="str">
            <v>Part Time</v>
          </cell>
          <cell r="AZ1038">
            <v>8</v>
          </cell>
          <cell r="BA1038" t="str">
            <v>Visakhapatnam Cluster</v>
          </cell>
        </row>
        <row r="1039">
          <cell r="M1039" t="str">
            <v>Nandyal - 48</v>
          </cell>
          <cell r="N1039" t="str">
            <v>N/A</v>
          </cell>
          <cell r="O1039" t="str">
            <v>Pathology</v>
          </cell>
          <cell r="P1039" t="str">
            <v>Consultant Pathologist</v>
          </cell>
          <cell r="Q1039" t="str">
            <v>Dr. PTS. Shashikanth</v>
          </cell>
          <cell r="R1039">
            <v>45383</v>
          </cell>
          <cell r="S1039">
            <v>45383</v>
          </cell>
          <cell r="T1039">
            <v>46112</v>
          </cell>
          <cell r="U1039">
            <v>46113</v>
          </cell>
          <cell r="V1039">
            <v>2017</v>
          </cell>
          <cell r="W1039" t="str">
            <v>Government Medical College</v>
          </cell>
          <cell r="X1039">
            <v>2023</v>
          </cell>
          <cell r="Y1039" t="str">
            <v>Santhiram Medical College</v>
          </cell>
          <cell r="Z1039" t="str">
            <v>NA</v>
          </cell>
          <cell r="AA1039" t="str">
            <v>MBBS,MD</v>
          </cell>
          <cell r="AB1039" t="str">
            <v>APMC/FMR/101141</v>
          </cell>
          <cell r="AC1039" t="str">
            <v>Andhra Pradesh Medical Council</v>
          </cell>
          <cell r="AD1039">
            <v>45352</v>
          </cell>
          <cell r="AE1039">
            <v>47177</v>
          </cell>
          <cell r="AF1039">
            <v>8332921179</v>
          </cell>
          <cell r="AG1039" t="str">
            <v>chandana21194@gmail.com</v>
          </cell>
          <cell r="AH1039" t="str">
            <v>N/A</v>
          </cell>
          <cell r="AI1039" t="str">
            <v>N/A</v>
          </cell>
          <cell r="AJ1039" t="str">
            <v>N/A</v>
          </cell>
          <cell r="AK1039" t="str">
            <v>ATKPT0603M</v>
          </cell>
          <cell r="AL1039">
            <v>795646158485</v>
          </cell>
          <cell r="AN1039">
            <v>45388</v>
          </cell>
          <cell r="AO1039">
            <v>45388</v>
          </cell>
          <cell r="AP1039" t="str">
            <v>Personal Reason</v>
          </cell>
          <cell r="AQ1039" t="str">
            <v>Flat No. 111, Kaleswari Residency, mydukur Road, KVR Colony, Proddatur, Cuddapah, Andhra Pradesh - 516360</v>
          </cell>
          <cell r="AS1039" t="str">
            <v>Flat No. 111, Kaleswari Residency, mydukur Road, KVR Colony, Proddatur, Cuddapah, Andhra Pradesh - 516360</v>
          </cell>
          <cell r="AU1039">
            <v>0.72916666666666663</v>
          </cell>
          <cell r="AV1039">
            <v>0.85416666666666663</v>
          </cell>
          <cell r="AW1039">
            <v>34855</v>
          </cell>
          <cell r="AX1039" t="str">
            <v>Female</v>
          </cell>
          <cell r="AY1039" t="str">
            <v>Part Time</v>
          </cell>
          <cell r="AZ1039">
            <v>3</v>
          </cell>
          <cell r="BA1039" t="str">
            <v>Kurnool Cluster</v>
          </cell>
        </row>
        <row r="1040">
          <cell r="M1040" t="str">
            <v>Madhapur-2 - 70</v>
          </cell>
          <cell r="N1040" t="str">
            <v>N/A</v>
          </cell>
          <cell r="O1040" t="str">
            <v>Physician Services</v>
          </cell>
          <cell r="P1040" t="str">
            <v>Consultant Physician</v>
          </cell>
          <cell r="Q1040" t="str">
            <v>NA</v>
          </cell>
          <cell r="R1040">
            <v>45428</v>
          </cell>
          <cell r="S1040">
            <v>45428</v>
          </cell>
          <cell r="T1040">
            <v>46157</v>
          </cell>
          <cell r="U1040">
            <v>46158</v>
          </cell>
          <cell r="V1040">
            <v>1996</v>
          </cell>
          <cell r="W1040" t="str">
            <v>Pune University</v>
          </cell>
          <cell r="X1040" t="str">
            <v>N/A</v>
          </cell>
          <cell r="Y1040" t="str">
            <v>N/A</v>
          </cell>
          <cell r="Z1040" t="str">
            <v>NA</v>
          </cell>
          <cell r="AA1040" t="str">
            <v>MBBS</v>
          </cell>
          <cell r="AB1040" t="str">
            <v>TSMC/FMR/05720</v>
          </cell>
          <cell r="AC1040" t="str">
            <v>Telangana State Medical Council</v>
          </cell>
          <cell r="AD1040">
            <v>45097</v>
          </cell>
          <cell r="AE1040">
            <v>46923</v>
          </cell>
          <cell r="AF1040">
            <v>9632228459</v>
          </cell>
          <cell r="AG1040" t="str">
            <v>vijshree2009@gmail.com</v>
          </cell>
          <cell r="AH1040" t="str">
            <v>Central Bank Of India</v>
          </cell>
          <cell r="AI1040" t="str">
            <v>3345270906</v>
          </cell>
          <cell r="AJ1040" t="str">
            <v>CBIN0283811</v>
          </cell>
          <cell r="AK1040" t="str">
            <v>AGTPM4470B</v>
          </cell>
          <cell r="AL1040">
            <v>328355289346</v>
          </cell>
          <cell r="AN1040">
            <v>45667</v>
          </cell>
          <cell r="AO1040" t="str">
            <v>NA</v>
          </cell>
          <cell r="AP1040" t="str">
            <v>Accident</v>
          </cell>
          <cell r="AQ1040" t="str">
            <v>S No 69, F No. D 303 Vajra Sree Nivasam APTS Road No 1d opposite to ark Hamptons Apts, Kondapur, Rangareddy, Telangana 500084.</v>
          </cell>
          <cell r="AR1040">
            <v>53</v>
          </cell>
          <cell r="AW1040">
            <v>26297</v>
          </cell>
          <cell r="AX1040" t="str">
            <v>Female</v>
          </cell>
          <cell r="AY1040" t="str">
            <v>Part Time</v>
          </cell>
          <cell r="AZ1040">
            <v>1.5</v>
          </cell>
          <cell r="BA1040" t="str">
            <v>Madhapur Cluster</v>
          </cell>
        </row>
        <row r="1041">
          <cell r="M1041" t="str">
            <v>Gurgaon - 54</v>
          </cell>
          <cell r="N1041" t="str">
            <v>X-Ray (Plain Radiography-Basic,Advanced), Mammography, USG(Basic, Doppler Studies,Thyroid/Scrotum USG, Breast USG,TIFFA, MSK USG,USG Guided FNAC, USG guided Aspiration), CT (Basic, Chest/Abdomen,3DCT,CT Angiography), Special Procedures (IVP,RGU,MCUG, Barium Swallow, Barium Enema, HSG)</v>
          </cell>
          <cell r="O1041" t="str">
            <v>Radiology</v>
          </cell>
          <cell r="P1041" t="str">
            <v>Consultant Radiologist</v>
          </cell>
          <cell r="Q1041" t="str">
            <v>Dr Krishna Mohan Pottala</v>
          </cell>
          <cell r="R1041">
            <v>45545</v>
          </cell>
          <cell r="S1041">
            <v>45545</v>
          </cell>
          <cell r="T1041">
            <v>46274</v>
          </cell>
          <cell r="U1041">
            <v>46275</v>
          </cell>
          <cell r="V1041">
            <v>2013</v>
          </cell>
          <cell r="W1041" t="str">
            <v>Jawaharlal Nehru Medical College</v>
          </cell>
          <cell r="X1041">
            <v>2018</v>
          </cell>
          <cell r="Y1041" t="str">
            <v>MGM Institute of Health Sciences</v>
          </cell>
          <cell r="Z1041" t="str">
            <v>NA</v>
          </cell>
          <cell r="AA1041" t="str">
            <v>MBBS, MD Radio diagnosis</v>
          </cell>
          <cell r="AB1041" t="str">
            <v>HN 22403</v>
          </cell>
          <cell r="AC1041" t="str">
            <v>Haryana Medical Council</v>
          </cell>
          <cell r="AD1041">
            <v>44971</v>
          </cell>
          <cell r="AE1041">
            <v>46796</v>
          </cell>
          <cell r="AF1041">
            <v>9960789055</v>
          </cell>
          <cell r="AG1041" t="str">
            <v>srishtisinghthakur4555@gmail.com</v>
          </cell>
          <cell r="AH1041" t="str">
            <v>Axis Bank Ltd</v>
          </cell>
          <cell r="AI1041" t="str">
            <v>922010054808360</v>
          </cell>
          <cell r="AJ1041" t="str">
            <v>UTIB0003205</v>
          </cell>
          <cell r="AK1041" t="str">
            <v>AKEPT5925F</v>
          </cell>
          <cell r="AL1041">
            <v>860581488964</v>
          </cell>
          <cell r="AM1041" t="str">
            <v>Jaggu Singh Thakur</v>
          </cell>
          <cell r="AN1041">
            <v>45667</v>
          </cell>
          <cell r="AO1041" t="str">
            <v>NA</v>
          </cell>
          <cell r="AP1041" t="str">
            <v>Exit without notice (Abscond)</v>
          </cell>
          <cell r="AQ1041" t="str">
            <v>House No.D/270, Srishti house, Sector 4, Devendra Nagar, Near Planet Gym, Raipur, Chattisgarh- 492001.</v>
          </cell>
          <cell r="AR1041">
            <v>33</v>
          </cell>
          <cell r="AW1041">
            <v>33516</v>
          </cell>
          <cell r="AX1041" t="str">
            <v>Female</v>
          </cell>
          <cell r="AY1041" t="str">
            <v>Full Time</v>
          </cell>
          <cell r="AZ1041">
            <v>8</v>
          </cell>
          <cell r="BA1041" t="str">
            <v>Haryana Cluster</v>
          </cell>
        </row>
        <row r="1042">
          <cell r="M1042" t="str">
            <v>Balapur - 63</v>
          </cell>
          <cell r="N1042" t="str">
            <v>USG, Doppler, FNAC, Tiffa, Guided Procedures</v>
          </cell>
          <cell r="O1042" t="str">
            <v>Radiology</v>
          </cell>
          <cell r="P1042" t="str">
            <v>Consultant Radiologist</v>
          </cell>
          <cell r="Q1042" t="str">
            <v>Dr Krishna Mohan Pottala</v>
          </cell>
          <cell r="R1042">
            <v>45278</v>
          </cell>
          <cell r="S1042">
            <v>45278</v>
          </cell>
          <cell r="T1042">
            <v>46008</v>
          </cell>
          <cell r="U1042">
            <v>46009</v>
          </cell>
          <cell r="V1042">
            <v>2016</v>
          </cell>
          <cell r="W1042" t="str">
            <v>Dr. NTR Health Sciences University</v>
          </cell>
          <cell r="X1042">
            <v>2020</v>
          </cell>
          <cell r="Y1042" t="str">
            <v>Mamata Medical Colege</v>
          </cell>
          <cell r="Z1042" t="str">
            <v>NA</v>
          </cell>
          <cell r="AA1042" t="str">
            <v>MBBS, MD</v>
          </cell>
          <cell r="AB1042" t="str">
            <v>TSMC/FMR/00716</v>
          </cell>
          <cell r="AC1042" t="str">
            <v>Telangana State Medical Council</v>
          </cell>
          <cell r="AD1042">
            <v>44526</v>
          </cell>
          <cell r="AE1042">
            <v>46351</v>
          </cell>
          <cell r="AF1042">
            <v>9177904636</v>
          </cell>
          <cell r="AG1042" t="str">
            <v>rpsanthu9999@gmail.com</v>
          </cell>
          <cell r="AH1042" t="str">
            <v>ICICI Bank</v>
          </cell>
          <cell r="AI1042" t="str">
            <v>007201033316</v>
          </cell>
          <cell r="AJ1042" t="str">
            <v>ICIC0000072</v>
          </cell>
          <cell r="AK1042" t="str">
            <v>BMDPR4334L</v>
          </cell>
          <cell r="AL1042">
            <v>587317970597</v>
          </cell>
          <cell r="AN1042">
            <v>45668</v>
          </cell>
          <cell r="AO1042" t="str">
            <v>NA</v>
          </cell>
          <cell r="AP1042" t="str">
            <v>Asked to leave</v>
          </cell>
          <cell r="AQ1042" t="str">
            <v>6-42/2/C, Sri Sai Homes Colony, Hyderabad, Balapur, K.V. Rangareddy, Telangana - 500005</v>
          </cell>
          <cell r="AR1042">
            <v>33</v>
          </cell>
          <cell r="AW1042">
            <v>33690</v>
          </cell>
          <cell r="AX1042" t="str">
            <v>Male</v>
          </cell>
          <cell r="AY1042" t="str">
            <v>Part Time</v>
          </cell>
          <cell r="AZ1042">
            <v>3</v>
          </cell>
          <cell r="BA1042" t="str">
            <v>Santosh Nagar Cluster</v>
          </cell>
        </row>
        <row r="1043">
          <cell r="M1043" t="str">
            <v>BHEL-30</v>
          </cell>
          <cell r="N1043" t="str">
            <v>X-Ray (Plain Radiography - Basic, Advanced) Mammography, USG (Basic, Doppler Studies, Thyroid/Scrotum USG, Breast USG, TIFFA, MSK USG, USG Guided FNAC, USG Guided Trucut Biopsy,USG Guided Aspiration) CT (Basic, Chest/Abdomen/Neck, 3DCT) MRI (Bsic), Special Procedures (IVP,RGU, MCUG, Barium Swallow, Barium Enema, HSG)</v>
          </cell>
          <cell r="O1043" t="str">
            <v>Radiology</v>
          </cell>
          <cell r="P1043" t="str">
            <v>Consultant Radiologist</v>
          </cell>
          <cell r="Q1043" t="str">
            <v>Dr Krishna Mohan Pottala</v>
          </cell>
          <cell r="R1043">
            <v>45658</v>
          </cell>
          <cell r="S1043">
            <v>45658</v>
          </cell>
          <cell r="T1043">
            <v>46387</v>
          </cell>
          <cell r="U1043">
            <v>46388</v>
          </cell>
          <cell r="V1043">
            <v>2014</v>
          </cell>
          <cell r="W1043" t="str">
            <v>Kamineni Institute of Medical Sciences, Hyderabad</v>
          </cell>
          <cell r="X1043">
            <v>2022</v>
          </cell>
          <cell r="Y1043" t="str">
            <v>Sri Siddhartha Medical College, Tumkur</v>
          </cell>
          <cell r="Z1043" t="str">
            <v>NA</v>
          </cell>
          <cell r="AA1043" t="str">
            <v>MBBS, MD - Radio Diagnosis</v>
          </cell>
          <cell r="AB1043" t="str">
            <v>TSMC/FMR/01279</v>
          </cell>
          <cell r="AC1043" t="str">
            <v>Telangana State Medical Council</v>
          </cell>
          <cell r="AD1043">
            <v>44770</v>
          </cell>
          <cell r="AE1043">
            <v>46595</v>
          </cell>
          <cell r="AF1043">
            <v>9550334516</v>
          </cell>
          <cell r="AG1043" t="str">
            <v>dr.roshikamaddeti@gmail.com</v>
          </cell>
          <cell r="AH1043" t="str">
            <v>HDFC</v>
          </cell>
          <cell r="AI1043">
            <v>50100377178430</v>
          </cell>
          <cell r="AJ1043" t="str">
            <v>HDFC0004277</v>
          </cell>
          <cell r="AK1043" t="str">
            <v>CWOPM7692G</v>
          </cell>
          <cell r="AL1043">
            <v>793674364360</v>
          </cell>
          <cell r="AM1043" t="str">
            <v>Ramesh Yadav Maddeti</v>
          </cell>
          <cell r="AN1043">
            <v>45670</v>
          </cell>
          <cell r="AO1043" t="str">
            <v>NA</v>
          </cell>
          <cell r="AP1043" t="str">
            <v>long distance (notice period not servied</v>
          </cell>
          <cell r="AQ1043" t="str">
            <v>Door No - 102, Kondapur, Hitech City, Madhapur, Serilingampally, KV Rangareddy, Telangana - 500084.</v>
          </cell>
          <cell r="AR1043">
            <v>33</v>
          </cell>
          <cell r="AW1043">
            <v>33547</v>
          </cell>
          <cell r="AX1043" t="str">
            <v>Female</v>
          </cell>
          <cell r="AY1043" t="str">
            <v>Part Time</v>
          </cell>
          <cell r="AZ1043">
            <v>4</v>
          </cell>
          <cell r="BA1043" t="str">
            <v>Madhapur Cluster</v>
          </cell>
        </row>
        <row r="1044">
          <cell r="M1044" t="str">
            <v>Tirupathi-333</v>
          </cell>
          <cell r="N1044" t="str">
            <v>N/A</v>
          </cell>
          <cell r="O1044" t="str">
            <v>Pathology</v>
          </cell>
          <cell r="P1044" t="str">
            <v>Consultant Pathologist</v>
          </cell>
          <cell r="Q1044" t="str">
            <v>Dr Ramesh Kinha</v>
          </cell>
          <cell r="R1044">
            <v>45261</v>
          </cell>
          <cell r="S1044">
            <v>45261</v>
          </cell>
          <cell r="T1044">
            <v>45991</v>
          </cell>
          <cell r="U1044">
            <v>45992</v>
          </cell>
          <cell r="V1044">
            <v>2012</v>
          </cell>
          <cell r="W1044" t="str">
            <v>Dr. NTR Health Sciences University</v>
          </cell>
          <cell r="X1044">
            <v>2018</v>
          </cell>
          <cell r="Y1044" t="str">
            <v>GSL Medical College</v>
          </cell>
          <cell r="Z1044" t="str">
            <v>NA</v>
          </cell>
          <cell r="AA1044" t="str">
            <v>MBBS,MD</v>
          </cell>
          <cell r="AB1044" t="str">
            <v>APMC/FMR/75926</v>
          </cell>
          <cell r="AC1044" t="str">
            <v>Andhra Pradesh Medical Council</v>
          </cell>
          <cell r="AD1044">
            <v>45259</v>
          </cell>
          <cell r="AE1044">
            <v>47085</v>
          </cell>
          <cell r="AF1044">
            <v>7416434446</v>
          </cell>
          <cell r="AG1044" t="str">
            <v>raj.mims@gmail.com</v>
          </cell>
          <cell r="AH1044" t="str">
            <v>SBI Bank</v>
          </cell>
          <cell r="AI1044" t="str">
            <v>20093164697</v>
          </cell>
          <cell r="AJ1044" t="str">
            <v>SBIN0004202</v>
          </cell>
          <cell r="AK1044" t="str">
            <v>CGZPM7671L</v>
          </cell>
          <cell r="AL1044">
            <v>558672385800</v>
          </cell>
          <cell r="AN1044">
            <v>45670</v>
          </cell>
          <cell r="AO1044">
            <v>45610</v>
          </cell>
          <cell r="AQ1044" t="str">
            <v>1-167/8 Flat 403, Susarla Colony, Gopalapatnam Post, Visakhapatnam, Andhra Pradesh - 530027</v>
          </cell>
          <cell r="AR1044">
            <v>37</v>
          </cell>
          <cell r="AW1044">
            <v>32155</v>
          </cell>
          <cell r="AX1044" t="str">
            <v>Male</v>
          </cell>
          <cell r="AY1044" t="str">
            <v>Full Time</v>
          </cell>
          <cell r="AZ1044">
            <v>8</v>
          </cell>
          <cell r="BA1044" t="str">
            <v>Tirupati Cluster</v>
          </cell>
        </row>
        <row r="1045">
          <cell r="M1045" t="str">
            <v>Gachibowli-66</v>
          </cell>
          <cell r="N1045" t="str">
            <v>NA</v>
          </cell>
          <cell r="O1045" t="str">
            <v>Physician Services</v>
          </cell>
          <cell r="P1045" t="str">
            <v>Consultant Physician</v>
          </cell>
          <cell r="Q1045" t="str">
            <v>NA</v>
          </cell>
          <cell r="R1045">
            <v>45555</v>
          </cell>
          <cell r="S1045">
            <v>45555</v>
          </cell>
          <cell r="T1045">
            <v>46284</v>
          </cell>
          <cell r="U1045">
            <v>46285</v>
          </cell>
          <cell r="V1045">
            <v>2022</v>
          </cell>
          <cell r="W1045" t="str">
            <v>Davao Medical School Foundation</v>
          </cell>
          <cell r="X1045" t="str">
            <v>NA</v>
          </cell>
          <cell r="Y1045" t="str">
            <v>NA</v>
          </cell>
          <cell r="Z1045" t="str">
            <v>NA</v>
          </cell>
          <cell r="AA1045" t="str">
            <v>MBBS</v>
          </cell>
          <cell r="AB1045" t="str">
            <v>APMC/FMR/119664</v>
          </cell>
          <cell r="AC1045" t="str">
            <v>Andhra Pradesh Medical Council</v>
          </cell>
          <cell r="AD1045">
            <v>44811</v>
          </cell>
          <cell r="AE1045">
            <v>46636</v>
          </cell>
          <cell r="AF1045">
            <v>9381684140</v>
          </cell>
          <cell r="AG1045" t="str">
            <v>naiduvijay111@gmail.com</v>
          </cell>
          <cell r="AH1045" t="str">
            <v>Union Bank of India</v>
          </cell>
          <cell r="AI1045" t="str">
            <v>041610100051968</v>
          </cell>
          <cell r="AJ1045" t="str">
            <v>UBIN0804169</v>
          </cell>
          <cell r="AK1045" t="str">
            <v>AGSPU5936H</v>
          </cell>
          <cell r="AL1045">
            <v>776632905824</v>
          </cell>
          <cell r="AM1045" t="str">
            <v>Nageswara Rao</v>
          </cell>
          <cell r="AN1045">
            <v>45670</v>
          </cell>
          <cell r="AO1045" t="str">
            <v>NA</v>
          </cell>
          <cell r="AP1045" t="str">
            <v>long distance (notice period not servied</v>
          </cell>
          <cell r="AQ1045" t="str">
            <v>7-13, Peravali, Vemuru, Guntur, Andhra Pradesh-522261.</v>
          </cell>
          <cell r="AR1045">
            <v>27</v>
          </cell>
          <cell r="AW1045">
            <v>36018</v>
          </cell>
          <cell r="AX1045" t="str">
            <v>Male</v>
          </cell>
          <cell r="AY1045" t="str">
            <v>Part Time</v>
          </cell>
          <cell r="AZ1045">
            <v>1</v>
          </cell>
          <cell r="BA1045" t="str">
            <v>Madhapur Cluster</v>
          </cell>
        </row>
        <row r="1046">
          <cell r="M1046" t="str">
            <v>Aundh</v>
          </cell>
          <cell r="N1046" t="str">
            <v>X-Ray(Plain Radiography-Basic, Advanced, Mammography),USG (Basic, Doppler Studies, Thyroid/Scrotum USG, Breast USG,Penile Doppler, TRUS,USG Guided FNAC,USG Guided Trucut blopsy, USG Guided aspiration, Breast Biospy, TRUS Guided Biospy ),CT(Basic, Chest/Abdomen/Neck,3DCT,CT Angiography,Virtual Bronchoscopy) ,MRI (Basic, MSK Studies-Knee/Shoulder, MR Defecography,MRCP/Abdomen/Liver, MR Prostate/Rectum,MR cartigram,MRI breast,MRI TM Joints,MRI Enterography),Special Procedures (IVP, RGU, MCUG, Barium Swallow, Barium Enema, HSG)</v>
          </cell>
          <cell r="O1046" t="str">
            <v>Radiology</v>
          </cell>
          <cell r="P1046" t="str">
            <v>Consultant Radiologist</v>
          </cell>
          <cell r="Q1046" t="str">
            <v>Dr Vijayanand</v>
          </cell>
          <cell r="R1046">
            <v>45523</v>
          </cell>
          <cell r="S1046">
            <v>45523</v>
          </cell>
          <cell r="T1046">
            <v>46252</v>
          </cell>
          <cell r="U1046">
            <v>46253</v>
          </cell>
          <cell r="V1046">
            <v>2015</v>
          </cell>
          <cell r="W1046" t="str">
            <v>Government Medical College, Aurangabad</v>
          </cell>
          <cell r="X1046">
            <v>2020</v>
          </cell>
          <cell r="Y1046" t="str">
            <v>MD, Tata Memorial Hospital, Mumbai</v>
          </cell>
          <cell r="Z1046" t="str">
            <v>EDIR 2023</v>
          </cell>
          <cell r="AA1046" t="str">
            <v>MBBS,MD</v>
          </cell>
          <cell r="AB1046">
            <v>2016082793</v>
          </cell>
          <cell r="AC1046" t="str">
            <v>Maharashtra Medical Council, Mumbai</v>
          </cell>
          <cell r="AD1046">
            <v>44391</v>
          </cell>
          <cell r="AE1046">
            <v>46260</v>
          </cell>
          <cell r="AF1046">
            <v>7276152975</v>
          </cell>
          <cell r="AG1046" t="str">
            <v>madhuri.waghmare2602@gmail.com</v>
          </cell>
          <cell r="AH1046" t="str">
            <v>HDFC Bank</v>
          </cell>
          <cell r="AI1046" t="str">
            <v>50100433060218</v>
          </cell>
          <cell r="AJ1046" t="str">
            <v>HDFC0000052</v>
          </cell>
          <cell r="AK1046" t="str">
            <v>ADCPW7189F</v>
          </cell>
          <cell r="AL1046">
            <v>925947977326</v>
          </cell>
          <cell r="AM1046" t="str">
            <v>Ramkishan Namdeorao Waghmare</v>
          </cell>
          <cell r="AN1046">
            <v>45670</v>
          </cell>
          <cell r="AO1046" t="str">
            <v>NA</v>
          </cell>
          <cell r="AP1046" t="str">
            <v>Asked to leave/Branch machine moved</v>
          </cell>
          <cell r="AQ1046" t="str">
            <v>h.no.64,kacheri road,rohila galli,old jalna,maharashtra 431203</v>
          </cell>
          <cell r="AR1046">
            <v>32</v>
          </cell>
          <cell r="AW1046">
            <v>34026</v>
          </cell>
          <cell r="AX1046" t="str">
            <v>Female</v>
          </cell>
          <cell r="AY1046" t="str">
            <v>Part Time</v>
          </cell>
          <cell r="AZ1046">
            <v>3</v>
          </cell>
          <cell r="BA1046" t="str">
            <v>Pune</v>
          </cell>
        </row>
        <row r="1047">
          <cell r="M1047" t="str">
            <v>Mahabubnagar-146</v>
          </cell>
          <cell r="N1047" t="str">
            <v>NA</v>
          </cell>
          <cell r="O1047" t="str">
            <v>Pathology</v>
          </cell>
          <cell r="P1047" t="str">
            <v>Consultant Pathologist</v>
          </cell>
          <cell r="Q1047" t="str">
            <v>Dr Krishna Mohan Pottala</v>
          </cell>
          <cell r="R1047">
            <v>45666</v>
          </cell>
          <cell r="S1047">
            <v>45666</v>
          </cell>
          <cell r="T1047">
            <v>46395</v>
          </cell>
          <cell r="U1047">
            <v>46396</v>
          </cell>
          <cell r="V1047">
            <v>2013</v>
          </cell>
          <cell r="W1047" t="str">
            <v>Guntur Medical College</v>
          </cell>
          <cell r="X1047">
            <v>2020</v>
          </cell>
          <cell r="Y1047" t="str">
            <v>Siddhartha Medical College,Vijayawada</v>
          </cell>
          <cell r="Z1047" t="str">
            <v>NA</v>
          </cell>
          <cell r="AA1047" t="str">
            <v>MBBS, MD Pathology</v>
          </cell>
          <cell r="AB1047" t="str">
            <v>APMC/FMR/86555</v>
          </cell>
          <cell r="AC1047" t="str">
            <v>Telangana State Medical Council</v>
          </cell>
          <cell r="AD1047">
            <v>45664</v>
          </cell>
          <cell r="AE1047">
            <v>47489</v>
          </cell>
          <cell r="AF1047" t="str">
            <v>9000928258 / 8618546197</v>
          </cell>
          <cell r="AG1047" t="str">
            <v>didgisunilkumar@gmail.com</v>
          </cell>
          <cell r="AH1047" t="str">
            <v>STATE BANK OF INDIA</v>
          </cell>
          <cell r="AI1047" t="str">
            <v>00000033211831443</v>
          </cell>
          <cell r="AJ1047" t="str">
            <v>SBIN0007951</v>
          </cell>
          <cell r="AK1047" t="str">
            <v>ECJPK2898R</v>
          </cell>
          <cell r="AL1047" t="str">
            <v>9192764512947827</v>
          </cell>
          <cell r="AM1047" t="str">
            <v>Didgi Baswaraj</v>
          </cell>
          <cell r="AN1047">
            <v>45674</v>
          </cell>
          <cell r="AO1047" t="str">
            <v>NA</v>
          </cell>
          <cell r="AP1047" t="str">
            <v>Personal reasons</v>
          </cell>
          <cell r="AQ1047" t="str">
            <v>2-5-144, rachannapet, Zahirabad, Medak, Telangana - 502220.</v>
          </cell>
          <cell r="AR1047">
            <v>38</v>
          </cell>
          <cell r="AW1047">
            <v>31994</v>
          </cell>
          <cell r="AX1047" t="str">
            <v>Male</v>
          </cell>
          <cell r="AY1047" t="str">
            <v>Full Time</v>
          </cell>
          <cell r="AZ1047">
            <v>8</v>
          </cell>
          <cell r="BA1047" t="str">
            <v>Tolichowki Cluster</v>
          </cell>
        </row>
        <row r="1048">
          <cell r="M1048" t="str">
            <v>Madinaguda - 112</v>
          </cell>
          <cell r="N1048" t="str">
            <v>N/A</v>
          </cell>
          <cell r="O1048" t="str">
            <v>Physician Services</v>
          </cell>
          <cell r="P1048" t="str">
            <v>Consultant Physician</v>
          </cell>
          <cell r="Q1048" t="str">
            <v>NA</v>
          </cell>
          <cell r="R1048">
            <v>45516</v>
          </cell>
          <cell r="S1048">
            <v>45516</v>
          </cell>
          <cell r="T1048">
            <v>46245</v>
          </cell>
          <cell r="U1048">
            <v>46246</v>
          </cell>
          <cell r="V1048">
            <v>2021</v>
          </cell>
          <cell r="W1048" t="str">
            <v>International Higher School of Medicine, Bishkek</v>
          </cell>
          <cell r="X1048" t="str">
            <v>NA</v>
          </cell>
          <cell r="Y1048" t="str">
            <v>NA</v>
          </cell>
          <cell r="Z1048" t="str">
            <v>NA</v>
          </cell>
          <cell r="AA1048" t="str">
            <v>MBBS</v>
          </cell>
          <cell r="AB1048" t="str">
            <v>APMC/FMR/130010</v>
          </cell>
          <cell r="AC1048" t="str">
            <v>Andhra Pradesh Medical Council</v>
          </cell>
          <cell r="AD1048">
            <v>45429</v>
          </cell>
          <cell r="AE1048">
            <v>47254</v>
          </cell>
          <cell r="AF1048">
            <v>7989270404</v>
          </cell>
          <cell r="AG1048" t="str">
            <v>naveedsheik24@gmail.com</v>
          </cell>
          <cell r="AH1048" t="str">
            <v>State Bank of India</v>
          </cell>
          <cell r="AI1048" t="str">
            <v>31287314522</v>
          </cell>
          <cell r="AJ1048" t="str">
            <v>SBIN0000901</v>
          </cell>
          <cell r="AK1048" t="str">
            <v>CKPPA3031G</v>
          </cell>
          <cell r="AL1048">
            <v>231515490294</v>
          </cell>
          <cell r="AM1048" t="str">
            <v>Andla Gutti Shaik Mohammad Naveed</v>
          </cell>
          <cell r="AN1048">
            <v>45681</v>
          </cell>
          <cell r="AO1048" t="str">
            <v>NA</v>
          </cell>
          <cell r="AP1048" t="str">
            <v>Accident</v>
          </cell>
          <cell r="AQ1048" t="str">
            <v>23/522, Kompala Pullanna, Proddatur, Cuddapah, Andhra Pradesh- 516360.</v>
          </cell>
          <cell r="AR1048">
            <v>27</v>
          </cell>
          <cell r="AW1048">
            <v>35939</v>
          </cell>
          <cell r="AX1048" t="str">
            <v>Male</v>
          </cell>
          <cell r="AY1048" t="str">
            <v>Part Time</v>
          </cell>
          <cell r="AZ1048">
            <v>2</v>
          </cell>
          <cell r="BA1048" t="str">
            <v>Madhapur Cluster</v>
          </cell>
        </row>
        <row r="1049">
          <cell r="M1049" t="str">
            <v>Kondapur - 125</v>
          </cell>
          <cell r="N1049" t="str">
            <v>X-Ray (Regular,Mammography), USG(Basic, TIFFA, Foetal Echo, MSK, Guided Procedures), CT (Basic), Special Procedures (IVP,RGU,MCUG, Enema,Barium Swallow, Barium Enema, HSG)</v>
          </cell>
          <cell r="O1049" t="str">
            <v>Radiology</v>
          </cell>
          <cell r="P1049" t="str">
            <v>Consultant Radiologist</v>
          </cell>
          <cell r="Q1049" t="str">
            <v>Dr Krishna Mohan Pottala</v>
          </cell>
          <cell r="R1049">
            <v>45474</v>
          </cell>
          <cell r="S1049">
            <v>45474</v>
          </cell>
          <cell r="T1049">
            <v>46203</v>
          </cell>
          <cell r="U1049">
            <v>46204</v>
          </cell>
          <cell r="V1049">
            <v>2009</v>
          </cell>
          <cell r="W1049" t="str">
            <v>Dr NTR University of health sciences,Vijayawada,Andhra Pradesh</v>
          </cell>
          <cell r="X1049">
            <v>2015</v>
          </cell>
          <cell r="Y1049" t="str">
            <v>Dr NTR University of health sciences,Vijayawada,Andhra Pradesh</v>
          </cell>
          <cell r="Z1049" t="str">
            <v>NA</v>
          </cell>
          <cell r="AA1049" t="str">
            <v>MBBS,MD-Radio Diagnosis</v>
          </cell>
          <cell r="AB1049">
            <v>69466</v>
          </cell>
          <cell r="AC1049" t="str">
            <v>Telangana State Medical Council</v>
          </cell>
          <cell r="AD1049">
            <v>45393</v>
          </cell>
          <cell r="AE1049">
            <v>47218</v>
          </cell>
          <cell r="AF1049">
            <v>9985077082</v>
          </cell>
          <cell r="AG1049" t="str">
            <v>renukapasupala@gmail.com</v>
          </cell>
          <cell r="AH1049" t="str">
            <v>Union Bank of India</v>
          </cell>
          <cell r="AI1049" t="str">
            <v>088410100094501</v>
          </cell>
          <cell r="AJ1049" t="str">
            <v>UBIN0808849</v>
          </cell>
          <cell r="AK1049" t="str">
            <v>BNOPD5269G</v>
          </cell>
          <cell r="AL1049">
            <v>435856754146</v>
          </cell>
          <cell r="AM1049" t="str">
            <v>Pasupala Jagadish</v>
          </cell>
          <cell r="AN1049">
            <v>45682</v>
          </cell>
          <cell r="AO1049">
            <v>45623</v>
          </cell>
          <cell r="AP1049" t="str">
            <v>Personal reasons</v>
          </cell>
          <cell r="AQ1049" t="str">
            <v>Flat No: 302 Chandra Lok Enclave Nehru Nagar Kurnool Tholisapuram Kurnool Andhra Pradesh -518004</v>
          </cell>
          <cell r="AR1049">
            <v>39</v>
          </cell>
          <cell r="AS1049" t="str">
            <v>ICICI Lambord</v>
          </cell>
          <cell r="AT1049" t="str">
            <v>4021/A/363424347/00/000</v>
          </cell>
          <cell r="AU1049">
            <v>45575</v>
          </cell>
          <cell r="AW1049">
            <v>31552</v>
          </cell>
          <cell r="AX1049" t="str">
            <v>Female</v>
          </cell>
          <cell r="AY1049" t="str">
            <v>Part Time</v>
          </cell>
          <cell r="AZ1049">
            <v>2</v>
          </cell>
          <cell r="BA1049" t="str">
            <v>Madhapur Cluster</v>
          </cell>
        </row>
        <row r="1050">
          <cell r="M1050" t="str">
            <v>Panjagutta-121</v>
          </cell>
          <cell r="N1050" t="str">
            <v>NA</v>
          </cell>
          <cell r="O1050" t="str">
            <v>Nuclear Medicine</v>
          </cell>
          <cell r="P1050" t="str">
            <v>Consultant Nuclear Medicine</v>
          </cell>
          <cell r="Q1050" t="str">
            <v>Dr Anuj Jain</v>
          </cell>
          <cell r="R1050">
            <v>45621</v>
          </cell>
          <cell r="S1050">
            <v>45621</v>
          </cell>
          <cell r="T1050">
            <v>45801</v>
          </cell>
          <cell r="U1050">
            <v>45802</v>
          </cell>
          <cell r="V1050">
            <v>2016</v>
          </cell>
          <cell r="W1050" t="str">
            <v>Christian Medical College, Vellore</v>
          </cell>
          <cell r="X1050">
            <v>2023</v>
          </cell>
          <cell r="Y1050" t="str">
            <v>Christian Medical College, Vellore</v>
          </cell>
          <cell r="Z1050" t="str">
            <v>NA</v>
          </cell>
          <cell r="AA1050" t="str">
            <v>MBBS, MD Nuclear Medicine</v>
          </cell>
          <cell r="AC1050" t="str">
            <v>Tamil Nadu Medical Council</v>
          </cell>
          <cell r="AF1050">
            <v>8179908183</v>
          </cell>
          <cell r="AG1050" t="str">
            <v>jemnayar@gmail.com</v>
          </cell>
          <cell r="AH1050" t="str">
            <v>STATE BANK OF INDIA</v>
          </cell>
          <cell r="AI1050" t="str">
            <v>32016231525</v>
          </cell>
          <cell r="AJ1050" t="str">
            <v>SBIN0001618</v>
          </cell>
          <cell r="AK1050" t="str">
            <v>BBFPN4892Q</v>
          </cell>
          <cell r="AL1050">
            <v>871077478213</v>
          </cell>
          <cell r="AM1050" t="str">
            <v>Shanti Swaroop Nayar</v>
          </cell>
          <cell r="AN1050">
            <v>45684</v>
          </cell>
          <cell r="AO1050" t="str">
            <v>NA</v>
          </cell>
          <cell r="AP1050" t="str">
            <v>relocating (Short working period)</v>
          </cell>
          <cell r="AQ1050" t="str">
            <v>10-1-35/A, Waltair Uplands, Andhra University, Visakhapatnam, Andhra Pradesh-530003.</v>
          </cell>
          <cell r="AR1050">
            <v>31</v>
          </cell>
          <cell r="AW1050">
            <v>34363</v>
          </cell>
          <cell r="AX1050" t="str">
            <v>Female</v>
          </cell>
          <cell r="AY1050" t="str">
            <v>Full Time</v>
          </cell>
          <cell r="AZ1050">
            <v>8</v>
          </cell>
          <cell r="BA1050" t="str">
            <v>Punjagutta Cluster</v>
          </cell>
        </row>
        <row r="1051">
          <cell r="M1051" t="str">
            <v>Nandyal - 48</v>
          </cell>
          <cell r="N1051" t="str">
            <v>N/A</v>
          </cell>
          <cell r="O1051" t="str">
            <v>Pathology</v>
          </cell>
          <cell r="P1051" t="str">
            <v>Consultant Pathologist</v>
          </cell>
          <cell r="Q1051" t="str">
            <v>Dr Ramesh Kinha</v>
          </cell>
          <cell r="R1051">
            <v>45404</v>
          </cell>
          <cell r="S1051">
            <v>45597</v>
          </cell>
          <cell r="T1051">
            <v>46133</v>
          </cell>
          <cell r="U1051">
            <v>46134</v>
          </cell>
          <cell r="V1051">
            <v>2017</v>
          </cell>
          <cell r="W1051" t="str">
            <v>Karuna Medical College</v>
          </cell>
          <cell r="X1051">
            <v>2023</v>
          </cell>
          <cell r="Y1051" t="str">
            <v>Kurnool Medical College</v>
          </cell>
          <cell r="Z1051" t="str">
            <v>NA</v>
          </cell>
          <cell r="AA1051" t="str">
            <v>MBBS,MD</v>
          </cell>
          <cell r="AB1051" t="str">
            <v>APMC/FMR/129204</v>
          </cell>
          <cell r="AC1051" t="str">
            <v>Andhra Pradesh Medical Council</v>
          </cell>
          <cell r="AD1051">
            <v>45327</v>
          </cell>
          <cell r="AE1051">
            <v>47153</v>
          </cell>
          <cell r="AF1051">
            <v>9539227349</v>
          </cell>
          <cell r="AG1051" t="str">
            <v>khadeeja7755@gmail.com</v>
          </cell>
          <cell r="AH1051" t="str">
            <v>Union Bank of India</v>
          </cell>
          <cell r="AI1051" t="str">
            <v>137910100107124</v>
          </cell>
          <cell r="AJ1051" t="str">
            <v>UBIN0813796</v>
          </cell>
          <cell r="AK1051" t="str">
            <v>BTNPT8655F</v>
          </cell>
          <cell r="AL1051">
            <v>937056840895</v>
          </cell>
          <cell r="AN1051">
            <v>45685</v>
          </cell>
          <cell r="AO1051" t="str">
            <v>NA</v>
          </cell>
          <cell r="AP1051" t="str">
            <v>Health issues (Notice period not served)</v>
          </cell>
          <cell r="AQ1051" t="str">
            <v>Thasneem House, Kannankadav, Kappad, Chemancheri, Kappad, Kozhikode, Kerala-673304.</v>
          </cell>
          <cell r="AR1051">
            <v>32</v>
          </cell>
          <cell r="AW1051">
            <v>33952</v>
          </cell>
          <cell r="AX1051" t="str">
            <v>Female</v>
          </cell>
          <cell r="AY1051" t="str">
            <v>Full Time</v>
          </cell>
          <cell r="AZ1051">
            <v>8</v>
          </cell>
          <cell r="BA1051" t="str">
            <v>Kurnool Cluster</v>
          </cell>
        </row>
        <row r="1052">
          <cell r="M1052" t="str">
            <v>Santosh Nagar-15</v>
          </cell>
          <cell r="N1052" t="str">
            <v>N/A</v>
          </cell>
          <cell r="O1052" t="str">
            <v>Pathology</v>
          </cell>
          <cell r="P1052" t="str">
            <v>Consultant Pathologist</v>
          </cell>
          <cell r="Q1052" t="str">
            <v>Dr. PTS. Shashikanth</v>
          </cell>
          <cell r="R1052">
            <v>45411</v>
          </cell>
          <cell r="S1052">
            <v>45411</v>
          </cell>
          <cell r="T1052">
            <v>46140</v>
          </cell>
          <cell r="U1052">
            <v>46141</v>
          </cell>
          <cell r="V1052">
            <v>2014</v>
          </cell>
          <cell r="W1052" t="str">
            <v>Dr. NTR University</v>
          </cell>
          <cell r="X1052">
            <v>2021</v>
          </cell>
          <cell r="Y1052" t="str">
            <v>Kaloji Narayana Rao University of Health Sciences - 2021</v>
          </cell>
          <cell r="Z1052" t="str">
            <v>NA</v>
          </cell>
          <cell r="AA1052" t="str">
            <v>MBBS,MD</v>
          </cell>
          <cell r="AB1052" t="str">
            <v>APMC/FMR/85330</v>
          </cell>
          <cell r="AC1052" t="str">
            <v>Telangana State Medical Council</v>
          </cell>
          <cell r="AD1052">
            <v>44455</v>
          </cell>
          <cell r="AE1052">
            <v>46280</v>
          </cell>
          <cell r="AF1052" t="str">
            <v>7013368405, 9849073033</v>
          </cell>
          <cell r="AG1052" t="str">
            <v>shahmeensaba@gmail.com</v>
          </cell>
          <cell r="AH1052" t="str">
            <v>ICICI Bank</v>
          </cell>
          <cell r="AI1052" t="str">
            <v>236001517316</v>
          </cell>
          <cell r="AJ1052" t="str">
            <v>ICIC0002360</v>
          </cell>
          <cell r="AK1052" t="str">
            <v>HEOPS5614M</v>
          </cell>
          <cell r="AL1052">
            <v>203880360616</v>
          </cell>
          <cell r="AN1052">
            <v>45413</v>
          </cell>
          <cell r="AQ1052" t="str">
            <v>16-7-376/1, Azampura, Saidabad, Sahifa, Hyderabad, Telangana - 500024</v>
          </cell>
          <cell r="AS1052" t="str">
            <v>16-7-376/1, Azampura, Saidabad, Sahifa, Hyderabad, Telangana - 500024</v>
          </cell>
          <cell r="AU1052">
            <v>0.45833333333333331</v>
          </cell>
          <cell r="AV1052">
            <v>0.54166666666666663</v>
          </cell>
          <cell r="AW1052">
            <v>32075</v>
          </cell>
          <cell r="AX1052" t="str">
            <v>Female</v>
          </cell>
          <cell r="AY1052" t="str">
            <v>Part Time</v>
          </cell>
          <cell r="AZ1052">
            <v>2</v>
          </cell>
          <cell r="BA1052" t="str">
            <v>Santosh Nagar Cluster</v>
          </cell>
        </row>
        <row r="1053">
          <cell r="M1053" t="str">
            <v>Kurnool - 43</v>
          </cell>
          <cell r="N1053" t="str">
            <v>Basic USG, Basic CT, Basic MRI, MRI(Brain &amp; Spine), MRI Screening,CT(Brain &amp; PNS), Doppler, Tiffa, FNAC, Foetal Echo, Guided Procedures, X Ray, Plain Radiography, IVP, RGU, MCUG, Barium Swallow, Barium Anema, HSG.
(Can do USG, TIFFA, Doppler,CT, MRI)</v>
          </cell>
          <cell r="O1053" t="str">
            <v>Radiology</v>
          </cell>
          <cell r="P1053" t="str">
            <v>Consultant Radiologist</v>
          </cell>
          <cell r="Q1053" t="str">
            <v>Dr Krishna Mohan Pottala</v>
          </cell>
          <cell r="R1053">
            <v>45313</v>
          </cell>
          <cell r="S1053">
            <v>45313</v>
          </cell>
          <cell r="T1053">
            <v>46043</v>
          </cell>
          <cell r="U1053">
            <v>46044</v>
          </cell>
          <cell r="V1053">
            <v>2016</v>
          </cell>
          <cell r="W1053" t="str">
            <v>Siddhartha Medical College, Vijayawada</v>
          </cell>
          <cell r="X1053">
            <v>2021</v>
          </cell>
          <cell r="Y1053" t="str">
            <v>Sri Venkateswara Institute of Medical Sciences (SVIMS) Tirupati.</v>
          </cell>
          <cell r="Z1053" t="str">
            <v>NA</v>
          </cell>
          <cell r="AA1053" t="str">
            <v>MBBS,MD</v>
          </cell>
          <cell r="AB1053" t="str">
            <v>APMC/FMR/96204</v>
          </cell>
          <cell r="AC1053" t="str">
            <v>Andhra Pradesh Medical Council</v>
          </cell>
          <cell r="AD1053">
            <v>44728</v>
          </cell>
          <cell r="AE1053">
            <v>46553</v>
          </cell>
          <cell r="AF1053">
            <v>7207364736</v>
          </cell>
          <cell r="AG1053" t="str">
            <v>drmvishnumdrd@gmail.com</v>
          </cell>
          <cell r="AH1053" t="str">
            <v>HDFC Bank</v>
          </cell>
          <cell r="AI1053" t="str">
            <v>50100683919255</v>
          </cell>
          <cell r="AJ1053" t="str">
            <v>HDFC0000742</v>
          </cell>
          <cell r="AK1053" t="str">
            <v>CBPPM1662N</v>
          </cell>
          <cell r="AL1053">
            <v>331391264725</v>
          </cell>
          <cell r="AN1053">
            <v>45686</v>
          </cell>
          <cell r="AO1053" t="str">
            <v>NA</v>
          </cell>
          <cell r="AP1053" t="str">
            <v>relocating</v>
          </cell>
          <cell r="AQ1053" t="str">
            <v>2-1656/1 LBS Road, Pileru, Chittoor, Andhra Pradesh - 517214</v>
          </cell>
          <cell r="AR1053">
            <v>32</v>
          </cell>
          <cell r="AW1053">
            <v>34053</v>
          </cell>
          <cell r="AX1053" t="str">
            <v>Male</v>
          </cell>
          <cell r="AY1053" t="str">
            <v>Full Time</v>
          </cell>
          <cell r="AZ1053">
            <v>8</v>
          </cell>
          <cell r="BA1053" t="str">
            <v>Kurnool Cluster</v>
          </cell>
        </row>
        <row r="1054">
          <cell r="M1054" t="str">
            <v>Chintal - 62</v>
          </cell>
          <cell r="N1054" t="str">
            <v>Basic USG, Doppler Studies, Thyroid/Scrotum USG, Breast USG, Tiffa, MSK USG, Penile Doppler, TRUS, USG Guided FNAC, USG guided Trucut biopsy, USG Guided Aspiration, Breast Biopsy, Guided Procedures, Basic CT, Chest/ Abdomen/Neck, 3DCT, CT Angiography, Basic MRI, X Ray, Plain Radiography, Mammography, IVP, RGU, MCUG , Barium Swallow, Barium Anema, HSG.</v>
          </cell>
          <cell r="O1054" t="str">
            <v>Radiology</v>
          </cell>
          <cell r="P1054" t="str">
            <v>Consultant Radiologist</v>
          </cell>
          <cell r="Q1054" t="str">
            <v>Dr.Krishna Mohan</v>
          </cell>
          <cell r="R1054">
            <v>45414</v>
          </cell>
          <cell r="S1054">
            <v>45414</v>
          </cell>
          <cell r="T1054">
            <v>46143</v>
          </cell>
          <cell r="U1054">
            <v>46144</v>
          </cell>
          <cell r="V1054">
            <v>2014</v>
          </cell>
          <cell r="W1054" t="str">
            <v>Kurnool Medical College</v>
          </cell>
          <cell r="X1054">
            <v>2018</v>
          </cell>
          <cell r="Y1054" t="str">
            <v>Gujarat MRI Centre P Ltd</v>
          </cell>
          <cell r="Z1054" t="str">
            <v>NA</v>
          </cell>
          <cell r="AA1054" t="str">
            <v>MBBS, DNB</v>
          </cell>
          <cell r="AB1054" t="str">
            <v>APMC/FMR/88367</v>
          </cell>
          <cell r="AC1054" t="str">
            <v>Andhra Pradesh Medical Council</v>
          </cell>
          <cell r="AF1054">
            <v>9177880430</v>
          </cell>
          <cell r="AG1054" t="str">
            <v>karthuviking@gmail.com</v>
          </cell>
          <cell r="AH1054" t="str">
            <v>HDFC Bank</v>
          </cell>
          <cell r="AI1054" t="str">
            <v>50100073289500</v>
          </cell>
          <cell r="AJ1054" t="str">
            <v>HDFC0000214</v>
          </cell>
          <cell r="AK1054" t="str">
            <v>DRRPK7330A</v>
          </cell>
          <cell r="AL1054">
            <v>859782197136</v>
          </cell>
          <cell r="AQ1054" t="str">
            <v>Villa No. 21, Triton S Environ Bahadurpally Road, Dundigal Gandimaisamma, Medchal, Telangana - 500043</v>
          </cell>
          <cell r="AU1054">
            <v>0.375</v>
          </cell>
          <cell r="AV1054">
            <v>0.54166666666666663</v>
          </cell>
          <cell r="AW1054">
            <v>32774</v>
          </cell>
          <cell r="AX1054" t="str">
            <v>Male</v>
          </cell>
          <cell r="AY1054" t="str">
            <v>Part Time</v>
          </cell>
          <cell r="AZ1054">
            <v>4</v>
          </cell>
          <cell r="BA1054" t="str">
            <v>Secunderabad Cluster</v>
          </cell>
        </row>
        <row r="1055">
          <cell r="M1055" t="str">
            <v>Karmanghat - 68</v>
          </cell>
          <cell r="N1055" t="str">
            <v>Basic USG, Doppler Studies, Thyroid/Scrotum USG, Breast USG,Breast Biopsy, TRUS guided Biopsy Tiffa, MSK USG, USG Guided FNAC,  USG Guided Aspiration, Guided Procedures, Basic CT, Chest/Abdomen/ Neck, 3DCT, CT Angiography,Coronary CT, CT Guided Biopsy,  MRI MRCP /Abdomen / liver, MR Prostate / rectum  X Ray,Basic &amp; Advanced Plain Radiography, IVP,  RGU, MCUG , Barium Swallow, Barium Anema, HSG. Plain Radiography basic advance, Mammography.</v>
          </cell>
          <cell r="O1055" t="str">
            <v>Radiology</v>
          </cell>
          <cell r="P1055" t="str">
            <v>Consultant Radiologist</v>
          </cell>
          <cell r="Q1055" t="str">
            <v>Dr Krishna Mohan Pottala</v>
          </cell>
          <cell r="R1055">
            <v>45450</v>
          </cell>
          <cell r="S1055">
            <v>45450</v>
          </cell>
          <cell r="T1055">
            <v>46179</v>
          </cell>
          <cell r="U1055">
            <v>46180</v>
          </cell>
          <cell r="V1055">
            <v>2018</v>
          </cell>
          <cell r="W1055" t="str">
            <v xml:space="preserve">Mediciti Institute of Medical Sciences </v>
          </cell>
          <cell r="X1055">
            <v>2021</v>
          </cell>
          <cell r="Y1055" t="str">
            <v>Nizams institute of medical sciences, Hyderabad</v>
          </cell>
          <cell r="Z1055" t="str">
            <v>NA</v>
          </cell>
          <cell r="AA1055" t="str">
            <v>MBBS, MD</v>
          </cell>
          <cell r="AB1055" t="str">
            <v>TSMC/FMR/08818</v>
          </cell>
          <cell r="AC1055" t="str">
            <v>Telangana State Medical Council</v>
          </cell>
          <cell r="AD1055">
            <v>45474</v>
          </cell>
          <cell r="AE1055">
            <v>47299</v>
          </cell>
          <cell r="AF1055">
            <v>8125230774</v>
          </cell>
          <cell r="AG1055" t="str">
            <v>yakshithmbbs@gmail.com</v>
          </cell>
          <cell r="AH1055" t="str">
            <v>Union Bank of India</v>
          </cell>
          <cell r="AI1055">
            <v>107910100069152</v>
          </cell>
          <cell r="AJ1055" t="str">
            <v>UBIN0810797</v>
          </cell>
          <cell r="AK1055" t="str">
            <v>KDCPS2940N</v>
          </cell>
          <cell r="AL1055" t="str">
            <v>596178208972</v>
          </cell>
          <cell r="AM1055" t="str">
            <v>S Nageshwar Sharma</v>
          </cell>
          <cell r="AN1055">
            <v>45688</v>
          </cell>
          <cell r="AO1055">
            <v>45642</v>
          </cell>
          <cell r="AP1055" t="str">
            <v>Higher education</v>
          </cell>
          <cell r="AQ1055" t="str">
            <v>H No, 5-4-1596/1 Sharad nagar, Vanasthalipuram, Hyderabad, TS - 500070</v>
          </cell>
          <cell r="AR1055">
            <v>30</v>
          </cell>
          <cell r="AW1055">
            <v>34711</v>
          </cell>
          <cell r="AX1055" t="str">
            <v>Male</v>
          </cell>
          <cell r="AY1055" t="str">
            <v>Part Time</v>
          </cell>
          <cell r="AZ1055">
            <v>4</v>
          </cell>
          <cell r="BA1055" t="str">
            <v>Santosh Nagar Cluster</v>
          </cell>
        </row>
        <row r="1056">
          <cell r="M1056" t="str">
            <v>Ameerpet - 14</v>
          </cell>
          <cell r="N1056" t="str">
            <v>N/A</v>
          </cell>
          <cell r="O1056" t="str">
            <v>Physician Services</v>
          </cell>
          <cell r="P1056" t="str">
            <v>Consultant Physician</v>
          </cell>
          <cell r="Q1056" t="str">
            <v>N/A</v>
          </cell>
          <cell r="R1056">
            <v>45422</v>
          </cell>
          <cell r="S1056">
            <v>45422</v>
          </cell>
          <cell r="T1056">
            <v>46151</v>
          </cell>
          <cell r="U1056">
            <v>46152</v>
          </cell>
          <cell r="V1056">
            <v>2023</v>
          </cell>
          <cell r="W1056" t="str">
            <v>SVS Medical College</v>
          </cell>
          <cell r="X1056" t="str">
            <v>N/A</v>
          </cell>
          <cell r="Y1056" t="str">
            <v>N/A</v>
          </cell>
          <cell r="Z1056" t="str">
            <v>NA</v>
          </cell>
          <cell r="AA1056" t="str">
            <v>MBBS</v>
          </cell>
          <cell r="AB1056" t="str">
            <v>TSMC/PMR/18467</v>
          </cell>
          <cell r="AC1056" t="str">
            <v>Telangana State Medical Council</v>
          </cell>
          <cell r="AD1056">
            <v>44862</v>
          </cell>
          <cell r="AE1056">
            <v>46687</v>
          </cell>
          <cell r="AF1056">
            <v>8688293062</v>
          </cell>
          <cell r="AG1056" t="str">
            <v>laharic9999@gmail.com</v>
          </cell>
          <cell r="AK1056" t="str">
            <v>BMRPT5537P</v>
          </cell>
          <cell r="AL1056">
            <v>346215165443</v>
          </cell>
          <cell r="AN1056">
            <v>45430</v>
          </cell>
          <cell r="AO1056" t="str">
            <v>NA</v>
          </cell>
          <cell r="AP1056" t="str">
            <v>Abscond</v>
          </cell>
          <cell r="AQ1056" t="str">
            <v>4-4-24/2/171, Rickshaw Colony, Adilabad, Telangana - 504001</v>
          </cell>
          <cell r="AS1056" t="str">
            <v>4-4-24/2/171, Rickshaw Colony, Adilabad, Telangana - 504001</v>
          </cell>
          <cell r="AU1056">
            <v>0.35416666666666669</v>
          </cell>
          <cell r="AV1056">
            <v>0.4375</v>
          </cell>
          <cell r="AW1056">
            <v>36383</v>
          </cell>
          <cell r="AX1056" t="str">
            <v>Female</v>
          </cell>
          <cell r="AY1056" t="str">
            <v>Part Time</v>
          </cell>
          <cell r="AZ1056">
            <v>2</v>
          </cell>
          <cell r="BA1056" t="str">
            <v>Himayathnagar Cluster</v>
          </cell>
        </row>
        <row r="1057">
          <cell r="M1057" t="str">
            <v>Kurnool - 43</v>
          </cell>
          <cell r="N1057" t="str">
            <v>X-Ray (Plain Radiography-Basic,Advanced,Mammography), USG(Basic,Doppler Studies,Thyroid/Scrotum USG, Breast USG, TIFFA, Foetal Echo, USG Guided FNAC, USG Guided Aspiration), CT (Basic, CT Angiography), MRI ( Basic), Special Procedures (RGU,MCUG, Enema, HSG)</v>
          </cell>
          <cell r="O1057" t="str">
            <v>Radiology</v>
          </cell>
          <cell r="P1057" t="str">
            <v>Consultant Radiologist</v>
          </cell>
          <cell r="Q1057" t="str">
            <v>Dr Krishna Mohan Pottala</v>
          </cell>
          <cell r="R1057">
            <v>45474</v>
          </cell>
          <cell r="S1057">
            <v>45474</v>
          </cell>
          <cell r="T1057">
            <v>46203</v>
          </cell>
          <cell r="U1057">
            <v>46204</v>
          </cell>
          <cell r="V1057">
            <v>2013</v>
          </cell>
          <cell r="W1057" t="str">
            <v>Government Medical College, Anantapur</v>
          </cell>
          <cell r="X1057">
            <v>2019</v>
          </cell>
          <cell r="Y1057" t="str">
            <v>Rajiv Gandhi University of Health Sciences</v>
          </cell>
          <cell r="Z1057" t="str">
            <v>NA</v>
          </cell>
          <cell r="AA1057" t="str">
            <v>MBBS,MD-Radio Diagnosis</v>
          </cell>
          <cell r="AB1057" t="str">
            <v>APMC/FMR/85091</v>
          </cell>
          <cell r="AC1057" t="str">
            <v>Andhra Pradesh Medical Council</v>
          </cell>
          <cell r="AD1057">
            <v>45516</v>
          </cell>
          <cell r="AE1057">
            <v>46976</v>
          </cell>
          <cell r="AF1057" t="str">
            <v xml:space="preserve">9440512520 , 8073866241 </v>
          </cell>
          <cell r="AG1057" t="str">
            <v>nivedithak.kodali@gmail.com</v>
          </cell>
          <cell r="AH1057" t="str">
            <v>STATE BANK OF INDIA</v>
          </cell>
          <cell r="AI1057" t="str">
            <v>20130866641</v>
          </cell>
          <cell r="AJ1057" t="str">
            <v>SBIN0012719</v>
          </cell>
          <cell r="AK1057" t="str">
            <v>BBVPN7382R</v>
          </cell>
          <cell r="AL1057" t="str">
            <v>953314638817</v>
          </cell>
          <cell r="AM1057" t="str">
            <v>Kodali Muralidhara Rao</v>
          </cell>
          <cell r="AN1057">
            <v>45688</v>
          </cell>
          <cell r="AO1057">
            <v>45628</v>
          </cell>
          <cell r="AP1057" t="str">
            <v>Personal reasons</v>
          </cell>
          <cell r="AR1057">
            <v>34</v>
          </cell>
          <cell r="AW1057">
            <v>33433</v>
          </cell>
          <cell r="AX1057" t="str">
            <v>Female</v>
          </cell>
          <cell r="AY1057" t="str">
            <v>Part Time</v>
          </cell>
          <cell r="AZ1057">
            <v>4</v>
          </cell>
          <cell r="BA1057" t="str">
            <v>Kurnool Cluster</v>
          </cell>
        </row>
        <row r="1058">
          <cell r="M1058" t="str">
            <v>Mehdipatnam - 8</v>
          </cell>
          <cell r="N1058" t="str">
            <v>NA</v>
          </cell>
          <cell r="O1058" t="str">
            <v>Physician Services</v>
          </cell>
          <cell r="P1058" t="str">
            <v>Consultant Physician</v>
          </cell>
          <cell r="Q1058" t="str">
            <v>NA</v>
          </cell>
          <cell r="R1058">
            <v>45546</v>
          </cell>
          <cell r="S1058">
            <v>45546</v>
          </cell>
          <cell r="T1058">
            <v>46275</v>
          </cell>
          <cell r="U1058">
            <v>46276</v>
          </cell>
          <cell r="V1058">
            <v>2022</v>
          </cell>
          <cell r="W1058" t="str">
            <v>Gandhi Medical College</v>
          </cell>
          <cell r="X1058" t="str">
            <v>NA</v>
          </cell>
          <cell r="Y1058" t="str">
            <v>NA</v>
          </cell>
          <cell r="Z1058" t="str">
            <v>NA</v>
          </cell>
          <cell r="AA1058" t="str">
            <v>MBBS</v>
          </cell>
          <cell r="AB1058" t="str">
            <v>TSMC/FMR/27248</v>
          </cell>
          <cell r="AC1058" t="str">
            <v>Telangana State Medical Council</v>
          </cell>
          <cell r="AD1058">
            <v>45216</v>
          </cell>
          <cell r="AE1058">
            <v>47042</v>
          </cell>
          <cell r="AF1058">
            <v>9121771863</v>
          </cell>
          <cell r="AG1058" t="str">
            <v>sarfarzshaik191099@gmail.com</v>
          </cell>
          <cell r="AH1058" t="str">
            <v>STATE BANK OF INDIA</v>
          </cell>
          <cell r="AI1058" t="str">
            <v>38487438368</v>
          </cell>
          <cell r="AJ1058" t="str">
            <v>SBIN0008995</v>
          </cell>
          <cell r="AK1058" t="str">
            <v>LBLPS4238K</v>
          </cell>
          <cell r="AL1058">
            <v>361529315785</v>
          </cell>
          <cell r="AM1058" t="str">
            <v>Shaik Sardar</v>
          </cell>
          <cell r="AN1058">
            <v>45688</v>
          </cell>
          <cell r="AO1058">
            <v>45657</v>
          </cell>
          <cell r="AP1058" t="str">
            <v>Higher Studies</v>
          </cell>
          <cell r="AQ1058" t="str">
            <v>Plot No. 165, Road No.7, Jana Chaitanya Colony, Golden Heights Colony, Attapur, Rajendra Nagar, Hyderabad, Hederabad, Telangana-500030.</v>
          </cell>
          <cell r="AR1058">
            <v>25</v>
          </cell>
          <cell r="AW1058">
            <v>36452</v>
          </cell>
          <cell r="AX1058" t="str">
            <v>Male</v>
          </cell>
          <cell r="AY1058" t="str">
            <v>Part Time</v>
          </cell>
          <cell r="AZ1058">
            <v>1</v>
          </cell>
          <cell r="BA1058" t="str">
            <v>Tolichowki Cluster</v>
          </cell>
        </row>
        <row r="1059">
          <cell r="M1059" t="str">
            <v>Lothukunta-90</v>
          </cell>
          <cell r="N1059" t="str">
            <v>X-Ray( Plain Radiography-Basic, Plain Radiography-Advanced, Mammography), Usg(Basic, Doppler Studies, Thyroid/Scrotum USG, Breast USG, TIFFA, MSK USG, USG Guided FNAC,USG Guided Aspiration), CT ( Basic, Chest/Abdomen/Neck) MRI(Basic), Special Procedures (IVP, RGU, MCUG, Barium Swallow, Barium Enema, HSG)</v>
          </cell>
          <cell r="O1059" t="str">
            <v>Radiology</v>
          </cell>
          <cell r="P1059" t="str">
            <v>Consultant Radiologist</v>
          </cell>
          <cell r="Q1059" t="str">
            <v>Dr Krishna Mohan Pottala</v>
          </cell>
          <cell r="R1059">
            <v>45572</v>
          </cell>
          <cell r="S1059">
            <v>45572</v>
          </cell>
          <cell r="T1059">
            <v>46301</v>
          </cell>
          <cell r="U1059">
            <v>46302</v>
          </cell>
          <cell r="V1059">
            <v>2019</v>
          </cell>
          <cell r="W1059" t="str">
            <v>Gandhi Medical College</v>
          </cell>
          <cell r="X1059">
            <v>2023</v>
          </cell>
          <cell r="Y1059" t="str">
            <v>Apollo Medical College</v>
          </cell>
          <cell r="Z1059" t="str">
            <v>NA</v>
          </cell>
          <cell r="AA1059" t="str">
            <v>MBBS, MD Radio diagnosis</v>
          </cell>
          <cell r="AB1059" t="str">
            <v>TSMC/FMR/09748</v>
          </cell>
          <cell r="AC1059" t="str">
            <v>Telangana State Medical Council</v>
          </cell>
          <cell r="AD1059">
            <v>45167</v>
          </cell>
          <cell r="AE1059">
            <v>46993</v>
          </cell>
          <cell r="AF1059">
            <v>8008047489</v>
          </cell>
          <cell r="AG1059" t="str">
            <v>nikitha0712@gmail.com</v>
          </cell>
          <cell r="AH1059" t="str">
            <v>STATE BANK OF INDIA</v>
          </cell>
          <cell r="AI1059" t="str">
            <v>20308216912</v>
          </cell>
          <cell r="AJ1059" t="str">
            <v>SBIN0011667</v>
          </cell>
          <cell r="AK1059" t="str">
            <v>BSIPG9814R</v>
          </cell>
          <cell r="AL1059">
            <v>831166665626</v>
          </cell>
          <cell r="AM1059" t="str">
            <v>Suresh Gaddam</v>
          </cell>
          <cell r="AN1059">
            <v>45688</v>
          </cell>
          <cell r="AO1059" t="str">
            <v>NA</v>
          </cell>
          <cell r="AP1059" t="str">
            <v>Timings ( Notice not served)</v>
          </cell>
          <cell r="AQ1059" t="str">
            <v>17-1-391/V/66, Saraswathi Nagar, Near Saeaswathi Shishu Mandir, Saidabad, Hyderabad, Telangana- 500059.</v>
          </cell>
          <cell r="AR1059">
            <v>29</v>
          </cell>
          <cell r="AW1059">
            <v>35040</v>
          </cell>
          <cell r="AX1059" t="str">
            <v>Female</v>
          </cell>
          <cell r="AY1059" t="str">
            <v>Part Time</v>
          </cell>
          <cell r="AZ1059">
            <v>2</v>
          </cell>
          <cell r="BA1059" t="str">
            <v>Secunderabad Cluster</v>
          </cell>
        </row>
        <row r="1060">
          <cell r="M1060" t="str">
            <v>Attapur - 34</v>
          </cell>
          <cell r="N1060" t="str">
            <v>NA</v>
          </cell>
          <cell r="O1060" t="str">
            <v>Physician Services</v>
          </cell>
          <cell r="P1060" t="str">
            <v>Consultant Physician</v>
          </cell>
          <cell r="Q1060" t="str">
            <v>NA</v>
          </cell>
          <cell r="R1060">
            <v>45642</v>
          </cell>
          <cell r="S1060">
            <v>45642</v>
          </cell>
          <cell r="T1060">
            <v>46371</v>
          </cell>
          <cell r="U1060">
            <v>46372</v>
          </cell>
          <cell r="V1060">
            <v>2022</v>
          </cell>
          <cell r="W1060" t="str">
            <v>Gandhi Medical College</v>
          </cell>
          <cell r="X1060" t="str">
            <v>NA</v>
          </cell>
          <cell r="Y1060" t="str">
            <v>NA</v>
          </cell>
          <cell r="Z1060" t="str">
            <v>NA</v>
          </cell>
          <cell r="AA1060" t="str">
            <v>MBBS</v>
          </cell>
          <cell r="AB1060" t="str">
            <v>TSMC/FMR/27248</v>
          </cell>
          <cell r="AC1060" t="str">
            <v>Telangana State Medical Council</v>
          </cell>
          <cell r="AD1060">
            <v>45216</v>
          </cell>
          <cell r="AE1060">
            <v>47042</v>
          </cell>
          <cell r="AF1060">
            <v>9121771863</v>
          </cell>
          <cell r="AG1060" t="str">
            <v>sarfarzshaik191099@gmail.com</v>
          </cell>
          <cell r="AH1060" t="str">
            <v>STATE BANK OF INDIA</v>
          </cell>
          <cell r="AI1060" t="str">
            <v>38487438368</v>
          </cell>
          <cell r="AJ1060" t="str">
            <v>SBIN0008995</v>
          </cell>
          <cell r="AK1060" t="str">
            <v>LBLPS4238K</v>
          </cell>
          <cell r="AL1060">
            <v>361529315785</v>
          </cell>
          <cell r="AM1060" t="str">
            <v>Shaik Sardar</v>
          </cell>
          <cell r="AN1060">
            <v>45688</v>
          </cell>
          <cell r="AO1060">
            <v>45657</v>
          </cell>
          <cell r="AP1060" t="str">
            <v>Higher Studies</v>
          </cell>
          <cell r="AQ1060" t="str">
            <v>Plot No. 165, Road No.7, Jana Chaitanya Colony, Golden Heights Colony, Attapur, Rajendra Nagar, Hyderabad, Hederabad, Telangana-500030.</v>
          </cell>
          <cell r="AR1060">
            <v>25</v>
          </cell>
          <cell r="AW1060">
            <v>36452</v>
          </cell>
          <cell r="AX1060" t="str">
            <v>Male</v>
          </cell>
          <cell r="AY1060" t="str">
            <v>Part Time</v>
          </cell>
          <cell r="AZ1060">
            <v>1</v>
          </cell>
          <cell r="BA1060" t="str">
            <v>Tolichowki Cluster</v>
          </cell>
        </row>
        <row r="1061">
          <cell r="M1061" t="str">
            <v>Tolichowki - 23</v>
          </cell>
          <cell r="N1061" t="str">
            <v>N/A</v>
          </cell>
          <cell r="O1061" t="str">
            <v>Physician Services</v>
          </cell>
          <cell r="P1061" t="str">
            <v>Consultant Physician</v>
          </cell>
          <cell r="Q1061" t="str">
            <v>NA</v>
          </cell>
          <cell r="R1061">
            <v>45425</v>
          </cell>
          <cell r="S1061">
            <v>45425</v>
          </cell>
          <cell r="T1061">
            <v>46154</v>
          </cell>
          <cell r="U1061">
            <v>46155</v>
          </cell>
          <cell r="V1061">
            <v>2022</v>
          </cell>
          <cell r="W1061" t="str">
            <v>Shadan Institute of Medical Sciences</v>
          </cell>
          <cell r="X1061" t="str">
            <v>N/A</v>
          </cell>
          <cell r="Y1061" t="str">
            <v>N/A</v>
          </cell>
          <cell r="Z1061" t="str">
            <v>NA</v>
          </cell>
          <cell r="AA1061" t="str">
            <v>MBBS</v>
          </cell>
          <cell r="AB1061" t="str">
            <v>TSMS/FMR/23057</v>
          </cell>
          <cell r="AC1061" t="str">
            <v>Telangana State Medical Council</v>
          </cell>
          <cell r="AD1061">
            <v>44865</v>
          </cell>
          <cell r="AE1061">
            <v>46690</v>
          </cell>
          <cell r="AF1061">
            <v>9705907625</v>
          </cell>
          <cell r="AG1061" t="str">
            <v>shehlatouheed@gmail.com</v>
          </cell>
          <cell r="AH1061" t="str">
            <v>STATE BANK OF INDIA</v>
          </cell>
          <cell r="AI1061">
            <v>43040777207</v>
          </cell>
          <cell r="AJ1061" t="str">
            <v>SBIN0005095</v>
          </cell>
          <cell r="AK1061" t="str">
            <v>KWVPS2561F</v>
          </cell>
          <cell r="AL1061">
            <v>535771061282</v>
          </cell>
          <cell r="AN1061">
            <v>45694</v>
          </cell>
          <cell r="AO1061">
            <v>45666</v>
          </cell>
          <cell r="AP1061" t="str">
            <v>Studies purpose</v>
          </cell>
          <cell r="AQ1061" t="str">
            <v>H No 9-4-131/1/N37  Neeraja colony tolichowki Golconda Hyderabad, 500008</v>
          </cell>
          <cell r="AR1061">
            <v>28</v>
          </cell>
          <cell r="AW1061">
            <v>35683</v>
          </cell>
          <cell r="AX1061" t="str">
            <v>Female</v>
          </cell>
          <cell r="AY1061" t="str">
            <v>Part Time</v>
          </cell>
          <cell r="AZ1061">
            <v>1</v>
          </cell>
          <cell r="BA1061" t="str">
            <v>Tolichowki Cluster</v>
          </cell>
        </row>
        <row r="1062">
          <cell r="M1062" t="str">
            <v>Balapur - 63</v>
          </cell>
          <cell r="N1062" t="str">
            <v>X-Ray (Plain Radiography -  Basic, Advanced), USG ( Basic, Doppler Studies, Throid / Scrotum USG, Breast USG, TIFFA, USG Guided FNAC, USG Guided Aspiration, CT (Basic, Chest/ Abdomen / Neck), Special Procedures ( IVP, RGU, MCUG, Barium Swallow, Barium Enema, HSG)</v>
          </cell>
          <cell r="O1062" t="str">
            <v>Radiology</v>
          </cell>
          <cell r="P1062" t="str">
            <v>Consultant Radiologist</v>
          </cell>
          <cell r="Q1062" t="str">
            <v>Dr Krishna Mohan Pottala</v>
          </cell>
          <cell r="R1062">
            <v>45677</v>
          </cell>
          <cell r="S1062">
            <v>45677</v>
          </cell>
          <cell r="T1062">
            <v>46406</v>
          </cell>
          <cell r="U1062">
            <v>46407</v>
          </cell>
          <cell r="V1062">
            <v>2017</v>
          </cell>
          <cell r="W1062" t="str">
            <v>Navodaya Medical College</v>
          </cell>
          <cell r="X1062">
            <v>2023</v>
          </cell>
          <cell r="Y1062" t="str">
            <v>Chalmeda Anand Rao Institute of Medical Sciences</v>
          </cell>
          <cell r="Z1062" t="str">
            <v>NA</v>
          </cell>
          <cell r="AA1062" t="str">
            <v>MBBS, MD - Radio Diagnosis</v>
          </cell>
          <cell r="AB1062" t="str">
            <v>TSMC/FMR/02504</v>
          </cell>
          <cell r="AC1062" t="str">
            <v>Telangana State Medical Council</v>
          </cell>
          <cell r="AD1062">
            <v>45650</v>
          </cell>
          <cell r="AE1062">
            <v>47475</v>
          </cell>
          <cell r="AF1062">
            <v>8951374426</v>
          </cell>
          <cell r="AG1062" t="str">
            <v>rishi.kolan1003@gmail.com</v>
          </cell>
          <cell r="AH1062" t="str">
            <v>Kotak Mahindra Bank</v>
          </cell>
          <cell r="AI1062" t="str">
            <v>777010019872</v>
          </cell>
          <cell r="AJ1062" t="str">
            <v>KKBK0007476</v>
          </cell>
          <cell r="AK1062" t="str">
            <v>FIXPK7973J</v>
          </cell>
          <cell r="AL1062">
            <v>885992719888</v>
          </cell>
          <cell r="AM1062" t="str">
            <v>Mehender Reddy Kolan</v>
          </cell>
          <cell r="AN1062">
            <v>45695</v>
          </cell>
          <cell r="AO1062" t="str">
            <v>NA</v>
          </cell>
          <cell r="AP1062" t="str">
            <v xml:space="preserve">Personal reasons </v>
          </cell>
          <cell r="AQ1062" t="str">
            <v>6-72, Kapu Gadda, Beside Govt Junior College, Shamshabad, KV Rangareddy, Telangana - 501218.</v>
          </cell>
          <cell r="AR1062">
            <v>33</v>
          </cell>
          <cell r="AW1062">
            <v>33673</v>
          </cell>
          <cell r="AX1062" t="str">
            <v>Male</v>
          </cell>
          <cell r="AY1062" t="str">
            <v>Full Time</v>
          </cell>
          <cell r="AZ1062">
            <v>8</v>
          </cell>
          <cell r="BA1062" t="str">
            <v>Santosh Nagar Cluster</v>
          </cell>
        </row>
        <row r="1063">
          <cell r="M1063" t="str">
            <v>Himayatnagar</v>
          </cell>
          <cell r="N1063" t="str">
            <v>Basic USG, Doppler Studies, Thyroid/Scrotum USG, Breast USG,Breast Biopsy, TRUS guided Biopsy Tiffa, Penile Droppler, USG Guided FNAC,  USG Guided Aspiration, Guided Procedures, Basic CT, Chest/Abdomen/ Neck, 3DCT, CT Angiography, Virtual Bronchoscopy CT Guided Biopsy, Basic MRI,Brain &amp; Spine, X Ray,Basic &amp; Advanced Plain Radiography, IVP,  RGU, MCUG , Barium Swallow, Barium Anema, HSG.</v>
          </cell>
          <cell r="O1063" t="str">
            <v>Radiology</v>
          </cell>
          <cell r="P1063" t="str">
            <v>Consultant Radiologist</v>
          </cell>
          <cell r="Q1063" t="str">
            <v>Dr. Krishna Mohan Pottala</v>
          </cell>
          <cell r="R1063">
            <v>45441</v>
          </cell>
          <cell r="S1063">
            <v>45441</v>
          </cell>
          <cell r="T1063">
            <v>46170</v>
          </cell>
          <cell r="U1063">
            <v>46171</v>
          </cell>
          <cell r="V1063">
            <v>2016</v>
          </cell>
          <cell r="W1063" t="str">
            <v>Bangalore Medical College and Research Institute.</v>
          </cell>
          <cell r="X1063" t="str">
            <v>2020 - 2024</v>
          </cell>
          <cell r="Y1063" t="str">
            <v>Mahadevappa Rampure Medical College</v>
          </cell>
          <cell r="Z1063" t="str">
            <v>NA</v>
          </cell>
          <cell r="AA1063" t="str">
            <v>MBBS, DMRD , DNB</v>
          </cell>
          <cell r="AB1063" t="str">
            <v>TSMC/FMR/20073</v>
          </cell>
          <cell r="AC1063" t="str">
            <v>Telangana State Medical Council</v>
          </cell>
          <cell r="AD1063">
            <v>44692</v>
          </cell>
          <cell r="AE1063">
            <v>46517</v>
          </cell>
          <cell r="AF1063">
            <v>7760658995</v>
          </cell>
          <cell r="AG1063" t="str">
            <v>ashwattamwar5@gmail.com</v>
          </cell>
          <cell r="AH1063" t="str">
            <v>HDFC Bank</v>
          </cell>
          <cell r="AI1063" t="str">
            <v>50100504220661</v>
          </cell>
          <cell r="AJ1063" t="str">
            <v>HDFC0000042</v>
          </cell>
          <cell r="AK1063" t="str">
            <v>BJPPA0076H</v>
          </cell>
          <cell r="AL1063">
            <v>831394009487</v>
          </cell>
          <cell r="AQ1063" t="str">
            <v>Laxmi Nivas Opp. Govt Hospital Aurad Karnataka 585326</v>
          </cell>
          <cell r="AS1063" t="str">
            <v>Laxmi Nivas Opp. Govt Hospital Aurad Karnataka 585326</v>
          </cell>
          <cell r="AW1063">
            <v>34034</v>
          </cell>
          <cell r="AX1063" t="str">
            <v>Male</v>
          </cell>
          <cell r="AY1063" t="str">
            <v>Full Time</v>
          </cell>
          <cell r="AZ1063">
            <v>8</v>
          </cell>
          <cell r="BA1063" t="str">
            <v>Himayathnagar Cluster</v>
          </cell>
        </row>
        <row r="1064">
          <cell r="O1064" t="str">
            <v>NA</v>
          </cell>
          <cell r="AW1064" t="str">
            <v xml:space="preserve"> </v>
          </cell>
          <cell r="AX1064" t="str">
            <v>Female</v>
          </cell>
          <cell r="AY1064" t="str">
            <v xml:space="preserve"> </v>
          </cell>
        </row>
        <row r="1065">
          <cell r="O1065" t="str">
            <v>NA</v>
          </cell>
        </row>
        <row r="1066">
          <cell r="M1066" t="str">
            <v>Kokapet - 03</v>
          </cell>
          <cell r="N1066" t="str">
            <v>X-Ray (Plain Radiography Basic and advanced), Mammography, USG (Basic,Doppler Studies, Thyroid/Scrotum USG, Breast USG, TIFFA, MSK USG, USG Guided FNAC), CT ( Basic, Chest/Abdomen/Neck, 3DCT), Special Procedures (IVP, RGU, MCUG, Barium Swallow, Barium Enema,HSG).</v>
          </cell>
          <cell r="O1066" t="str">
            <v>Radiology</v>
          </cell>
          <cell r="P1066" t="str">
            <v>Consultant Radiologist</v>
          </cell>
          <cell r="Q1066" t="str">
            <v>Dr Krishna Mohan Pottala</v>
          </cell>
          <cell r="R1066">
            <v>45365</v>
          </cell>
          <cell r="S1066">
            <v>45621</v>
          </cell>
          <cell r="T1066">
            <v>46094</v>
          </cell>
          <cell r="U1066">
            <v>46095</v>
          </cell>
          <cell r="V1066">
            <v>2018</v>
          </cell>
          <cell r="W1066" t="str">
            <v>Shadan Institute of Medical Science</v>
          </cell>
          <cell r="X1066">
            <v>2023</v>
          </cell>
          <cell r="Y1066" t="str">
            <v>Bhaskar Medical College</v>
          </cell>
          <cell r="Z1066" t="str">
            <v>NA</v>
          </cell>
          <cell r="AA1066" t="str">
            <v>MBBS, MD Radio Diagnosis</v>
          </cell>
          <cell r="AB1066" t="str">
            <v>TSMC/FMR/12152</v>
          </cell>
          <cell r="AC1066" t="str">
            <v>Telangana State Medical Council</v>
          </cell>
          <cell r="AD1066">
            <v>45349</v>
          </cell>
          <cell r="AE1066">
            <v>47175</v>
          </cell>
          <cell r="AF1066">
            <v>9100043555</v>
          </cell>
          <cell r="AG1066" t="str">
            <v>chadapushpakreddy@gmail.com</v>
          </cell>
          <cell r="AH1066" t="str">
            <v>HDFC Bank</v>
          </cell>
          <cell r="AI1066" t="str">
            <v>50100400752691</v>
          </cell>
          <cell r="AJ1066" t="str">
            <v>HDFC0003796</v>
          </cell>
          <cell r="AK1066" t="str">
            <v>CIJPD5989C</v>
          </cell>
          <cell r="AL1066">
            <v>736147696423</v>
          </cell>
          <cell r="AN1066">
            <v>45709</v>
          </cell>
          <cell r="AO1066" t="str">
            <v>NA</v>
          </cell>
          <cell r="AP1066" t="str">
            <v>Personal reasons/asked to leave</v>
          </cell>
          <cell r="AQ1066" t="str">
            <v>Plot No. 1364, Road no. 45, Jubilee Hills, Hyderabad, Telangana - 500033</v>
          </cell>
          <cell r="AR1066">
            <v>29</v>
          </cell>
          <cell r="AW1066">
            <v>35109</v>
          </cell>
          <cell r="AX1066" t="str">
            <v>Female</v>
          </cell>
          <cell r="AY1066" t="str">
            <v>Part Time</v>
          </cell>
          <cell r="AZ1066">
            <v>4</v>
          </cell>
          <cell r="BA1066" t="str">
            <v>Tolichowki Cluster</v>
          </cell>
        </row>
        <row r="1067">
          <cell r="M1067" t="str">
            <v>LBNagar - 87</v>
          </cell>
          <cell r="N1067" t="str">
            <v>Basic Tiffa, MSK, Penile doppler / TRUs, Guided procedures,   Basic CT, Chest/Abdomen/ Neck,Basic, Cardiac MR, MR perfusion, fetal Mr, MR Prostate,  ,Basic &amp; Advanced Plain Radiography, IVP,  RGU, MCUG , Barium Swallow, Barium Anema, HSG. Plain Radiography basic advance, Mammography.</v>
          </cell>
          <cell r="O1067" t="str">
            <v>Radiology</v>
          </cell>
          <cell r="P1067" t="str">
            <v>Consultant Radiologist</v>
          </cell>
          <cell r="Q1067" t="str">
            <v>Dr Krishna Mohan Pottala</v>
          </cell>
          <cell r="R1067">
            <v>45460</v>
          </cell>
          <cell r="S1067">
            <v>45460</v>
          </cell>
          <cell r="T1067">
            <v>46189</v>
          </cell>
          <cell r="U1067">
            <v>46190</v>
          </cell>
          <cell r="V1067">
            <v>2016</v>
          </cell>
          <cell r="W1067" t="str">
            <v>Jawaharlal Institute of Medical Educational Research</v>
          </cell>
          <cell r="X1067">
            <v>2020</v>
          </cell>
          <cell r="Y1067" t="str">
            <v>PGIMER Chandigarh</v>
          </cell>
          <cell r="Z1067" t="str">
            <v>NA</v>
          </cell>
          <cell r="AA1067" t="str">
            <v>MBBS, MD</v>
          </cell>
          <cell r="AB1067" t="str">
            <v>TSMC/FMR/31643</v>
          </cell>
          <cell r="AC1067" t="str">
            <v>Andhra Pradesh Medical Council</v>
          </cell>
          <cell r="AD1067">
            <v>44137</v>
          </cell>
          <cell r="AE1067">
            <v>45962</v>
          </cell>
          <cell r="AF1067">
            <v>9488852324</v>
          </cell>
          <cell r="AG1067" t="str">
            <v>sreenivasulu.des@gmail.com</v>
          </cell>
          <cell r="AH1067" t="str">
            <v>STATE BANK OF INDIA</v>
          </cell>
          <cell r="AI1067" t="str">
            <v>32736190463</v>
          </cell>
          <cell r="AJ1067" t="str">
            <v>SBIN0001524</v>
          </cell>
          <cell r="AK1067" t="str">
            <v>GYRPS0662H</v>
          </cell>
          <cell r="AL1067">
            <v>301032335024</v>
          </cell>
          <cell r="AM1067" t="str">
            <v>D RAMA NAIK</v>
          </cell>
          <cell r="AN1067">
            <v>45716</v>
          </cell>
          <cell r="AO1067">
            <v>45668</v>
          </cell>
          <cell r="AP1067" t="str">
            <v>Personal reasons</v>
          </cell>
          <cell r="AQ1067" t="str">
            <v>40/447 - 11a 87/1163_A, Nagureddy revenue colony, Kurnool Andhra pradesh - 518002.</v>
          </cell>
          <cell r="AR1067">
            <v>32</v>
          </cell>
          <cell r="AW1067">
            <v>33932</v>
          </cell>
          <cell r="AX1067" t="str">
            <v>Male</v>
          </cell>
          <cell r="AY1067" t="str">
            <v>Full Time</v>
          </cell>
          <cell r="AZ1067">
            <v>8</v>
          </cell>
          <cell r="BA1067" t="str">
            <v>Dilshuknagar Cluster</v>
          </cell>
        </row>
        <row r="1068">
          <cell r="M1068" t="str">
            <v>Habsiguda - 17</v>
          </cell>
          <cell r="N1068" t="str">
            <v>NA</v>
          </cell>
          <cell r="O1068" t="str">
            <v>Pathology</v>
          </cell>
          <cell r="P1068" t="str">
            <v>Consultant Pathologist</v>
          </cell>
          <cell r="Q1068" t="str">
            <v>Dr Ramesh Kinha</v>
          </cell>
          <cell r="R1068">
            <v>45553</v>
          </cell>
          <cell r="S1068">
            <v>45553</v>
          </cell>
          <cell r="T1068">
            <v>46282</v>
          </cell>
          <cell r="U1068">
            <v>46283</v>
          </cell>
          <cell r="V1068">
            <v>2017</v>
          </cell>
          <cell r="W1068" t="str">
            <v>Apollo Institute of Medical Sciences and Research</v>
          </cell>
          <cell r="X1068">
            <v>2022</v>
          </cell>
          <cell r="Y1068" t="str">
            <v>Kakatiya Medical College</v>
          </cell>
          <cell r="Z1068" t="str">
            <v>NA</v>
          </cell>
          <cell r="AA1068" t="str">
            <v>MBBS, MD Pathology</v>
          </cell>
          <cell r="AB1068" t="str">
            <v>TSMC/FMR/06921</v>
          </cell>
          <cell r="AC1068" t="str">
            <v>Telangana State Medical Council</v>
          </cell>
          <cell r="AD1068">
            <v>45075</v>
          </cell>
          <cell r="AE1068">
            <v>46901</v>
          </cell>
          <cell r="AF1068">
            <v>9959260586</v>
          </cell>
          <cell r="AG1068" t="str">
            <v>lavanyaramanakol27@gmail.com</v>
          </cell>
          <cell r="AH1068" t="str">
            <v>STATE BANK OF INDIA</v>
          </cell>
          <cell r="AI1068" t="str">
            <v>42094889665</v>
          </cell>
          <cell r="AJ1068" t="str">
            <v>SBIN0020812</v>
          </cell>
          <cell r="AK1068" t="str">
            <v>BANPL0516Q</v>
          </cell>
          <cell r="AL1068">
            <v>722934563168</v>
          </cell>
          <cell r="AM1068" t="str">
            <v>RamannaKol Laxman</v>
          </cell>
          <cell r="AN1068">
            <v>45716</v>
          </cell>
          <cell r="AO1068">
            <v>45708</v>
          </cell>
          <cell r="AP1068" t="str">
            <v>Govt Job</v>
          </cell>
          <cell r="AQ1068" t="str">
            <v>2-103/1, Kummari Basthi Old Alwal, Near Sai Baba Temple, Alwal, Secunderabad, Hyderabad, Telangana- 500010.</v>
          </cell>
          <cell r="AR1068">
            <v>33</v>
          </cell>
          <cell r="AW1068">
            <v>33721</v>
          </cell>
          <cell r="AX1068" t="str">
            <v>Female</v>
          </cell>
          <cell r="AY1068" t="str">
            <v>Full Time</v>
          </cell>
          <cell r="AZ1068">
            <v>8</v>
          </cell>
          <cell r="BA1068" t="str">
            <v>A.S. Rao Nagar Cluster</v>
          </cell>
        </row>
        <row r="1069">
          <cell r="M1069" t="str">
            <v>Tirupathi-333</v>
          </cell>
          <cell r="N1069" t="str">
            <v>N/A</v>
          </cell>
          <cell r="O1069" t="str">
            <v>Pathology</v>
          </cell>
          <cell r="P1069" t="str">
            <v>Consultant Pathologist</v>
          </cell>
          <cell r="Q1069" t="str">
            <v>Dr Ramesh Kinha</v>
          </cell>
          <cell r="R1069">
            <v>45614</v>
          </cell>
          <cell r="S1069">
            <v>45614</v>
          </cell>
          <cell r="T1069">
            <v>46343</v>
          </cell>
          <cell r="U1069">
            <v>46344</v>
          </cell>
          <cell r="V1069">
            <v>2010</v>
          </cell>
          <cell r="W1069" t="str">
            <v>PES Institute of Medical sciences</v>
          </cell>
          <cell r="X1069">
            <v>2020</v>
          </cell>
          <cell r="Y1069" t="str">
            <v>Sri Venkateswara Institute of Medical sciences</v>
          </cell>
          <cell r="Z1069" t="str">
            <v>NA</v>
          </cell>
          <cell r="AA1069" t="str">
            <v>MBBS, MD Pathology</v>
          </cell>
          <cell r="AB1069">
            <v>70099</v>
          </cell>
          <cell r="AC1069" t="str">
            <v>Andhra Pradesh Medical Council</v>
          </cell>
          <cell r="AD1069">
            <v>44511</v>
          </cell>
          <cell r="AE1069">
            <v>46336</v>
          </cell>
          <cell r="AF1069">
            <v>9848497720</v>
          </cell>
          <cell r="AG1069" t="str">
            <v>drekcrejju@gmail.com</v>
          </cell>
          <cell r="AH1069" t="str">
            <v>HDFC Bank LTD</v>
          </cell>
          <cell r="AI1069" t="str">
            <v>50100031953585</v>
          </cell>
          <cell r="AJ1069" t="str">
            <v>HDFC0002963</v>
          </cell>
          <cell r="AK1069" t="str">
            <v>CSZPK0137P</v>
          </cell>
          <cell r="AL1069">
            <v>507012735877</v>
          </cell>
          <cell r="AM1069" t="str">
            <v>EJJU Krishna Reddy</v>
          </cell>
          <cell r="AN1069">
            <v>45719</v>
          </cell>
          <cell r="AO1069">
            <v>45708</v>
          </cell>
          <cell r="AP1069" t="str">
            <v>Personal reasons</v>
          </cell>
          <cell r="AQ1069" t="str">
            <v>1-1173, Kotapalle, Pileru, Chittoor, Andhra Pradesh - 517214.</v>
          </cell>
          <cell r="AR1069">
            <v>38</v>
          </cell>
          <cell r="AW1069">
            <v>31942</v>
          </cell>
          <cell r="AX1069" t="str">
            <v>Female</v>
          </cell>
          <cell r="AY1069" t="str">
            <v>Part Time</v>
          </cell>
          <cell r="AZ1069">
            <v>2</v>
          </cell>
          <cell r="BA1069" t="str">
            <v>Tirupati Cluster</v>
          </cell>
        </row>
        <row r="1070">
          <cell r="M1070" t="str">
            <v>Himayatnagar</v>
          </cell>
          <cell r="N1070" t="str">
            <v>NA</v>
          </cell>
          <cell r="O1070" t="str">
            <v>Physician Services</v>
          </cell>
          <cell r="P1070" t="str">
            <v>Consultant Physician</v>
          </cell>
          <cell r="Q1070" t="str">
            <v>NA</v>
          </cell>
          <cell r="R1070">
            <v>45658</v>
          </cell>
          <cell r="S1070">
            <v>45658</v>
          </cell>
          <cell r="T1070">
            <v>46387</v>
          </cell>
          <cell r="U1070">
            <v>46388</v>
          </cell>
          <cell r="V1070">
            <v>1994</v>
          </cell>
          <cell r="W1070" t="str">
            <v>Karnataka University, Dharwad</v>
          </cell>
          <cell r="X1070" t="str">
            <v>NA</v>
          </cell>
          <cell r="Y1070" t="str">
            <v>NA</v>
          </cell>
          <cell r="Z1070" t="str">
            <v>NA</v>
          </cell>
          <cell r="AA1070" t="str">
            <v>MBBS</v>
          </cell>
          <cell r="AB1070">
            <v>37751</v>
          </cell>
          <cell r="AC1070" t="str">
            <v>Telangana State Medical Council</v>
          </cell>
          <cell r="AD1070">
            <v>44286</v>
          </cell>
          <cell r="AE1070">
            <v>46111</v>
          </cell>
          <cell r="AF1070">
            <v>9704234362</v>
          </cell>
          <cell r="AG1070" t="str">
            <v>fayyazsk@gmail.com</v>
          </cell>
          <cell r="AH1070" t="str">
            <v>Union Bank of India</v>
          </cell>
          <cell r="AI1070" t="str">
            <v>107510021062148</v>
          </cell>
          <cell r="AJ1070" t="str">
            <v>UBIN0810754</v>
          </cell>
          <cell r="AK1070" t="str">
            <v>AUTPK8675N</v>
          </cell>
          <cell r="AL1070">
            <v>613543178657</v>
          </cell>
          <cell r="AM1070" t="str">
            <v>Khan Mohammed</v>
          </cell>
          <cell r="AN1070">
            <v>45720</v>
          </cell>
          <cell r="AO1070" t="str">
            <v>NA</v>
          </cell>
          <cell r="AP1070" t="str">
            <v>Asked to leave</v>
          </cell>
          <cell r="AQ1070" t="str">
            <v>10-2-9/18D, AC Guards, Behind SBI, Nampally , Hyderabad, Telangana - 500001.</v>
          </cell>
          <cell r="AR1070">
            <v>61</v>
          </cell>
          <cell r="AW1070">
            <v>23609</v>
          </cell>
          <cell r="AX1070" t="str">
            <v>Male</v>
          </cell>
          <cell r="AY1070" t="str">
            <v>Full Time</v>
          </cell>
          <cell r="AZ1070">
            <v>8</v>
          </cell>
          <cell r="BA1070" t="str">
            <v>Himayathnagar Cluster</v>
          </cell>
        </row>
        <row r="1071">
          <cell r="M1071" t="str">
            <v>Sec II S D Road - 13</v>
          </cell>
          <cell r="N1071" t="str">
            <v>NA</v>
          </cell>
          <cell r="O1071" t="str">
            <v>Physician Services</v>
          </cell>
          <cell r="P1071" t="str">
            <v>Consultant Physician</v>
          </cell>
          <cell r="Q1071" t="str">
            <v>NA</v>
          </cell>
          <cell r="R1071">
            <v>45663</v>
          </cell>
          <cell r="S1071">
            <v>45663</v>
          </cell>
          <cell r="T1071">
            <v>46392</v>
          </cell>
          <cell r="U1071">
            <v>46393</v>
          </cell>
          <cell r="V1071">
            <v>2022</v>
          </cell>
          <cell r="W1071" t="str">
            <v>Apollo Institute of Medical Science and Researc (AIMSR), HYD</v>
          </cell>
          <cell r="X1071" t="str">
            <v>NA</v>
          </cell>
          <cell r="Y1071" t="str">
            <v>NA</v>
          </cell>
          <cell r="Z1071" t="str">
            <v>NA</v>
          </cell>
          <cell r="AA1071" t="str">
            <v>MBBS</v>
          </cell>
          <cell r="AB1071" t="str">
            <v>TSMC/FMR/29996</v>
          </cell>
          <cell r="AC1071" t="str">
            <v>Telangana State Medical Council</v>
          </cell>
          <cell r="AD1071">
            <v>45321</v>
          </cell>
          <cell r="AE1071">
            <v>47149</v>
          </cell>
          <cell r="AF1071">
            <v>9492428249</v>
          </cell>
          <cell r="AG1071" t="str">
            <v>vaishnavigoud111@gmail.com</v>
          </cell>
          <cell r="AH1071" t="str">
            <v>HDFC Bank</v>
          </cell>
          <cell r="AI1071" t="str">
            <v>50100286699757</v>
          </cell>
          <cell r="AJ1071" t="str">
            <v>HDFC0001638</v>
          </cell>
          <cell r="AK1071" t="str">
            <v>CZVPG4739G</v>
          </cell>
          <cell r="AL1071">
            <v>844513456464</v>
          </cell>
          <cell r="AM1071" t="str">
            <v>Shiva Kumar Goud</v>
          </cell>
          <cell r="AN1071">
            <v>45721</v>
          </cell>
          <cell r="AO1071" t="str">
            <v>NA</v>
          </cell>
          <cell r="AP1071" t="str">
            <v>Personal reasons</v>
          </cell>
          <cell r="AQ1071" t="str">
            <v>6-5-77/7, Vaddar Gally, Tandur, KV Rangareddy, Telangana - 501141</v>
          </cell>
          <cell r="AR1071">
            <v>27</v>
          </cell>
          <cell r="AW1071">
            <v>35855</v>
          </cell>
          <cell r="AX1071" t="str">
            <v>Female</v>
          </cell>
          <cell r="AY1071" t="str">
            <v>Part Time</v>
          </cell>
          <cell r="AZ1071">
            <v>1</v>
          </cell>
          <cell r="BA1071" t="str">
            <v>Secunderabad Cluster</v>
          </cell>
        </row>
        <row r="1072">
          <cell r="M1072" t="str">
            <v>Kurnool - 43</v>
          </cell>
          <cell r="N1072" t="str">
            <v>N/A</v>
          </cell>
          <cell r="O1072" t="str">
            <v>Microbiology</v>
          </cell>
          <cell r="P1072" t="str">
            <v>Consultant Microbiologist</v>
          </cell>
          <cell r="Q1072" t="str">
            <v>Dr Ramesh Kinha</v>
          </cell>
          <cell r="R1072">
            <v>45327</v>
          </cell>
          <cell r="S1072">
            <v>45327</v>
          </cell>
          <cell r="T1072">
            <v>46057</v>
          </cell>
          <cell r="U1072">
            <v>46058</v>
          </cell>
          <cell r="V1072">
            <v>2016</v>
          </cell>
          <cell r="W1072" t="str">
            <v>Dr. NTR Health Sciences University</v>
          </cell>
          <cell r="X1072">
            <v>2023</v>
          </cell>
          <cell r="Y1072" t="str">
            <v>Siddhartha Medical College</v>
          </cell>
          <cell r="Z1072" t="str">
            <v>NA</v>
          </cell>
          <cell r="AA1072" t="str">
            <v>MBBS,MD</v>
          </cell>
          <cell r="AB1072" t="str">
            <v>APMC/FMR/95271</v>
          </cell>
          <cell r="AC1072" t="str">
            <v>Andhra Pradesh Medical Council</v>
          </cell>
          <cell r="AD1072">
            <v>45062</v>
          </cell>
          <cell r="AE1072">
            <v>46888</v>
          </cell>
          <cell r="AF1072">
            <v>6300861303</v>
          </cell>
          <cell r="AG1072" t="str">
            <v>bhaskarranadheer.jamullamudi@gmail.com</v>
          </cell>
          <cell r="AH1072" t="str">
            <v>Union Bank of India</v>
          </cell>
          <cell r="AI1072" t="str">
            <v>103010100054743</v>
          </cell>
          <cell r="AJ1072" t="str">
            <v>UBIN0810304</v>
          </cell>
          <cell r="AK1072" t="str">
            <v>BEOPJ7333E</v>
          </cell>
          <cell r="AL1072">
            <v>681715746365</v>
          </cell>
          <cell r="AN1072">
            <v>45727</v>
          </cell>
          <cell r="AO1072" t="str">
            <v>NA</v>
          </cell>
          <cell r="AP1072" t="str">
            <v>Other courses joining</v>
          </cell>
          <cell r="AQ1072" t="str">
            <v>1-203 A-150C, Vidya Nagar, 3rd Line Markapur, Prakasam, Andhra Pradesh - 523316</v>
          </cell>
          <cell r="AR1072">
            <v>34</v>
          </cell>
          <cell r="AW1072">
            <v>33470</v>
          </cell>
          <cell r="AX1072" t="str">
            <v>Male</v>
          </cell>
          <cell r="AY1072" t="str">
            <v>Full Time</v>
          </cell>
          <cell r="AZ1072">
            <v>8</v>
          </cell>
          <cell r="BA1072" t="str">
            <v>Kurnool Cluster</v>
          </cell>
        </row>
        <row r="1073">
          <cell r="M1073" t="str">
            <v>Panjagutta-121</v>
          </cell>
          <cell r="N1073" t="str">
            <v>X-Ray(Plain Radiography-Basic,advanced,Mammography), USG(Basic,Doppler studies,Thyroid/Scrotum USG, Breast USG,TIFFA, MSK USG, USG Guided FNAC,USG Guided Aspiration), CT(Basic, Chest/Abdomen/Neck,3DCT, CT Angiography), MRI(Basic,MSK Studies-Knee/Shoulder,MRI MRCP/Abdomen/Liver), Special procedures(IVP,RGU,MCUG, Barium Swallow, Barium Enema,HSG)</v>
          </cell>
          <cell r="O1073" t="str">
            <v>Radiology</v>
          </cell>
          <cell r="P1073" t="str">
            <v>Consultant Radiologist</v>
          </cell>
          <cell r="Q1073" t="str">
            <v>Dr Krishna Mohan Pottala</v>
          </cell>
          <cell r="R1073">
            <v>45602</v>
          </cell>
          <cell r="S1073">
            <v>45602</v>
          </cell>
          <cell r="T1073">
            <v>46331</v>
          </cell>
          <cell r="U1073">
            <v>46332</v>
          </cell>
          <cell r="V1073">
            <v>2017</v>
          </cell>
          <cell r="W1073" t="str">
            <v>Rajiv Gandhi Institue of Medical Sciences,Kadapa</v>
          </cell>
          <cell r="X1073">
            <v>2023</v>
          </cell>
          <cell r="Y1073" t="str">
            <v xml:space="preserve">Sri Venkateshwara Medical College hospital &amp; Research </v>
          </cell>
          <cell r="Z1073" t="str">
            <v>NA</v>
          </cell>
          <cell r="AA1073" t="str">
            <v>MBBS, MD Radio Diagnosis</v>
          </cell>
          <cell r="AB1073" t="str">
            <v>TSMC/FMR/26937</v>
          </cell>
          <cell r="AC1073" t="str">
            <v>Telangana State Medical Council</v>
          </cell>
          <cell r="AD1073">
            <v>45565</v>
          </cell>
          <cell r="AE1073">
            <v>47390</v>
          </cell>
          <cell r="AF1073">
            <v>9966620008</v>
          </cell>
          <cell r="AG1073" t="str">
            <v>himachagi333@gmail.com</v>
          </cell>
          <cell r="AH1073" t="str">
            <v>ICICI Bank</v>
          </cell>
          <cell r="AI1073" t="str">
            <v>491301500174</v>
          </cell>
          <cell r="AJ1073" t="str">
            <v>ICIC0004913</v>
          </cell>
          <cell r="AK1073" t="str">
            <v>BJSPC5889F</v>
          </cell>
          <cell r="AL1073">
            <v>505171831450</v>
          </cell>
          <cell r="AM1073" t="str">
            <v>C Venkateswarlu</v>
          </cell>
          <cell r="AN1073">
            <v>45727</v>
          </cell>
          <cell r="AO1073" t="str">
            <v>NA</v>
          </cell>
          <cell r="AP1073" t="str">
            <v>Health problem</v>
          </cell>
          <cell r="AQ1073" t="str">
            <v>H No-76-97-P-2-18, Priya Homes, Vishnu Township, Kallur, Kurnool, Andhra Pradesh - 518003.</v>
          </cell>
          <cell r="AR1073">
            <v>30</v>
          </cell>
          <cell r="AW1073">
            <v>34928</v>
          </cell>
          <cell r="AX1073" t="str">
            <v>Female</v>
          </cell>
          <cell r="AY1073" t="str">
            <v>Part Time</v>
          </cell>
          <cell r="AZ1073">
            <v>3</v>
          </cell>
          <cell r="BA1073" t="str">
            <v>Punjagutta Cluster</v>
          </cell>
        </row>
        <row r="1074">
          <cell r="M1074" t="str">
            <v>Kompally - 65</v>
          </cell>
          <cell r="N1074" t="str">
            <v>Basic USG, Tiffa, Guided Procedures, Basic CT, X Ray, Plain Radiography, Mammography, IVP, RGU, MCUG, Barium Swallow, Barium Anema, HSG.
(Can Do USG, TIFFA, Doppler, Basic CT, Mammography)</v>
          </cell>
          <cell r="O1074" t="str">
            <v>Radiology</v>
          </cell>
          <cell r="P1074" t="str">
            <v>Consultant Radiologist</v>
          </cell>
          <cell r="Q1074" t="str">
            <v>Dr Krishna Mohan Pottala</v>
          </cell>
          <cell r="R1074">
            <v>45343</v>
          </cell>
          <cell r="S1074">
            <v>45343</v>
          </cell>
          <cell r="T1074">
            <v>46073</v>
          </cell>
          <cell r="U1074">
            <v>46074</v>
          </cell>
          <cell r="V1074">
            <v>2018</v>
          </cell>
          <cell r="W1074" t="str">
            <v>Chalmeda Anandrao Institute of Mecical Science</v>
          </cell>
          <cell r="X1074">
            <v>2023</v>
          </cell>
          <cell r="Y1074" t="str">
            <v>AJ Institute of Medical Sciences</v>
          </cell>
          <cell r="Z1074" t="str">
            <v>NA</v>
          </cell>
          <cell r="AA1074" t="str">
            <v>MBBS, MD Radio Diagnosis</v>
          </cell>
          <cell r="AB1074" t="str">
            <v>TSMC/FMR/10886</v>
          </cell>
          <cell r="AC1074" t="str">
            <v>Telangana State Medical Council</v>
          </cell>
          <cell r="AD1074">
            <v>45190</v>
          </cell>
          <cell r="AE1074">
            <v>47016</v>
          </cell>
          <cell r="AF1074">
            <v>9542494444</v>
          </cell>
          <cell r="AG1074" t="str">
            <v>sowmith24@gmail.com</v>
          </cell>
          <cell r="AH1074" t="str">
            <v>ICICI Bank</v>
          </cell>
          <cell r="AI1074" t="str">
            <v>363201502773</v>
          </cell>
          <cell r="AJ1074" t="str">
            <v>ICIC0003632</v>
          </cell>
          <cell r="AK1074" t="str">
            <v>OBCPS1439G</v>
          </cell>
          <cell r="AL1074">
            <v>702493427299</v>
          </cell>
          <cell r="AN1074">
            <v>45730</v>
          </cell>
          <cell r="AO1074">
            <v>45710</v>
          </cell>
          <cell r="AP1074" t="str">
            <v>relocating / replacement early</v>
          </cell>
          <cell r="AQ1074" t="str">
            <v>8-4-8/3, Sai Nagar, Vemulawada, Karimnagar, ndhra Pradesh - 505302</v>
          </cell>
          <cell r="AR1074">
            <v>29</v>
          </cell>
          <cell r="AW1074">
            <v>35088</v>
          </cell>
          <cell r="AX1074" t="str">
            <v>Male</v>
          </cell>
          <cell r="AY1074" t="str">
            <v>Part Time</v>
          </cell>
          <cell r="AZ1074">
            <v>2</v>
          </cell>
          <cell r="BA1074" t="str">
            <v>Secunderabad Cluster</v>
          </cell>
        </row>
        <row r="1075">
          <cell r="M1075" t="str">
            <v>Old Bowenpally - 93</v>
          </cell>
          <cell r="N1075" t="str">
            <v>Basic USG, Doppler Studies, Thyroid/Scrotum USG, Breast USG, Tiffa, USG Guided FNAC,  USG Guided Aspiration, Guided Procedures, Basic CT,  X Ray, Plain Radiography, Mammography, RGU, MCUG , Barium Swallow, Barium Anema, HSG.</v>
          </cell>
          <cell r="O1075" t="str">
            <v>Radiology</v>
          </cell>
          <cell r="P1075" t="str">
            <v>Consultant Radiologist</v>
          </cell>
          <cell r="Q1075" t="str">
            <v>Dr Krishna Mohan Pottala</v>
          </cell>
          <cell r="R1075">
            <v>45415</v>
          </cell>
          <cell r="S1075">
            <v>45415</v>
          </cell>
          <cell r="T1075">
            <v>46144</v>
          </cell>
          <cell r="U1075">
            <v>46145</v>
          </cell>
          <cell r="V1075">
            <v>2017</v>
          </cell>
          <cell r="W1075" t="str">
            <v>Dr. NTR University of Health and Science</v>
          </cell>
          <cell r="X1075">
            <v>2020</v>
          </cell>
          <cell r="Y1075" t="str">
            <v>Maharaja Institute of Medical Sciences</v>
          </cell>
          <cell r="Z1075" t="str">
            <v>NA</v>
          </cell>
          <cell r="AA1075" t="str">
            <v>MBBS, DMRD Radio Diagnosis</v>
          </cell>
          <cell r="AB1075" t="str">
            <v>TSMC/FMR/19600</v>
          </cell>
          <cell r="AC1075" t="str">
            <v>Telangana State Medical Council</v>
          </cell>
          <cell r="AD1075">
            <v>44629</v>
          </cell>
          <cell r="AE1075">
            <v>46454</v>
          </cell>
          <cell r="AF1075">
            <v>8886211666</v>
          </cell>
          <cell r="AG1075" t="str">
            <v>supriya1666@gmail.com</v>
          </cell>
          <cell r="AH1075" t="str">
            <v>STATE BANK OF INDIA</v>
          </cell>
          <cell r="AI1075" t="str">
            <v>62195475833</v>
          </cell>
          <cell r="AJ1075" t="str">
            <v>SBIN0022112</v>
          </cell>
          <cell r="AK1075" t="str">
            <v>CZHPP6866R</v>
          </cell>
          <cell r="AL1075">
            <v>739804876948</v>
          </cell>
          <cell r="AN1075">
            <v>45731</v>
          </cell>
          <cell r="AO1075">
            <v>45673</v>
          </cell>
          <cell r="AP1075" t="str">
            <v>Joining in Medical college</v>
          </cell>
          <cell r="AQ1075" t="str">
            <v>5-8-44/39, Mani Enclave, Yapral, Alwal, Jawaharnagar, KV Rangareddy, Telangana - 500087</v>
          </cell>
          <cell r="AR1075">
            <v>33</v>
          </cell>
          <cell r="AS1075" t="str">
            <v>ICICI Lambord</v>
          </cell>
          <cell r="AT1075" t="str">
            <v>4021/A/341158081/00/000</v>
          </cell>
          <cell r="AU1075">
            <v>45411</v>
          </cell>
          <cell r="AV1075">
            <v>45775</v>
          </cell>
          <cell r="AW1075">
            <v>33805</v>
          </cell>
          <cell r="AX1075" t="str">
            <v>Female</v>
          </cell>
          <cell r="AY1075" t="str">
            <v>Part Time</v>
          </cell>
          <cell r="AZ1075">
            <v>5</v>
          </cell>
          <cell r="BA1075" t="str">
            <v>Secunderabad Cluster</v>
          </cell>
        </row>
        <row r="1076">
          <cell r="M1076" t="str">
            <v>Dilsukhnagar - 12</v>
          </cell>
          <cell r="N1076" t="str">
            <v>X-Ray (Plain Radiography-Basic,advanced), USG(Basic, Doppler Studies,Thyroid/Scrotum USG, TIFFA, Penile Doppler, Trus, USG Guided FNAC, USG Guided Trucut biopsy, USG guided Aspiration, Breast biopsy, Trus guided biopsy), CT (Basic, Chest/Abdomen,3DCT,CT Angiography, CT Guided Biopsy),MRI(Basic, MRI MRCP/Abdomen/Liver), Special Procedures (IVP,RGU,MCUG, Barium Swallow, Barium Enema, HSG)</v>
          </cell>
          <cell r="O1076" t="str">
            <v>Radiology</v>
          </cell>
          <cell r="P1076" t="str">
            <v>Consultant Radiologist</v>
          </cell>
          <cell r="Q1076" t="str">
            <v>Dr Krishna Mohan Pottala</v>
          </cell>
          <cell r="R1076">
            <v>45553</v>
          </cell>
          <cell r="S1076">
            <v>45553</v>
          </cell>
          <cell r="T1076">
            <v>46282</v>
          </cell>
          <cell r="U1076">
            <v>46283</v>
          </cell>
          <cell r="V1076">
            <v>2012</v>
          </cell>
          <cell r="W1076" t="str">
            <v>Shadan Institute of Medical Sciences</v>
          </cell>
          <cell r="X1076">
            <v>2022</v>
          </cell>
          <cell r="Y1076" t="str">
            <v>Deccan college of Medical Sciences</v>
          </cell>
          <cell r="Z1076" t="str">
            <v>NA</v>
          </cell>
          <cell r="AA1076" t="str">
            <v>MBBS, MD Radio Diagnosis</v>
          </cell>
          <cell r="AB1076" t="str">
            <v>APMC/FMR/80333</v>
          </cell>
          <cell r="AC1076" t="str">
            <v>Telangana State Medical Council</v>
          </cell>
          <cell r="AD1076">
            <v>45070</v>
          </cell>
          <cell r="AE1076">
            <v>46896</v>
          </cell>
          <cell r="AF1076">
            <v>8247856241</v>
          </cell>
          <cell r="AG1076" t="str">
            <v>madani786omer@gmail.com</v>
          </cell>
          <cell r="AH1076" t="str">
            <v>STATE BANK OF INDIA</v>
          </cell>
          <cell r="AI1076" t="str">
            <v>20087682299</v>
          </cell>
          <cell r="AJ1076" t="str">
            <v>SBIN0008026</v>
          </cell>
          <cell r="AK1076" t="str">
            <v>AAVPO8802B</v>
          </cell>
          <cell r="AL1076">
            <v>942184503286</v>
          </cell>
          <cell r="AM1076" t="str">
            <v>Mohammed Mashooq Rabbani</v>
          </cell>
          <cell r="AN1076">
            <v>45736</v>
          </cell>
          <cell r="AO1076" t="str">
            <v>NA</v>
          </cell>
          <cell r="AP1076" t="str">
            <v>Asked to leave</v>
          </cell>
          <cell r="AQ1076" t="str">
            <v>18-8-602, Kumar Wadi, Edi Bazar, Hyderabad, Telangana- 500023</v>
          </cell>
          <cell r="AR1076">
            <v>37</v>
          </cell>
          <cell r="AW1076">
            <v>32070</v>
          </cell>
          <cell r="AX1076" t="str">
            <v>Male</v>
          </cell>
          <cell r="AY1076" t="str">
            <v>Part Time</v>
          </cell>
          <cell r="AZ1076">
            <v>2.5</v>
          </cell>
          <cell r="BA1076" t="str">
            <v>Dilshuknagar Cluster</v>
          </cell>
        </row>
        <row r="1077">
          <cell r="M1077" t="str">
            <v>Balapur - 63</v>
          </cell>
          <cell r="N1077" t="str">
            <v>X-Ray( Plain Radiography-Basic, Plain Radiography-Advanced), Usg(Basic, Doppler Studies, Thyroid/Scrotum USG, Breast USG, TIFFA,USG Guided Aspiration, CT ( Basic, Chest/Abdomen/Neck), Special Procedures (IVP, RGU, MCUG, Barium Swallow, Barium Enema, HSG)</v>
          </cell>
          <cell r="O1077" t="str">
            <v>Radiology</v>
          </cell>
          <cell r="P1077" t="str">
            <v>Consultant Radiologist</v>
          </cell>
          <cell r="Q1077" t="str">
            <v>Dr Krishna Mohan Pottala</v>
          </cell>
          <cell r="R1077">
            <v>45558</v>
          </cell>
          <cell r="S1077">
            <v>45558</v>
          </cell>
          <cell r="T1077">
            <v>46288</v>
          </cell>
          <cell r="U1077">
            <v>46287</v>
          </cell>
          <cell r="V1077">
            <v>2009</v>
          </cell>
          <cell r="W1077" t="str">
            <v>Deccan Medical College</v>
          </cell>
          <cell r="X1077">
            <v>2023</v>
          </cell>
          <cell r="Y1077" t="str">
            <v>Mediciti Institute of Medical Sciences</v>
          </cell>
          <cell r="Z1077" t="str">
            <v>NA</v>
          </cell>
          <cell r="AA1077" t="str">
            <v>MBBS, MD Radio Diagnosis</v>
          </cell>
          <cell r="AB1077">
            <v>69558</v>
          </cell>
          <cell r="AC1077" t="str">
            <v>Telangana State Medical Council</v>
          </cell>
          <cell r="AD1077">
            <v>45302</v>
          </cell>
          <cell r="AE1077">
            <v>47128</v>
          </cell>
          <cell r="AF1077">
            <v>9989174345</v>
          </cell>
          <cell r="AG1077" t="str">
            <v>drmadhuh2654@gmail.com</v>
          </cell>
          <cell r="AH1077" t="str">
            <v>STATE BANK OF INDIA</v>
          </cell>
          <cell r="AI1077" t="str">
            <v>62391639415</v>
          </cell>
          <cell r="AJ1077" t="str">
            <v>SBIN0020909</v>
          </cell>
          <cell r="AK1077" t="str">
            <v>BBJPC3352C</v>
          </cell>
          <cell r="AL1077">
            <v>845830244474</v>
          </cell>
          <cell r="AM1077" t="str">
            <v>Rajesham Chennamalla</v>
          </cell>
          <cell r="AN1077">
            <v>45743</v>
          </cell>
          <cell r="AO1077">
            <v>45685</v>
          </cell>
          <cell r="AP1077" t="str">
            <v>Relocating</v>
          </cell>
          <cell r="AQ1077" t="str">
            <v>28-144, Naspur Colony, Naspur, Mancherial, Coal Chemical Complex, Adilabad, Telangana-504302.</v>
          </cell>
          <cell r="AR1077">
            <v>39</v>
          </cell>
          <cell r="AS1077" t="str">
            <v>ICICI Lambord</v>
          </cell>
          <cell r="AT1077" t="str">
            <v>4021/A/359892119/00/000</v>
          </cell>
          <cell r="AU1077">
            <v>45548</v>
          </cell>
          <cell r="AV1077">
            <v>45912</v>
          </cell>
          <cell r="AW1077">
            <v>31637</v>
          </cell>
          <cell r="AX1077" t="str">
            <v>Male</v>
          </cell>
          <cell r="AY1077" t="str">
            <v>Part Time</v>
          </cell>
          <cell r="AZ1077">
            <v>3</v>
          </cell>
          <cell r="BA1077" t="str">
            <v>Santosh Nagar Cluster</v>
          </cell>
        </row>
        <row r="1078">
          <cell r="M1078" t="str">
            <v>Kurnool - 43</v>
          </cell>
          <cell r="N1078" t="str">
            <v>N/A</v>
          </cell>
          <cell r="O1078" t="str">
            <v>Biochemistry</v>
          </cell>
          <cell r="P1078" t="str">
            <v>Consultant Biochemist</v>
          </cell>
          <cell r="Q1078" t="str">
            <v>Dr Ramesh Kinha</v>
          </cell>
          <cell r="R1078">
            <v>45114</v>
          </cell>
          <cell r="S1078">
            <v>45114</v>
          </cell>
          <cell r="T1078">
            <v>45844</v>
          </cell>
          <cell r="U1078">
            <v>45845</v>
          </cell>
          <cell r="V1078">
            <v>1977</v>
          </cell>
          <cell r="W1078" t="str">
            <v>S V University</v>
          </cell>
          <cell r="X1078">
            <v>2004</v>
          </cell>
          <cell r="Y1078" t="str">
            <v>S V University</v>
          </cell>
          <cell r="Z1078" t="str">
            <v>N/A</v>
          </cell>
          <cell r="AA1078" t="str">
            <v>MBBS, MD - Biochemistry</v>
          </cell>
          <cell r="AB1078" t="str">
            <v>AMC9624</v>
          </cell>
          <cell r="AC1078" t="str">
            <v>Telangana State Medical Council</v>
          </cell>
          <cell r="AD1078">
            <v>44181</v>
          </cell>
          <cell r="AE1078">
            <v>46006</v>
          </cell>
          <cell r="AF1078">
            <v>9849303941</v>
          </cell>
          <cell r="AG1078" t="str">
            <v>dr.dvhssarma123@gmail.com</v>
          </cell>
          <cell r="AH1078" t="str">
            <v>Union Bank of India</v>
          </cell>
          <cell r="AI1078" t="str">
            <v>137910100033555</v>
          </cell>
          <cell r="AJ1078" t="str">
            <v>UBIN0813796</v>
          </cell>
          <cell r="AK1078" t="str">
            <v>ACIPD6610P</v>
          </cell>
          <cell r="AL1078">
            <v>554052906234</v>
          </cell>
          <cell r="AN1078">
            <v>45747</v>
          </cell>
          <cell r="AO1078">
            <v>45741</v>
          </cell>
          <cell r="AP1078" t="str">
            <v>Separation Notice</v>
          </cell>
          <cell r="AR1078">
            <v>72</v>
          </cell>
          <cell r="AW1078">
            <v>19541</v>
          </cell>
          <cell r="AX1078" t="str">
            <v>Male</v>
          </cell>
          <cell r="AY1078" t="str">
            <v>Part Time</v>
          </cell>
          <cell r="AZ1078">
            <v>4</v>
          </cell>
          <cell r="BA1078" t="str">
            <v>Kurnool Cluster</v>
          </cell>
        </row>
        <row r="1079">
          <cell r="M1079" t="str">
            <v>Himayatnagar</v>
          </cell>
          <cell r="N1079" t="str">
            <v>N/A</v>
          </cell>
          <cell r="O1079" t="str">
            <v>Pathology</v>
          </cell>
          <cell r="P1079" t="str">
            <v>Consultant Pathologist</v>
          </cell>
          <cell r="Q1079" t="str">
            <v>Dr Ramesh Kinha</v>
          </cell>
          <cell r="R1079">
            <v>45334</v>
          </cell>
          <cell r="S1079">
            <v>45334</v>
          </cell>
          <cell r="T1079">
            <v>46064</v>
          </cell>
          <cell r="U1079">
            <v>46065</v>
          </cell>
          <cell r="V1079">
            <v>2020</v>
          </cell>
          <cell r="W1079" t="str">
            <v>R.G Kar Medical College</v>
          </cell>
          <cell r="X1079">
            <v>2023</v>
          </cell>
          <cell r="Y1079" t="str">
            <v>AIIMS</v>
          </cell>
          <cell r="Z1079" t="str">
            <v>NA</v>
          </cell>
          <cell r="AA1079" t="str">
            <v>MBBS, MD Pathology</v>
          </cell>
          <cell r="AB1079" t="str">
            <v>TSMC/FMR/30584</v>
          </cell>
          <cell r="AC1079" t="str">
            <v>Telangana State Medical Council</v>
          </cell>
          <cell r="AD1079">
            <v>45372</v>
          </cell>
          <cell r="AE1079">
            <v>47197</v>
          </cell>
          <cell r="AF1079">
            <v>7003664801</v>
          </cell>
          <cell r="AG1079" t="str">
            <v>srijitadocgogreen@gmail.com</v>
          </cell>
          <cell r="AH1079" t="str">
            <v>SBI Bank</v>
          </cell>
          <cell r="AI1079" t="str">
            <v>20401413209</v>
          </cell>
          <cell r="AJ1079" t="str">
            <v>SBIN0000180</v>
          </cell>
          <cell r="AK1079" t="str">
            <v>DMBPM6129N</v>
          </cell>
          <cell r="AL1079">
            <v>826800508505</v>
          </cell>
          <cell r="AN1079">
            <v>45747</v>
          </cell>
          <cell r="AO1079">
            <v>45723</v>
          </cell>
          <cell r="AP1079" t="str">
            <v>Other offer</v>
          </cell>
          <cell r="AQ1079" t="str">
            <v>Partha Complex Flat No. 16, 19A, Chaudhury Lane, Shayambazar, Kolkata, West Bengal - 700004</v>
          </cell>
          <cell r="AR1079">
            <v>29</v>
          </cell>
          <cell r="AW1079">
            <v>35121</v>
          </cell>
          <cell r="AX1079" t="str">
            <v>Female</v>
          </cell>
          <cell r="AY1079" t="str">
            <v>Full Time</v>
          </cell>
          <cell r="AZ1079">
            <v>8</v>
          </cell>
          <cell r="BA1079" t="str">
            <v>Himayathnagar Cluster</v>
          </cell>
        </row>
        <row r="1080">
          <cell r="M1080" t="str">
            <v>Habsiguda - 17</v>
          </cell>
          <cell r="N1080" t="str">
            <v>Basic USG, Doppler Studies, Thyroid/Scrotum USG, Breast USG, Tiffa, MSK USG, USG Guided FNAC, USG Guided Aspiration, Guided Procedures, Basic CT, Chest/ Abdomen/Neck, 3DCT, CT Angiography, Basic MRI, MSK Studies - Knee/Shoulder, MSK Studies - Wrist/Ankle, MRI MRCP/Abdomen/Liver, X Ray, Plain Radiography, Mammography, IVP, RGU, MCUG.</v>
          </cell>
          <cell r="O1080" t="str">
            <v>Radiology</v>
          </cell>
          <cell r="P1080" t="str">
            <v>Consultant Radiologist</v>
          </cell>
          <cell r="Q1080" t="str">
            <v>Dr Krishna Mohan Pottala</v>
          </cell>
          <cell r="R1080">
            <v>45413</v>
          </cell>
          <cell r="S1080">
            <v>45413</v>
          </cell>
          <cell r="T1080">
            <v>46142</v>
          </cell>
          <cell r="U1080">
            <v>46143</v>
          </cell>
          <cell r="V1080">
            <v>2001</v>
          </cell>
          <cell r="W1080" t="str">
            <v>JJM Medical College</v>
          </cell>
          <cell r="X1080">
            <v>2011</v>
          </cell>
          <cell r="Y1080" t="str">
            <v>Kamineni Hospitals</v>
          </cell>
          <cell r="Z1080" t="str">
            <v>NA</v>
          </cell>
          <cell r="AA1080" t="str">
            <v>MBBS, MD Radio Diagnosis</v>
          </cell>
          <cell r="AB1080">
            <v>47491</v>
          </cell>
          <cell r="AC1080" t="str">
            <v>Telangana State Medical Council</v>
          </cell>
          <cell r="AD1080">
            <v>44141</v>
          </cell>
          <cell r="AE1080">
            <v>45966</v>
          </cell>
          <cell r="AF1080">
            <v>9441886364</v>
          </cell>
          <cell r="AG1080" t="str">
            <v>kpraveenbabu@yahoomail.com</v>
          </cell>
          <cell r="AH1080" t="str">
            <v>Union Bank of India</v>
          </cell>
          <cell r="AI1080" t="str">
            <v>130710100038772</v>
          </cell>
          <cell r="AJ1080" t="str">
            <v>UBIN0813079</v>
          </cell>
          <cell r="AK1080" t="str">
            <v>BBRPK6139D</v>
          </cell>
          <cell r="AL1080">
            <v>624373663889</v>
          </cell>
          <cell r="AN1080">
            <v>45747</v>
          </cell>
          <cell r="AO1080">
            <v>45738</v>
          </cell>
          <cell r="AP1080" t="str">
            <v>Starting Own clinic</v>
          </cell>
          <cell r="AQ1080" t="str">
            <v>Flat No 401, Vamsee Enclava, Kamala Nagar, Ayyappa Temple, Ecil Post, Kapra R R dist, Hyderabad, Andhra Pradesh - 500062</v>
          </cell>
          <cell r="AR1080">
            <v>48</v>
          </cell>
          <cell r="AS1080" t="str">
            <v>ICICI Lambord</v>
          </cell>
          <cell r="AT1080" t="str">
            <v>4021/A/334385703/00/000</v>
          </cell>
          <cell r="AU1080">
            <v>45381</v>
          </cell>
          <cell r="AV1080">
            <v>45745</v>
          </cell>
          <cell r="AW1080">
            <v>28029</v>
          </cell>
          <cell r="AX1080" t="str">
            <v>Male</v>
          </cell>
          <cell r="AY1080" t="str">
            <v>Part Time</v>
          </cell>
          <cell r="AZ1080">
            <v>7</v>
          </cell>
          <cell r="BA1080" t="str">
            <v>A.S. Rao Nagar Cluster</v>
          </cell>
        </row>
        <row r="1081">
          <cell r="M1081" t="str">
            <v>Tirupathi-333</v>
          </cell>
          <cell r="N1081" t="str">
            <v>USG(Basic, Doppler Studies,Thyroid/Scrotum USG, Breast USG,TIFFA,MSK USG, Penile Doppler, USG Guided FNAC, USG Guided Aspiration), CT (Basic, Chest/Abdomen/Neck,3DCT,CT Angiography, Virtual Bronchoscopy),MRI(Basic, MSK studies-knee/shoulder, MSK studies-Wrist/Ankle, MRI MRCP/Abdomen/Liver,MR Prostate/Rectum, MRI TM Joints), Special Procedures (IVP,RGU,MCUG, Barium Swallow, Barium Enema, HSG)</v>
          </cell>
          <cell r="O1081" t="str">
            <v>Radiology</v>
          </cell>
          <cell r="P1081" t="str">
            <v>Consultant Radiologist</v>
          </cell>
          <cell r="Q1081" t="str">
            <v>Dr Krishna Mohan Pottala</v>
          </cell>
          <cell r="R1081">
            <v>45446</v>
          </cell>
          <cell r="S1081">
            <v>45446</v>
          </cell>
          <cell r="T1081">
            <v>46175</v>
          </cell>
          <cell r="U1081">
            <v>46176</v>
          </cell>
          <cell r="V1081">
            <v>2010</v>
          </cell>
          <cell r="W1081" t="str">
            <v>Dr NTR University of health sciences,Vijayawada,Andhra Pradesh</v>
          </cell>
          <cell r="X1081">
            <v>2019</v>
          </cell>
          <cell r="Y1081" t="str">
            <v>PESIMSR,Kuppam,AP</v>
          </cell>
          <cell r="Z1081" t="str">
            <v>NA</v>
          </cell>
          <cell r="AA1081" t="str">
            <v>MBBS, MD Radio Diagnosis</v>
          </cell>
          <cell r="AB1081">
            <v>69683</v>
          </cell>
          <cell r="AC1081" t="str">
            <v>Andhra Pradesh Medical Council</v>
          </cell>
          <cell r="AD1081">
            <v>45302</v>
          </cell>
          <cell r="AE1081">
            <v>47128</v>
          </cell>
          <cell r="AF1081">
            <v>9121823646</v>
          </cell>
          <cell r="AG1081" t="str">
            <v>cvcviswa@gmail.com</v>
          </cell>
          <cell r="AH1081" t="str">
            <v>ICICI Bank</v>
          </cell>
          <cell r="AI1081" t="str">
            <v>108210100104136</v>
          </cell>
          <cell r="AJ1081" t="str">
            <v>UBIN0810827</v>
          </cell>
          <cell r="AK1081" t="str">
            <v>BCJPC3897B</v>
          </cell>
          <cell r="AL1081">
            <v>715529859076</v>
          </cell>
          <cell r="AN1081">
            <v>45747</v>
          </cell>
          <cell r="AO1081">
            <v>45687</v>
          </cell>
          <cell r="AP1081" t="str">
            <v>Personal reasons</v>
          </cell>
          <cell r="AQ1081" t="str">
            <v>H No, 19-13-105/k115 Flat No: 115 D block, Sri Mahalakshmi Residency, tirupati andhar pradesh - 517501</v>
          </cell>
          <cell r="AR1081">
            <v>38</v>
          </cell>
          <cell r="AW1081">
            <v>31902</v>
          </cell>
          <cell r="AX1081" t="str">
            <v>Male</v>
          </cell>
          <cell r="AY1081" t="str">
            <v>Full Time</v>
          </cell>
          <cell r="AZ1081">
            <v>8</v>
          </cell>
          <cell r="BA1081" t="str">
            <v>Tirupati Cluster</v>
          </cell>
        </row>
        <row r="1082">
          <cell r="M1082" t="str">
            <v>Nandyal - 48</v>
          </cell>
          <cell r="N1082" t="str">
            <v>X-Ray (Plain Radiography-Basic), USG(Basic, Doppler Studies,Thyroid/Scrotum USG, Breast USG,TIFFA, MSK USG,USG Guided FNAC, USG guided Aspiration), CT (Basic, Chest/Abdomen,3DCT,CT Angiography), MRI( Basic, MSK Studies-knee/shoulder, MRI MRCP/Abdomen/Liver, Special Procedures (IVP,RGU,MCUG, Barium Swallow, Barium Enema, HSG)</v>
          </cell>
          <cell r="O1082" t="str">
            <v>Radiology</v>
          </cell>
          <cell r="P1082" t="str">
            <v>Consultant Radiologist</v>
          </cell>
          <cell r="Q1082" t="str">
            <v>Dr Krishna Mohan Pottala</v>
          </cell>
          <cell r="R1082">
            <v>45551</v>
          </cell>
          <cell r="S1082">
            <v>45551</v>
          </cell>
          <cell r="T1082">
            <v>46280</v>
          </cell>
          <cell r="U1082">
            <v>46281</v>
          </cell>
          <cell r="V1082">
            <v>2017</v>
          </cell>
          <cell r="W1082" t="str">
            <v>Kurnool Medical College</v>
          </cell>
          <cell r="X1082">
            <v>2023</v>
          </cell>
          <cell r="Y1082" t="str">
            <v>Santhiram Medical College</v>
          </cell>
          <cell r="Z1082" t="str">
            <v>NA</v>
          </cell>
          <cell r="AA1082" t="str">
            <v>MBBS, MD Radio Diagnosis</v>
          </cell>
          <cell r="AB1082" t="str">
            <v>APMC/FMR/103337</v>
          </cell>
          <cell r="AC1082" t="str">
            <v>Andhra Pradesh Medical Council</v>
          </cell>
          <cell r="AD1082">
            <v>45190</v>
          </cell>
          <cell r="AE1082">
            <v>47016</v>
          </cell>
          <cell r="AF1082">
            <v>9553427369</v>
          </cell>
          <cell r="AG1082" t="str">
            <v>kvishnuharika@gmail.com</v>
          </cell>
          <cell r="AH1082" t="str">
            <v>STATE BANK OF INDIA</v>
          </cell>
          <cell r="AI1082" t="str">
            <v>43265937893</v>
          </cell>
          <cell r="AJ1082" t="str">
            <v>SBIN0020871</v>
          </cell>
          <cell r="AK1082" t="str">
            <v>IBHPK3635R</v>
          </cell>
          <cell r="AL1082">
            <v>900786273111</v>
          </cell>
          <cell r="AM1082" t="str">
            <v>Sankar Prasad Karicherla</v>
          </cell>
          <cell r="AN1082">
            <v>45747</v>
          </cell>
          <cell r="AO1082">
            <v>45680</v>
          </cell>
          <cell r="AP1082" t="str">
            <v>Fellowship</v>
          </cell>
          <cell r="AQ1082" t="str">
            <v>87-1198-6, Nagireddy Revenue Colony, Revenue Ward No 87, Kurnool, Andhra Pradesh-518002.</v>
          </cell>
          <cell r="AR1082">
            <v>30</v>
          </cell>
          <cell r="AS1082" t="str">
            <v>ICICI Lambord</v>
          </cell>
          <cell r="AT1082" t="str">
            <v>4021/A/356415014/00/000</v>
          </cell>
          <cell r="AU1082">
            <v>45523</v>
          </cell>
          <cell r="AV1082">
            <v>45887</v>
          </cell>
          <cell r="AW1082">
            <v>34685</v>
          </cell>
          <cell r="AX1082" t="str">
            <v>Female</v>
          </cell>
          <cell r="AY1082" t="str">
            <v>Full Time</v>
          </cell>
          <cell r="AZ1082">
            <v>8</v>
          </cell>
          <cell r="BA1082" t="str">
            <v>Kurnool Cluster</v>
          </cell>
        </row>
        <row r="1083">
          <cell r="M1083" t="str">
            <v>Kalaburagi-Gulbarga-144</v>
          </cell>
          <cell r="N1083" t="str">
            <v>X-Ray (Plain Radiography -  Basic, Advanced, Mammography), USG ( Basic, Doppler Studies, Thyroid / Scrotum USG, Breast USG, TIFFA, Foetal Echo, USG Guided FNAC, USG Guided Aspiration, CT (Basic, Chest/Abdomen/Neck, 3 DCT), Special Procedures (IVP, RGU, MCUG, Barium Swallow, Barium Enema, HSG)</v>
          </cell>
          <cell r="O1083" t="str">
            <v>Radiology</v>
          </cell>
          <cell r="P1083" t="str">
            <v>Consultant Radiologist</v>
          </cell>
          <cell r="Q1083" t="str">
            <v>Dr Krishna Mohan Pottala</v>
          </cell>
          <cell r="R1083">
            <v>45673</v>
          </cell>
          <cell r="S1083">
            <v>45673</v>
          </cell>
          <cell r="T1083">
            <v>46402</v>
          </cell>
          <cell r="U1083">
            <v>46403</v>
          </cell>
          <cell r="V1083">
            <v>2018</v>
          </cell>
          <cell r="W1083" t="str">
            <v>Banglore Medical College and Research Institute(BMCRI)</v>
          </cell>
          <cell r="X1083">
            <v>2022</v>
          </cell>
          <cell r="Y1083" t="str">
            <v>JJM Medical College</v>
          </cell>
          <cell r="Z1083" t="str">
            <v>NA</v>
          </cell>
          <cell r="AA1083" t="str">
            <v>MBBS, MD Radio Diagnosis</v>
          </cell>
          <cell r="AB1083">
            <v>123081</v>
          </cell>
          <cell r="AC1083" t="str">
            <v>Karnataka Medical Council</v>
          </cell>
          <cell r="AD1083">
            <v>44746</v>
          </cell>
          <cell r="AE1083">
            <v>46571</v>
          </cell>
          <cell r="AF1083" t="str">
            <v>9945023704 / 8431873860</v>
          </cell>
          <cell r="AG1083" t="str">
            <v>niveditabiradar50@gmail.com</v>
          </cell>
          <cell r="AH1083" t="str">
            <v>ICICI Bank</v>
          </cell>
          <cell r="AI1083" t="str">
            <v>232401507711</v>
          </cell>
          <cell r="AJ1083" t="str">
            <v>ICIC0002324</v>
          </cell>
          <cell r="AK1083" t="str">
            <v>ENMPB8563A</v>
          </cell>
          <cell r="AL1083">
            <v>357775710875</v>
          </cell>
          <cell r="AM1083" t="str">
            <v>Nagappa Biradar</v>
          </cell>
          <cell r="AN1083">
            <v>45747</v>
          </cell>
          <cell r="AO1083">
            <v>45762</v>
          </cell>
          <cell r="AP1083" t="str">
            <v>Personal reasons</v>
          </cell>
          <cell r="AQ1083" t="str">
            <v>Plot No-43, Jewargi Road, Kotnur D, Gulbarga, C J Colony, Gulbarga, Karnataka - 585102.</v>
          </cell>
          <cell r="AR1083">
            <v>30</v>
          </cell>
          <cell r="AS1083" t="str">
            <v>ICICI Lambord</v>
          </cell>
          <cell r="AT1083" t="str">
            <v>4161/375441054/00/000</v>
          </cell>
          <cell r="AU1083">
            <v>45664</v>
          </cell>
          <cell r="AV1083">
            <v>46758</v>
          </cell>
          <cell r="AW1083">
            <v>34632</v>
          </cell>
          <cell r="AX1083" t="str">
            <v>Female</v>
          </cell>
          <cell r="AY1083" t="str">
            <v>Part Time</v>
          </cell>
          <cell r="AZ1083">
            <v>3</v>
          </cell>
          <cell r="BA1083" t="str">
            <v>Gulbarga Cluster</v>
          </cell>
        </row>
        <row r="1084">
          <cell r="M1084" t="str">
            <v>Musheerbad - 36</v>
          </cell>
          <cell r="N1084" t="str">
            <v>NA</v>
          </cell>
          <cell r="O1084" t="str">
            <v>Physician Services</v>
          </cell>
          <cell r="P1084" t="str">
            <v>Consultant Physician</v>
          </cell>
          <cell r="Q1084" t="str">
            <v>NA</v>
          </cell>
          <cell r="R1084">
            <v>45699</v>
          </cell>
          <cell r="S1084">
            <v>45699</v>
          </cell>
          <cell r="T1084">
            <v>46428</v>
          </cell>
          <cell r="U1084">
            <v>46429</v>
          </cell>
          <cell r="V1084">
            <v>2021</v>
          </cell>
          <cell r="W1084" t="str">
            <v>Chalmeda Anand Rao Institute of Medical Sciences</v>
          </cell>
          <cell r="X1084" t="str">
            <v>NA</v>
          </cell>
          <cell r="Y1084" t="str">
            <v>NA</v>
          </cell>
          <cell r="Z1084" t="str">
            <v>NA</v>
          </cell>
          <cell r="AA1084" t="str">
            <v>MBBS</v>
          </cell>
          <cell r="AB1084" t="str">
            <v>TSMC/FMR/24625</v>
          </cell>
          <cell r="AC1084" t="str">
            <v>Telangana State Medical Council</v>
          </cell>
          <cell r="AD1084">
            <v>44938</v>
          </cell>
          <cell r="AE1084">
            <v>46763</v>
          </cell>
          <cell r="AF1084">
            <v>8897611976</v>
          </cell>
          <cell r="AG1084" t="str">
            <v>drsharathp@gmail.com</v>
          </cell>
          <cell r="AH1084" t="str">
            <v>Kotak Mahindra Bank</v>
          </cell>
          <cell r="AI1084" t="str">
            <v>2549566344</v>
          </cell>
          <cell r="AJ1084" t="str">
            <v>KKBK0007473</v>
          </cell>
          <cell r="AK1084" t="str">
            <v>EDLPP7866M</v>
          </cell>
          <cell r="AL1084">
            <v>234220751111</v>
          </cell>
          <cell r="AM1084" t="str">
            <v>Nagaiah Papanka</v>
          </cell>
          <cell r="AN1084">
            <v>45747</v>
          </cell>
          <cell r="AO1084">
            <v>45754</v>
          </cell>
          <cell r="AP1084" t="str">
            <v>Study purpose</v>
          </cell>
          <cell r="AQ1084" t="str">
            <v>2-21, Ammakkapet, Ibrahimpatnam, Karimnagar, Telangana - 505450.</v>
          </cell>
          <cell r="AR1084">
            <v>30</v>
          </cell>
          <cell r="AW1084">
            <v>34808</v>
          </cell>
          <cell r="AX1084" t="str">
            <v>Male</v>
          </cell>
          <cell r="AY1084" t="str">
            <v>Part Time</v>
          </cell>
          <cell r="AZ1084">
            <v>1</v>
          </cell>
          <cell r="BA1084" t="str">
            <v>Secunderabad Cluster</v>
          </cell>
        </row>
        <row r="1085">
          <cell r="M1085" t="str">
            <v>Karmanghat - 68</v>
          </cell>
          <cell r="N1085" t="str">
            <v>X-Ray(Plain Radiography-Basic,Advanced) USG (Basic, Doppler Studies, Thyroid/Scrotum USG, Breast USG, TIFFA, MSK USG, USG Guided FNAC, USG Guided Trucut Biopsy, USG Guided Aspiration) CT (Basic, Chest/Abdomen/ Neck, 3DCT, CT Angiography, Coronary CT) MRI (Basic, MRI MRCP/Abdomen/ Liver)</v>
          </cell>
          <cell r="O1085" t="str">
            <v>Radiology</v>
          </cell>
          <cell r="P1085" t="str">
            <v>Consultant Radiologist</v>
          </cell>
          <cell r="Q1085" t="str">
            <v>Dr Krishna Mohan Pottala</v>
          </cell>
          <cell r="R1085">
            <v>45656</v>
          </cell>
          <cell r="S1085">
            <v>45656</v>
          </cell>
          <cell r="T1085">
            <v>46385</v>
          </cell>
          <cell r="U1085">
            <v>46386</v>
          </cell>
          <cell r="V1085">
            <v>2019</v>
          </cell>
          <cell r="W1085" t="str">
            <v>Mahatma Gandhi Memorial Medical College, Indore</v>
          </cell>
          <cell r="X1085">
            <v>2023</v>
          </cell>
          <cell r="Y1085" t="str">
            <v>GB Pant Institute of Postgraduate Medical Education and Research, Delhi</v>
          </cell>
          <cell r="Z1085" t="str">
            <v>NA</v>
          </cell>
          <cell r="AA1085" t="str">
            <v>MBBS, MD Radio Diagnosis</v>
          </cell>
          <cell r="AB1085" t="str">
            <v>TSMC/FMR/26784</v>
          </cell>
          <cell r="AC1085" t="str">
            <v>Telangana State Medical Council</v>
          </cell>
          <cell r="AD1085">
            <v>45187</v>
          </cell>
          <cell r="AE1085">
            <v>47013</v>
          </cell>
          <cell r="AF1085">
            <v>8959510702</v>
          </cell>
          <cell r="AG1085" t="str">
            <v>subhiagrawal1997@gmail.com</v>
          </cell>
          <cell r="AH1085" t="str">
            <v>STATE BANK OF INDIA</v>
          </cell>
          <cell r="AI1085" t="str">
            <v>38352376448</v>
          </cell>
          <cell r="AJ1085" t="str">
            <v>SBIN0050590</v>
          </cell>
          <cell r="AK1085" t="str">
            <v>BRJPA5400R</v>
          </cell>
          <cell r="AL1085">
            <v>571212352443</v>
          </cell>
          <cell r="AM1085" t="str">
            <v>Chandresh Agrawal</v>
          </cell>
          <cell r="AN1085">
            <v>45750</v>
          </cell>
          <cell r="AO1085">
            <v>45692</v>
          </cell>
          <cell r="AP1085" t="str">
            <v>Fellowship</v>
          </cell>
          <cell r="AQ1085" t="str">
            <v>K-169, Sector A Scheme 71, Gumasta Nagar, Indore, Madhya Pradesh - 452009.</v>
          </cell>
          <cell r="AR1085">
            <v>28</v>
          </cell>
          <cell r="AW1085">
            <v>35517</v>
          </cell>
          <cell r="AX1085" t="str">
            <v>Female</v>
          </cell>
          <cell r="AY1085" t="str">
            <v>Part Time</v>
          </cell>
          <cell r="AZ1085">
            <v>2</v>
          </cell>
          <cell r="BA1085" t="str">
            <v>Santosh Nagar Cluster</v>
          </cell>
        </row>
        <row r="1086">
          <cell r="M1086" t="str">
            <v>Vizag - 37</v>
          </cell>
          <cell r="N1086" t="str">
            <v>N/A</v>
          </cell>
          <cell r="O1086" t="str">
            <v>Physician Services</v>
          </cell>
          <cell r="P1086" t="str">
            <v>Consultant Physician</v>
          </cell>
          <cell r="Q1086" t="str">
            <v>NA</v>
          </cell>
          <cell r="R1086">
            <v>45357</v>
          </cell>
          <cell r="S1086">
            <v>45357</v>
          </cell>
          <cell r="T1086">
            <v>46086</v>
          </cell>
          <cell r="U1086">
            <v>46087</v>
          </cell>
          <cell r="V1086">
            <v>2019</v>
          </cell>
          <cell r="W1086" t="str">
            <v>Xuzhou Medical University</v>
          </cell>
          <cell r="X1086" t="str">
            <v>NA</v>
          </cell>
          <cell r="Y1086" t="str">
            <v>N/A</v>
          </cell>
          <cell r="Z1086" t="str">
            <v>NA</v>
          </cell>
          <cell r="AA1086" t="str">
            <v>MBBS</v>
          </cell>
          <cell r="AB1086" t="str">
            <v>TSMC/FMR/18436</v>
          </cell>
          <cell r="AC1086" t="str">
            <v>Andhra Pradesh Medical Council</v>
          </cell>
          <cell r="AD1086">
            <v>44518</v>
          </cell>
          <cell r="AE1086">
            <v>46343</v>
          </cell>
          <cell r="AF1086">
            <v>9182086633</v>
          </cell>
          <cell r="AG1086" t="str">
            <v>madhuramidi95@gmail.com</v>
          </cell>
          <cell r="AH1086" t="str">
            <v>SBI Bank</v>
          </cell>
          <cell r="AI1086" t="str">
            <v>39018217961</v>
          </cell>
          <cell r="AJ1086" t="str">
            <v>SBIN0021652</v>
          </cell>
          <cell r="AK1086" t="str">
            <v>CIQPR0453N</v>
          </cell>
          <cell r="AL1086">
            <v>517285761307</v>
          </cell>
          <cell r="AN1086">
            <v>45751</v>
          </cell>
          <cell r="AO1086" t="str">
            <v>NA</v>
          </cell>
          <cell r="AP1086" t="str">
            <v>Time deviation deductions/Abscond</v>
          </cell>
          <cell r="AQ1086" t="str">
            <v>Nagineni Palli, Bommalaramaram, Naogonda, Andhra Pardesh - 508126</v>
          </cell>
          <cell r="AR1086">
            <v>29</v>
          </cell>
          <cell r="AW1086">
            <v>35305</v>
          </cell>
          <cell r="AX1086" t="str">
            <v>Female</v>
          </cell>
          <cell r="AY1086" t="str">
            <v>Part Time</v>
          </cell>
          <cell r="AZ1086">
            <v>2</v>
          </cell>
          <cell r="BA1086" t="str">
            <v>Visakhapatnam Cluster</v>
          </cell>
        </row>
        <row r="1087">
          <cell r="M1087" t="str">
            <v>Madinaguda - 112</v>
          </cell>
          <cell r="N1087" t="str">
            <v>NA</v>
          </cell>
          <cell r="O1087" t="str">
            <v>Pathology</v>
          </cell>
          <cell r="P1087" t="str">
            <v>Consultant Pathologist</v>
          </cell>
          <cell r="Q1087" t="str">
            <v>Dr Ramesh Kinha</v>
          </cell>
          <cell r="R1087">
            <v>45527</v>
          </cell>
          <cell r="S1087">
            <v>45527</v>
          </cell>
          <cell r="T1087">
            <v>46256</v>
          </cell>
          <cell r="U1087">
            <v>46257</v>
          </cell>
          <cell r="V1087">
            <v>2013</v>
          </cell>
          <cell r="W1087" t="str">
            <v>Katuri Medical College</v>
          </cell>
          <cell r="X1087">
            <v>2019</v>
          </cell>
          <cell r="Y1087" t="str">
            <v>Jawaharlal Nehru Medical College</v>
          </cell>
          <cell r="Z1087" t="str">
            <v>NA</v>
          </cell>
          <cell r="AA1087" t="str">
            <v>MBBS,MD-Pathology</v>
          </cell>
          <cell r="AB1087" t="str">
            <v>TSMC/FMR/34074</v>
          </cell>
          <cell r="AC1087" t="str">
            <v>Telangana State Medical Council</v>
          </cell>
          <cell r="AD1087">
            <v>45523</v>
          </cell>
          <cell r="AE1087">
            <v>47348</v>
          </cell>
          <cell r="AF1087">
            <v>9632544229</v>
          </cell>
          <cell r="AG1087" t="str">
            <v>dr.sheronIai@gimail.com</v>
          </cell>
          <cell r="AH1087" t="str">
            <v>Axis Bank Ltd</v>
          </cell>
          <cell r="AI1087" t="str">
            <v>921010047432294</v>
          </cell>
          <cell r="AJ1087" t="str">
            <v>UTIB0001222</v>
          </cell>
          <cell r="AK1087" t="str">
            <v>AJAPL4425H</v>
          </cell>
          <cell r="AL1087">
            <v>795318628185</v>
          </cell>
          <cell r="AM1087" t="str">
            <v>L Ranbir Singh</v>
          </cell>
          <cell r="AN1087">
            <v>45751</v>
          </cell>
          <cell r="AO1087">
            <v>45693</v>
          </cell>
          <cell r="AP1087" t="str">
            <v xml:space="preserve">Relocating </v>
          </cell>
          <cell r="AQ1087" t="str">
            <v>Kwakeithel, Morang purel, Leikai, Imphal, Imphal west, Manipur, 795001.</v>
          </cell>
          <cell r="AR1087">
            <v>34</v>
          </cell>
          <cell r="AW1087">
            <v>33171</v>
          </cell>
          <cell r="AX1087" t="str">
            <v>Female</v>
          </cell>
          <cell r="AY1087" t="str">
            <v>Full Time</v>
          </cell>
          <cell r="AZ1087">
            <v>8</v>
          </cell>
          <cell r="BA1087" t="str">
            <v>Madhapur Cluster</v>
          </cell>
        </row>
        <row r="1088">
          <cell r="M1088" t="str">
            <v>Vijayanagar - 51</v>
          </cell>
          <cell r="N1088" t="str">
            <v>Basic USG, Tiffa, Guided Procedures, Basic CT, X Ray, Plain Radiology, IVP, RGU, MCGU, Barium Swallow, Barium Anema, HSG</v>
          </cell>
          <cell r="O1088" t="str">
            <v>Radiology</v>
          </cell>
          <cell r="P1088" t="str">
            <v>Consultant Radiologist</v>
          </cell>
          <cell r="Q1088" t="str">
            <v>Dr Krishna Mohan Pottala</v>
          </cell>
          <cell r="R1088">
            <v>45218</v>
          </cell>
          <cell r="S1088">
            <v>45428</v>
          </cell>
          <cell r="T1088">
            <v>45948</v>
          </cell>
          <cell r="U1088">
            <v>45949</v>
          </cell>
          <cell r="V1088">
            <v>2018</v>
          </cell>
          <cell r="W1088" t="str">
            <v>Apollo Institute Of Medical Sciences</v>
          </cell>
          <cell r="X1088">
            <v>2022</v>
          </cell>
          <cell r="Y1088" t="str">
            <v>Shadan institute of medical science</v>
          </cell>
          <cell r="Z1088" t="str">
            <v>NA</v>
          </cell>
          <cell r="AA1088" t="str">
            <v>MBBS, MD Radio Diagnosis</v>
          </cell>
          <cell r="AB1088" t="str">
            <v>TSMC/FMR/06349</v>
          </cell>
          <cell r="AC1088" t="str">
            <v>Telangana State Medical Council</v>
          </cell>
          <cell r="AD1088">
            <v>44893</v>
          </cell>
          <cell r="AE1088">
            <v>46718</v>
          </cell>
          <cell r="AF1088">
            <v>7569059490</v>
          </cell>
          <cell r="AG1088" t="str">
            <v>sumer667@gmail.com</v>
          </cell>
          <cell r="AH1088" t="str">
            <v>Union Bank of India</v>
          </cell>
          <cell r="AI1088" t="str">
            <v>107510100058244</v>
          </cell>
          <cell r="AJ1088" t="str">
            <v>UBIN0806056</v>
          </cell>
          <cell r="AK1088" t="str">
            <v>FUBPM5369E</v>
          </cell>
          <cell r="AL1088">
            <v>337990410562</v>
          </cell>
          <cell r="AN1088">
            <v>45759</v>
          </cell>
          <cell r="AO1088" t="str">
            <v>NA</v>
          </cell>
          <cell r="AP1088" t="str">
            <v>Asked to leave</v>
          </cell>
          <cell r="AQ1088" t="str">
            <v>11-3-110/C-Class 71, New Mallepally, Hyderabad, Telangana - 500001</v>
          </cell>
          <cell r="AR1088">
            <v>30</v>
          </cell>
          <cell r="AW1088">
            <v>34648</v>
          </cell>
          <cell r="AX1088" t="str">
            <v>Male</v>
          </cell>
          <cell r="AY1088" t="str">
            <v>Part Time</v>
          </cell>
          <cell r="AZ1088">
            <v>2</v>
          </cell>
          <cell r="BA1088" t="str">
            <v>Himayathnagar Cluster</v>
          </cell>
        </row>
        <row r="1089">
          <cell r="M1089" t="str">
            <v>Madinaguda - 112</v>
          </cell>
          <cell r="N1089" t="str">
            <v>NA</v>
          </cell>
          <cell r="O1089" t="str">
            <v>Pathology</v>
          </cell>
          <cell r="P1089" t="str">
            <v>Consultant Pathologist</v>
          </cell>
          <cell r="Q1089" t="str">
            <v>Dr Ramesh Kinha</v>
          </cell>
          <cell r="R1089">
            <v>45511</v>
          </cell>
          <cell r="S1089">
            <v>45511</v>
          </cell>
          <cell r="T1089">
            <v>46240</v>
          </cell>
          <cell r="U1089">
            <v>46241</v>
          </cell>
          <cell r="V1089">
            <v>2014</v>
          </cell>
          <cell r="W1089" t="str">
            <v>Mahatma Gandhi institute of Medical Science</v>
          </cell>
          <cell r="X1089">
            <v>2022</v>
          </cell>
          <cell r="Y1089" t="str">
            <v>Kasturba Medical College, Mangloare</v>
          </cell>
          <cell r="Z1089" t="str">
            <v>NA</v>
          </cell>
          <cell r="AA1089" t="str">
            <v>MBBS, MD Pathology</v>
          </cell>
          <cell r="AB1089" t="str">
            <v>TSMC/FMR/33956</v>
          </cell>
          <cell r="AC1089" t="str">
            <v>Telangana State Medical Council</v>
          </cell>
          <cell r="AD1089">
            <v>45510</v>
          </cell>
          <cell r="AE1089">
            <v>47335</v>
          </cell>
          <cell r="AF1089">
            <v>9632419104</v>
          </cell>
          <cell r="AG1089" t="str">
            <v>shivkumar.saumya@gmail.com</v>
          </cell>
          <cell r="AH1089" t="str">
            <v>ICICI Bank</v>
          </cell>
          <cell r="AI1089" t="str">
            <v>1401031474</v>
          </cell>
          <cell r="AJ1089" t="str">
            <v>ICIC0000014</v>
          </cell>
          <cell r="AK1089" t="str">
            <v>EWAPS5473R</v>
          </cell>
          <cell r="AL1089">
            <v>655129711019</v>
          </cell>
          <cell r="AM1089" t="str">
            <v>Vitaladevuni Balasubrahmanyam Shivkumar</v>
          </cell>
          <cell r="AN1089">
            <v>45759</v>
          </cell>
          <cell r="AO1089">
            <v>45701</v>
          </cell>
          <cell r="AP1089" t="str">
            <v>Personal reasons</v>
          </cell>
          <cell r="AQ1089" t="str">
            <v>A-10, Dhanwantari nagar, Post Sevagram, Warud, Wardha, Maharastra-442102.</v>
          </cell>
          <cell r="AR1089">
            <v>34</v>
          </cell>
          <cell r="AW1089">
            <v>33441</v>
          </cell>
          <cell r="AX1089" t="str">
            <v>Female</v>
          </cell>
          <cell r="AY1089" t="str">
            <v>Full Time</v>
          </cell>
          <cell r="AZ1089">
            <v>8</v>
          </cell>
          <cell r="BA1089" t="str">
            <v>Madhapur Cluster</v>
          </cell>
        </row>
        <row r="1090">
          <cell r="M1090" t="str">
            <v>Film Nagar - 38</v>
          </cell>
          <cell r="N1090" t="str">
            <v xml:space="preserve">Basic USG, Tiffa, X Ray, Plan - Radiography, IVP, RGU, MCUG, Barium Swallow, Barium Anema, </v>
          </cell>
          <cell r="O1090" t="str">
            <v>Radiology</v>
          </cell>
          <cell r="P1090" t="str">
            <v>Consultant Radiologist</v>
          </cell>
          <cell r="Q1090" t="str">
            <v>Dr Krishna Mohan Pottala</v>
          </cell>
          <cell r="R1090">
            <v>44996</v>
          </cell>
          <cell r="S1090">
            <v>45727</v>
          </cell>
          <cell r="T1090">
            <v>46456</v>
          </cell>
          <cell r="U1090">
            <v>46457</v>
          </cell>
          <cell r="V1090">
            <v>2010</v>
          </cell>
          <cell r="W1090" t="str">
            <v>Dr. NTR University of Health Sciences - 2010</v>
          </cell>
          <cell r="X1090">
            <v>2017</v>
          </cell>
          <cell r="Y1090" t="str">
            <v>Dr. NTR University of Health Sciences - 2017</v>
          </cell>
          <cell r="Z1090" t="str">
            <v>NA</v>
          </cell>
          <cell r="AA1090" t="str">
            <v>MBBS, MD Radio Diagnosis</v>
          </cell>
          <cell r="AB1090" t="str">
            <v>APMC/FMR/74116</v>
          </cell>
          <cell r="AC1090" t="str">
            <v>Telangana State Medical Council</v>
          </cell>
          <cell r="AD1090">
            <v>44693</v>
          </cell>
          <cell r="AE1090">
            <v>46518</v>
          </cell>
          <cell r="AF1090">
            <v>9949145145</v>
          </cell>
          <cell r="AG1090" t="str">
            <v>goud.sagar@gmail.com</v>
          </cell>
          <cell r="AH1090" t="str">
            <v>HDFC Bank</v>
          </cell>
          <cell r="AI1090" t="str">
            <v>16291000010670</v>
          </cell>
          <cell r="AJ1090" t="str">
            <v>HDFC0001629</v>
          </cell>
          <cell r="AK1090" t="str">
            <v>BWOPM9987P</v>
          </cell>
          <cell r="AL1090" t="str">
            <v>601691380598</v>
          </cell>
          <cell r="AM1090" t="str">
            <v>Mohan Goud Moola</v>
          </cell>
          <cell r="AN1090">
            <v>45766</v>
          </cell>
          <cell r="AO1090" t="str">
            <v>NA</v>
          </cell>
          <cell r="AP1090" t="str">
            <v>Asked to move Panjagutta but Dr left</v>
          </cell>
          <cell r="AQ1090" t="str">
            <v>8-1-293/A/1, Dwaraka Nagar colony , Darag shaikpet, Golconda , Hyderabad -500008</v>
          </cell>
          <cell r="AR1090">
            <v>39</v>
          </cell>
          <cell r="AT1090" t="str">
            <v>61190036230400000052</v>
          </cell>
          <cell r="AU1090">
            <v>45226</v>
          </cell>
          <cell r="AV1090">
            <v>45591</v>
          </cell>
          <cell r="AW1090">
            <v>31597</v>
          </cell>
          <cell r="AX1090" t="str">
            <v>Male</v>
          </cell>
          <cell r="AY1090" t="str">
            <v>Full Time</v>
          </cell>
          <cell r="AZ1090">
            <v>8</v>
          </cell>
          <cell r="BA1090" t="str">
            <v>Himayathnagar Cluster</v>
          </cell>
        </row>
        <row r="1091">
          <cell r="M1091" t="str">
            <v>Lothukunta-90</v>
          </cell>
          <cell r="N1091" t="str">
            <v>Basic USG, Tiffa, Guided Procedures, Basic CT, X Ray, Plain Radiography, Mammography, IVP, RGU, MCUG, Barium Swallow, Barium Anema, HSG.
(Can Do USG, TIFFA, Doppler, Basic CT, Mammography)</v>
          </cell>
          <cell r="O1091" t="str">
            <v>Radiology</v>
          </cell>
          <cell r="P1091" t="str">
            <v>Consultant Radiologist</v>
          </cell>
          <cell r="Q1091" t="str">
            <v>Dr Krishna Mohan Pottala</v>
          </cell>
          <cell r="R1091">
            <v>45337</v>
          </cell>
          <cell r="S1091">
            <v>45337</v>
          </cell>
          <cell r="T1091">
            <v>46067</v>
          </cell>
          <cell r="U1091">
            <v>46068</v>
          </cell>
          <cell r="V1091">
            <v>2018</v>
          </cell>
          <cell r="W1091" t="str">
            <v>Chalmeda Anandrao Institute of Mecical Science</v>
          </cell>
          <cell r="X1091">
            <v>2023</v>
          </cell>
          <cell r="Y1091" t="str">
            <v>AJ Institute of Medical Sciences</v>
          </cell>
          <cell r="Z1091" t="str">
            <v>NA</v>
          </cell>
          <cell r="AA1091" t="str">
            <v>MBBS, MD Radio Diagnosis</v>
          </cell>
          <cell r="AB1091" t="str">
            <v>TSMC/FMR/10886</v>
          </cell>
          <cell r="AC1091" t="str">
            <v>Telangana State Medical Council</v>
          </cell>
          <cell r="AD1091">
            <v>45190</v>
          </cell>
          <cell r="AE1091">
            <v>47016</v>
          </cell>
          <cell r="AF1091">
            <v>9542494444</v>
          </cell>
          <cell r="AG1091" t="str">
            <v>sowmith24@gmail.com</v>
          </cell>
          <cell r="AH1091" t="str">
            <v>ICICI Bank</v>
          </cell>
          <cell r="AI1091" t="str">
            <v>363201502773</v>
          </cell>
          <cell r="AJ1091" t="str">
            <v>ICIC0003632</v>
          </cell>
          <cell r="AK1091" t="str">
            <v>OBCPS1439G</v>
          </cell>
          <cell r="AL1091">
            <v>702493427299</v>
          </cell>
          <cell r="AN1091">
            <v>45766</v>
          </cell>
          <cell r="AO1091">
            <v>45710</v>
          </cell>
          <cell r="AP1091" t="str">
            <v>Relocating</v>
          </cell>
          <cell r="AQ1091" t="str">
            <v>8-4-8/3, Sai Nagar, Vemulawada, Karimnagar, ndhra Pradesh - 505302</v>
          </cell>
          <cell r="AR1091">
            <v>29</v>
          </cell>
          <cell r="AW1091">
            <v>35088</v>
          </cell>
          <cell r="AX1091" t="str">
            <v>Male</v>
          </cell>
          <cell r="AY1091" t="str">
            <v>Part Time</v>
          </cell>
          <cell r="AZ1091">
            <v>5</v>
          </cell>
          <cell r="BA1091" t="str">
            <v>Secunderabad Cluster</v>
          </cell>
        </row>
        <row r="1092">
          <cell r="M1092" t="str">
            <v>Panjagutta-121</v>
          </cell>
          <cell r="N1092" t="str">
            <v>X-Ray(Plain Radiography-Basic,advanced,lower limb scanogram, Whole Spine X-Ray), USG(Basic,Doppler studies,Thyroid/Scrotum USG, Breast USG,TIFFA, USG Guided FNAC, USG Guided Truct Biopsy,USG Guided Aspiration, Breast Biopsy), CT(Basic, Chest/Abdomen), Special procedures(IVP,RGU,MCUG, Barium Swallow, Barium Enema,HSG)</v>
          </cell>
          <cell r="O1092" t="str">
            <v>Radiology</v>
          </cell>
          <cell r="P1092" t="str">
            <v>Consultant Radiologist</v>
          </cell>
          <cell r="Q1092" t="str">
            <v>Dr Krishna Mohan Pottala</v>
          </cell>
          <cell r="R1092">
            <v>45600</v>
          </cell>
          <cell r="S1092">
            <v>45600</v>
          </cell>
          <cell r="T1092">
            <v>46329</v>
          </cell>
          <cell r="U1092">
            <v>46330</v>
          </cell>
          <cell r="V1092">
            <v>2013</v>
          </cell>
          <cell r="W1092" t="str">
            <v>Gandhi Medical College</v>
          </cell>
          <cell r="X1092">
            <v>2023</v>
          </cell>
          <cell r="Y1092" t="str">
            <v>Chalmeda Anand Rao Institute of Medical Sciences</v>
          </cell>
          <cell r="Z1092" t="str">
            <v>NA</v>
          </cell>
          <cell r="AA1092" t="str">
            <v>MBBS, MD Radio Diagnosis</v>
          </cell>
          <cell r="AB1092" t="str">
            <v>APMC/FMR/89548</v>
          </cell>
          <cell r="AC1092" t="str">
            <v>Telangana State Medical Council</v>
          </cell>
          <cell r="AD1092">
            <v>45581</v>
          </cell>
          <cell r="AE1092">
            <v>47406</v>
          </cell>
          <cell r="AF1092">
            <v>9603087279</v>
          </cell>
          <cell r="AG1092" t="str">
            <v>shambrooze@gmail.com</v>
          </cell>
          <cell r="AH1092" t="str">
            <v>STATE BANK OF INDIA</v>
          </cell>
          <cell r="AI1092" t="str">
            <v>42022141682</v>
          </cell>
          <cell r="AJ1092" t="str">
            <v>SBIN0020884</v>
          </cell>
          <cell r="AK1092" t="str">
            <v>CFGPM8470K</v>
          </cell>
          <cell r="AL1092">
            <v>723334493679</v>
          </cell>
          <cell r="AM1092" t="str">
            <v>Mohammad Abdul Raoof</v>
          </cell>
          <cell r="AN1092">
            <v>45766</v>
          </cell>
          <cell r="AO1092" t="str">
            <v>NA</v>
          </cell>
          <cell r="AP1092" t="str">
            <v>Asked to leave</v>
          </cell>
          <cell r="AQ1092" t="str">
            <v>2-10-1565, Chaitanyapuri, Karimnagar, Telangana - 505001.</v>
          </cell>
          <cell r="AR1092">
            <v>36</v>
          </cell>
          <cell r="AW1092">
            <v>32735</v>
          </cell>
          <cell r="AX1092" t="str">
            <v>Male</v>
          </cell>
          <cell r="AY1092" t="str">
            <v>Full Time</v>
          </cell>
          <cell r="AZ1092">
            <v>8</v>
          </cell>
          <cell r="BA1092" t="str">
            <v>Punjagutta Cluster</v>
          </cell>
        </row>
        <row r="1093">
          <cell r="M1093" t="str">
            <v>Hanamkonda - 40</v>
          </cell>
          <cell r="N1093" t="str">
            <v>N/A</v>
          </cell>
          <cell r="O1093" t="str">
            <v>Microbiology</v>
          </cell>
          <cell r="P1093" t="str">
            <v>Consultant Microbiologist</v>
          </cell>
          <cell r="Q1093" t="str">
            <v>Dr Ramesh Kinha</v>
          </cell>
          <cell r="R1093">
            <v>45343</v>
          </cell>
          <cell r="S1093">
            <v>45444</v>
          </cell>
          <cell r="T1093">
            <v>46073</v>
          </cell>
          <cell r="U1093">
            <v>46074</v>
          </cell>
          <cell r="V1093">
            <v>2016</v>
          </cell>
          <cell r="W1093" t="str">
            <v>Shadan Institute of Medical Sciences</v>
          </cell>
          <cell r="X1093">
            <v>2023</v>
          </cell>
          <cell r="Y1093" t="str">
            <v>Kakatiya Medical College</v>
          </cell>
          <cell r="Z1093" t="str">
            <v>NA</v>
          </cell>
          <cell r="AA1093" t="str">
            <v>MBBS, MD Microbiology</v>
          </cell>
          <cell r="AB1093" t="str">
            <v>TSMC/FMR/04168</v>
          </cell>
          <cell r="AC1093" t="str">
            <v>Telangana State Medical Council</v>
          </cell>
          <cell r="AD1093">
            <v>45334</v>
          </cell>
          <cell r="AE1093">
            <v>47160</v>
          </cell>
          <cell r="AF1093">
            <v>8374143394</v>
          </cell>
          <cell r="AG1093" t="str">
            <v>aarazaib.sd@gmail.com</v>
          </cell>
          <cell r="AH1093" t="str">
            <v>SBI Bank</v>
          </cell>
          <cell r="AI1093" t="str">
            <v>42395823523</v>
          </cell>
          <cell r="AJ1093" t="str">
            <v>SBIN0007952</v>
          </cell>
          <cell r="AK1093" t="str">
            <v>ELBPS6016Q</v>
          </cell>
          <cell r="AL1093" t="str">
            <v>580752556489</v>
          </cell>
          <cell r="AN1093">
            <v>45772</v>
          </cell>
          <cell r="AO1093" t="str">
            <v>NA</v>
          </cell>
          <cell r="AP1093" t="str">
            <v>Medial leave/ Not turnedup</v>
          </cell>
          <cell r="AQ1093" t="str">
            <v>13-8-98, Papiahpet Chaman, Warangal, Telangana, 506002</v>
          </cell>
          <cell r="AR1093">
            <v>32</v>
          </cell>
          <cell r="AW1093">
            <v>34173</v>
          </cell>
          <cell r="AX1093" t="str">
            <v>Female</v>
          </cell>
          <cell r="AY1093" t="str">
            <v>Part Time</v>
          </cell>
          <cell r="AZ1093">
            <v>3</v>
          </cell>
          <cell r="BA1093" t="str">
            <v>TS - Upcountry</v>
          </cell>
        </row>
        <row r="1094">
          <cell r="M1094" t="str">
            <v>Himayatnagar</v>
          </cell>
          <cell r="N1094" t="str">
            <v>N/A</v>
          </cell>
          <cell r="O1094" t="str">
            <v>Pathology</v>
          </cell>
          <cell r="P1094" t="str">
            <v>Consultant Pathologist</v>
          </cell>
          <cell r="Q1094" t="str">
            <v>Dr Ramesh Kinha</v>
          </cell>
          <cell r="R1094">
            <v>45541</v>
          </cell>
          <cell r="S1094">
            <v>45541</v>
          </cell>
          <cell r="T1094">
            <v>46270</v>
          </cell>
          <cell r="U1094">
            <v>46271</v>
          </cell>
          <cell r="V1094">
            <v>2009</v>
          </cell>
          <cell r="W1094" t="str">
            <v>Jawaharlal Nehru Medical College</v>
          </cell>
          <cell r="X1094">
            <v>2016</v>
          </cell>
          <cell r="Y1094" t="str">
            <v>SETH G S Medical College</v>
          </cell>
          <cell r="Z1094" t="str">
            <v>Fellowship in Clinical hematology</v>
          </cell>
          <cell r="AA1094" t="str">
            <v>MBBS,MD-Pathology</v>
          </cell>
          <cell r="AB1094" t="str">
            <v>TSMC/FMR/34363</v>
          </cell>
          <cell r="AC1094" t="str">
            <v>Telangana State Medical Council</v>
          </cell>
          <cell r="AD1094">
            <v>45540</v>
          </cell>
          <cell r="AE1094">
            <v>47365</v>
          </cell>
          <cell r="AF1094">
            <v>8828291729</v>
          </cell>
          <cell r="AG1094" t="str">
            <v>smsaud5287@gmail.com</v>
          </cell>
          <cell r="AH1094" t="str">
            <v>STATE BANK OF INDIA</v>
          </cell>
          <cell r="AI1094" t="str">
            <v>33464087956</v>
          </cell>
          <cell r="AJ1094" t="str">
            <v>SBIN0001884</v>
          </cell>
          <cell r="AK1094" t="str">
            <v>BRJPS5851A</v>
          </cell>
          <cell r="AL1094">
            <v>416248567710</v>
          </cell>
          <cell r="AM1094" t="str">
            <v>Mohammed Hayat Shaikh</v>
          </cell>
          <cell r="AN1094">
            <v>45772</v>
          </cell>
          <cell r="AO1094">
            <v>45713</v>
          </cell>
          <cell r="AP1094" t="str">
            <v>exams</v>
          </cell>
          <cell r="AQ1094" t="str">
            <v>H No-1401, Flat No-505, 5th Floor, A Wing, Marwah Appt, CO OP HSG SOC LTD, Aam Pada Raod, 4th Nizampura, Bhiwandi, Thane, Maharastra-421302.</v>
          </cell>
          <cell r="AR1094">
            <v>38</v>
          </cell>
          <cell r="AW1094">
            <v>31932</v>
          </cell>
          <cell r="AX1094" t="str">
            <v>Male</v>
          </cell>
          <cell r="AY1094" t="str">
            <v>Part Time</v>
          </cell>
          <cell r="AZ1094">
            <v>5</v>
          </cell>
          <cell r="BA1094" t="str">
            <v>Himayathnagar Cluster</v>
          </cell>
        </row>
        <row r="1095">
          <cell r="M1095" t="str">
            <v>Sangareddy - 4</v>
          </cell>
          <cell r="N1095" t="str">
            <v>USG , Tiffa, MSK, Basic CT,  X-Ray, IVP, RGU, MCGU, Barium Swallow, Barium Enema, HSG</v>
          </cell>
          <cell r="O1095" t="str">
            <v>Radiology</v>
          </cell>
          <cell r="P1095" t="str">
            <v>Consultant Radiologist</v>
          </cell>
          <cell r="Q1095" t="str">
            <v>Dr Krishna Mohan Pottala</v>
          </cell>
          <cell r="R1095">
            <v>45139</v>
          </cell>
          <cell r="S1095">
            <v>45139</v>
          </cell>
          <cell r="T1095">
            <v>45869</v>
          </cell>
          <cell r="U1095">
            <v>45870</v>
          </cell>
          <cell r="V1095">
            <v>2013</v>
          </cell>
          <cell r="W1095" t="str">
            <v>Osmania Medical College</v>
          </cell>
          <cell r="X1095">
            <v>2020</v>
          </cell>
          <cell r="Y1095" t="str">
            <v>Krishna Institute of Medical Sciences</v>
          </cell>
          <cell r="Z1095" t="str">
            <v>N/A</v>
          </cell>
          <cell r="AA1095" t="str">
            <v>MBBS, DNB Radio diagnosis</v>
          </cell>
          <cell r="AB1095" t="str">
            <v>APMC/FMR/83527</v>
          </cell>
          <cell r="AC1095" t="str">
            <v>Telangana State Medical Council</v>
          </cell>
          <cell r="AD1095">
            <v>44146</v>
          </cell>
          <cell r="AE1095">
            <v>45971</v>
          </cell>
          <cell r="AF1095">
            <v>8008844664</v>
          </cell>
          <cell r="AG1095" t="str">
            <v>sreenivas2083@gmail.com</v>
          </cell>
          <cell r="AH1095" t="str">
            <v>HDFC Bank</v>
          </cell>
          <cell r="AI1095" t="str">
            <v>50100620969024</v>
          </cell>
          <cell r="AJ1095" t="str">
            <v>HDFC0000813</v>
          </cell>
          <cell r="AK1095" t="str">
            <v>JHNPS3430K</v>
          </cell>
          <cell r="AL1095">
            <v>834324330767</v>
          </cell>
          <cell r="AN1095">
            <v>45777</v>
          </cell>
          <cell r="AO1095" t="str">
            <v>NA</v>
          </cell>
          <cell r="AP1095" t="str">
            <v>Asked to leave</v>
          </cell>
          <cell r="AQ1095" t="str">
            <v>H:no ; 4-8-87/8/1, Manjeera Nagar, Sangareddy, 502001</v>
          </cell>
          <cell r="AR1095">
            <v>36</v>
          </cell>
          <cell r="AW1095">
            <v>32692</v>
          </cell>
          <cell r="AX1095" t="str">
            <v>Male</v>
          </cell>
          <cell r="AY1095" t="str">
            <v>Part Time</v>
          </cell>
          <cell r="AZ1095">
            <v>2.5</v>
          </cell>
          <cell r="BA1095" t="str">
            <v>Kukatpally Cluster</v>
          </cell>
        </row>
        <row r="1096">
          <cell r="M1096" t="str">
            <v>Vijayanagar - 51</v>
          </cell>
          <cell r="N1096" t="str">
            <v>Basic USG, Tiffa, MSK, Guided Procedures, Basic CT, Basic MRI, X Ray, Plain Radiology, IVP, RGU, MCGU, Barium Swallow, Barium Anema, HSG 
(Note :- Can do USG, Tiffa, Doppel, CT, Basic MRI, Included FNAC)</v>
          </cell>
          <cell r="O1096" t="str">
            <v>Radiology</v>
          </cell>
          <cell r="P1096" t="str">
            <v>Consultant Radiologist</v>
          </cell>
          <cell r="Q1096" t="str">
            <v>Dr Krishna Mohan Pottala</v>
          </cell>
          <cell r="R1096">
            <v>45264</v>
          </cell>
          <cell r="S1096">
            <v>45444</v>
          </cell>
          <cell r="T1096">
            <v>45994</v>
          </cell>
          <cell r="U1096">
            <v>45995</v>
          </cell>
          <cell r="V1096">
            <v>2017</v>
          </cell>
          <cell r="W1096" t="str">
            <v>Government medical college</v>
          </cell>
          <cell r="X1096">
            <v>2022</v>
          </cell>
          <cell r="Y1096" t="str">
            <v>IGGMC</v>
          </cell>
          <cell r="Z1096" t="str">
            <v>NA</v>
          </cell>
          <cell r="AA1096" t="str">
            <v>MBBS, MD Radio Diagnosis</v>
          </cell>
          <cell r="AB1096" t="str">
            <v>TSMC/FMR/27155</v>
          </cell>
          <cell r="AC1096" t="str">
            <v>Telangana State Medical Council</v>
          </cell>
          <cell r="AD1096">
            <v>45205</v>
          </cell>
          <cell r="AE1096">
            <v>47031</v>
          </cell>
          <cell r="AF1096">
            <v>8830132347</v>
          </cell>
          <cell r="AG1096" t="str">
            <v>kallu_kalambe@yahoo.com</v>
          </cell>
          <cell r="AH1096" t="str">
            <v>Punjab National Bank</v>
          </cell>
          <cell r="AI1096" t="str">
            <v>2723000400204320</v>
          </cell>
          <cell r="AJ1096" t="str">
            <v>PUNB0272300</v>
          </cell>
          <cell r="AK1096" t="str">
            <v>DSEPK0172G</v>
          </cell>
          <cell r="AL1096">
            <v>995448221291</v>
          </cell>
          <cell r="AN1096">
            <v>45777</v>
          </cell>
          <cell r="AO1096" t="str">
            <v>NA</v>
          </cell>
          <cell r="AP1096" t="str">
            <v>Asked to leave</v>
          </cell>
          <cell r="AQ1096" t="str">
            <v>Near Hanuman Mandir 12, Dhomane Layout, Mahalaxmi Nagar No. 3, Galli No.7, Ayodhya Nagar, Nagpur, Maharashtra - 440024</v>
          </cell>
          <cell r="AR1096">
            <v>31</v>
          </cell>
          <cell r="AW1096">
            <v>34511</v>
          </cell>
          <cell r="AX1096" t="str">
            <v>Female</v>
          </cell>
          <cell r="AY1096" t="str">
            <v>Part Time</v>
          </cell>
          <cell r="AZ1096">
            <v>7</v>
          </cell>
          <cell r="BA1096" t="str">
            <v>Himayathnagar Cluster</v>
          </cell>
        </row>
        <row r="1097">
          <cell r="M1097" t="str">
            <v>Boduppal - 45</v>
          </cell>
          <cell r="N1097" t="str">
            <v>USG, ALL PREGNANCIES SCANS, X RAYS</v>
          </cell>
          <cell r="O1097" t="str">
            <v>Radiology</v>
          </cell>
          <cell r="P1097" t="str">
            <v>Consultant Radiologist</v>
          </cell>
          <cell r="Q1097" t="str">
            <v>Dr Krishna Mohan Pottala</v>
          </cell>
          <cell r="R1097">
            <v>44232</v>
          </cell>
          <cell r="S1097">
            <v>45536</v>
          </cell>
          <cell r="T1097">
            <v>46265</v>
          </cell>
          <cell r="U1097">
            <v>46266</v>
          </cell>
          <cell r="V1097">
            <v>2011</v>
          </cell>
          <cell r="W1097" t="str">
            <v>Pinnamaneni Siddhartha Institute of Medical Sciences</v>
          </cell>
          <cell r="X1097">
            <v>2016</v>
          </cell>
          <cell r="Y1097" t="str">
            <v>Maharaja Institute of Medical Sciences</v>
          </cell>
          <cell r="Z1097" t="str">
            <v>NA</v>
          </cell>
          <cell r="AA1097" t="str">
            <v>MBBS, MD Radio Diagnosis</v>
          </cell>
          <cell r="AB1097" t="str">
            <v>APMC/FMR/74706</v>
          </cell>
          <cell r="AC1097" t="str">
            <v>Telangana State Medical Council</v>
          </cell>
          <cell r="AD1097">
            <v>44939</v>
          </cell>
          <cell r="AE1097">
            <v>46764</v>
          </cell>
          <cell r="AF1097">
            <v>9052522861</v>
          </cell>
          <cell r="AG1097" t="str">
            <v>joe06052@gmail.com</v>
          </cell>
          <cell r="AH1097" t="str">
            <v>Union Bank of India</v>
          </cell>
          <cell r="AI1097" t="str">
            <v>176410100018787</v>
          </cell>
          <cell r="AJ1097" t="str">
            <v>UBIN0817643</v>
          </cell>
          <cell r="AK1097" t="str">
            <v>BEWPM1290M</v>
          </cell>
          <cell r="AL1097" t="str">
            <v>346188999925</v>
          </cell>
          <cell r="AM1097" t="str">
            <v>Matta Dharma Rao</v>
          </cell>
          <cell r="AN1097">
            <v>45782</v>
          </cell>
          <cell r="AO1097">
            <v>45782</v>
          </cell>
          <cell r="AP1097" t="str">
            <v>Shift timings problem</v>
          </cell>
          <cell r="AQ1097" t="str">
            <v>552/4, Railway officers Quarters, New entrance secunderabad railway station, Bhoiguda, Secunderabd,Hyderabad, Telangana-500003.</v>
          </cell>
          <cell r="AR1097">
            <v>35</v>
          </cell>
          <cell r="AW1097">
            <v>32735</v>
          </cell>
          <cell r="AX1097" t="str">
            <v>Female</v>
          </cell>
          <cell r="AY1097" t="str">
            <v>Part Time</v>
          </cell>
          <cell r="AZ1097">
            <v>3</v>
          </cell>
          <cell r="BA1097" t="str">
            <v>Dilshuknagar Cluster</v>
          </cell>
        </row>
        <row r="1098">
          <cell r="M1098" t="str">
            <v>Ameerpet - 14</v>
          </cell>
          <cell r="N1098" t="str">
            <v>Basic USGs, Tiffa, MSK, USG Guided Procedures, IVP, RGU, MCGU, Barium Swallow, Barium Enema, HSG, Xrays and Mammography, Basic CT, CT Enteroclysis, All Angio's except Coronary, Basic MRI</v>
          </cell>
          <cell r="O1098" t="str">
            <v>Radiology</v>
          </cell>
          <cell r="P1098" t="str">
            <v>Consultant Radiologist</v>
          </cell>
          <cell r="Q1098" t="str">
            <v>Dr Krishna Mohan Pottala</v>
          </cell>
          <cell r="R1098">
            <v>44663</v>
          </cell>
          <cell r="S1098">
            <v>45150</v>
          </cell>
          <cell r="T1098">
            <v>45880</v>
          </cell>
          <cell r="U1098">
            <v>45881</v>
          </cell>
          <cell r="V1098">
            <v>2009</v>
          </cell>
          <cell r="W1098" t="str">
            <v>Osmania Medical College, Hyderabad </v>
          </cell>
          <cell r="X1098">
            <v>2014</v>
          </cell>
          <cell r="Y1098" t="str">
            <v>Gandhi medical college, Hyderabad</v>
          </cell>
          <cell r="Z1098" t="str">
            <v>NA</v>
          </cell>
          <cell r="AA1098" t="str">
            <v>MBBS, MD Radio Diagnosis</v>
          </cell>
          <cell r="AB1098">
            <v>65788</v>
          </cell>
          <cell r="AC1098" t="str">
            <v>Telangana State Medical Council</v>
          </cell>
          <cell r="AD1098">
            <v>44249</v>
          </cell>
          <cell r="AE1098">
            <v>46075</v>
          </cell>
          <cell r="AF1098">
            <v>9441210456</v>
          </cell>
          <cell r="AG1098" t="str">
            <v>suneeth_j@yahoo.co.in</v>
          </cell>
          <cell r="AH1098" t="str">
            <v>STATE BANK OF INDIA</v>
          </cell>
          <cell r="AI1098" t="str">
            <v>62205268976</v>
          </cell>
          <cell r="AJ1098" t="str">
            <v>SBIN0018276</v>
          </cell>
          <cell r="AK1098" t="str">
            <v>ALMPJ5099B</v>
          </cell>
          <cell r="AL1098" t="str">
            <v>410123003266</v>
          </cell>
          <cell r="AN1098">
            <v>45782</v>
          </cell>
          <cell r="AO1098">
            <v>45722</v>
          </cell>
          <cell r="AP1098" t="str">
            <v>required long leaves</v>
          </cell>
          <cell r="AQ1098" t="str">
            <v>6-3-1090/1/o/102 legend tulips Apartment , Somajiguda, near katriya hotel, somajiguda, Erramanzil,. Hyderabad, telangana- 500082</v>
          </cell>
          <cell r="AR1098">
            <v>39</v>
          </cell>
          <cell r="AS1098" t="str">
            <v>ICICI Lambord</v>
          </cell>
          <cell r="AT1098" t="str">
            <v>4021/A/347148856/00/000</v>
          </cell>
          <cell r="AU1098">
            <v>45511</v>
          </cell>
          <cell r="AV1098">
            <v>45875</v>
          </cell>
          <cell r="AW1098">
            <v>31432</v>
          </cell>
          <cell r="AX1098" t="str">
            <v>Male</v>
          </cell>
          <cell r="AY1098" t="str">
            <v>Part Time</v>
          </cell>
          <cell r="AZ1098">
            <v>3</v>
          </cell>
          <cell r="BA1098" t="str">
            <v>Himayathnagar Cluster</v>
          </cell>
        </row>
        <row r="1099">
          <cell r="M1099" t="str">
            <v>Uppal - 69</v>
          </cell>
          <cell r="N1099" t="str">
            <v>Basic USG, Tiffa,Guided Procedures, Basic CT ,  X Ray,Plain Radiography, IVP, RGU, MCUG, Barium Swallow, Barium Enema, HSG</v>
          </cell>
          <cell r="O1099" t="str">
            <v>Radiology</v>
          </cell>
          <cell r="P1099" t="str">
            <v>Consultant Radiologist</v>
          </cell>
          <cell r="Q1099" t="str">
            <v>Dr Krishna Mohan Pottala</v>
          </cell>
          <cell r="R1099">
            <v>45033</v>
          </cell>
          <cell r="S1099">
            <v>45033</v>
          </cell>
          <cell r="T1099">
            <v>45763</v>
          </cell>
          <cell r="U1099">
            <v>45764</v>
          </cell>
          <cell r="V1099">
            <v>2014</v>
          </cell>
          <cell r="W1099" t="str">
            <v>Mamata Medical college,Khammam,Telangana--2014</v>
          </cell>
          <cell r="X1099">
            <v>2022</v>
          </cell>
          <cell r="Y1099" t="str">
            <v>Kaloji Narayana Rao University of Health Sciences - 2022</v>
          </cell>
          <cell r="Z1099" t="str">
            <v>NA</v>
          </cell>
          <cell r="AA1099" t="str">
            <v>MBBS, MD Radio Diagnosis</v>
          </cell>
          <cell r="AB1099" t="str">
            <v>TSMC/FMR/00547</v>
          </cell>
          <cell r="AC1099" t="str">
            <v>Telangana State Medical Council</v>
          </cell>
          <cell r="AD1099">
            <v>45009</v>
          </cell>
          <cell r="AE1099">
            <v>46835</v>
          </cell>
          <cell r="AF1099" t="str">
            <v>6301151908, 9391263697</v>
          </cell>
          <cell r="AG1099" t="str">
            <v>prashanthdorna@gmail.com</v>
          </cell>
          <cell r="AH1099" t="str">
            <v>ICICI Bank</v>
          </cell>
          <cell r="AI1099" t="str">
            <v>132001501974</v>
          </cell>
          <cell r="AJ1099" t="str">
            <v>ICIC0001320</v>
          </cell>
          <cell r="AK1099" t="str">
            <v>COCPP4149B</v>
          </cell>
          <cell r="AL1099">
            <v>597638441630</v>
          </cell>
          <cell r="AN1099">
            <v>45782</v>
          </cell>
          <cell r="AO1099">
            <v>45722</v>
          </cell>
          <cell r="AP1099" t="str">
            <v>Better Opportunity</v>
          </cell>
          <cell r="AQ1099" t="str">
            <v>5-107/4, Buddanagar Colony, Near Vijaya Hospital, Peerzadiguda, Boduppal, Hyderabad - 500092</v>
          </cell>
          <cell r="AR1099">
            <v>33</v>
          </cell>
          <cell r="AW1099">
            <v>33615</v>
          </cell>
          <cell r="AX1099" t="str">
            <v>Male</v>
          </cell>
          <cell r="AY1099" t="str">
            <v>Part Time</v>
          </cell>
          <cell r="AZ1099">
            <v>3</v>
          </cell>
          <cell r="BA1099" t="str">
            <v>Dilshuknagar Cluster</v>
          </cell>
        </row>
        <row r="1100">
          <cell r="M1100" t="str">
            <v>Medipally - 101</v>
          </cell>
          <cell r="N1100" t="str">
            <v>Basic USG, Tiffa,Guided Procedures, Basic CT ,  X Ray,Plain Radiography, IVP, RGU, MCUG, Barium Swallow, Barium Enema, HSG</v>
          </cell>
          <cell r="O1100" t="str">
            <v>Radiology</v>
          </cell>
          <cell r="P1100" t="str">
            <v>Consultant Radiologist</v>
          </cell>
          <cell r="Q1100" t="str">
            <v>Dr Krishna Mohan Pottala</v>
          </cell>
          <cell r="R1100">
            <v>45132</v>
          </cell>
          <cell r="S1100">
            <v>45132</v>
          </cell>
          <cell r="T1100">
            <v>45862</v>
          </cell>
          <cell r="U1100">
            <v>45863</v>
          </cell>
          <cell r="V1100">
            <v>2014</v>
          </cell>
          <cell r="W1100" t="str">
            <v>Mamata Medical college,Khammam,Telangana--2014</v>
          </cell>
          <cell r="X1100">
            <v>2022</v>
          </cell>
          <cell r="Y1100" t="str">
            <v>Kaloji Narayana Rao University of Health Sciences - 2022</v>
          </cell>
          <cell r="Z1100" t="str">
            <v>N/A</v>
          </cell>
          <cell r="AA1100" t="str">
            <v>MBBS, MD Radio Diagnosis</v>
          </cell>
          <cell r="AB1100" t="str">
            <v>TSMC/FMR/00547</v>
          </cell>
          <cell r="AC1100" t="str">
            <v>Telangana State Medical Council</v>
          </cell>
          <cell r="AD1100">
            <v>45009</v>
          </cell>
          <cell r="AE1100">
            <v>46835</v>
          </cell>
          <cell r="AF1100" t="str">
            <v>6301151908, 9391263697</v>
          </cell>
          <cell r="AG1100" t="str">
            <v>prashanthdorna@gmail.com</v>
          </cell>
          <cell r="AH1100" t="str">
            <v>ICICI Bank</v>
          </cell>
          <cell r="AI1100" t="str">
            <v>132001501974</v>
          </cell>
          <cell r="AJ1100" t="str">
            <v>ICIC0001320</v>
          </cell>
          <cell r="AK1100" t="str">
            <v>COCPP4149B</v>
          </cell>
          <cell r="AL1100">
            <v>597638441630</v>
          </cell>
          <cell r="AN1100">
            <v>45782</v>
          </cell>
          <cell r="AO1100">
            <v>45722</v>
          </cell>
          <cell r="AP1100" t="str">
            <v>Better Opportunity</v>
          </cell>
          <cell r="AQ1100" t="str">
            <v>5-107/4, Buddanagar Colony, Near Vijaya Hospital, Peerzadiguda, Boduppal, Hyderabad - 500092</v>
          </cell>
          <cell r="AR1100">
            <v>33</v>
          </cell>
          <cell r="AW1100">
            <v>33615</v>
          </cell>
          <cell r="AX1100" t="str">
            <v>Male</v>
          </cell>
          <cell r="AY1100" t="str">
            <v>Part Time</v>
          </cell>
          <cell r="AZ1100">
            <v>4</v>
          </cell>
          <cell r="BA1100" t="str">
            <v>Dilshuknagar Cluster</v>
          </cell>
        </row>
        <row r="1101">
          <cell r="M1101" t="str">
            <v>Santosh Nagar-15</v>
          </cell>
          <cell r="N1101" t="str">
            <v>NA</v>
          </cell>
          <cell r="O1101" t="str">
            <v>Pathology</v>
          </cell>
          <cell r="P1101" t="str">
            <v>Consultant Pathologist</v>
          </cell>
          <cell r="Q1101" t="str">
            <v>Dr Ramesh Kinha</v>
          </cell>
          <cell r="R1101">
            <v>45752</v>
          </cell>
          <cell r="S1101">
            <v>45752</v>
          </cell>
          <cell r="T1101">
            <v>46481</v>
          </cell>
          <cell r="U1101">
            <v>46482</v>
          </cell>
          <cell r="V1101">
            <v>2014</v>
          </cell>
          <cell r="W1101" t="str">
            <v>Rajiv Gandhi Institute of Medical sciences, Karnataka</v>
          </cell>
          <cell r="X1101">
            <v>2023</v>
          </cell>
          <cell r="Y1101" t="str">
            <v>Shimoga Institute of Medical Sciences</v>
          </cell>
          <cell r="Z1101" t="str">
            <v>NA</v>
          </cell>
          <cell r="AA1101" t="str">
            <v>MBBS, MD Pathology</v>
          </cell>
          <cell r="AB1101" t="str">
            <v>TSMC/FMR/30521</v>
          </cell>
          <cell r="AC1101" t="str">
            <v>Telangana State Medical Council</v>
          </cell>
          <cell r="AD1101">
            <v>45397</v>
          </cell>
          <cell r="AE1101">
            <v>47222</v>
          </cell>
          <cell r="AF1101">
            <v>7032460638</v>
          </cell>
          <cell r="AG1101" t="str">
            <v>dr.anushakaranam23@gmail.com</v>
          </cell>
          <cell r="AH1101" t="str">
            <v>Corporation Bank</v>
          </cell>
          <cell r="AI1101" t="str">
            <v>2030552267</v>
          </cell>
          <cell r="AJ1101" t="str">
            <v>CORP0000006</v>
          </cell>
          <cell r="AK1101" t="str">
            <v>BNWPA7397C</v>
          </cell>
          <cell r="AL1101">
            <v>541487428931</v>
          </cell>
          <cell r="AM1101" t="str">
            <v>Karanam Sundar Rao</v>
          </cell>
          <cell r="AN1101">
            <v>45787</v>
          </cell>
          <cell r="AO1101" t="str">
            <v>NA</v>
          </cell>
          <cell r="AP1101" t="str">
            <v>Personal reasons/abscond</v>
          </cell>
          <cell r="AQ1101" t="str">
            <v>17-1-382/v/1/15, Vaishalinagar, Champapet, Amasguda, KV Rangareddy, saroornagar, Telangana-500079</v>
          </cell>
          <cell r="AR1101">
            <v>35</v>
          </cell>
          <cell r="AW1101">
            <v>33110</v>
          </cell>
          <cell r="AX1101" t="str">
            <v>Female</v>
          </cell>
          <cell r="AY1101" t="str">
            <v>Part Time</v>
          </cell>
          <cell r="AZ1101">
            <v>2</v>
          </cell>
          <cell r="BA1101" t="str">
            <v>Santosh Nagar Cluster</v>
          </cell>
        </row>
        <row r="1102">
          <cell r="M1102" t="str">
            <v>Vijayanagar - 51</v>
          </cell>
          <cell r="N1102" t="str">
            <v>X-Ray(Plain Radiography-Basic, Advanced, Mammography), USG(Basic, Doppler Studies, Thyroid/Scrotum USG, Breast USG, TIFFA, MSK USG, USG Guided FNAC, USG Guided Aspiration), CT(Basic), Special Procedures (IVP, RGU, MCUG, Barium Swallow, Barium Enema, HSG)</v>
          </cell>
          <cell r="O1102" t="str">
            <v>Radiology</v>
          </cell>
          <cell r="P1102" t="str">
            <v>Consultant Radiologist</v>
          </cell>
          <cell r="Q1102" t="str">
            <v>Dr Krishna Mohan Pottala</v>
          </cell>
          <cell r="R1102">
            <v>45778</v>
          </cell>
          <cell r="S1102">
            <v>45778</v>
          </cell>
          <cell r="T1102">
            <v>46507</v>
          </cell>
          <cell r="U1102">
            <v>46508</v>
          </cell>
          <cell r="V1102">
            <v>2020</v>
          </cell>
          <cell r="W1102" t="str">
            <v>Apollo Institute of Medical Sciences and Research, Hyderabad</v>
          </cell>
          <cell r="X1102">
            <v>2025</v>
          </cell>
          <cell r="Y1102" t="str">
            <v>Rajarajeswari Medical College</v>
          </cell>
          <cell r="Z1102" t="str">
            <v>NA</v>
          </cell>
          <cell r="AA1102" t="str">
            <v>MBBS, MD Radio diagnosis</v>
          </cell>
          <cell r="AB1102" t="str">
            <v>TSMC/FMR/16613</v>
          </cell>
          <cell r="AC1102" t="str">
            <v>Telangana State Medical Council</v>
          </cell>
          <cell r="AF1102">
            <v>8897387132</v>
          </cell>
          <cell r="AG1102" t="str">
            <v>sanjuungarala@gmail.com</v>
          </cell>
          <cell r="AK1102" t="str">
            <v>NOLPS7475K</v>
          </cell>
          <cell r="AL1102">
            <v>370016173856</v>
          </cell>
          <cell r="AM1102" t="str">
            <v>Ungarala Venkat Rao</v>
          </cell>
          <cell r="AN1102">
            <v>45787</v>
          </cell>
          <cell r="AO1102" t="str">
            <v>NA</v>
          </cell>
          <cell r="AP1102" t="str">
            <v>Personal reasons</v>
          </cell>
          <cell r="AQ1102" t="str">
            <v>8-2-11, Golla Bazar, Bhadrachalam, Khammam, Telangana- 507111</v>
          </cell>
          <cell r="AR1102">
            <v>28</v>
          </cell>
          <cell r="AW1102">
            <v>35670</v>
          </cell>
          <cell r="AX1102" t="str">
            <v>Female</v>
          </cell>
          <cell r="AY1102" t="str">
            <v>Full Time</v>
          </cell>
          <cell r="AZ1102">
            <v>8</v>
          </cell>
          <cell r="BA1102" t="str">
            <v>Himayathnagar Cluster</v>
          </cell>
        </row>
        <row r="1103">
          <cell r="M1103" t="str">
            <v>Chandrayangutta - 71</v>
          </cell>
          <cell r="N1103" t="str">
            <v>Basic USG, Doppler Studies, Thyroid/Scrotum USG, Breast USG, MSK USG, USG Guided FNAC,  USG Guided Aspiration,  Basic CT, Chest/Abdomen/ Neck, 3DCT, CT Angiography, CT Guided Biopsy,  MRI MRCP /Abdomen / liver, MR Prostate / rectum  X Ray,Basic &amp; Advanced Plain Radiography, IVP,  RGU, MCUG , Barium Swallow, Barium Anema, HSG. Plain Radiography basic advance, Mammography.</v>
          </cell>
          <cell r="O1103" t="str">
            <v>Radiology</v>
          </cell>
          <cell r="P1103" t="str">
            <v>Consultant Radiologist</v>
          </cell>
          <cell r="Q1103" t="str">
            <v>Dr Krishna Mohan Pottala</v>
          </cell>
          <cell r="R1103">
            <v>45455</v>
          </cell>
          <cell r="S1103">
            <v>45717</v>
          </cell>
          <cell r="T1103">
            <v>46184</v>
          </cell>
          <cell r="U1103">
            <v>46185</v>
          </cell>
          <cell r="V1103">
            <v>2014</v>
          </cell>
          <cell r="W1103" t="str">
            <v>The Tamilnadu Dr. MGR Medical University, Chennai</v>
          </cell>
          <cell r="X1103">
            <v>2021</v>
          </cell>
          <cell r="Y1103" t="str">
            <v>Apollo Hospital, Chennai Tamil Nadu</v>
          </cell>
          <cell r="Z1103" t="str">
            <v>NA</v>
          </cell>
          <cell r="AA1103" t="str">
            <v>MBBS, DNB Radio diagnosis</v>
          </cell>
          <cell r="AB1103" t="str">
            <v>TSMC/FMR/25936</v>
          </cell>
          <cell r="AC1103" t="str">
            <v>Telangana State Medical Council</v>
          </cell>
          <cell r="AD1103">
            <v>45057</v>
          </cell>
          <cell r="AE1103">
            <v>46883</v>
          </cell>
          <cell r="AF1103">
            <v>9841510424</v>
          </cell>
          <cell r="AG1103" t="str">
            <v>atchu5891@gmail.com</v>
          </cell>
          <cell r="AH1103" t="str">
            <v>ICICI Bank</v>
          </cell>
          <cell r="AI1103" t="str">
            <v>7701557763</v>
          </cell>
          <cell r="AJ1103" t="str">
            <v>ICIC0000077</v>
          </cell>
          <cell r="AK1103" t="str">
            <v>ABUPE6077E</v>
          </cell>
          <cell r="AL1103">
            <v>275933447563</v>
          </cell>
          <cell r="AM1103" t="str">
            <v>Elangovan</v>
          </cell>
          <cell r="AN1103">
            <v>45788</v>
          </cell>
          <cell r="AO1103">
            <v>45728</v>
          </cell>
          <cell r="AP1103" t="str">
            <v>Fellowship</v>
          </cell>
          <cell r="AQ1103" t="str">
            <v>C-302 S and P Living Spaces, Kamraj Salai, Ayanambakkam, Maduravoyal, Amballur Tiruvallur, Tamil Nadu - 600095</v>
          </cell>
          <cell r="AR1103">
            <v>33</v>
          </cell>
          <cell r="AW1103">
            <v>33455</v>
          </cell>
          <cell r="AX1103" t="str">
            <v>Female</v>
          </cell>
          <cell r="AY1103" t="str">
            <v>Part Time</v>
          </cell>
          <cell r="AZ1103">
            <v>5</v>
          </cell>
          <cell r="BA1103" t="str">
            <v>Santosh Nagar Cluster</v>
          </cell>
        </row>
        <row r="1104">
          <cell r="M1104" t="str">
            <v>Himayatnagar</v>
          </cell>
          <cell r="N1104" t="str">
            <v>NA</v>
          </cell>
          <cell r="O1104" t="str">
            <v>Haematology</v>
          </cell>
          <cell r="P1104" t="str">
            <v>Consultant Pathologist</v>
          </cell>
          <cell r="Q1104" t="str">
            <v>Dr Ramesh Kinha</v>
          </cell>
          <cell r="R1104">
            <v>45541</v>
          </cell>
          <cell r="S1104">
            <v>45541</v>
          </cell>
          <cell r="T1104">
            <v>46270</v>
          </cell>
          <cell r="U1104">
            <v>46271</v>
          </cell>
          <cell r="V1104">
            <v>2018</v>
          </cell>
          <cell r="W1104" t="str">
            <v>Deccan College of Medical Sciences</v>
          </cell>
          <cell r="X1104">
            <v>2023</v>
          </cell>
          <cell r="Y1104" t="str">
            <v>Kakatiya Medical College</v>
          </cell>
          <cell r="Z1104" t="str">
            <v>NA</v>
          </cell>
          <cell r="AA1104" t="str">
            <v>MBBS, MD Pathology</v>
          </cell>
          <cell r="AB1104" t="str">
            <v>TSMC/FMR/09637</v>
          </cell>
          <cell r="AC1104" t="str">
            <v>Telangana State Medical Council</v>
          </cell>
          <cell r="AD1104">
            <v>45484</v>
          </cell>
          <cell r="AE1104">
            <v>47309</v>
          </cell>
          <cell r="AF1104">
            <v>9959348168</v>
          </cell>
          <cell r="AG1104" t="str">
            <v>sabafatimadcms@gmail.com</v>
          </cell>
          <cell r="AH1104" t="str">
            <v>Union Bank of India</v>
          </cell>
          <cell r="AI1104" t="str">
            <v>133810100037180</v>
          </cell>
          <cell r="AJ1104" t="str">
            <v>UBIN0813389</v>
          </cell>
          <cell r="AK1104" t="str">
            <v>CFEPR7180F</v>
          </cell>
          <cell r="AL1104">
            <v>721156961471</v>
          </cell>
          <cell r="AM1104" t="str">
            <v>Mohammad Abdul Hasan Siddiqui</v>
          </cell>
          <cell r="AN1104">
            <v>45791</v>
          </cell>
          <cell r="AO1104">
            <v>45731</v>
          </cell>
          <cell r="AP1104" t="str">
            <v>Health issues</v>
          </cell>
          <cell r="AQ1104" t="str">
            <v>22-1-875/5/A, Sultanpura, Dabeerpura, Saidabad, Hyderabd, Telangana-500024.</v>
          </cell>
          <cell r="AR1104">
            <v>31</v>
          </cell>
          <cell r="AW1104">
            <v>34278</v>
          </cell>
          <cell r="AX1104" t="str">
            <v>Female</v>
          </cell>
          <cell r="AY1104" t="str">
            <v>Full Time</v>
          </cell>
          <cell r="AZ1104">
            <v>8</v>
          </cell>
          <cell r="BA1104" t="str">
            <v>Himayathnagar Cluster</v>
          </cell>
        </row>
        <row r="1105">
          <cell r="M1105" t="str">
            <v>Kurnool - 43</v>
          </cell>
          <cell r="N1105" t="str">
            <v>X-Ray (Plain Radiography-Basic,Advanced,Lower limb scanogram, whole spine X-Ray), USG ( Basic, Doppler Studies, Thyroid/Scrotum USG,MSK USG, USG Guided FNAC, USG Guided Aspiration), CT ( Basic, Chest/Abdomen/Neck, 3DCT, CT Angiography, CT guided biopsy), MRI(Basic, MSK studies-Knee/Shoulder,MSK Studies-Wrist/Ankle, MRI MRCP/Abdomen/Liver,), Special procedures (IVP,RGU,MCUG, Barium swallow, Barium Enema,HSG)</v>
          </cell>
          <cell r="O1105" t="str">
            <v>Radiology</v>
          </cell>
          <cell r="P1105" t="str">
            <v>Consultant Radiologist</v>
          </cell>
          <cell r="Q1105" t="str">
            <v>Dr Krishna Mohan Pottala</v>
          </cell>
          <cell r="R1105">
            <v>45597</v>
          </cell>
          <cell r="S1105">
            <v>45597</v>
          </cell>
          <cell r="T1105">
            <v>46326</v>
          </cell>
          <cell r="U1105">
            <v>46327</v>
          </cell>
          <cell r="V1105">
            <v>2013</v>
          </cell>
          <cell r="W1105" t="str">
            <v>Government Medical College, Anantapur</v>
          </cell>
          <cell r="X1105">
            <v>2020</v>
          </cell>
          <cell r="Y1105" t="str">
            <v>Sri Venkateswara Institute of Medical Sciences</v>
          </cell>
          <cell r="Z1105" t="str">
            <v>NA</v>
          </cell>
          <cell r="AA1105" t="str">
            <v>MBBS, MD Radio Diagnosis</v>
          </cell>
          <cell r="AB1105" t="str">
            <v>APMC/FMR/89224</v>
          </cell>
          <cell r="AC1105" t="str">
            <v>Telangana State Medical Council</v>
          </cell>
          <cell r="AD1105">
            <v>45281</v>
          </cell>
          <cell r="AE1105">
            <v>47107</v>
          </cell>
          <cell r="AF1105">
            <v>9704882606</v>
          </cell>
          <cell r="AG1105" t="str">
            <v>kirankumarkondeti33@gmail.com</v>
          </cell>
          <cell r="AH1105" t="str">
            <v>HDFC BANK</v>
          </cell>
          <cell r="AI1105" t="str">
            <v>50100471414266</v>
          </cell>
          <cell r="AJ1105" t="str">
            <v>HDFC0004159</v>
          </cell>
          <cell r="AK1105" t="str">
            <v>COFPK4530L</v>
          </cell>
          <cell r="AL1105">
            <v>848722426166</v>
          </cell>
          <cell r="AM1105" t="str">
            <v>K Venkateswarlu</v>
          </cell>
          <cell r="AN1105">
            <v>45800</v>
          </cell>
          <cell r="AO1105">
            <v>45771</v>
          </cell>
          <cell r="AP1105" t="str">
            <v>notice issued</v>
          </cell>
          <cell r="AQ1105" t="str">
            <v>Flat No.203, GV Mansion, Venu appartment street, 2nd Railway Gate, Gadwal, Jogulamba Gadwal, Telangana - 509125.</v>
          </cell>
          <cell r="AR1105">
            <v>38</v>
          </cell>
          <cell r="AW1105">
            <v>31746</v>
          </cell>
          <cell r="AX1105" t="str">
            <v>Male</v>
          </cell>
          <cell r="AY1105" t="str">
            <v>Part Time</v>
          </cell>
          <cell r="AZ1105">
            <v>3.5</v>
          </cell>
          <cell r="BA1105" t="str">
            <v>Kurnool Cluster</v>
          </cell>
        </row>
        <row r="1106">
          <cell r="M1106" t="str">
            <v>Nandyal - 48</v>
          </cell>
          <cell r="N1106" t="str">
            <v>NA</v>
          </cell>
          <cell r="O1106" t="str">
            <v>Pathology</v>
          </cell>
          <cell r="P1106" t="str">
            <v>Consultant Pathologist</v>
          </cell>
          <cell r="Q1106" t="str">
            <v>Dr Ramesh Kinha</v>
          </cell>
          <cell r="R1106">
            <v>45600</v>
          </cell>
          <cell r="S1106">
            <v>45600</v>
          </cell>
          <cell r="T1106">
            <v>46329</v>
          </cell>
          <cell r="U1106">
            <v>46330</v>
          </cell>
          <cell r="V1106">
            <v>2013</v>
          </cell>
          <cell r="W1106" t="str">
            <v>Government Medical College, Anantapur</v>
          </cell>
          <cell r="X1106">
            <v>2019</v>
          </cell>
          <cell r="Y1106" t="str">
            <v>Sri Venkateswara Institute of Medical Sciences, Tirupathi</v>
          </cell>
          <cell r="Z1106" t="str">
            <v>NA</v>
          </cell>
          <cell r="AA1106" t="str">
            <v>MBBS, MD Pathology</v>
          </cell>
          <cell r="AB1106" t="str">
            <v>APMC/FMR/85189</v>
          </cell>
          <cell r="AC1106" t="str">
            <v>Andhra Pradesh Medical Council</v>
          </cell>
          <cell r="AD1106">
            <v>44013</v>
          </cell>
          <cell r="AE1106">
            <v>45838</v>
          </cell>
          <cell r="AF1106">
            <v>6301944603</v>
          </cell>
          <cell r="AG1106" t="str">
            <v>drdivyasree282@gmail.com</v>
          </cell>
          <cell r="AH1106" t="str">
            <v>STATE BANK OF INDIA</v>
          </cell>
          <cell r="AI1106" t="str">
            <v>62465841104</v>
          </cell>
          <cell r="AJ1106" t="str">
            <v>SBIN0001902</v>
          </cell>
          <cell r="AK1106" t="str">
            <v>CMUPD1065N</v>
          </cell>
          <cell r="AL1106">
            <v>931401057516</v>
          </cell>
          <cell r="AM1106" t="str">
            <v>Udayagiri Lakshmi Narasaiah</v>
          </cell>
          <cell r="AN1106">
            <v>45800</v>
          </cell>
          <cell r="AO1106">
            <v>45739</v>
          </cell>
          <cell r="AP1106" t="str">
            <v>Fellowship</v>
          </cell>
          <cell r="AQ1106" t="str">
            <v>43/71-3-1, Prakash Nagar, Cuddapah, Andhra Pradesh - 516001.</v>
          </cell>
          <cell r="AR1106">
            <v>34</v>
          </cell>
          <cell r="AW1106">
            <v>33058</v>
          </cell>
          <cell r="AX1106" t="str">
            <v>Female</v>
          </cell>
          <cell r="AY1106" t="str">
            <v>Part Time</v>
          </cell>
          <cell r="AZ1106">
            <v>3</v>
          </cell>
          <cell r="BA1106" t="str">
            <v>Kurnool Cluster</v>
          </cell>
        </row>
        <row r="1107">
          <cell r="M1107" t="str">
            <v>Santosh Nagar-15</v>
          </cell>
          <cell r="N1107" t="str">
            <v>NA</v>
          </cell>
          <cell r="O1107" t="str">
            <v>Physician Services</v>
          </cell>
          <cell r="P1107" t="str">
            <v>Consultant Physician</v>
          </cell>
          <cell r="Q1107" t="str">
            <v>NA</v>
          </cell>
          <cell r="R1107">
            <v>45636</v>
          </cell>
          <cell r="S1107">
            <v>45636</v>
          </cell>
          <cell r="T1107">
            <v>46365</v>
          </cell>
          <cell r="U1107">
            <v>46366</v>
          </cell>
          <cell r="V1107">
            <v>2021</v>
          </cell>
          <cell r="W1107" t="str">
            <v>Kamineni Academy of Medical Sciences and Research centre</v>
          </cell>
          <cell r="X1107" t="str">
            <v>NA</v>
          </cell>
          <cell r="Y1107" t="str">
            <v>NA</v>
          </cell>
          <cell r="Z1107" t="str">
            <v>NA</v>
          </cell>
          <cell r="AA1107" t="str">
            <v>MBBS</v>
          </cell>
          <cell r="AB1107" t="str">
            <v>TSMC/FMR/25586</v>
          </cell>
          <cell r="AC1107" t="str">
            <v>Telangana State Medical Council</v>
          </cell>
          <cell r="AD1107">
            <v>45017</v>
          </cell>
          <cell r="AE1107">
            <v>46843</v>
          </cell>
          <cell r="AF1107">
            <v>8897618886</v>
          </cell>
          <cell r="AG1107" t="str">
            <v>drpranayshettywarangale@gmail.com</v>
          </cell>
          <cell r="AH1107" t="str">
            <v>HDFC Bank</v>
          </cell>
          <cell r="AI1107" t="str">
            <v>50100221977592</v>
          </cell>
          <cell r="AJ1107" t="str">
            <v>HDFC0004154</v>
          </cell>
          <cell r="AK1107" t="str">
            <v>EGLPP2207P</v>
          </cell>
          <cell r="AL1107">
            <v>9166197504178160</v>
          </cell>
          <cell r="AM1107" t="str">
            <v>Shettywarangale Ramesh Babu</v>
          </cell>
          <cell r="AN1107">
            <v>45800</v>
          </cell>
          <cell r="AO1107">
            <v>45740</v>
          </cell>
          <cell r="AP1107" t="str">
            <v>Abroad planning</v>
          </cell>
          <cell r="AQ1107" t="str">
            <v>H.No. 12-94/1, Plot No.218, Indira Nagar Colony, Near Mandal Primary school, Tellapur, Ramachandrapuram, Medak, Telangana-502032.</v>
          </cell>
          <cell r="AR1107">
            <v>25</v>
          </cell>
          <cell r="AW1107">
            <v>36459</v>
          </cell>
          <cell r="AX1107" t="str">
            <v>Male</v>
          </cell>
          <cell r="AY1107" t="str">
            <v>Part Time</v>
          </cell>
          <cell r="AZ1107">
            <v>1</v>
          </cell>
          <cell r="BA1107" t="str">
            <v>Santosh Nagar Cluster</v>
          </cell>
        </row>
        <row r="1108">
          <cell r="M1108" t="str">
            <v>Vanasthalipuram - 33</v>
          </cell>
          <cell r="N1108" t="str">
            <v>X-Ray( Plain Radiography-Basic, Plain Radiography-Advanced, Lower limb sacnogram, Whole spine X-ray Mammography), Usg(Basic, Doppler Studies, Thyroid/Scrotum USG, Breast USG, TIFFA,USG Guided FNAC,USG Guided Aspiration), CT ( Basic, Chest/Abdomen/Neck, 3DCT, CT Angiography), MRI(Basic, MRI MRCP/Abdomen/Liver), Special Procedures (IVP, RGU, MCUG, Barium Swallow, Barium Enema, HSG)</v>
          </cell>
          <cell r="O1108" t="str">
            <v>Radiology</v>
          </cell>
          <cell r="P1108" t="str">
            <v>Consultant Radiologist</v>
          </cell>
          <cell r="Q1108" t="str">
            <v>Dr Krishna Mohan Pottala</v>
          </cell>
          <cell r="R1108">
            <v>45568</v>
          </cell>
          <cell r="S1108">
            <v>45568</v>
          </cell>
          <cell r="T1108">
            <v>46297</v>
          </cell>
          <cell r="U1108">
            <v>46298</v>
          </cell>
          <cell r="V1108">
            <v>2018</v>
          </cell>
          <cell r="W1108" t="str">
            <v>Kamineni Academy of Medical Sciences &amp; Research centre</v>
          </cell>
          <cell r="X1108">
            <v>2023</v>
          </cell>
          <cell r="Y1108" t="str">
            <v>Gandhi Medical College, Hyderabad</v>
          </cell>
          <cell r="Z1108" t="str">
            <v>NA</v>
          </cell>
          <cell r="AA1108" t="str">
            <v>MBBS, MD Radio Diagnosis</v>
          </cell>
          <cell r="AB1108" t="str">
            <v>TSMC/FMR/10262</v>
          </cell>
          <cell r="AC1108" t="str">
            <v>Telangana State Medical Council</v>
          </cell>
          <cell r="AD1108">
            <v>45532</v>
          </cell>
          <cell r="AE1108">
            <v>47357</v>
          </cell>
          <cell r="AF1108">
            <v>9573326226</v>
          </cell>
          <cell r="AG1108" t="str">
            <v>ennampranaya27@gmail.com</v>
          </cell>
          <cell r="AH1108" t="str">
            <v>STATE BANK OF INDIA</v>
          </cell>
          <cell r="AI1108" t="str">
            <v>33204506840</v>
          </cell>
          <cell r="AJ1108" t="str">
            <v>SBIN0013150</v>
          </cell>
          <cell r="AK1108" t="str">
            <v>ADQPE1912J</v>
          </cell>
          <cell r="AL1108">
            <v>228227583553</v>
          </cell>
          <cell r="AM1108" t="str">
            <v>Raghuma Reddy Ennam</v>
          </cell>
          <cell r="AN1108">
            <v>45801</v>
          </cell>
          <cell r="AO1108">
            <v>45789</v>
          </cell>
          <cell r="AP1108" t="str">
            <v>Personal reasons/relieved early</v>
          </cell>
          <cell r="AQ1108" t="str">
            <v>7-301/1, mbr nagar, ibrahimpatnam, KV Ranga Reddy, Telangana-501506.</v>
          </cell>
          <cell r="AR1108">
            <v>29</v>
          </cell>
          <cell r="AS1108" t="str">
            <v>ICICI Lambord</v>
          </cell>
          <cell r="AT1108" t="str">
            <v>4021/A/367906576/00/000</v>
          </cell>
          <cell r="AU1108">
            <v>45603</v>
          </cell>
          <cell r="AV1108">
            <v>45967</v>
          </cell>
          <cell r="AW1108">
            <v>35182</v>
          </cell>
          <cell r="AX1108" t="str">
            <v>Female</v>
          </cell>
          <cell r="AY1108" t="str">
            <v>Full Time</v>
          </cell>
          <cell r="AZ1108">
            <v>8</v>
          </cell>
          <cell r="BA1108" t="str">
            <v>Dilshuknagar Cluster</v>
          </cell>
        </row>
        <row r="1109">
          <cell r="M1109" t="str">
            <v>Tolichowki - 23</v>
          </cell>
          <cell r="N1109" t="str">
            <v>N/A</v>
          </cell>
          <cell r="O1109" t="str">
            <v>Pathology</v>
          </cell>
          <cell r="P1109" t="str">
            <v>Consultant Pathologist</v>
          </cell>
          <cell r="Q1109" t="str">
            <v>Dr Ramesh Kinha</v>
          </cell>
          <cell r="R1109">
            <v>45264</v>
          </cell>
          <cell r="S1109">
            <v>45264</v>
          </cell>
          <cell r="T1109">
            <v>45994</v>
          </cell>
          <cell r="U1109">
            <v>45995</v>
          </cell>
          <cell r="V1109">
            <v>2011</v>
          </cell>
          <cell r="W1109" t="str">
            <v>Mediciti Institute of Medical Sciences</v>
          </cell>
          <cell r="X1109">
            <v>2016</v>
          </cell>
          <cell r="Y1109" t="str">
            <v>Chalmeda Anand Rao Institute of Medical Sciences College Karimnagar-</v>
          </cell>
          <cell r="Z1109" t="str">
            <v>NA</v>
          </cell>
          <cell r="AA1109" t="str">
            <v>MBBS, MD Pathology</v>
          </cell>
          <cell r="AB1109">
            <v>73800</v>
          </cell>
          <cell r="AC1109" t="str">
            <v>Telangana State Medical Council</v>
          </cell>
          <cell r="AD1109">
            <v>44933</v>
          </cell>
          <cell r="AE1109">
            <v>46758</v>
          </cell>
          <cell r="AF1109">
            <v>9985075799</v>
          </cell>
          <cell r="AG1109" t="str">
            <v>pingleprathyusha87@gmail.com</v>
          </cell>
          <cell r="AH1109" t="str">
            <v>HDFC Bank</v>
          </cell>
          <cell r="AI1109" t="str">
            <v>19981930000713</v>
          </cell>
          <cell r="AJ1109" t="str">
            <v>HDFC0001998</v>
          </cell>
          <cell r="AK1109" t="str">
            <v>BYDPP3507P</v>
          </cell>
          <cell r="AL1109">
            <v>547350879561</v>
          </cell>
          <cell r="AN1109">
            <v>45807</v>
          </cell>
          <cell r="AO1109" t="str">
            <v>NA</v>
          </cell>
          <cell r="AP1109" t="str">
            <v>Asked for Long leave</v>
          </cell>
          <cell r="AQ1109" t="str">
            <v>8-2-681/B/2/A/A, Road No. 12, Banjara Hills, Hyderabad, Telangana - 500034</v>
          </cell>
          <cell r="AR1109">
            <v>37</v>
          </cell>
          <cell r="AW1109">
            <v>32061</v>
          </cell>
          <cell r="AX1109" t="str">
            <v>Female</v>
          </cell>
          <cell r="AY1109" t="str">
            <v>Part Time</v>
          </cell>
          <cell r="AZ1109">
            <v>2</v>
          </cell>
          <cell r="BA1109" t="str">
            <v>Tolichowki Cluster</v>
          </cell>
        </row>
        <row r="1110">
          <cell r="M1110" t="str">
            <v>Madinaguda - 112</v>
          </cell>
          <cell r="N1110" t="str">
            <v>N/A</v>
          </cell>
          <cell r="O1110" t="str">
            <v>Pathology</v>
          </cell>
          <cell r="P1110" t="str">
            <v>Consultant Pathologist</v>
          </cell>
          <cell r="Q1110" t="str">
            <v>Dr. PTS. Shashikanth</v>
          </cell>
          <cell r="R1110">
            <v>45148</v>
          </cell>
          <cell r="S1110">
            <v>45148</v>
          </cell>
          <cell r="T1110">
            <v>45878</v>
          </cell>
          <cell r="U1110">
            <v>45879</v>
          </cell>
          <cell r="V1110">
            <v>2016</v>
          </cell>
          <cell r="W1110" t="str">
            <v>Dr. Pinnamaneni Siddhartha Institute of Medical Sciences and Research Foundation</v>
          </cell>
          <cell r="X1110">
            <v>2023</v>
          </cell>
          <cell r="Y1110" t="str">
            <v>Siddhartha Medical College</v>
          </cell>
          <cell r="Z1110" t="str">
            <v>N/A</v>
          </cell>
          <cell r="AA1110" t="str">
            <v>MBBS, MD</v>
          </cell>
          <cell r="AB1110" t="str">
            <v>APMC/FMR/100609</v>
          </cell>
          <cell r="AC1110" t="str">
            <v>Andhra Pradesh Medical Council</v>
          </cell>
          <cell r="AD1110">
            <v>45145</v>
          </cell>
          <cell r="AE1110">
            <v>46971</v>
          </cell>
          <cell r="AF1110">
            <v>9666002168</v>
          </cell>
          <cell r="AG1110" t="str">
            <v>snehadeshaboina93@gmail.com</v>
          </cell>
          <cell r="AH1110" t="str">
            <v>SBI Bank</v>
          </cell>
          <cell r="AI1110">
            <v>40553667363</v>
          </cell>
          <cell r="AJ1110" t="str">
            <v>SBIN0021165</v>
          </cell>
          <cell r="AK1110" t="str">
            <v>BZJPD1687H</v>
          </cell>
          <cell r="AL1110">
            <v>956711368651</v>
          </cell>
          <cell r="AO1110" t="str">
            <v>NA</v>
          </cell>
          <cell r="AP1110" t="str">
            <v>Personal reasons</v>
          </cell>
          <cell r="AQ1110" t="str">
            <v>Flat No.301, Lakshmi Srinivasa Nilayam, Alluri Seetaramaraju Nagar, Hydernagar, Hyderabad - 500090, Telangana</v>
          </cell>
          <cell r="AS1110" t="str">
            <v>Flat No.301, Lakshmi Srinivasa Nilayam, Alluri Seetaramaraju Nagar, Hydernagar, Hyderabad - 500090, Telangana</v>
          </cell>
          <cell r="AU1110">
            <v>0.33333333333333331</v>
          </cell>
          <cell r="AV1110">
            <v>0.66666666666666663</v>
          </cell>
          <cell r="AW1110">
            <v>34134</v>
          </cell>
          <cell r="AX1110" t="str">
            <v>Female</v>
          </cell>
          <cell r="AY1110" t="str">
            <v>Full Time</v>
          </cell>
          <cell r="AZ1110">
            <v>8</v>
          </cell>
          <cell r="BA1110" t="str">
            <v>Madhapur Cluster</v>
          </cell>
        </row>
        <row r="1111">
          <cell r="M1111" t="str">
            <v>Manchieral-105</v>
          </cell>
          <cell r="N1111" t="str">
            <v>N/A</v>
          </cell>
          <cell r="O1111" t="str">
            <v>Microbiology</v>
          </cell>
          <cell r="P1111" t="str">
            <v>Consultant Microbiologist</v>
          </cell>
          <cell r="Q1111" t="str">
            <v>Dr Ramesh Kinha</v>
          </cell>
          <cell r="R1111">
            <v>45271</v>
          </cell>
          <cell r="S1111">
            <v>45271</v>
          </cell>
          <cell r="T1111">
            <v>46001</v>
          </cell>
          <cell r="U1111">
            <v>46002</v>
          </cell>
          <cell r="V1111">
            <v>2012</v>
          </cell>
          <cell r="W1111" t="str">
            <v>Navodaya medical college</v>
          </cell>
          <cell r="X1111">
            <v>2019</v>
          </cell>
          <cell r="Y1111" t="str">
            <v>Mamata Medical College</v>
          </cell>
          <cell r="Z1111" t="str">
            <v>NA</v>
          </cell>
          <cell r="AA1111" t="str">
            <v>MBBS, MD Microbiology</v>
          </cell>
          <cell r="AB1111" t="str">
            <v>APMC/FMR/76355</v>
          </cell>
          <cell r="AC1111" t="str">
            <v>Telangana State Medical Council</v>
          </cell>
          <cell r="AD1111">
            <v>43704</v>
          </cell>
          <cell r="AE1111">
            <v>45530</v>
          </cell>
          <cell r="AF1111">
            <v>9000029193</v>
          </cell>
          <cell r="AG1111" t="str">
            <v>dr.harshininella@gmail.com</v>
          </cell>
          <cell r="AH1111" t="str">
            <v>Canara Bank</v>
          </cell>
          <cell r="AI1111" t="str">
            <v>4173101001598</v>
          </cell>
          <cell r="AJ1111" t="str">
            <v>CNRB0004173</v>
          </cell>
          <cell r="AK1111" t="str">
            <v>ASBPN3310M</v>
          </cell>
          <cell r="AL1111" t="str">
            <v>306320442540</v>
          </cell>
          <cell r="AN1111">
            <v>45808</v>
          </cell>
          <cell r="AO1111" t="str">
            <v>NA</v>
          </cell>
          <cell r="AP1111" t="str">
            <v>Family shifting</v>
          </cell>
          <cell r="AQ1111" t="str">
            <v>Thungabhadra Staff Quarters Flat No. 7, MGH Campus, Mamata Road, Mamata General Hospital, Khanapuram Haveli, Khammam, Telangana- 507002</v>
          </cell>
          <cell r="AR1111">
            <v>37</v>
          </cell>
          <cell r="AW1111">
            <v>32377</v>
          </cell>
          <cell r="AX1111" t="str">
            <v>Female</v>
          </cell>
          <cell r="AY1111" t="str">
            <v>Part Time</v>
          </cell>
          <cell r="AZ1111">
            <v>2</v>
          </cell>
          <cell r="BA1111" t="str">
            <v>TS - Upcountry</v>
          </cell>
        </row>
        <row r="1112">
          <cell r="M1112" t="str">
            <v>Panjagutta-121</v>
          </cell>
          <cell r="N1112" t="str">
            <v>Basic USG, Tiffa, Fetal Echo, Guided Procedure, Basic CT, All Angios, Basic MRI, Cardiac MIR, MR Positate, X Ray, Plain Radiography, Mammography, IVP, RGU, MCUG, Barium Swallow, Barium Anema, HSG.</v>
          </cell>
          <cell r="O1112" t="str">
            <v>Radiology</v>
          </cell>
          <cell r="P1112" t="str">
            <v>Consultant Radiologist</v>
          </cell>
          <cell r="Q1112" t="str">
            <v>Dr Krishna Mohan Pottala</v>
          </cell>
          <cell r="R1112">
            <v>45292</v>
          </cell>
          <cell r="S1112">
            <v>45292</v>
          </cell>
          <cell r="T1112">
            <v>46022</v>
          </cell>
          <cell r="U1112">
            <v>46023</v>
          </cell>
          <cell r="V1112">
            <v>2016</v>
          </cell>
          <cell r="W1112" t="str">
            <v>Vijayanagara institute of medical sciences</v>
          </cell>
          <cell r="X1112">
            <v>2020</v>
          </cell>
          <cell r="Y1112" t="str">
            <v>Maharastra University of Medical Science</v>
          </cell>
          <cell r="Z1112" t="str">
            <v>NA</v>
          </cell>
          <cell r="AA1112" t="str">
            <v>MBBS, MD Radio Diagnosis</v>
          </cell>
          <cell r="AB1112" t="str">
            <v>TSMC/FMR/25923</v>
          </cell>
          <cell r="AC1112" t="str">
            <v>Telangana State Medical Council</v>
          </cell>
          <cell r="AD1112">
            <v>45054</v>
          </cell>
          <cell r="AE1112">
            <v>46880</v>
          </cell>
          <cell r="AF1112">
            <v>9742185991</v>
          </cell>
          <cell r="AG1112" t="str">
            <v>vikky1992@gmail.com</v>
          </cell>
          <cell r="AH1112" t="str">
            <v>HDFC Bank</v>
          </cell>
          <cell r="AI1112" t="str">
            <v>50100418174315</v>
          </cell>
          <cell r="AJ1112" t="str">
            <v>HDFC0001627</v>
          </cell>
          <cell r="AK1112" t="str">
            <v>BEFPV1055N</v>
          </cell>
          <cell r="AL1112">
            <v>805760142806</v>
          </cell>
          <cell r="AN1112">
            <v>45808</v>
          </cell>
          <cell r="AO1112" t="str">
            <v>NA</v>
          </cell>
          <cell r="AP1112" t="str">
            <v>Single shift given (09 am to 05 pm)</v>
          </cell>
          <cell r="AQ1112" t="str">
            <v>House No. 5/14, Gunja Halli, Raichur, Karnataka - 584140</v>
          </cell>
          <cell r="AR1112">
            <v>35</v>
          </cell>
          <cell r="AW1112">
            <v>32666</v>
          </cell>
          <cell r="AX1112" t="str">
            <v>Male</v>
          </cell>
          <cell r="AY1112" t="str">
            <v>Part Time</v>
          </cell>
          <cell r="AZ1112">
            <v>3</v>
          </cell>
          <cell r="BA1112" t="str">
            <v>Punjagutta Cluster</v>
          </cell>
        </row>
        <row r="1113">
          <cell r="M1113" t="str">
            <v>Malkajgiri-134</v>
          </cell>
          <cell r="N1113" t="str">
            <v>Basic USG, Tiffa, MSK, Basic CT, Basic MRI, Xray, Mammography, IVP, RGU, MCGU, Barium Swallow, Barium Enema, HSG</v>
          </cell>
          <cell r="O1113" t="str">
            <v>Radiology</v>
          </cell>
          <cell r="P1113" t="str">
            <v>Consultant Radiologist</v>
          </cell>
          <cell r="Q1113" t="str">
            <v>Dr Krishna Mohan Pottala</v>
          </cell>
          <cell r="R1113">
            <v>45296</v>
          </cell>
          <cell r="S1113">
            <v>45296</v>
          </cell>
          <cell r="T1113">
            <v>46026</v>
          </cell>
          <cell r="U1113">
            <v>46027</v>
          </cell>
          <cell r="V1113">
            <v>2017</v>
          </cell>
          <cell r="W1113" t="str">
            <v>Navodaya Medical College and Hospital, Raichur, karnataka</v>
          </cell>
          <cell r="X1113">
            <v>2022</v>
          </cell>
          <cell r="Y1113" t="str">
            <v>JSS Academy of Higher Education and Research</v>
          </cell>
          <cell r="Z1113" t="str">
            <v>NA</v>
          </cell>
          <cell r="AA1113" t="str">
            <v>MBBS, MD Radio Diagnosis</v>
          </cell>
          <cell r="AB1113" t="str">
            <v>TSMC/FMR/20387</v>
          </cell>
          <cell r="AC1113" t="str">
            <v>Telangana State Medical Council</v>
          </cell>
          <cell r="AD1113">
            <v>44735</v>
          </cell>
          <cell r="AE1113">
            <v>46560</v>
          </cell>
          <cell r="AF1113">
            <v>9705425828</v>
          </cell>
          <cell r="AG1113" t="str">
            <v>cyrilsrk@gmail.com</v>
          </cell>
          <cell r="AH1113" t="str">
            <v>AXIS BANK</v>
          </cell>
          <cell r="AI1113" t="str">
            <v>922010042362362</v>
          </cell>
          <cell r="AJ1113" t="str">
            <v>UTIB0003175</v>
          </cell>
          <cell r="AK1113" t="str">
            <v>ISAPS3156P</v>
          </cell>
          <cell r="AL1113">
            <v>314790251177</v>
          </cell>
          <cell r="AN1113">
            <v>45808</v>
          </cell>
          <cell r="AO1113" t="str">
            <v>NA</v>
          </cell>
          <cell r="AP1113" t="str">
            <v>Asked to leave</v>
          </cell>
          <cell r="AQ1113" t="str">
            <v>B-117, Armed Foreces Officers Co-operative Housing Society, Sainikpuri, Ranga Reddy, Hyderabad, Telangana - 500094</v>
          </cell>
          <cell r="AR1113">
            <v>30</v>
          </cell>
          <cell r="AW1113">
            <v>34494</v>
          </cell>
          <cell r="AX1113" t="str">
            <v>Male</v>
          </cell>
          <cell r="AY1113" t="str">
            <v>Part Time</v>
          </cell>
          <cell r="AZ1113">
            <v>4</v>
          </cell>
          <cell r="BA1113" t="str">
            <v>A.S. Rao Nagar Cluster</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mmmnj7@gmail.com" TargetMode="External"/><Relationship Id="rId671" Type="http://schemas.openxmlformats.org/officeDocument/2006/relationships/hyperlink" Target="mailto:manu41919@gmail.com" TargetMode="External"/><Relationship Id="rId21" Type="http://schemas.openxmlformats.org/officeDocument/2006/relationships/hyperlink" Target="mailto:kothavinaykumarreddy@gmail.com" TargetMode="External"/><Relationship Id="rId324" Type="http://schemas.openxmlformats.org/officeDocument/2006/relationships/hyperlink" Target="mailto:neeti28413@gmail.com" TargetMode="External"/><Relationship Id="rId531" Type="http://schemas.openxmlformats.org/officeDocument/2006/relationships/hyperlink" Target="mailto:ashishghuli@gmail.com" TargetMode="External"/><Relationship Id="rId629" Type="http://schemas.openxmlformats.org/officeDocument/2006/relationships/hyperlink" Target="mailto:abhilash1159@gmail.com" TargetMode="External"/><Relationship Id="rId170" Type="http://schemas.openxmlformats.org/officeDocument/2006/relationships/hyperlink" Target="mailto:harshacm1986@gmail.com" TargetMode="External"/><Relationship Id="rId268" Type="http://schemas.openxmlformats.org/officeDocument/2006/relationships/hyperlink" Target="mailto:prasunachilveri15@gmail.com" TargetMode="External"/><Relationship Id="rId475" Type="http://schemas.openxmlformats.org/officeDocument/2006/relationships/hyperlink" Target="mailto:ramnathmajety@hotmail.com" TargetMode="External"/><Relationship Id="rId682" Type="http://schemas.openxmlformats.org/officeDocument/2006/relationships/hyperlink" Target="mailto:shweta.tulsiani@gmail.com" TargetMode="External"/><Relationship Id="rId32" Type="http://schemas.openxmlformats.org/officeDocument/2006/relationships/hyperlink" Target="mailto:mouni.kadipikonda@gmail.com" TargetMode="External"/><Relationship Id="rId128" Type="http://schemas.openxmlformats.org/officeDocument/2006/relationships/hyperlink" Target="mailto:dr.pavan1088@gmail.com" TargetMode="External"/><Relationship Id="rId335" Type="http://schemas.openxmlformats.org/officeDocument/2006/relationships/hyperlink" Target="mailto:madhavileo9@gmail.com" TargetMode="External"/><Relationship Id="rId542" Type="http://schemas.openxmlformats.org/officeDocument/2006/relationships/hyperlink" Target="mailto:abinyaanoint@gmail.com" TargetMode="External"/><Relationship Id="rId181" Type="http://schemas.openxmlformats.org/officeDocument/2006/relationships/hyperlink" Target="mailto:dr.sheronIai@gmail.com" TargetMode="External"/><Relationship Id="rId402" Type="http://schemas.openxmlformats.org/officeDocument/2006/relationships/hyperlink" Target="mailto:awesali43@gmail.com" TargetMode="External"/><Relationship Id="rId279" Type="http://schemas.openxmlformats.org/officeDocument/2006/relationships/hyperlink" Target="mailto:rc3440@gmail.com" TargetMode="External"/><Relationship Id="rId486" Type="http://schemas.openxmlformats.org/officeDocument/2006/relationships/hyperlink" Target="mailto:aijaz7977@gmail.com" TargetMode="External"/><Relationship Id="rId693" Type="http://schemas.openxmlformats.org/officeDocument/2006/relationships/hyperlink" Target="mailto:nehatyagi3043@gmail.com" TargetMode="External"/><Relationship Id="rId707" Type="http://schemas.openxmlformats.org/officeDocument/2006/relationships/hyperlink" Target="mailto:priyankaradiology@gmail.com" TargetMode="External"/><Relationship Id="rId43" Type="http://schemas.openxmlformats.org/officeDocument/2006/relationships/hyperlink" Target="mailto:sureshjammula@gmail.com" TargetMode="External"/><Relationship Id="rId139" Type="http://schemas.openxmlformats.org/officeDocument/2006/relationships/hyperlink" Target="mailto:maheshtskudluru@gmail.com" TargetMode="External"/><Relationship Id="rId346" Type="http://schemas.openxmlformats.org/officeDocument/2006/relationships/hyperlink" Target="mailto:naresh_v20@yahoo.co.in" TargetMode="External"/><Relationship Id="rId553" Type="http://schemas.openxmlformats.org/officeDocument/2006/relationships/hyperlink" Target="mailto:sumayyaraheem707@gmail.com" TargetMode="External"/><Relationship Id="rId192" Type="http://schemas.openxmlformats.org/officeDocument/2006/relationships/hyperlink" Target="mailto:munugala.akhilreddy@gmail.com" TargetMode="External"/><Relationship Id="rId206" Type="http://schemas.openxmlformats.org/officeDocument/2006/relationships/hyperlink" Target="mailto:prathibha.arpula@gmail.com" TargetMode="External"/><Relationship Id="rId413" Type="http://schemas.openxmlformats.org/officeDocument/2006/relationships/hyperlink" Target="mailto:sampathiraov@gmail.com" TargetMode="External"/><Relationship Id="rId497" Type="http://schemas.openxmlformats.org/officeDocument/2006/relationships/hyperlink" Target="mailto:dr.niharikakadiyalaa@gmail.com" TargetMode="External"/><Relationship Id="rId620" Type="http://schemas.openxmlformats.org/officeDocument/2006/relationships/hyperlink" Target="mailto:shivkumar.saumya@gmail.com" TargetMode="External"/><Relationship Id="rId357" Type="http://schemas.openxmlformats.org/officeDocument/2006/relationships/hyperlink" Target="mailto:drahimabindu@gmail.com" TargetMode="External"/><Relationship Id="rId54" Type="http://schemas.openxmlformats.org/officeDocument/2006/relationships/hyperlink" Target="mailto:bhemanath@live.com" TargetMode="External"/><Relationship Id="rId217" Type="http://schemas.openxmlformats.org/officeDocument/2006/relationships/hyperlink" Target="mailto:mounikavogu95@gmail.com" TargetMode="External"/><Relationship Id="rId564" Type="http://schemas.openxmlformats.org/officeDocument/2006/relationships/hyperlink" Target="mailto:drvidya08@outlook.com" TargetMode="External"/><Relationship Id="rId424" Type="http://schemas.openxmlformats.org/officeDocument/2006/relationships/hyperlink" Target="mailto:monunandu52@gmail.com" TargetMode="External"/><Relationship Id="rId631" Type="http://schemas.openxmlformats.org/officeDocument/2006/relationships/hyperlink" Target="mailto:bunai007.am@gmail.com" TargetMode="External"/><Relationship Id="rId270" Type="http://schemas.openxmlformats.org/officeDocument/2006/relationships/hyperlink" Target="mailto:njyoti71@gmail.com" TargetMode="External"/><Relationship Id="rId65" Type="http://schemas.openxmlformats.org/officeDocument/2006/relationships/hyperlink" Target="mailto:tirumala.sripathi@gmail.com" TargetMode="External"/><Relationship Id="rId130" Type="http://schemas.openxmlformats.org/officeDocument/2006/relationships/hyperlink" Target="mailto:doctoryogitha154@gmail.com" TargetMode="External"/><Relationship Id="rId368" Type="http://schemas.openxmlformats.org/officeDocument/2006/relationships/hyperlink" Target="mailto:nsushma28@gmail.com" TargetMode="External"/><Relationship Id="rId575" Type="http://schemas.openxmlformats.org/officeDocument/2006/relationships/hyperlink" Target="mailto:srijita20@yahoo.com" TargetMode="External"/><Relationship Id="rId228" Type="http://schemas.openxmlformats.org/officeDocument/2006/relationships/hyperlink" Target="mailto:sriramkanumuriprofession1275@gmail.com" TargetMode="External"/><Relationship Id="rId435" Type="http://schemas.openxmlformats.org/officeDocument/2006/relationships/hyperlink" Target="mailto:psamuel18@yahoo.co.in/psamuel82@gmail.com" TargetMode="External"/><Relationship Id="rId642" Type="http://schemas.openxmlformats.org/officeDocument/2006/relationships/hyperlink" Target="mailto:ennampranaya27@gmail.com" TargetMode="External"/><Relationship Id="rId281" Type="http://schemas.openxmlformats.org/officeDocument/2006/relationships/hyperlink" Target="mailto:jyothi.mazzu@gmail.com" TargetMode="External"/><Relationship Id="rId502" Type="http://schemas.openxmlformats.org/officeDocument/2006/relationships/hyperlink" Target="mailto:hemalatha2911@gmail.com" TargetMode="External"/><Relationship Id="rId76" Type="http://schemas.openxmlformats.org/officeDocument/2006/relationships/hyperlink" Target="mailto:ruksanakausar12@gmail.com" TargetMode="External"/><Relationship Id="rId141" Type="http://schemas.openxmlformats.org/officeDocument/2006/relationships/hyperlink" Target="mailto:vaibhavipanchal93@gmail.com" TargetMode="External"/><Relationship Id="rId379" Type="http://schemas.openxmlformats.org/officeDocument/2006/relationships/hyperlink" Target="mailto:drsalimpasha@gmail.com" TargetMode="External"/><Relationship Id="rId586" Type="http://schemas.openxmlformats.org/officeDocument/2006/relationships/hyperlink" Target="mailto:srishtisinghthakur4555@gmail.com" TargetMode="External"/><Relationship Id="rId7" Type="http://schemas.openxmlformats.org/officeDocument/2006/relationships/hyperlink" Target="mailto:drsatyanarayanagoud@gmail.com" TargetMode="External"/><Relationship Id="rId239" Type="http://schemas.openxmlformats.org/officeDocument/2006/relationships/hyperlink" Target="mailto:ankithankith16@gmail.com" TargetMode="External"/><Relationship Id="rId446" Type="http://schemas.openxmlformats.org/officeDocument/2006/relationships/hyperlink" Target="mailto:pranithalella@gmail.com" TargetMode="External"/><Relationship Id="rId653" Type="http://schemas.openxmlformats.org/officeDocument/2006/relationships/hyperlink" Target="mailto:krishnapottala@gmail.com" TargetMode="External"/><Relationship Id="rId292" Type="http://schemas.openxmlformats.org/officeDocument/2006/relationships/hyperlink" Target="mailto:gayatri.amgoth91@gmail.com" TargetMode="External"/><Relationship Id="rId306" Type="http://schemas.openxmlformats.org/officeDocument/2006/relationships/hyperlink" Target="mailto:sobiya6691@gmail.com" TargetMode="External"/><Relationship Id="rId87" Type="http://schemas.openxmlformats.org/officeDocument/2006/relationships/hyperlink" Target="mailto:swathi191083@gmail.com" TargetMode="External"/><Relationship Id="rId513" Type="http://schemas.openxmlformats.org/officeDocument/2006/relationships/hyperlink" Target="mailto:sesparanto@gmail.com" TargetMode="External"/><Relationship Id="rId597" Type="http://schemas.openxmlformats.org/officeDocument/2006/relationships/hyperlink" Target="mailto:rishi.kolan1003@gmail.com" TargetMode="External"/><Relationship Id="rId152" Type="http://schemas.openxmlformats.org/officeDocument/2006/relationships/hyperlink" Target="mailto:varunhansaria@live.com" TargetMode="External"/><Relationship Id="rId457" Type="http://schemas.openxmlformats.org/officeDocument/2006/relationships/hyperlink" Target="mailto:pls.sarvani@gmail.com" TargetMode="External"/><Relationship Id="rId664" Type="http://schemas.openxmlformats.org/officeDocument/2006/relationships/hyperlink" Target="mailto:priyankaradiology@gmail.com" TargetMode="External"/><Relationship Id="rId14" Type="http://schemas.openxmlformats.org/officeDocument/2006/relationships/hyperlink" Target="mailto:patrick.anusha@gmail.com" TargetMode="External"/><Relationship Id="rId317" Type="http://schemas.openxmlformats.org/officeDocument/2006/relationships/hyperlink" Target="mailto:sindhurareddy91@gmail.com" TargetMode="External"/><Relationship Id="rId524" Type="http://schemas.openxmlformats.org/officeDocument/2006/relationships/hyperlink" Target="mailto:kurikalanidhi@gmail.com" TargetMode="External"/><Relationship Id="rId98" Type="http://schemas.openxmlformats.org/officeDocument/2006/relationships/hyperlink" Target="mailto:duggudurthitharun@gmail.com" TargetMode="External"/><Relationship Id="rId163" Type="http://schemas.openxmlformats.org/officeDocument/2006/relationships/hyperlink" Target="mailto:reddyrajasekhar@rediffmail.com" TargetMode="External"/><Relationship Id="rId370" Type="http://schemas.openxmlformats.org/officeDocument/2006/relationships/hyperlink" Target="mailto:tabibjawwad36@gmail.com" TargetMode="External"/><Relationship Id="rId230" Type="http://schemas.openxmlformats.org/officeDocument/2006/relationships/hyperlink" Target="mailto:nspalmopathologyndh@gmail.com" TargetMode="External"/><Relationship Id="rId468" Type="http://schemas.openxmlformats.org/officeDocument/2006/relationships/hyperlink" Target="mailto:sanjana.kilari1993@gmail.com" TargetMode="External"/><Relationship Id="rId675" Type="http://schemas.openxmlformats.org/officeDocument/2006/relationships/hyperlink" Target="mailto:drsunilkumark@yahoo.in" TargetMode="External"/><Relationship Id="rId25" Type="http://schemas.openxmlformats.org/officeDocument/2006/relationships/hyperlink" Target="mailto:dileepomc@gmail.com" TargetMode="External"/><Relationship Id="rId328" Type="http://schemas.openxmlformats.org/officeDocument/2006/relationships/hyperlink" Target="mailto:deevihemu@gmail.com" TargetMode="External"/><Relationship Id="rId535" Type="http://schemas.openxmlformats.org/officeDocument/2006/relationships/hyperlink" Target="mailto:draparna29@gmail.com" TargetMode="External"/><Relationship Id="rId174" Type="http://schemas.openxmlformats.org/officeDocument/2006/relationships/hyperlink" Target="mailto:manumounika003@gmail.com" TargetMode="External"/><Relationship Id="rId381" Type="http://schemas.openxmlformats.org/officeDocument/2006/relationships/hyperlink" Target="mailto:drsindhuja0906@gmail.com" TargetMode="External"/><Relationship Id="rId602" Type="http://schemas.openxmlformats.org/officeDocument/2006/relationships/hyperlink" Target="mailto:roshanvshetty@gmail.com" TargetMode="External"/><Relationship Id="rId241" Type="http://schemas.openxmlformats.org/officeDocument/2006/relationships/hyperlink" Target="mailto:soniaghosh49@gmail.com" TargetMode="External"/><Relationship Id="rId479" Type="http://schemas.openxmlformats.org/officeDocument/2006/relationships/hyperlink" Target="mailto:madaram.deepshik@gmail.com" TargetMode="External"/><Relationship Id="rId686" Type="http://schemas.openxmlformats.org/officeDocument/2006/relationships/hyperlink" Target="mailto:kaipavasu2k4@gmail.com" TargetMode="External"/><Relationship Id="rId36" Type="http://schemas.openxmlformats.org/officeDocument/2006/relationships/hyperlink" Target="mailto:anushavemireddy44@gmail.com" TargetMode="External"/><Relationship Id="rId339" Type="http://schemas.openxmlformats.org/officeDocument/2006/relationships/hyperlink" Target="mailto:hadassahjohn@gmail.com" TargetMode="External"/><Relationship Id="rId546" Type="http://schemas.openxmlformats.org/officeDocument/2006/relationships/hyperlink" Target="mailto:monicaaneesha1994thecool@gmail.com" TargetMode="External"/><Relationship Id="rId101" Type="http://schemas.openxmlformats.org/officeDocument/2006/relationships/hyperlink" Target="mailto:18121996deepthiprasad@gmail.com" TargetMode="External"/><Relationship Id="rId185" Type="http://schemas.openxmlformats.org/officeDocument/2006/relationships/hyperlink" Target="mailto:Subhasisdr@gmail.com" TargetMode="External"/><Relationship Id="rId406" Type="http://schemas.openxmlformats.org/officeDocument/2006/relationships/hyperlink" Target="mailto:ranisrithi@gmail.com" TargetMode="External"/><Relationship Id="rId392" Type="http://schemas.openxmlformats.org/officeDocument/2006/relationships/hyperlink" Target="mailto:pavanikiran71@yahoo.com" TargetMode="External"/><Relationship Id="rId613" Type="http://schemas.openxmlformats.org/officeDocument/2006/relationships/hyperlink" Target="mailto:drmadhuh2654@gmail.com" TargetMode="External"/><Relationship Id="rId697" Type="http://schemas.openxmlformats.org/officeDocument/2006/relationships/hyperlink" Target="mailto:drmarkedward.m@gmail.com" TargetMode="External"/><Relationship Id="rId252" Type="http://schemas.openxmlformats.org/officeDocument/2006/relationships/hyperlink" Target="mailto:sainiharikagavvala@gmail.com" TargetMode="External"/><Relationship Id="rId47" Type="http://schemas.openxmlformats.org/officeDocument/2006/relationships/hyperlink" Target="mailto:shaikismail3675@gmail.com" TargetMode="External"/><Relationship Id="rId112" Type="http://schemas.openxmlformats.org/officeDocument/2006/relationships/hyperlink" Target="mailto:neelamani.murthy@vijayadiagnostic.in" TargetMode="External"/><Relationship Id="rId557" Type="http://schemas.openxmlformats.org/officeDocument/2006/relationships/hyperlink" Target="mailto:allamuralikrishna21@gmail.com" TargetMode="External"/><Relationship Id="rId196" Type="http://schemas.openxmlformats.org/officeDocument/2006/relationships/hyperlink" Target="mailto:raktimmukherjee80@gmail.com" TargetMode="External"/><Relationship Id="rId417" Type="http://schemas.openxmlformats.org/officeDocument/2006/relationships/hyperlink" Target="mailto:r.niharika122@icloud.com" TargetMode="External"/><Relationship Id="rId624" Type="http://schemas.openxmlformats.org/officeDocument/2006/relationships/hyperlink" Target="mailto:sabafatimadcms@gmail.com" TargetMode="External"/><Relationship Id="rId263" Type="http://schemas.openxmlformats.org/officeDocument/2006/relationships/hyperlink" Target="mailto:sanju_g81@rediffmail.com" TargetMode="External"/><Relationship Id="rId470" Type="http://schemas.openxmlformats.org/officeDocument/2006/relationships/hyperlink" Target="mailto:harshismily3@gmail.com" TargetMode="External"/><Relationship Id="rId58" Type="http://schemas.openxmlformats.org/officeDocument/2006/relationships/hyperlink" Target="mailto:drswathi03@gmail.com" TargetMode="External"/><Relationship Id="rId123" Type="http://schemas.openxmlformats.org/officeDocument/2006/relationships/hyperlink" Target="mailto:ravulashivakumar44@gmail.com" TargetMode="External"/><Relationship Id="rId330" Type="http://schemas.openxmlformats.org/officeDocument/2006/relationships/hyperlink" Target="mailto:dr_moinrahman@yahoo.com" TargetMode="External"/><Relationship Id="rId568" Type="http://schemas.openxmlformats.org/officeDocument/2006/relationships/hyperlink" Target="mailto:pvshilpa123@gmail.com" TargetMode="External"/><Relationship Id="rId428" Type="http://schemas.openxmlformats.org/officeDocument/2006/relationships/hyperlink" Target="mailto:afshanjabeen30887@rediff.com" TargetMode="External"/><Relationship Id="rId635" Type="http://schemas.openxmlformats.org/officeDocument/2006/relationships/hyperlink" Target="mailto:joe06052@gmail.com" TargetMode="External"/><Relationship Id="rId274" Type="http://schemas.openxmlformats.org/officeDocument/2006/relationships/hyperlink" Target="mailto:sudhir_bs@yahoo.co.uk" TargetMode="External"/><Relationship Id="rId481" Type="http://schemas.openxmlformats.org/officeDocument/2006/relationships/hyperlink" Target="mailto:Dasarinithinreddy@gmail.com" TargetMode="External"/><Relationship Id="rId702" Type="http://schemas.openxmlformats.org/officeDocument/2006/relationships/hyperlink" Target="mailto:ramyaraonaineni@gmail.com" TargetMode="External"/><Relationship Id="rId69" Type="http://schemas.openxmlformats.org/officeDocument/2006/relationships/hyperlink" Target="mailto:saikotamraju.rad@gmail.com" TargetMode="External"/><Relationship Id="rId134" Type="http://schemas.openxmlformats.org/officeDocument/2006/relationships/hyperlink" Target="mailto:writetotania@gmail.com" TargetMode="External"/><Relationship Id="rId579" Type="http://schemas.openxmlformats.org/officeDocument/2006/relationships/hyperlink" Target="mailto:sarfarzshaik191099@gmail.com" TargetMode="External"/><Relationship Id="rId341" Type="http://schemas.openxmlformats.org/officeDocument/2006/relationships/hyperlink" Target="mailto:drlgrajesh@Yahoo.co.in" TargetMode="External"/><Relationship Id="rId439" Type="http://schemas.openxmlformats.org/officeDocument/2006/relationships/hyperlink" Target="mailto:karthuviking@gmail.com" TargetMode="External"/><Relationship Id="rId646" Type="http://schemas.openxmlformats.org/officeDocument/2006/relationships/hyperlink" Target="mailto:mvs7771@gmail.com" TargetMode="External"/><Relationship Id="rId201" Type="http://schemas.openxmlformats.org/officeDocument/2006/relationships/hyperlink" Target="mailto:meghanakareddy17@gmail.com" TargetMode="External"/><Relationship Id="rId285" Type="http://schemas.openxmlformats.org/officeDocument/2006/relationships/hyperlink" Target="mailto:chandasaikrishna@gmail.com" TargetMode="External"/><Relationship Id="rId506" Type="http://schemas.openxmlformats.org/officeDocument/2006/relationships/hyperlink" Target="mailto:drksaisree@gmail.com" TargetMode="External"/><Relationship Id="rId492" Type="http://schemas.openxmlformats.org/officeDocument/2006/relationships/hyperlink" Target="mailto:rohit_mylapally@yahoo.com" TargetMode="External"/><Relationship Id="rId713" Type="http://schemas.openxmlformats.org/officeDocument/2006/relationships/hyperlink" Target="mailto:d.sabitha67@gmail.com" TargetMode="External"/><Relationship Id="rId145" Type="http://schemas.openxmlformats.org/officeDocument/2006/relationships/hyperlink" Target="mailto:rc3440@gmail.com" TargetMode="External"/><Relationship Id="rId352" Type="http://schemas.openxmlformats.org/officeDocument/2006/relationships/hyperlink" Target="mailto:rvvikash@gmail.com" TargetMode="External"/><Relationship Id="rId212" Type="http://schemas.openxmlformats.org/officeDocument/2006/relationships/hyperlink" Target="mailto:dhatri.kallala@gmail.com" TargetMode="External"/><Relationship Id="rId657" Type="http://schemas.openxmlformats.org/officeDocument/2006/relationships/hyperlink" Target="mailto:saikiranballikonda@gmail.com" TargetMode="External"/><Relationship Id="rId296" Type="http://schemas.openxmlformats.org/officeDocument/2006/relationships/hyperlink" Target="mailto:reddyjyoti145@gmail.com" TargetMode="External"/><Relationship Id="rId517" Type="http://schemas.openxmlformats.org/officeDocument/2006/relationships/hyperlink" Target="mailto:chintalaanuhya@gmail.com" TargetMode="External"/><Relationship Id="rId60" Type="http://schemas.openxmlformats.org/officeDocument/2006/relationships/hyperlink" Target="mailto:biologicalchemistry@yahoo.com" TargetMode="External"/><Relationship Id="rId156" Type="http://schemas.openxmlformats.org/officeDocument/2006/relationships/hyperlink" Target="mailto:itz.ridha@gmail.com" TargetMode="External"/><Relationship Id="rId363" Type="http://schemas.openxmlformats.org/officeDocument/2006/relationships/hyperlink" Target="mailto:prathyusha.amar@gmail.com" TargetMode="External"/><Relationship Id="rId570" Type="http://schemas.openxmlformats.org/officeDocument/2006/relationships/hyperlink" Target="mailto:drhimasindhu@gmail.com" TargetMode="External"/><Relationship Id="rId223" Type="http://schemas.openxmlformats.org/officeDocument/2006/relationships/hyperlink" Target="mailto:Bhavitha1996@gmail.com" TargetMode="External"/><Relationship Id="rId430" Type="http://schemas.openxmlformats.org/officeDocument/2006/relationships/hyperlink" Target="mailto:shilpabhimalli1234@gmail.com" TargetMode="External"/><Relationship Id="rId668" Type="http://schemas.openxmlformats.org/officeDocument/2006/relationships/hyperlink" Target="mailto:docsujithsam@gmail.com" TargetMode="External"/><Relationship Id="rId18" Type="http://schemas.openxmlformats.org/officeDocument/2006/relationships/hyperlink" Target="mailto:anand_abkari@rediffmail.com" TargetMode="External"/><Relationship Id="rId528" Type="http://schemas.openxmlformats.org/officeDocument/2006/relationships/hyperlink" Target="mailto:lata.galate@gmail.com" TargetMode="External"/><Relationship Id="rId167" Type="http://schemas.openxmlformats.org/officeDocument/2006/relationships/hyperlink" Target="mailto:fathima.786.fatty@gmail.com" TargetMode="External"/><Relationship Id="rId374" Type="http://schemas.openxmlformats.org/officeDocument/2006/relationships/hyperlink" Target="mailto:gedaanusha@gmail.com" TargetMode="External"/><Relationship Id="rId581" Type="http://schemas.openxmlformats.org/officeDocument/2006/relationships/hyperlink" Target="mailto:shehlatouheed@gmail.com" TargetMode="External"/><Relationship Id="rId71" Type="http://schemas.openxmlformats.org/officeDocument/2006/relationships/hyperlink" Target="mailto:drlovekesh_monga@yahoo.com" TargetMode="External"/><Relationship Id="rId234" Type="http://schemas.openxmlformats.org/officeDocument/2006/relationships/hyperlink" Target="mailto:priyapsychiatrist01@gmail.com" TargetMode="External"/><Relationship Id="rId679" Type="http://schemas.openxmlformats.org/officeDocument/2006/relationships/hyperlink" Target="mailto:chenna.pravallika7@gmail.com" TargetMode="External"/><Relationship Id="rId2" Type="http://schemas.openxmlformats.org/officeDocument/2006/relationships/hyperlink" Target="mailto:dharankrishnamummaneni@gmail.com" TargetMode="External"/><Relationship Id="rId29" Type="http://schemas.openxmlformats.org/officeDocument/2006/relationships/hyperlink" Target="mailto:drshantikola@gmail.com" TargetMode="External"/><Relationship Id="rId276" Type="http://schemas.openxmlformats.org/officeDocument/2006/relationships/hyperlink" Target="mailto:geethanjaligude@gmail.com" TargetMode="External"/><Relationship Id="rId441" Type="http://schemas.openxmlformats.org/officeDocument/2006/relationships/hyperlink" Target="mailto:sruthieatukuri@gmail.com" TargetMode="External"/><Relationship Id="rId483" Type="http://schemas.openxmlformats.org/officeDocument/2006/relationships/hyperlink" Target="mailto:keerthivadde@gmail.com" TargetMode="External"/><Relationship Id="rId539" Type="http://schemas.openxmlformats.org/officeDocument/2006/relationships/hyperlink" Target="mailto:shaikafrinhydervali1999@gmail.com" TargetMode="External"/><Relationship Id="rId690" Type="http://schemas.openxmlformats.org/officeDocument/2006/relationships/hyperlink" Target="mailto:drsaleha2023@gmail.com" TargetMode="External"/><Relationship Id="rId704" Type="http://schemas.openxmlformats.org/officeDocument/2006/relationships/hyperlink" Target="mailto:alkachengapa@gmail.com" TargetMode="External"/><Relationship Id="rId40" Type="http://schemas.openxmlformats.org/officeDocument/2006/relationships/hyperlink" Target="mailto:drvijay2010@gmail.com" TargetMode="External"/><Relationship Id="rId136" Type="http://schemas.openxmlformats.org/officeDocument/2006/relationships/hyperlink" Target="mailto:rohinichaudhari.1@gmail.com" TargetMode="External"/><Relationship Id="rId178" Type="http://schemas.openxmlformats.org/officeDocument/2006/relationships/hyperlink" Target="mailto:raga.lahari.ammu@gmail.com" TargetMode="External"/><Relationship Id="rId301" Type="http://schemas.openxmlformats.org/officeDocument/2006/relationships/hyperlink" Target="mailto:pavanireddybasam@gmail.com" TargetMode="External"/><Relationship Id="rId343" Type="http://schemas.openxmlformats.org/officeDocument/2006/relationships/hyperlink" Target="mailto:syedsalman66@yahoo.com" TargetMode="External"/><Relationship Id="rId550" Type="http://schemas.openxmlformats.org/officeDocument/2006/relationships/hyperlink" Target="mailto:madhavimdrd@gmail.com" TargetMode="External"/><Relationship Id="rId82" Type="http://schemas.openxmlformats.org/officeDocument/2006/relationships/hyperlink" Target="mailto:fathima.786.fatty@gmail.com" TargetMode="External"/><Relationship Id="rId203" Type="http://schemas.openxmlformats.org/officeDocument/2006/relationships/hyperlink" Target="mailto:asrithcharan007@gmail.com" TargetMode="External"/><Relationship Id="rId385" Type="http://schemas.openxmlformats.org/officeDocument/2006/relationships/hyperlink" Target="mailto:snigdhasamala@gmail.com" TargetMode="External"/><Relationship Id="rId592" Type="http://schemas.openxmlformats.org/officeDocument/2006/relationships/hyperlink" Target="mailto:didgisunilkumar@gmail.com" TargetMode="External"/><Relationship Id="rId606" Type="http://schemas.openxmlformats.org/officeDocument/2006/relationships/hyperlink" Target="mailto:srijitadocgogreen@gmail.com" TargetMode="External"/><Relationship Id="rId648" Type="http://schemas.openxmlformats.org/officeDocument/2006/relationships/hyperlink" Target="mailto:raghavendrareddy56@gmail.com" TargetMode="External"/><Relationship Id="rId245" Type="http://schemas.openxmlformats.org/officeDocument/2006/relationships/hyperlink" Target="mailto:priyanka.sonam17@gmail.com" TargetMode="External"/><Relationship Id="rId287" Type="http://schemas.openxmlformats.org/officeDocument/2006/relationships/hyperlink" Target="mailto:zoonik93@gmail.com" TargetMode="External"/><Relationship Id="rId410" Type="http://schemas.openxmlformats.org/officeDocument/2006/relationships/hyperlink" Target="mailto:shilpaba555@gmail.com" TargetMode="External"/><Relationship Id="rId452" Type="http://schemas.openxmlformats.org/officeDocument/2006/relationships/hyperlink" Target="mailto:shalzsakarey21@gmail.com" TargetMode="External"/><Relationship Id="rId494" Type="http://schemas.openxmlformats.org/officeDocument/2006/relationships/hyperlink" Target="mailto:sabeerabegum79@gmail.com" TargetMode="External"/><Relationship Id="rId508" Type="http://schemas.openxmlformats.org/officeDocument/2006/relationships/hyperlink" Target="mailto:drmithinreddy21@gmail.com" TargetMode="External"/><Relationship Id="rId715" Type="http://schemas.openxmlformats.org/officeDocument/2006/relationships/comments" Target="../comments1.xml"/><Relationship Id="rId105" Type="http://schemas.openxmlformats.org/officeDocument/2006/relationships/hyperlink" Target="mailto:docmransari@gmail.com" TargetMode="External"/><Relationship Id="rId147" Type="http://schemas.openxmlformats.org/officeDocument/2006/relationships/hyperlink" Target="mailto:madhu1481994@gmail.com" TargetMode="External"/><Relationship Id="rId312" Type="http://schemas.openxmlformats.org/officeDocument/2006/relationships/hyperlink" Target="mailto:syedsohail281@gmail.com" TargetMode="External"/><Relationship Id="rId354" Type="http://schemas.openxmlformats.org/officeDocument/2006/relationships/hyperlink" Target="mailto:drgupendra@gmail.com" TargetMode="External"/><Relationship Id="rId51" Type="http://schemas.openxmlformats.org/officeDocument/2006/relationships/hyperlink" Target="mailto:dr.jaydipnath@gmail.com" TargetMode="External"/><Relationship Id="rId93" Type="http://schemas.openxmlformats.org/officeDocument/2006/relationships/hyperlink" Target="mailto:rahul.bellichukki@gmail.com" TargetMode="External"/><Relationship Id="rId189" Type="http://schemas.openxmlformats.org/officeDocument/2006/relationships/hyperlink" Target="mailto:vjvimal@gmail.com" TargetMode="External"/><Relationship Id="rId396" Type="http://schemas.openxmlformats.org/officeDocument/2006/relationships/hyperlink" Target="mailto:abdhija.h@gmail.com" TargetMode="External"/><Relationship Id="rId561" Type="http://schemas.openxmlformats.org/officeDocument/2006/relationships/hyperlink" Target="mailto:jalagam_arjun@yahoo.in" TargetMode="External"/><Relationship Id="rId617" Type="http://schemas.openxmlformats.org/officeDocument/2006/relationships/hyperlink" Target="mailto:sumer667@gmail.com" TargetMode="External"/><Relationship Id="rId659" Type="http://schemas.openxmlformats.org/officeDocument/2006/relationships/hyperlink" Target="mailto:saikiranballikonda@gmail.com" TargetMode="External"/><Relationship Id="rId214" Type="http://schemas.openxmlformats.org/officeDocument/2006/relationships/hyperlink" Target="mailto:k.nareshreddy95@gmail.com" TargetMode="External"/><Relationship Id="rId256" Type="http://schemas.openxmlformats.org/officeDocument/2006/relationships/hyperlink" Target="mailto:shrutiv1008@gmail.com" TargetMode="External"/><Relationship Id="rId298" Type="http://schemas.openxmlformats.org/officeDocument/2006/relationships/hyperlink" Target="mailto:dr.asif071@gmail.com" TargetMode="External"/><Relationship Id="rId421" Type="http://schemas.openxmlformats.org/officeDocument/2006/relationships/hyperlink" Target="mailto:divyaranigorle642@gmail.com" TargetMode="External"/><Relationship Id="rId463" Type="http://schemas.openxmlformats.org/officeDocument/2006/relationships/hyperlink" Target="mailto:adiabhi1818@gmail.com" TargetMode="External"/><Relationship Id="rId519" Type="http://schemas.openxmlformats.org/officeDocument/2006/relationships/hyperlink" Target="mailto:jabezgershom@gmail.com" TargetMode="External"/><Relationship Id="rId670" Type="http://schemas.openxmlformats.org/officeDocument/2006/relationships/hyperlink" Target="mailto:kedar10nath@gmail.com" TargetMode="External"/><Relationship Id="rId116" Type="http://schemas.openxmlformats.org/officeDocument/2006/relationships/hyperlink" Target="mailto:saiprasannakumar29@gmail.com" TargetMode="External"/><Relationship Id="rId158" Type="http://schemas.openxmlformats.org/officeDocument/2006/relationships/hyperlink" Target="mailto:rupakranjan213@gmail.com" TargetMode="External"/><Relationship Id="rId323" Type="http://schemas.openxmlformats.org/officeDocument/2006/relationships/hyperlink" Target="mailto:dr.rahelafzal@gmail.com" TargetMode="External"/><Relationship Id="rId530" Type="http://schemas.openxmlformats.org/officeDocument/2006/relationships/hyperlink" Target="mailto:kalyaniv88@gmail.com" TargetMode="External"/><Relationship Id="rId20" Type="http://schemas.openxmlformats.org/officeDocument/2006/relationships/hyperlink" Target="mailto:drreddyvj@gmail.com" TargetMode="External"/><Relationship Id="rId62" Type="http://schemas.openxmlformats.org/officeDocument/2006/relationships/hyperlink" Target="mailto:yogi2874@gmail.com" TargetMode="External"/><Relationship Id="rId365" Type="http://schemas.openxmlformats.org/officeDocument/2006/relationships/hyperlink" Target="mailto:aerupulabindu@gmail.com" TargetMode="External"/><Relationship Id="rId572" Type="http://schemas.openxmlformats.org/officeDocument/2006/relationships/hyperlink" Target="mailto:st40537@gmail.com" TargetMode="External"/><Relationship Id="rId628" Type="http://schemas.openxmlformats.org/officeDocument/2006/relationships/hyperlink" Target="mailto:drsubhankarpoddar@gmail.com" TargetMode="External"/><Relationship Id="rId225" Type="http://schemas.openxmlformats.org/officeDocument/2006/relationships/hyperlink" Target="mailto:drsushmamdrd@gmail.com" TargetMode="External"/><Relationship Id="rId267" Type="http://schemas.openxmlformats.org/officeDocument/2006/relationships/hyperlink" Target="mailto:anilgunde17@gmail.com" TargetMode="External"/><Relationship Id="rId432" Type="http://schemas.openxmlformats.org/officeDocument/2006/relationships/hyperlink" Target="mailto:therypriyadarshini@gmail.com" TargetMode="External"/><Relationship Id="rId474" Type="http://schemas.openxmlformats.org/officeDocument/2006/relationships/hyperlink" Target="mailto:ashwattamwar5@gmail.com" TargetMode="External"/><Relationship Id="rId127" Type="http://schemas.openxmlformats.org/officeDocument/2006/relationships/hyperlink" Target="mailto:kunder.rohini@gmail.com" TargetMode="External"/><Relationship Id="rId681" Type="http://schemas.openxmlformats.org/officeDocument/2006/relationships/hyperlink" Target="mailto:samineni.nandini99@gmail.com" TargetMode="External"/><Relationship Id="rId31" Type="http://schemas.openxmlformats.org/officeDocument/2006/relationships/hyperlink" Target="mailto:basith400@yahoo.com" TargetMode="External"/><Relationship Id="rId73" Type="http://schemas.openxmlformats.org/officeDocument/2006/relationships/hyperlink" Target="mailto:sureshjammula@gmail.com" TargetMode="External"/><Relationship Id="rId169" Type="http://schemas.openxmlformats.org/officeDocument/2006/relationships/hyperlink" Target="mailto:drgunjan123@rediffmail.com" TargetMode="External"/><Relationship Id="rId334" Type="http://schemas.openxmlformats.org/officeDocument/2006/relationships/hyperlink" Target="mailto:abhijithkotte@gmail.com" TargetMode="External"/><Relationship Id="rId376" Type="http://schemas.openxmlformats.org/officeDocument/2006/relationships/hyperlink" Target="mailto:exploreall94@gmail.com" TargetMode="External"/><Relationship Id="rId541" Type="http://schemas.openxmlformats.org/officeDocument/2006/relationships/hyperlink" Target="mailto:hinaiqbal06@gmail.com" TargetMode="External"/><Relationship Id="rId583" Type="http://schemas.openxmlformats.org/officeDocument/2006/relationships/hyperlink" Target="mailto:yakshithmbbs@gmail.com" TargetMode="External"/><Relationship Id="rId639" Type="http://schemas.openxmlformats.org/officeDocument/2006/relationships/hyperlink" Target="mailto:pingleprathyusha87@gmail.com" TargetMode="External"/><Relationship Id="rId4" Type="http://schemas.openxmlformats.org/officeDocument/2006/relationships/hyperlink" Target="mailto:manoharmanohar44@gmail.com" TargetMode="External"/><Relationship Id="rId180" Type="http://schemas.openxmlformats.org/officeDocument/2006/relationships/hyperlink" Target="mailto:drnagesh2to2@gmail.com" TargetMode="External"/><Relationship Id="rId236" Type="http://schemas.openxmlformats.org/officeDocument/2006/relationships/hyperlink" Target="mailto:gurunadh000@gmail.com" TargetMode="External"/><Relationship Id="rId278" Type="http://schemas.openxmlformats.org/officeDocument/2006/relationships/hyperlink" Target="mailto:madhuri.kukunoor@gmail.com" TargetMode="External"/><Relationship Id="rId401" Type="http://schemas.openxmlformats.org/officeDocument/2006/relationships/hyperlink" Target="mailto:dr.mohanraorad@gmail.com" TargetMode="External"/><Relationship Id="rId443" Type="http://schemas.openxmlformats.org/officeDocument/2006/relationships/hyperlink" Target="mailto:saranyareddy83@gmail.com" TargetMode="External"/><Relationship Id="rId650" Type="http://schemas.openxmlformats.org/officeDocument/2006/relationships/hyperlink" Target="mailto:drlovekesh_monga@yahoo.com" TargetMode="External"/><Relationship Id="rId303" Type="http://schemas.openxmlformats.org/officeDocument/2006/relationships/hyperlink" Target="mailto:krishnakanthpallem007@gmail.com" TargetMode="External"/><Relationship Id="rId485" Type="http://schemas.openxmlformats.org/officeDocument/2006/relationships/hyperlink" Target="mailto:kpyvardhan@gmail.com" TargetMode="External"/><Relationship Id="rId692" Type="http://schemas.openxmlformats.org/officeDocument/2006/relationships/hyperlink" Target="mailto:shaikparveenmbbs@gmail.com" TargetMode="External"/><Relationship Id="rId706" Type="http://schemas.openxmlformats.org/officeDocument/2006/relationships/hyperlink" Target="mailto:drrizwanask@yahoo.co.in" TargetMode="External"/><Relationship Id="rId42" Type="http://schemas.openxmlformats.org/officeDocument/2006/relationships/hyperlink" Target="mailto:vempulurukusuma02@gmail.com" TargetMode="External"/><Relationship Id="rId84" Type="http://schemas.openxmlformats.org/officeDocument/2006/relationships/hyperlink" Target="mailto:rajsanuvada@gmail.com" TargetMode="External"/><Relationship Id="rId138" Type="http://schemas.openxmlformats.org/officeDocument/2006/relationships/hyperlink" Target="mailto:meheranusha1644@gmail.com" TargetMode="External"/><Relationship Id="rId345" Type="http://schemas.openxmlformats.org/officeDocument/2006/relationships/hyperlink" Target="mailto:amithshuklag@gmail.com" TargetMode="External"/><Relationship Id="rId387" Type="http://schemas.openxmlformats.org/officeDocument/2006/relationships/hyperlink" Target="mailto:msrveerabhadrarao@gmail.com" TargetMode="External"/><Relationship Id="rId510" Type="http://schemas.openxmlformats.org/officeDocument/2006/relationships/hyperlink" Target="mailto:saithejapaidipelly@gmail.com" TargetMode="External"/><Relationship Id="rId552" Type="http://schemas.openxmlformats.org/officeDocument/2006/relationships/hyperlink" Target="mailto:aishwaryareddy.nookala@gmail.com" TargetMode="External"/><Relationship Id="rId594" Type="http://schemas.openxmlformats.org/officeDocument/2006/relationships/hyperlink" Target="mailto:rpsanthu9999@gmail.com" TargetMode="External"/><Relationship Id="rId608" Type="http://schemas.openxmlformats.org/officeDocument/2006/relationships/hyperlink" Target="mailto:dr.dvhssarma123@gmail.com" TargetMode="External"/><Relationship Id="rId191" Type="http://schemas.openxmlformats.org/officeDocument/2006/relationships/hyperlink" Target="mailto:abhi.1065@gmail.com" TargetMode="External"/><Relationship Id="rId205" Type="http://schemas.openxmlformats.org/officeDocument/2006/relationships/hyperlink" Target="mailto:sujananidumuru@gmail.com" TargetMode="External"/><Relationship Id="rId247" Type="http://schemas.openxmlformats.org/officeDocument/2006/relationships/hyperlink" Target="mailto:roopareddy505@gmail.com" TargetMode="External"/><Relationship Id="rId412" Type="http://schemas.openxmlformats.org/officeDocument/2006/relationships/hyperlink" Target="mailto:jameelkairos@gmail.com" TargetMode="External"/><Relationship Id="rId107" Type="http://schemas.openxmlformats.org/officeDocument/2006/relationships/hyperlink" Target="mailto:sasidrsravani@gmail.com" TargetMode="External"/><Relationship Id="rId289" Type="http://schemas.openxmlformats.org/officeDocument/2006/relationships/hyperlink" Target="mailto:drapararadiology@gmail.com" TargetMode="External"/><Relationship Id="rId454" Type="http://schemas.openxmlformats.org/officeDocument/2006/relationships/hyperlink" Target="mailto:ramyareports@gmail.com" TargetMode="External"/><Relationship Id="rId496" Type="http://schemas.openxmlformats.org/officeDocument/2006/relationships/hyperlink" Target="mailto:mukta.agarwal1072@gmail.com" TargetMode="External"/><Relationship Id="rId661" Type="http://schemas.openxmlformats.org/officeDocument/2006/relationships/hyperlink" Target="mailto:shirishakondaparthi02@gmail.com" TargetMode="External"/><Relationship Id="rId11" Type="http://schemas.openxmlformats.org/officeDocument/2006/relationships/hyperlink" Target="mailto:vittaldittakavi@gmail.com" TargetMode="External"/><Relationship Id="rId53" Type="http://schemas.openxmlformats.org/officeDocument/2006/relationships/hyperlink" Target="mailto:samudrala.ganesh@gmail.com" TargetMode="External"/><Relationship Id="rId149" Type="http://schemas.openxmlformats.org/officeDocument/2006/relationships/hyperlink" Target="mailto:sampathiraov@gmail.com" TargetMode="External"/><Relationship Id="rId314" Type="http://schemas.openxmlformats.org/officeDocument/2006/relationships/hyperlink" Target="mailto:drmdmasooduddin@gmail.com" TargetMode="External"/><Relationship Id="rId356" Type="http://schemas.openxmlformats.org/officeDocument/2006/relationships/hyperlink" Target="mailto:sandhyarameshk12@gmail.com" TargetMode="External"/><Relationship Id="rId398" Type="http://schemas.openxmlformats.org/officeDocument/2006/relationships/hyperlink" Target="mailto:moumita.dam.md@gmail.com" TargetMode="External"/><Relationship Id="rId521" Type="http://schemas.openxmlformats.org/officeDocument/2006/relationships/hyperlink" Target="mailto:annerohit@gmail.com" TargetMode="External"/><Relationship Id="rId563" Type="http://schemas.openxmlformats.org/officeDocument/2006/relationships/hyperlink" Target="mailto:garu6287@gmail.com" TargetMode="External"/><Relationship Id="rId619" Type="http://schemas.openxmlformats.org/officeDocument/2006/relationships/hyperlink" Target="mailto:madhuramidi95@gmail.com" TargetMode="External"/><Relationship Id="rId95" Type="http://schemas.openxmlformats.org/officeDocument/2006/relationships/hyperlink" Target="mailto:finnyb6@gmail.com" TargetMode="External"/><Relationship Id="rId160" Type="http://schemas.openxmlformats.org/officeDocument/2006/relationships/hyperlink" Target="mailto:sandy.varshu@gmail.com" TargetMode="External"/><Relationship Id="rId216" Type="http://schemas.openxmlformats.org/officeDocument/2006/relationships/hyperlink" Target="mailto:sanfiya19@gmail.com" TargetMode="External"/><Relationship Id="rId423" Type="http://schemas.openxmlformats.org/officeDocument/2006/relationships/hyperlink" Target="mailto:royalvas@gmail.com" TargetMode="External"/><Relationship Id="rId258" Type="http://schemas.openxmlformats.org/officeDocument/2006/relationships/hyperlink" Target="https://ifsc.bankifsccode.com/BARB0KOTHRU" TargetMode="External"/><Relationship Id="rId465" Type="http://schemas.openxmlformats.org/officeDocument/2006/relationships/hyperlink" Target="mailto:drvineethakalla@gmail.com" TargetMode="External"/><Relationship Id="rId630" Type="http://schemas.openxmlformats.org/officeDocument/2006/relationships/hyperlink" Target="mailto:chadapushpakreddy@gmail.com" TargetMode="External"/><Relationship Id="rId672" Type="http://schemas.openxmlformats.org/officeDocument/2006/relationships/hyperlink" Target="mailto:madhulathakyatham39@gmail.com" TargetMode="External"/><Relationship Id="rId22" Type="http://schemas.openxmlformats.org/officeDocument/2006/relationships/hyperlink" Target="mailto:akila_narasimhan@rediffmail.com" TargetMode="External"/><Relationship Id="rId64" Type="http://schemas.openxmlformats.org/officeDocument/2006/relationships/hyperlink" Target="mailto:drkiranchander@gmail.com" TargetMode="External"/><Relationship Id="rId118" Type="http://schemas.openxmlformats.org/officeDocument/2006/relationships/hyperlink" Target="mailto:hemalatha2911@gmail.com" TargetMode="External"/><Relationship Id="rId325" Type="http://schemas.openxmlformats.org/officeDocument/2006/relationships/hyperlink" Target="mailto:swethamadasu@gmail.com" TargetMode="External"/><Relationship Id="rId367" Type="http://schemas.openxmlformats.org/officeDocument/2006/relationships/hyperlink" Target="mailto:drkavithareddy7@gmail.com" TargetMode="External"/><Relationship Id="rId532" Type="http://schemas.openxmlformats.org/officeDocument/2006/relationships/hyperlink" Target="mailto:ramjeerk@gmail.com" TargetMode="External"/><Relationship Id="rId574" Type="http://schemas.openxmlformats.org/officeDocument/2006/relationships/hyperlink" Target="mailto:deepugdh0220@gmail.com" TargetMode="External"/><Relationship Id="rId171" Type="http://schemas.openxmlformats.org/officeDocument/2006/relationships/hyperlink" Target="mailto:sreenivasulu.des@gmail.com" TargetMode="External"/><Relationship Id="rId227" Type="http://schemas.openxmlformats.org/officeDocument/2006/relationships/hyperlink" Target="mailto:sindhujatherani@gmail.com" TargetMode="External"/><Relationship Id="rId269" Type="http://schemas.openxmlformats.org/officeDocument/2006/relationships/hyperlink" Target="mailto:samyuktha_89@yahoo.com" TargetMode="External"/><Relationship Id="rId434" Type="http://schemas.openxmlformats.org/officeDocument/2006/relationships/hyperlink" Target="mailto:priyankasingh1804@yahoo.in/priyankasingh0418@gmail.com" TargetMode="External"/><Relationship Id="rId476" Type="http://schemas.openxmlformats.org/officeDocument/2006/relationships/hyperlink" Target="mailto:inshafarooqi98@gmail.com" TargetMode="External"/><Relationship Id="rId641" Type="http://schemas.openxmlformats.org/officeDocument/2006/relationships/hyperlink" Target="mailto:atchu5891@gmail.com" TargetMode="External"/><Relationship Id="rId683" Type="http://schemas.openxmlformats.org/officeDocument/2006/relationships/hyperlink" Target="mailto:bgreeshmareddy97@gmail.com" TargetMode="External"/><Relationship Id="rId33" Type="http://schemas.openxmlformats.org/officeDocument/2006/relationships/hyperlink" Target="mailto:fizadocin@gmail.com" TargetMode="External"/><Relationship Id="rId129" Type="http://schemas.openxmlformats.org/officeDocument/2006/relationships/hyperlink" Target="mailto:gobindapramanick@gmail.com" TargetMode="External"/><Relationship Id="rId280" Type="http://schemas.openxmlformats.org/officeDocument/2006/relationships/hyperlink" Target="mailto:kovenkar@gmail.com" TargetMode="External"/><Relationship Id="rId336" Type="http://schemas.openxmlformats.org/officeDocument/2006/relationships/hyperlink" Target="mailto:soharwardi9723@gmail.com" TargetMode="External"/><Relationship Id="rId501" Type="http://schemas.openxmlformats.org/officeDocument/2006/relationships/hyperlink" Target="mailto:vasanthivs88@gmail.com" TargetMode="External"/><Relationship Id="rId543" Type="http://schemas.openxmlformats.org/officeDocument/2006/relationships/hyperlink" Target="mailto:hashmiasadullah@yahoo.com" TargetMode="External"/><Relationship Id="rId75" Type="http://schemas.openxmlformats.org/officeDocument/2006/relationships/hyperlink" Target="mailto:veluriram29@gmail.com" TargetMode="External"/><Relationship Id="rId140" Type="http://schemas.openxmlformats.org/officeDocument/2006/relationships/hyperlink" Target="mailto:poojavenavi@gmail.com" TargetMode="External"/><Relationship Id="rId182" Type="http://schemas.openxmlformats.org/officeDocument/2006/relationships/hyperlink" Target="mailto:sameekshareddy14230@gmail.com" TargetMode="External"/><Relationship Id="rId378" Type="http://schemas.openxmlformats.org/officeDocument/2006/relationships/hyperlink" Target="mailto:vgrk@icloud.com" TargetMode="External"/><Relationship Id="rId403" Type="http://schemas.openxmlformats.org/officeDocument/2006/relationships/hyperlink" Target="mailto:jeepalemkavya@gmail.com" TargetMode="External"/><Relationship Id="rId585" Type="http://schemas.openxmlformats.org/officeDocument/2006/relationships/hyperlink" Target="mailto:renukapasupala@gmail.com" TargetMode="External"/><Relationship Id="rId6" Type="http://schemas.openxmlformats.org/officeDocument/2006/relationships/hyperlink" Target="mailto:lokapavani247@gmail.com" TargetMode="External"/><Relationship Id="rId238" Type="http://schemas.openxmlformats.org/officeDocument/2006/relationships/hyperlink" Target="mailto:mshazebhussain@gmail.com" TargetMode="External"/><Relationship Id="rId445" Type="http://schemas.openxmlformats.org/officeDocument/2006/relationships/hyperlink" Target="mailto:jchandrashree@gmail.com" TargetMode="External"/><Relationship Id="rId487" Type="http://schemas.openxmlformats.org/officeDocument/2006/relationships/hyperlink" Target="mailto:vkdsmu@gmail.com" TargetMode="External"/><Relationship Id="rId610" Type="http://schemas.openxmlformats.org/officeDocument/2006/relationships/hyperlink" Target="mailto:kpraveenbabu@yahoomail.com" TargetMode="External"/><Relationship Id="rId652" Type="http://schemas.openxmlformats.org/officeDocument/2006/relationships/hyperlink" Target="mailto:dr.harshininella@gmail.com" TargetMode="External"/><Relationship Id="rId694" Type="http://schemas.openxmlformats.org/officeDocument/2006/relationships/hyperlink" Target="mailto:omer.abrar92@gmail.com" TargetMode="External"/><Relationship Id="rId708" Type="http://schemas.openxmlformats.org/officeDocument/2006/relationships/hyperlink" Target="mailto:dearmmk@hotmail.com" TargetMode="External"/><Relationship Id="rId291" Type="http://schemas.openxmlformats.org/officeDocument/2006/relationships/hyperlink" Target="mailto:mounasanthisree176@gmail.com" TargetMode="External"/><Relationship Id="rId305" Type="http://schemas.openxmlformats.org/officeDocument/2006/relationships/hyperlink" Target="mailto:preetham1783@gmail.com" TargetMode="External"/><Relationship Id="rId347" Type="http://schemas.openxmlformats.org/officeDocument/2006/relationships/hyperlink" Target="mailto:sindhureddy1017@gmail.com" TargetMode="External"/><Relationship Id="rId512" Type="http://schemas.openxmlformats.org/officeDocument/2006/relationships/hyperlink" Target="mailto:saiphani34@gmail.com" TargetMode="External"/><Relationship Id="rId44" Type="http://schemas.openxmlformats.org/officeDocument/2006/relationships/hyperlink" Target="mailto:vikky1992@gmail.com" TargetMode="External"/><Relationship Id="rId86" Type="http://schemas.openxmlformats.org/officeDocument/2006/relationships/hyperlink" Target="mailto:subhadip.soumya135@gmail.com" TargetMode="External"/><Relationship Id="rId151" Type="http://schemas.openxmlformats.org/officeDocument/2006/relationships/hyperlink" Target="mailto:saibhargavi095@gmail.com" TargetMode="External"/><Relationship Id="rId389" Type="http://schemas.openxmlformats.org/officeDocument/2006/relationships/hyperlink" Target="mailto:aakanshashukla2016@gmail.com" TargetMode="External"/><Relationship Id="rId554" Type="http://schemas.openxmlformats.org/officeDocument/2006/relationships/hyperlink" Target="mailto:tajammul99@gmail.com" TargetMode="External"/><Relationship Id="rId596" Type="http://schemas.openxmlformats.org/officeDocument/2006/relationships/hyperlink" Target="mailto:sdrmadan@yahoo.com" TargetMode="External"/><Relationship Id="rId193" Type="http://schemas.openxmlformats.org/officeDocument/2006/relationships/hyperlink" Target="mailto:saravanakumar1162@gmail.com" TargetMode="External"/><Relationship Id="rId207" Type="http://schemas.openxmlformats.org/officeDocument/2006/relationships/hyperlink" Target="mailto:rasagnya.adepu@gmail.com" TargetMode="External"/><Relationship Id="rId249" Type="http://schemas.openxmlformats.org/officeDocument/2006/relationships/hyperlink" Target="mailto:srinalini4u27@gmail.com" TargetMode="External"/><Relationship Id="rId414" Type="http://schemas.openxmlformats.org/officeDocument/2006/relationships/hyperlink" Target="mailto:klgayatri9@gmail.com" TargetMode="External"/><Relationship Id="rId456" Type="http://schemas.openxmlformats.org/officeDocument/2006/relationships/hyperlink" Target="mailto:annerohit@gmail.com" TargetMode="External"/><Relationship Id="rId498" Type="http://schemas.openxmlformats.org/officeDocument/2006/relationships/hyperlink" Target="mailto:asifasyeeda@gmail.com" TargetMode="External"/><Relationship Id="rId621" Type="http://schemas.openxmlformats.org/officeDocument/2006/relationships/hyperlink" Target="mailto:subhiagrawal1997@gmail.com" TargetMode="External"/><Relationship Id="rId663" Type="http://schemas.openxmlformats.org/officeDocument/2006/relationships/hyperlink" Target="mailto:rahulchandra200788@gmail.com" TargetMode="External"/><Relationship Id="rId13" Type="http://schemas.openxmlformats.org/officeDocument/2006/relationships/hyperlink" Target="mailto:santosh2003vizag@gmail.com" TargetMode="External"/><Relationship Id="rId109" Type="http://schemas.openxmlformats.org/officeDocument/2006/relationships/hyperlink" Target="mailto:deepikakrishna18@gmail.com" TargetMode="External"/><Relationship Id="rId260" Type="http://schemas.openxmlformats.org/officeDocument/2006/relationships/hyperlink" Target="mailto:anuradhapagare@gmail.com" TargetMode="External"/><Relationship Id="rId316" Type="http://schemas.openxmlformats.org/officeDocument/2006/relationships/hyperlink" Target="mailto:drlovekesh_monga@yahoo.com" TargetMode="External"/><Relationship Id="rId523" Type="http://schemas.openxmlformats.org/officeDocument/2006/relationships/hyperlink" Target="mailto:bhavana.lakshmi27@gmail.com" TargetMode="External"/><Relationship Id="rId55" Type="http://schemas.openxmlformats.org/officeDocument/2006/relationships/hyperlink" Target="mailto:sarika1ved@gmail.com" TargetMode="External"/><Relationship Id="rId97" Type="http://schemas.openxmlformats.org/officeDocument/2006/relationships/hyperlink" Target="mailto:vlmounika95@gmail.com" TargetMode="External"/><Relationship Id="rId120" Type="http://schemas.openxmlformats.org/officeDocument/2006/relationships/hyperlink" Target="mailto:hidrsireesha@yahoo.com" TargetMode="External"/><Relationship Id="rId358" Type="http://schemas.openxmlformats.org/officeDocument/2006/relationships/hyperlink" Target="mailto:srikalasanangula@gmail.com" TargetMode="External"/><Relationship Id="rId565" Type="http://schemas.openxmlformats.org/officeDocument/2006/relationships/hyperlink" Target="mailto:abhilash1159@gmail.com" TargetMode="External"/><Relationship Id="rId162" Type="http://schemas.openxmlformats.org/officeDocument/2006/relationships/hyperlink" Target="mailto:sumamallam@gmail.com" TargetMode="External"/><Relationship Id="rId218" Type="http://schemas.openxmlformats.org/officeDocument/2006/relationships/hyperlink" Target="mailto:harishkartm95@gmail.com" TargetMode="External"/><Relationship Id="rId425" Type="http://schemas.openxmlformats.org/officeDocument/2006/relationships/hyperlink" Target="mailto:suhasinichuvvi30@gmail.com" TargetMode="External"/><Relationship Id="rId467" Type="http://schemas.openxmlformats.org/officeDocument/2006/relationships/hyperlink" Target="mailto:dryaramala@gmail.com" TargetMode="External"/><Relationship Id="rId632" Type="http://schemas.openxmlformats.org/officeDocument/2006/relationships/hyperlink" Target="mailto:himachagi333@gmail.com" TargetMode="External"/><Relationship Id="rId271" Type="http://schemas.openxmlformats.org/officeDocument/2006/relationships/hyperlink" Target="mailto:karthuviking@gmail.com" TargetMode="External"/><Relationship Id="rId674" Type="http://schemas.openxmlformats.org/officeDocument/2006/relationships/hyperlink" Target="mailto:pujitha.thadiparthi6297@gmail.com" TargetMode="External"/><Relationship Id="rId24" Type="http://schemas.openxmlformats.org/officeDocument/2006/relationships/hyperlink" Target="mailto:azhar_mubeen2002@yahoo.com" TargetMode="External"/><Relationship Id="rId66" Type="http://schemas.openxmlformats.org/officeDocument/2006/relationships/hyperlink" Target="mailto:asha1507@gmail.com" TargetMode="External"/><Relationship Id="rId131" Type="http://schemas.openxmlformats.org/officeDocument/2006/relationships/hyperlink" Target="mailto:navbsrad@gmail.com" TargetMode="External"/><Relationship Id="rId327" Type="http://schemas.openxmlformats.org/officeDocument/2006/relationships/hyperlink" Target="mailto:isha10rastogi@gmail.com" TargetMode="External"/><Relationship Id="rId369" Type="http://schemas.openxmlformats.org/officeDocument/2006/relationships/hyperlink" Target="mailto:shravanalavanya03@gmail.com" TargetMode="External"/><Relationship Id="rId534" Type="http://schemas.openxmlformats.org/officeDocument/2006/relationships/hyperlink" Target="mailto:kaipalaks@gmail.com" TargetMode="External"/><Relationship Id="rId576" Type="http://schemas.openxmlformats.org/officeDocument/2006/relationships/hyperlink" Target="mailto:dr.roshikamaddeti@gmail.com" TargetMode="External"/><Relationship Id="rId173" Type="http://schemas.openxmlformats.org/officeDocument/2006/relationships/hyperlink" Target="mailto:greeshmagogireddy@gmail.com" TargetMode="External"/><Relationship Id="rId229" Type="http://schemas.openxmlformats.org/officeDocument/2006/relationships/hyperlink" Target="mailto:ktyagi6388@gmail.com" TargetMode="External"/><Relationship Id="rId380" Type="http://schemas.openxmlformats.org/officeDocument/2006/relationships/hyperlink" Target="mailto:vani.naidus16@gmail.com" TargetMode="External"/><Relationship Id="rId436" Type="http://schemas.openxmlformats.org/officeDocument/2006/relationships/hyperlink" Target="mailto:docmransari@gmail.com" TargetMode="External"/><Relationship Id="rId601" Type="http://schemas.openxmlformats.org/officeDocument/2006/relationships/hyperlink" Target="mailto:vijshree2009@gmail.com" TargetMode="External"/><Relationship Id="rId643" Type="http://schemas.openxmlformats.org/officeDocument/2006/relationships/hyperlink" Target="mailto:kirankumarkondeti33@gmail.com" TargetMode="External"/><Relationship Id="rId240" Type="http://schemas.openxmlformats.org/officeDocument/2006/relationships/hyperlink" Target="mailto:soumyadivvela97@gmail.com" TargetMode="External"/><Relationship Id="rId478" Type="http://schemas.openxmlformats.org/officeDocument/2006/relationships/hyperlink" Target="mailto:laharic9999@gmail.com" TargetMode="External"/><Relationship Id="rId685" Type="http://schemas.openxmlformats.org/officeDocument/2006/relationships/hyperlink" Target="mailto:anuthatikond08@gmail.com" TargetMode="External"/><Relationship Id="rId35" Type="http://schemas.openxmlformats.org/officeDocument/2006/relationships/hyperlink" Target="mailto:mohammadabdullahsaad@gmail.com" TargetMode="External"/><Relationship Id="rId77" Type="http://schemas.openxmlformats.org/officeDocument/2006/relationships/hyperlink" Target="mailto:rohinireddy99999@gmail.com" TargetMode="External"/><Relationship Id="rId100" Type="http://schemas.openxmlformats.org/officeDocument/2006/relationships/hyperlink" Target="mailto:raghavendrareddy56@gmail.com" TargetMode="External"/><Relationship Id="rId282" Type="http://schemas.openxmlformats.org/officeDocument/2006/relationships/hyperlink" Target="mailto:zohiabkhan0786@gmail.com" TargetMode="External"/><Relationship Id="rId338" Type="http://schemas.openxmlformats.org/officeDocument/2006/relationships/hyperlink" Target="mailto:prathibha.arpula@gmail.com" TargetMode="External"/><Relationship Id="rId503" Type="http://schemas.openxmlformats.org/officeDocument/2006/relationships/hyperlink" Target="mailto:basith400@yahoo.com" TargetMode="External"/><Relationship Id="rId545" Type="http://schemas.openxmlformats.org/officeDocument/2006/relationships/hyperlink" Target="mailto:dr.sushmachintam@gmail.com" TargetMode="External"/><Relationship Id="rId587" Type="http://schemas.openxmlformats.org/officeDocument/2006/relationships/hyperlink" Target="mailto:nikitha0712@gmail.com" TargetMode="External"/><Relationship Id="rId710" Type="http://schemas.openxmlformats.org/officeDocument/2006/relationships/hyperlink" Target="mailto:krithika.sahasra15@gmail.com" TargetMode="External"/><Relationship Id="rId8" Type="http://schemas.openxmlformats.org/officeDocument/2006/relationships/hyperlink" Target="mailto:sudhir_bs@yahoo.co.uk" TargetMode="External"/><Relationship Id="rId142" Type="http://schemas.openxmlformats.org/officeDocument/2006/relationships/hyperlink" Target="mailto:rahulpodishetti126@gmail.com" TargetMode="External"/><Relationship Id="rId184" Type="http://schemas.openxmlformats.org/officeDocument/2006/relationships/hyperlink" Target="mailto:drskatyal@gmail.com" TargetMode="External"/><Relationship Id="rId391" Type="http://schemas.openxmlformats.org/officeDocument/2006/relationships/hyperlink" Target="mailto:drdheeraj93@gmail.com" TargetMode="External"/><Relationship Id="rId405" Type="http://schemas.openxmlformats.org/officeDocument/2006/relationships/hyperlink" Target="mailto:anitharamtenki@gmail.com" TargetMode="External"/><Relationship Id="rId447" Type="http://schemas.openxmlformats.org/officeDocument/2006/relationships/hyperlink" Target="mailto:drasmasiddiqua2012@gmail.com" TargetMode="External"/><Relationship Id="rId612" Type="http://schemas.openxmlformats.org/officeDocument/2006/relationships/hyperlink" Target="mailto:kvishnuharika@gmail.com" TargetMode="External"/><Relationship Id="rId251" Type="http://schemas.openxmlformats.org/officeDocument/2006/relationships/hyperlink" Target="mailto:gourab.saha24@gmail.com" TargetMode="External"/><Relationship Id="rId489" Type="http://schemas.openxmlformats.org/officeDocument/2006/relationships/hyperlink" Target="mailto:praveenraj.aiims@gmail.com" TargetMode="External"/><Relationship Id="rId654" Type="http://schemas.openxmlformats.org/officeDocument/2006/relationships/hyperlink" Target="mailto:arun.reddy9985@gmail.com" TargetMode="External"/><Relationship Id="rId696" Type="http://schemas.openxmlformats.org/officeDocument/2006/relationships/hyperlink" Target="mailto:krithika.sahasra15@gmail.com" TargetMode="External"/><Relationship Id="rId46" Type="http://schemas.openxmlformats.org/officeDocument/2006/relationships/hyperlink" Target="mailto:hanisha62@gmail.com" TargetMode="External"/><Relationship Id="rId293" Type="http://schemas.openxmlformats.org/officeDocument/2006/relationships/hyperlink" Target="mailto:srinu81585@gmail.com" TargetMode="External"/><Relationship Id="rId307" Type="http://schemas.openxmlformats.org/officeDocument/2006/relationships/hyperlink" Target="mailto:vijayaadukoori@gmail.com" TargetMode="External"/><Relationship Id="rId349" Type="http://schemas.openxmlformats.org/officeDocument/2006/relationships/hyperlink" Target="mailto:snigdhalakka9@gmail.com" TargetMode="External"/><Relationship Id="rId514" Type="http://schemas.openxmlformats.org/officeDocument/2006/relationships/hyperlink" Target="mailto:rakithunder@gmail.com" TargetMode="External"/><Relationship Id="rId556" Type="http://schemas.openxmlformats.org/officeDocument/2006/relationships/hyperlink" Target="mailto:veenapaipatydr@gmail.com" TargetMode="External"/><Relationship Id="rId88" Type="http://schemas.openxmlformats.org/officeDocument/2006/relationships/hyperlink" Target="mailto:pavanramoju@gmail.com" TargetMode="External"/><Relationship Id="rId111" Type="http://schemas.openxmlformats.org/officeDocument/2006/relationships/hyperlink" Target="mailto:reddysushmitha598@gmail.com" TargetMode="External"/><Relationship Id="rId153" Type="http://schemas.openxmlformats.org/officeDocument/2006/relationships/hyperlink" Target="mailto:sritoutem1392@yahoo.co.in" TargetMode="External"/><Relationship Id="rId195" Type="http://schemas.openxmlformats.org/officeDocument/2006/relationships/hyperlink" Target="mailto:priya.a2.priya@gmail.com" TargetMode="External"/><Relationship Id="rId209" Type="http://schemas.openxmlformats.org/officeDocument/2006/relationships/hyperlink" Target="mailto:memyselfandsudeep@gmail.com" TargetMode="External"/><Relationship Id="rId360" Type="http://schemas.openxmlformats.org/officeDocument/2006/relationships/hyperlink" Target="mailto:karthikr_omc@yahoo.com" TargetMode="External"/><Relationship Id="rId416" Type="http://schemas.openxmlformats.org/officeDocument/2006/relationships/hyperlink" Target="mailto:vinisharao8@gmail.com" TargetMode="External"/><Relationship Id="rId598" Type="http://schemas.openxmlformats.org/officeDocument/2006/relationships/hyperlink" Target="mailto:fayyazsk@gmail.com" TargetMode="External"/><Relationship Id="rId220" Type="http://schemas.openxmlformats.org/officeDocument/2006/relationships/hyperlink" Target="mailto:doctormounika@yahoo.com" TargetMode="External"/><Relationship Id="rId458" Type="http://schemas.openxmlformats.org/officeDocument/2006/relationships/hyperlink" Target="mailto:sharan22p@gmail.com" TargetMode="External"/><Relationship Id="rId623" Type="http://schemas.openxmlformats.org/officeDocument/2006/relationships/hyperlink" Target="mailto:drsharathp@gmail.com" TargetMode="External"/><Relationship Id="rId665" Type="http://schemas.openxmlformats.org/officeDocument/2006/relationships/hyperlink" Target="mailto:chinmay.addepalli@gmail.com" TargetMode="External"/><Relationship Id="rId15" Type="http://schemas.openxmlformats.org/officeDocument/2006/relationships/hyperlink" Target="mailto:drjoshivarsha@gmail.com" TargetMode="External"/><Relationship Id="rId57" Type="http://schemas.openxmlformats.org/officeDocument/2006/relationships/hyperlink" Target="mailto:drsushmamdrd@gmail.com" TargetMode="External"/><Relationship Id="rId262" Type="http://schemas.openxmlformats.org/officeDocument/2006/relationships/hyperlink" Target="mailto:s.prosenjit@gmail.com" TargetMode="External"/><Relationship Id="rId318" Type="http://schemas.openxmlformats.org/officeDocument/2006/relationships/hyperlink" Target="mailto:vamshikiranmedico@gmail.com" TargetMode="External"/><Relationship Id="rId525" Type="http://schemas.openxmlformats.org/officeDocument/2006/relationships/hyperlink" Target="mailto:dramreenthobani@gmail.com" TargetMode="External"/><Relationship Id="rId567" Type="http://schemas.openxmlformats.org/officeDocument/2006/relationships/hyperlink" Target="mailto:raj.mims@gmail.com" TargetMode="External"/><Relationship Id="rId99" Type="http://schemas.openxmlformats.org/officeDocument/2006/relationships/hyperlink" Target="mailto:dr.drkas@gmail.com" TargetMode="External"/><Relationship Id="rId122" Type="http://schemas.openxmlformats.org/officeDocument/2006/relationships/hyperlink" Target="mailto:dreprashanti@gmail.com" TargetMode="External"/><Relationship Id="rId164" Type="http://schemas.openxmlformats.org/officeDocument/2006/relationships/hyperlink" Target="mailto:rithvik.pm@gmail.com" TargetMode="External"/><Relationship Id="rId371" Type="http://schemas.openxmlformats.org/officeDocument/2006/relationships/hyperlink" Target="mailto:saikiranballikonda@gmail.com" TargetMode="External"/><Relationship Id="rId427" Type="http://schemas.openxmlformats.org/officeDocument/2006/relationships/hyperlink" Target="mailto:roopareddy505@gmail.com" TargetMode="External"/><Relationship Id="rId469" Type="http://schemas.openxmlformats.org/officeDocument/2006/relationships/hyperlink" Target="mailto:mohammedzeeshanuddin94@gmail.com" TargetMode="External"/><Relationship Id="rId634" Type="http://schemas.openxmlformats.org/officeDocument/2006/relationships/hyperlink" Target="mailto:sanjuungarala@gmail.com" TargetMode="External"/><Relationship Id="rId676" Type="http://schemas.openxmlformats.org/officeDocument/2006/relationships/hyperlink" Target="mailto:madhuesther06@gmail.com" TargetMode="External"/><Relationship Id="rId26" Type="http://schemas.openxmlformats.org/officeDocument/2006/relationships/hyperlink" Target="mailto:drraheemsk@gmail.com" TargetMode="External"/><Relationship Id="rId231" Type="http://schemas.openxmlformats.org/officeDocument/2006/relationships/hyperlink" Target="mailto:samanthk38@gmail.com" TargetMode="External"/><Relationship Id="rId273" Type="http://schemas.openxmlformats.org/officeDocument/2006/relationships/hyperlink" Target="mailto:dr.niharikakadiyalaa@gmail.com" TargetMode="External"/><Relationship Id="rId329" Type="http://schemas.openxmlformats.org/officeDocument/2006/relationships/hyperlink" Target="mailto:masukpraveenkumar@gmail.com" TargetMode="External"/><Relationship Id="rId480" Type="http://schemas.openxmlformats.org/officeDocument/2006/relationships/hyperlink" Target="mailto:saiphani34@gmail.com" TargetMode="External"/><Relationship Id="rId536" Type="http://schemas.openxmlformats.org/officeDocument/2006/relationships/hyperlink" Target="mailto:sthussain95@gmail.com" TargetMode="External"/><Relationship Id="rId701" Type="http://schemas.openxmlformats.org/officeDocument/2006/relationships/hyperlink" Target="mailto:ennampranaya27@gmail.com" TargetMode="External"/><Relationship Id="rId68" Type="http://schemas.openxmlformats.org/officeDocument/2006/relationships/hyperlink" Target="mailto:agaranshu@gmail.com" TargetMode="External"/><Relationship Id="rId133" Type="http://schemas.openxmlformats.org/officeDocument/2006/relationships/hyperlink" Target="mailto:uditkumr@gmail.com" TargetMode="External"/><Relationship Id="rId175" Type="http://schemas.openxmlformats.org/officeDocument/2006/relationships/hyperlink" Target="mailto:ananya.katikineni73@gmail.com" TargetMode="External"/><Relationship Id="rId340" Type="http://schemas.openxmlformats.org/officeDocument/2006/relationships/hyperlink" Target="mailto:anila.sushma@gmail.com" TargetMode="External"/><Relationship Id="rId578" Type="http://schemas.openxmlformats.org/officeDocument/2006/relationships/hyperlink" Target="mailto:soumyabadiger83@gmail.com" TargetMode="External"/><Relationship Id="rId200" Type="http://schemas.openxmlformats.org/officeDocument/2006/relationships/hyperlink" Target="mailto:maddy.gundamaraju@gmail.com" TargetMode="External"/><Relationship Id="rId382" Type="http://schemas.openxmlformats.org/officeDocument/2006/relationships/hyperlink" Target="mailto:tejaswanipenmetsa@gmail.com" TargetMode="External"/><Relationship Id="rId438" Type="http://schemas.openxmlformats.org/officeDocument/2006/relationships/hyperlink" Target="mailto:drsughrayasmeen@gmail.com" TargetMode="External"/><Relationship Id="rId603" Type="http://schemas.openxmlformats.org/officeDocument/2006/relationships/hyperlink" Target="mailto:bhaskarranadheer.jamullamudi@gmail.com" TargetMode="External"/><Relationship Id="rId645" Type="http://schemas.openxmlformats.org/officeDocument/2006/relationships/hyperlink" Target="mailto:drpranayshettywarangale@gmail.com" TargetMode="External"/><Relationship Id="rId687" Type="http://schemas.openxmlformats.org/officeDocument/2006/relationships/hyperlink" Target="mailto:lavanyasangati@gmail.com" TargetMode="External"/><Relationship Id="rId242" Type="http://schemas.openxmlformats.org/officeDocument/2006/relationships/hyperlink" Target="mailto:bibartansaha@gmail.com" TargetMode="External"/><Relationship Id="rId284" Type="http://schemas.openxmlformats.org/officeDocument/2006/relationships/hyperlink" Target="mailto:itsagp@gmail.com" TargetMode="External"/><Relationship Id="rId491" Type="http://schemas.openxmlformats.org/officeDocument/2006/relationships/hyperlink" Target="mailto:swathikilari@yahoo.com" TargetMode="External"/><Relationship Id="rId505" Type="http://schemas.openxmlformats.org/officeDocument/2006/relationships/hyperlink" Target="mailto:drsravanthi.girimaji@gmail.com" TargetMode="External"/><Relationship Id="rId712" Type="http://schemas.openxmlformats.org/officeDocument/2006/relationships/hyperlink" Target="mailto:drabhijeetdixit@gmail.com" TargetMode="External"/><Relationship Id="rId37" Type="http://schemas.openxmlformats.org/officeDocument/2006/relationships/hyperlink" Target="mailto:khalid.about.me@gmail.com" TargetMode="External"/><Relationship Id="rId79" Type="http://schemas.openxmlformats.org/officeDocument/2006/relationships/hyperlink" Target="mailto:manugna.arekanti@gmail.com" TargetMode="External"/><Relationship Id="rId102" Type="http://schemas.openxmlformats.org/officeDocument/2006/relationships/hyperlink" Target="mailto:prathikcreddy@gmail.com" TargetMode="External"/><Relationship Id="rId144" Type="http://schemas.openxmlformats.org/officeDocument/2006/relationships/hyperlink" Target="https://smvmch.ac.in/" TargetMode="External"/><Relationship Id="rId547" Type="http://schemas.openxmlformats.org/officeDocument/2006/relationships/hyperlink" Target="mailto:baddulaanil@gmail.com" TargetMode="External"/><Relationship Id="rId589" Type="http://schemas.openxmlformats.org/officeDocument/2006/relationships/hyperlink" Target="mailto:nagulapallisandeep@gmail.com" TargetMode="External"/><Relationship Id="rId90" Type="http://schemas.openxmlformats.org/officeDocument/2006/relationships/hyperlink" Target="mailto:gbvsudheer@yahoo.co.in" TargetMode="External"/><Relationship Id="rId186" Type="http://schemas.openxmlformats.org/officeDocument/2006/relationships/hyperlink" Target="mailto:subhadip.soumya135@gmail.com" TargetMode="External"/><Relationship Id="rId351" Type="http://schemas.openxmlformats.org/officeDocument/2006/relationships/hyperlink" Target="mailto:drvani001@gmail.com" TargetMode="External"/><Relationship Id="rId393" Type="http://schemas.openxmlformats.org/officeDocument/2006/relationships/hyperlink" Target="mailto:nivedithak.kodali@gmail.com" TargetMode="External"/><Relationship Id="rId407" Type="http://schemas.openxmlformats.org/officeDocument/2006/relationships/hyperlink" Target="mailto:jayavardhan_d@yahoo.co.in" TargetMode="External"/><Relationship Id="rId449" Type="http://schemas.openxmlformats.org/officeDocument/2006/relationships/hyperlink" Target="mailto:akhildasari96@gmail.com" TargetMode="External"/><Relationship Id="rId614" Type="http://schemas.openxmlformats.org/officeDocument/2006/relationships/hyperlink" Target="mailto:vaishnavigoud111@gmail.com" TargetMode="External"/><Relationship Id="rId656" Type="http://schemas.openxmlformats.org/officeDocument/2006/relationships/hyperlink" Target="mailto:Abdurrahmandr079@gmail.com" TargetMode="External"/><Relationship Id="rId211" Type="http://schemas.openxmlformats.org/officeDocument/2006/relationships/hyperlink" Target="mailto:shaikneehazaheena8@gmail.com" TargetMode="External"/><Relationship Id="rId253" Type="http://schemas.openxmlformats.org/officeDocument/2006/relationships/hyperlink" Target="mailto:sriramkanumuriprofession1275@gmail.com" TargetMode="External"/><Relationship Id="rId295" Type="http://schemas.openxmlformats.org/officeDocument/2006/relationships/hyperlink" Target="mailto:mrana36@yahoo.com" TargetMode="External"/><Relationship Id="rId309" Type="http://schemas.openxmlformats.org/officeDocument/2006/relationships/hyperlink" Target="mailto:madhuri.kukunoor@gmail.com" TargetMode="External"/><Relationship Id="rId460" Type="http://schemas.openxmlformats.org/officeDocument/2006/relationships/hyperlink" Target="mailto:sharan22p@gmail.com" TargetMode="External"/><Relationship Id="rId516" Type="http://schemas.openxmlformats.org/officeDocument/2006/relationships/hyperlink" Target="mailto:sravyakoluguri@gmail.com" TargetMode="External"/><Relationship Id="rId698" Type="http://schemas.openxmlformats.org/officeDocument/2006/relationships/hyperlink" Target="mailto:puttasamatha@gmail.com" TargetMode="External"/><Relationship Id="rId48" Type="http://schemas.openxmlformats.org/officeDocument/2006/relationships/hyperlink" Target="mailto:simanti85@gmail.com" TargetMode="External"/><Relationship Id="rId113" Type="http://schemas.openxmlformats.org/officeDocument/2006/relationships/hyperlink" Target="mailto:saii7891@gmail.com" TargetMode="External"/><Relationship Id="rId320" Type="http://schemas.openxmlformats.org/officeDocument/2006/relationships/hyperlink" Target="mailto:docanujjain@gmail.com" TargetMode="External"/><Relationship Id="rId558" Type="http://schemas.openxmlformats.org/officeDocument/2006/relationships/hyperlink" Target="mailto:sharath1192@gmail.com" TargetMode="External"/><Relationship Id="rId155" Type="http://schemas.openxmlformats.org/officeDocument/2006/relationships/hyperlink" Target="mailto:madhu1481994@gmail.com" TargetMode="External"/><Relationship Id="rId197" Type="http://schemas.openxmlformats.org/officeDocument/2006/relationships/hyperlink" Target="mailto:kotlaharshitha03@gmail.com" TargetMode="External"/><Relationship Id="rId362" Type="http://schemas.openxmlformats.org/officeDocument/2006/relationships/hyperlink" Target="mailto:sreenivas2083@gmail.com" TargetMode="External"/><Relationship Id="rId418" Type="http://schemas.openxmlformats.org/officeDocument/2006/relationships/hyperlink" Target="mailto:sampathiraov@gmail.com" TargetMode="External"/><Relationship Id="rId625" Type="http://schemas.openxmlformats.org/officeDocument/2006/relationships/hyperlink" Target="mailto:sreenivas2083@gmail.com" TargetMode="External"/><Relationship Id="rId222" Type="http://schemas.openxmlformats.org/officeDocument/2006/relationships/hyperlink" Target="mailto:sampathiraov@gmail.com" TargetMode="External"/><Relationship Id="rId264" Type="http://schemas.openxmlformats.org/officeDocument/2006/relationships/hyperlink" Target="mailto:honey.pvh@gmail.com" TargetMode="External"/><Relationship Id="rId471" Type="http://schemas.openxmlformats.org/officeDocument/2006/relationships/hyperlink" Target="mailto:rohit_mylapally@yahoo.com" TargetMode="External"/><Relationship Id="rId667" Type="http://schemas.openxmlformats.org/officeDocument/2006/relationships/hyperlink" Target="mailto:vandana.jahanvi@gmail.com" TargetMode="External"/><Relationship Id="rId17" Type="http://schemas.openxmlformats.org/officeDocument/2006/relationships/hyperlink" Target="mailto:sandeep.surisetty@gmail.com" TargetMode="External"/><Relationship Id="rId59" Type="http://schemas.openxmlformats.org/officeDocument/2006/relationships/hyperlink" Target="mailto:asharani119s@gmail.com" TargetMode="External"/><Relationship Id="rId124" Type="http://schemas.openxmlformats.org/officeDocument/2006/relationships/hyperlink" Target="mailto:kasturidinesh555@gmail.com" TargetMode="External"/><Relationship Id="rId527" Type="http://schemas.openxmlformats.org/officeDocument/2006/relationships/hyperlink" Target="mailto:saiphani34@gmail.com" TargetMode="External"/><Relationship Id="rId569" Type="http://schemas.openxmlformats.org/officeDocument/2006/relationships/hyperlink" Target="mailto:cindrella.kln121@gmail.com" TargetMode="External"/><Relationship Id="rId70" Type="http://schemas.openxmlformats.org/officeDocument/2006/relationships/hyperlink" Target="mailto:srivaishnavireddy23@gmail.com" TargetMode="External"/><Relationship Id="rId166" Type="http://schemas.openxmlformats.org/officeDocument/2006/relationships/hyperlink" Target="mailto:maheshtskudluru@gmail.com" TargetMode="External"/><Relationship Id="rId331" Type="http://schemas.openxmlformats.org/officeDocument/2006/relationships/hyperlink" Target="mailto:shivakrishnambbs@gmail.com" TargetMode="External"/><Relationship Id="rId373" Type="http://schemas.openxmlformats.org/officeDocument/2006/relationships/hyperlink" Target="mailto:santhoshinikarine@gmail.com" TargetMode="External"/><Relationship Id="rId429" Type="http://schemas.openxmlformats.org/officeDocument/2006/relationships/hyperlink" Target="mailto:noush.kouser@gmail.com" TargetMode="External"/><Relationship Id="rId580" Type="http://schemas.openxmlformats.org/officeDocument/2006/relationships/hyperlink" Target="mailto:sarfarzshaik191099@gmail.com" TargetMode="External"/><Relationship Id="rId636" Type="http://schemas.openxmlformats.org/officeDocument/2006/relationships/hyperlink" Target="mailto:suneeth_j@yahoo.co.in" TargetMode="External"/><Relationship Id="rId1" Type="http://schemas.openxmlformats.org/officeDocument/2006/relationships/hyperlink" Target="mailto:arunsantosh1988@gmail.com" TargetMode="External"/><Relationship Id="rId233" Type="http://schemas.openxmlformats.org/officeDocument/2006/relationships/hyperlink" Target="mailto:rohan09.more@gmail.com" TargetMode="External"/><Relationship Id="rId440" Type="http://schemas.openxmlformats.org/officeDocument/2006/relationships/hyperlink" Target="mailto:samsonsukumar00@gmail.com" TargetMode="External"/><Relationship Id="rId678" Type="http://schemas.openxmlformats.org/officeDocument/2006/relationships/hyperlink" Target="mailto:kranthiku22@gmail.com" TargetMode="External"/><Relationship Id="rId28" Type="http://schemas.openxmlformats.org/officeDocument/2006/relationships/hyperlink" Target="mailto:drpalvi812@yahoo.co.in" TargetMode="External"/><Relationship Id="rId275" Type="http://schemas.openxmlformats.org/officeDocument/2006/relationships/hyperlink" Target="mailto:pankajreddy_m@yahoo.co.in" TargetMode="External"/><Relationship Id="rId300" Type="http://schemas.openxmlformats.org/officeDocument/2006/relationships/hyperlink" Target="mailto:gpriyanka855@gmail.com" TargetMode="External"/><Relationship Id="rId482" Type="http://schemas.openxmlformats.org/officeDocument/2006/relationships/hyperlink" Target="mailto:arun.reddy9985@gmail.com" TargetMode="External"/><Relationship Id="rId538" Type="http://schemas.openxmlformats.org/officeDocument/2006/relationships/hyperlink" Target="mailto:Vaddai.jayavardhani6@gmail.com" TargetMode="External"/><Relationship Id="rId703" Type="http://schemas.openxmlformats.org/officeDocument/2006/relationships/hyperlink" Target="mailto:drmithinreddy21@gmail.com" TargetMode="External"/><Relationship Id="rId81" Type="http://schemas.openxmlformats.org/officeDocument/2006/relationships/hyperlink" Target="mailto:siriradiology@gmail.com" TargetMode="External"/><Relationship Id="rId135" Type="http://schemas.openxmlformats.org/officeDocument/2006/relationships/hyperlink" Target="mailto:rahul.radiologist@gmail.com" TargetMode="External"/><Relationship Id="rId177" Type="http://schemas.openxmlformats.org/officeDocument/2006/relationships/hyperlink" Target="mailto:yeshwanthedamadaka@gmail.com" TargetMode="External"/><Relationship Id="rId342" Type="http://schemas.openxmlformats.org/officeDocument/2006/relationships/hyperlink" Target="mailto:atkeshvi23@gmail.com" TargetMode="External"/><Relationship Id="rId384" Type="http://schemas.openxmlformats.org/officeDocument/2006/relationships/hyperlink" Target="mailto:polasaaditya5@gmail.com" TargetMode="External"/><Relationship Id="rId591" Type="http://schemas.openxmlformats.org/officeDocument/2006/relationships/hyperlink" Target="mailto:khadeeja7755@gmail.com" TargetMode="External"/><Relationship Id="rId605" Type="http://schemas.openxmlformats.org/officeDocument/2006/relationships/hyperlink" Target="mailto:smsaud5287@gmail.com" TargetMode="External"/><Relationship Id="rId202" Type="http://schemas.openxmlformats.org/officeDocument/2006/relationships/hyperlink" Target="mailto:jayitabubs@gmail.com" TargetMode="External"/><Relationship Id="rId244" Type="http://schemas.openxmlformats.org/officeDocument/2006/relationships/hyperlink" Target="mailto:goswami.drpranabananda@gmail.com" TargetMode="External"/><Relationship Id="rId647" Type="http://schemas.openxmlformats.org/officeDocument/2006/relationships/hyperlink" Target="mailto:kvishnuharika@gmail.com" TargetMode="External"/><Relationship Id="rId689" Type="http://schemas.openxmlformats.org/officeDocument/2006/relationships/hyperlink" Target="mailto:kharish258@gmail.com" TargetMode="External"/><Relationship Id="rId39" Type="http://schemas.openxmlformats.org/officeDocument/2006/relationships/hyperlink" Target="mailto:samsonvpras@yahoo.com" TargetMode="External"/><Relationship Id="rId286" Type="http://schemas.openxmlformats.org/officeDocument/2006/relationships/hyperlink" Target="mailto:dgopinath789@gmail.com" TargetMode="External"/><Relationship Id="rId451" Type="http://schemas.openxmlformats.org/officeDocument/2006/relationships/hyperlink" Target="mailto:sravyaveerasuri@gmail.com" TargetMode="External"/><Relationship Id="rId493" Type="http://schemas.openxmlformats.org/officeDocument/2006/relationships/hyperlink" Target="mailto:sekharchandrat007@gmail.com" TargetMode="External"/><Relationship Id="rId507" Type="http://schemas.openxmlformats.org/officeDocument/2006/relationships/hyperlink" Target="mailto:prem_paladugu@yahoo.co.in" TargetMode="External"/><Relationship Id="rId549" Type="http://schemas.openxmlformats.org/officeDocument/2006/relationships/hyperlink" Target="mailto:mopurisai@yahoo.com" TargetMode="External"/><Relationship Id="rId714" Type="http://schemas.openxmlformats.org/officeDocument/2006/relationships/vmlDrawing" Target="../drawings/vmlDrawing1.vml"/><Relationship Id="rId50" Type="http://schemas.openxmlformats.org/officeDocument/2006/relationships/hyperlink" Target="mailto:dr.sl.2009@gmail.com" TargetMode="External"/><Relationship Id="rId104" Type="http://schemas.openxmlformats.org/officeDocument/2006/relationships/hyperlink" Target="mailto:pingali.yashu@gmail.com" TargetMode="External"/><Relationship Id="rId146" Type="http://schemas.openxmlformats.org/officeDocument/2006/relationships/hyperlink" Target="mailto:vasanthivs88@gmail.com" TargetMode="External"/><Relationship Id="rId188" Type="http://schemas.openxmlformats.org/officeDocument/2006/relationships/hyperlink" Target="mailto:ajayrathnam1996@gmail.com" TargetMode="External"/><Relationship Id="rId311" Type="http://schemas.openxmlformats.org/officeDocument/2006/relationships/hyperlink" Target="mailto:kavyatadiboyina@gmail.com" TargetMode="External"/><Relationship Id="rId353" Type="http://schemas.openxmlformats.org/officeDocument/2006/relationships/hyperlink" Target="mailto:minilss15@gmail.com" TargetMode="External"/><Relationship Id="rId395" Type="http://schemas.openxmlformats.org/officeDocument/2006/relationships/hyperlink" Target="mailto:reddy.msujana@gmail.com" TargetMode="External"/><Relationship Id="rId409" Type="http://schemas.openxmlformats.org/officeDocument/2006/relationships/hyperlink" Target="mailto:namburuhari16@yahoo.com" TargetMode="External"/><Relationship Id="rId560" Type="http://schemas.openxmlformats.org/officeDocument/2006/relationships/hyperlink" Target="mailto:manu.kanaparti@gmail.com" TargetMode="External"/><Relationship Id="rId92" Type="http://schemas.openxmlformats.org/officeDocument/2006/relationships/hyperlink" Target="mailto:smart007vishal@gmail.com" TargetMode="External"/><Relationship Id="rId213" Type="http://schemas.openxmlformats.org/officeDocument/2006/relationships/hyperlink" Target="mailto:mrmali2797@gmail.com" TargetMode="External"/><Relationship Id="rId420" Type="http://schemas.openxmlformats.org/officeDocument/2006/relationships/hyperlink" Target="mailto:Vigneshkvp@yahoo.com" TargetMode="External"/><Relationship Id="rId616" Type="http://schemas.openxmlformats.org/officeDocument/2006/relationships/hyperlink" Target="mailto:madani786omer@gmail.com" TargetMode="External"/><Relationship Id="rId658" Type="http://schemas.openxmlformats.org/officeDocument/2006/relationships/hyperlink" Target="mailto:kapaganti.vamsikrishna@gmail.com" TargetMode="External"/><Relationship Id="rId255" Type="http://schemas.openxmlformats.org/officeDocument/2006/relationships/hyperlink" Target="mailto:d.sabitha67@gmail.com" TargetMode="External"/><Relationship Id="rId297" Type="http://schemas.openxmlformats.org/officeDocument/2006/relationships/hyperlink" Target="mailto:drkiransinghmdpathology@gmail.com" TargetMode="External"/><Relationship Id="rId462" Type="http://schemas.openxmlformats.org/officeDocument/2006/relationships/hyperlink" Target="mailto:sravyasai9@gmail.com" TargetMode="External"/><Relationship Id="rId518" Type="http://schemas.openxmlformats.org/officeDocument/2006/relationships/hyperlink" Target="mailto:nitishajain13@gmail.com" TargetMode="External"/><Relationship Id="rId115" Type="http://schemas.openxmlformats.org/officeDocument/2006/relationships/hyperlink" Target="mailto:Sameerasaleem65@gmail.com" TargetMode="External"/><Relationship Id="rId157" Type="http://schemas.openxmlformats.org/officeDocument/2006/relationships/hyperlink" Target="mailto:gap8gap@gmail.com" TargetMode="External"/><Relationship Id="rId322" Type="http://schemas.openxmlformats.org/officeDocument/2006/relationships/hyperlink" Target="mailto:hirmodi95@gmail.com" TargetMode="External"/><Relationship Id="rId364" Type="http://schemas.openxmlformats.org/officeDocument/2006/relationships/hyperlink" Target="mailto:aditya.radrcr@gmail.com" TargetMode="External"/><Relationship Id="rId61" Type="http://schemas.openxmlformats.org/officeDocument/2006/relationships/hyperlink" Target="mailto:misiddiqui.42@gmail.com" TargetMode="External"/><Relationship Id="rId199" Type="http://schemas.openxmlformats.org/officeDocument/2006/relationships/hyperlink" Target="mailto:nikitha.bujji227@gmail.com" TargetMode="External"/><Relationship Id="rId571" Type="http://schemas.openxmlformats.org/officeDocument/2006/relationships/hyperlink" Target="mailto:vandana233@gmail.com" TargetMode="External"/><Relationship Id="rId627" Type="http://schemas.openxmlformats.org/officeDocument/2006/relationships/hyperlink" Target="mailto:roshanvshetty@gmail.com" TargetMode="External"/><Relationship Id="rId669" Type="http://schemas.openxmlformats.org/officeDocument/2006/relationships/hyperlink" Target="mailto:sharan22p@gmail.com" TargetMode="External"/><Relationship Id="rId19" Type="http://schemas.openxmlformats.org/officeDocument/2006/relationships/hyperlink" Target="mailto:drgsujathareddy@gmail.com" TargetMode="External"/><Relationship Id="rId224" Type="http://schemas.openxmlformats.org/officeDocument/2006/relationships/hyperlink" Target="mailto:nspalmopathologyndh@gmail.com" TargetMode="External"/><Relationship Id="rId266" Type="http://schemas.openxmlformats.org/officeDocument/2006/relationships/hyperlink" Target="mailto:sanjana.kilari1993@gmail.com" TargetMode="External"/><Relationship Id="rId431" Type="http://schemas.openxmlformats.org/officeDocument/2006/relationships/hyperlink" Target="mailto:mdshareef.ahmed12@gmail.com" TargetMode="External"/><Relationship Id="rId473" Type="http://schemas.openxmlformats.org/officeDocument/2006/relationships/hyperlink" Target="mailto:shahmeensaba@gmail.com" TargetMode="External"/><Relationship Id="rId529" Type="http://schemas.openxmlformats.org/officeDocument/2006/relationships/hyperlink" Target="mailto:ayeshatahseenanwari@gmail.com" TargetMode="External"/><Relationship Id="rId680" Type="http://schemas.openxmlformats.org/officeDocument/2006/relationships/hyperlink" Target="mailto:hk4049@gmail.com" TargetMode="External"/><Relationship Id="rId30" Type="http://schemas.openxmlformats.org/officeDocument/2006/relationships/hyperlink" Target="mailto:naseermims@gmail.com" TargetMode="External"/><Relationship Id="rId126" Type="http://schemas.openxmlformats.org/officeDocument/2006/relationships/hyperlink" Target="mailto:jyothivulapu@gmail.com" TargetMode="External"/><Relationship Id="rId168" Type="http://schemas.openxmlformats.org/officeDocument/2006/relationships/hyperlink" Target="mailto:amal_moyeed@yahoo.com" TargetMode="External"/><Relationship Id="rId333" Type="http://schemas.openxmlformats.org/officeDocument/2006/relationships/hyperlink" Target="mailto:aswithk@gmail.com" TargetMode="External"/><Relationship Id="rId540" Type="http://schemas.openxmlformats.org/officeDocument/2006/relationships/hyperlink" Target="mailto:archanakiran1616@gmail.com" TargetMode="External"/><Relationship Id="rId72" Type="http://schemas.openxmlformats.org/officeDocument/2006/relationships/hyperlink" Target="mailto:kalyani.bankupalli@gmail.com" TargetMode="External"/><Relationship Id="rId375" Type="http://schemas.openxmlformats.org/officeDocument/2006/relationships/hyperlink" Target="mailto:dr.roshikamaddeti@gmail.com" TargetMode="External"/><Relationship Id="rId582" Type="http://schemas.openxmlformats.org/officeDocument/2006/relationships/hyperlink" Target="mailto:fatima.kauser94@gmail.com" TargetMode="External"/><Relationship Id="rId638" Type="http://schemas.openxmlformats.org/officeDocument/2006/relationships/hyperlink" Target="mailto:prashanthdorna@gmail.com" TargetMode="External"/><Relationship Id="rId3" Type="http://schemas.openxmlformats.org/officeDocument/2006/relationships/hyperlink" Target="mailto:drvijayalakshmi76@gmail.com" TargetMode="External"/><Relationship Id="rId235" Type="http://schemas.openxmlformats.org/officeDocument/2006/relationships/hyperlink" Target="mailto:sanfiya19@gmail.com" TargetMode="External"/><Relationship Id="rId277" Type="http://schemas.openxmlformats.org/officeDocument/2006/relationships/hyperlink" Target="mailto:drnamdevv786@gmail.com" TargetMode="External"/><Relationship Id="rId400" Type="http://schemas.openxmlformats.org/officeDocument/2006/relationships/hyperlink" Target="mailto:akki.nelluri@gmail.com" TargetMode="External"/><Relationship Id="rId442" Type="http://schemas.openxmlformats.org/officeDocument/2006/relationships/hyperlink" Target="mailto:mvs7771@gmail.com" TargetMode="External"/><Relationship Id="rId484" Type="http://schemas.openxmlformats.org/officeDocument/2006/relationships/hyperlink" Target="mailto:jameelkairos@gmail.com" TargetMode="External"/><Relationship Id="rId705" Type="http://schemas.openxmlformats.org/officeDocument/2006/relationships/hyperlink" Target="mailto:drkoushikihalder@gmail.com" TargetMode="External"/><Relationship Id="rId137" Type="http://schemas.openxmlformats.org/officeDocument/2006/relationships/hyperlink" Target="mailto:guddanti60@hotmail.com" TargetMode="External"/><Relationship Id="rId302" Type="http://schemas.openxmlformats.org/officeDocument/2006/relationships/hyperlink" Target="mailto:psamuel18@yahoo.co.in/psamuel82@gmail.com" TargetMode="External"/><Relationship Id="rId344" Type="http://schemas.openxmlformats.org/officeDocument/2006/relationships/hyperlink" Target="mailto:vandanathummala98@gmail.com" TargetMode="External"/><Relationship Id="rId691" Type="http://schemas.openxmlformats.org/officeDocument/2006/relationships/hyperlink" Target="mailto:anilgunde17@gmail.com" TargetMode="External"/><Relationship Id="rId41" Type="http://schemas.openxmlformats.org/officeDocument/2006/relationships/hyperlink" Target="mailto:harshinireddirmc@gmail.com" TargetMode="External"/><Relationship Id="rId83" Type="http://schemas.openxmlformats.org/officeDocument/2006/relationships/hyperlink" Target="mailto:dr.t.kinnera@gmail.com" TargetMode="External"/><Relationship Id="rId179" Type="http://schemas.openxmlformats.org/officeDocument/2006/relationships/hyperlink" Target="mailto:drjayagiridhar@rediffmail.com" TargetMode="External"/><Relationship Id="rId386" Type="http://schemas.openxmlformats.org/officeDocument/2006/relationships/hyperlink" Target="mailto:drprararadiology@gmail.com" TargetMode="External"/><Relationship Id="rId551" Type="http://schemas.openxmlformats.org/officeDocument/2006/relationships/hyperlink" Target="mailto:pranayrdy@gmail.com" TargetMode="External"/><Relationship Id="rId593" Type="http://schemas.openxmlformats.org/officeDocument/2006/relationships/hyperlink" Target="mailto:chintalaanuhya@gmail.com" TargetMode="External"/><Relationship Id="rId607" Type="http://schemas.openxmlformats.org/officeDocument/2006/relationships/hyperlink" Target="mailto:sowmith24@gmail.com" TargetMode="External"/><Relationship Id="rId649" Type="http://schemas.openxmlformats.org/officeDocument/2006/relationships/hyperlink" Target="mailto:rvmkrishnachakravarthychkr@gmail.com" TargetMode="External"/><Relationship Id="rId190" Type="http://schemas.openxmlformats.org/officeDocument/2006/relationships/hyperlink" Target="mailto:srilekhasrilupeddi@gmail.com" TargetMode="External"/><Relationship Id="rId204" Type="http://schemas.openxmlformats.org/officeDocument/2006/relationships/hyperlink" Target="mailto:drchandanmahadeva@gmail.com" TargetMode="External"/><Relationship Id="rId246" Type="http://schemas.openxmlformats.org/officeDocument/2006/relationships/hyperlink" Target="mailto:ayeshaabdulbari@gmail.com" TargetMode="External"/><Relationship Id="rId288" Type="http://schemas.openxmlformats.org/officeDocument/2006/relationships/hyperlink" Target="mailto:nagillaashwin28@gmail.com" TargetMode="External"/><Relationship Id="rId411" Type="http://schemas.openxmlformats.org/officeDocument/2006/relationships/hyperlink" Target="mailto:srikanth.nalla123@gmail.com" TargetMode="External"/><Relationship Id="rId453" Type="http://schemas.openxmlformats.org/officeDocument/2006/relationships/hyperlink" Target="mailto:chandana21194@gmail.com" TargetMode="External"/><Relationship Id="rId509" Type="http://schemas.openxmlformats.org/officeDocument/2006/relationships/hyperlink" Target="mailto:satyavinuthna11@gmail.com" TargetMode="External"/><Relationship Id="rId660" Type="http://schemas.openxmlformats.org/officeDocument/2006/relationships/hyperlink" Target="mailto:gyaneshwari.raikar@gmail.com" TargetMode="External"/><Relationship Id="rId106" Type="http://schemas.openxmlformats.org/officeDocument/2006/relationships/hyperlink" Target="mailto:seemakazmi@gmail.com" TargetMode="External"/><Relationship Id="rId313" Type="http://schemas.openxmlformats.org/officeDocument/2006/relationships/hyperlink" Target="mailto:reddyjyoti145@gmail.com" TargetMode="External"/><Relationship Id="rId495" Type="http://schemas.openxmlformats.org/officeDocument/2006/relationships/hyperlink" Target="mailto:ramshakhan6028@gmail.com" TargetMode="External"/><Relationship Id="rId10" Type="http://schemas.openxmlformats.org/officeDocument/2006/relationships/hyperlink" Target="mailto:suryasoul15@gmail.com" TargetMode="External"/><Relationship Id="rId52" Type="http://schemas.openxmlformats.org/officeDocument/2006/relationships/hyperlink" Target="mailto:mohantatipally2023@gmail.com" TargetMode="External"/><Relationship Id="rId94" Type="http://schemas.openxmlformats.org/officeDocument/2006/relationships/hyperlink" Target="mailto:chssony@gmail.com" TargetMode="External"/><Relationship Id="rId148" Type="http://schemas.openxmlformats.org/officeDocument/2006/relationships/hyperlink" Target="mailto:suvarna.naidu789@gmail.com" TargetMode="External"/><Relationship Id="rId355" Type="http://schemas.openxmlformats.org/officeDocument/2006/relationships/hyperlink" Target="mailto:chinkychatur@gmail.com" TargetMode="External"/><Relationship Id="rId397" Type="http://schemas.openxmlformats.org/officeDocument/2006/relationships/hyperlink" Target="mailto:anushavarma41@gmail.com" TargetMode="External"/><Relationship Id="rId520" Type="http://schemas.openxmlformats.org/officeDocument/2006/relationships/hyperlink" Target="mailto:drekta89@gmail.com" TargetMode="External"/><Relationship Id="rId562" Type="http://schemas.openxmlformats.org/officeDocument/2006/relationships/hyperlink" Target="mailto:maheshwariuma02@gmail.com" TargetMode="External"/><Relationship Id="rId618" Type="http://schemas.openxmlformats.org/officeDocument/2006/relationships/hyperlink" Target="mailto:sowmith24@gmail.com" TargetMode="External"/><Relationship Id="rId215" Type="http://schemas.openxmlformats.org/officeDocument/2006/relationships/hyperlink" Target="mailto:dr.mshabana@gmail.com" TargetMode="External"/><Relationship Id="rId257" Type="http://schemas.openxmlformats.org/officeDocument/2006/relationships/hyperlink" Target="mailto:drmonaliresearch@gmail.com" TargetMode="External"/><Relationship Id="rId422" Type="http://schemas.openxmlformats.org/officeDocument/2006/relationships/hyperlink" Target="mailto:sama.varshareddy170795@gmail.com" TargetMode="External"/><Relationship Id="rId464" Type="http://schemas.openxmlformats.org/officeDocument/2006/relationships/hyperlink" Target="mailto:rakshithreddykatpally@gmail.com" TargetMode="External"/><Relationship Id="rId299" Type="http://schemas.openxmlformats.org/officeDocument/2006/relationships/hyperlink" Target="mailto:kartheek.avs27@gmail.com" TargetMode="External"/><Relationship Id="rId63" Type="http://schemas.openxmlformats.org/officeDocument/2006/relationships/hyperlink" Target="mailto:vaishnavivemuganti7@gmail.com" TargetMode="External"/><Relationship Id="rId159" Type="http://schemas.openxmlformats.org/officeDocument/2006/relationships/hyperlink" Target="mailto:soujanyamedico@gmail.com" TargetMode="External"/><Relationship Id="rId366" Type="http://schemas.openxmlformats.org/officeDocument/2006/relationships/hyperlink" Target="mailto:tasmiyaelensar1518@gmail.com" TargetMode="External"/><Relationship Id="rId573" Type="http://schemas.openxmlformats.org/officeDocument/2006/relationships/hyperlink" Target="mailto:shirishakondaparthi02@gmail.com" TargetMode="External"/><Relationship Id="rId226" Type="http://schemas.openxmlformats.org/officeDocument/2006/relationships/hyperlink" Target="mailto:drteja11@gmail.com" TargetMode="External"/><Relationship Id="rId433" Type="http://schemas.openxmlformats.org/officeDocument/2006/relationships/hyperlink" Target="mailto:vaibhavs813@gmail.com" TargetMode="External"/><Relationship Id="rId640" Type="http://schemas.openxmlformats.org/officeDocument/2006/relationships/hyperlink" Target="mailto:vikky1992@gmail.com" TargetMode="External"/><Relationship Id="rId74" Type="http://schemas.openxmlformats.org/officeDocument/2006/relationships/hyperlink" Target="mailto:soumia.burada@gmail.com" TargetMode="External"/><Relationship Id="rId377" Type="http://schemas.openxmlformats.org/officeDocument/2006/relationships/hyperlink" Target="mailto:shaikkhuteja@gmail.com" TargetMode="External"/><Relationship Id="rId500" Type="http://schemas.openxmlformats.org/officeDocument/2006/relationships/hyperlink" Target="mailto:snehadeshaboina93@gmail.com" TargetMode="External"/><Relationship Id="rId584" Type="http://schemas.openxmlformats.org/officeDocument/2006/relationships/hyperlink" Target="mailto:nivedithak.kodali@gmail.com" TargetMode="External"/><Relationship Id="rId5" Type="http://schemas.openxmlformats.org/officeDocument/2006/relationships/hyperlink" Target="mailto:drsyedshabbar@gmail.com" TargetMode="External"/><Relationship Id="rId237" Type="http://schemas.openxmlformats.org/officeDocument/2006/relationships/hyperlink" Target="mailto:panuganti.naveen30@gmail.com" TargetMode="External"/><Relationship Id="rId444" Type="http://schemas.openxmlformats.org/officeDocument/2006/relationships/hyperlink" Target="mailto:m.maanvireddy07@gmail.com" TargetMode="External"/><Relationship Id="rId651" Type="http://schemas.openxmlformats.org/officeDocument/2006/relationships/hyperlink" Target="mailto:madhulathakyatham39@gmail.com" TargetMode="External"/><Relationship Id="rId290" Type="http://schemas.openxmlformats.org/officeDocument/2006/relationships/hyperlink" Target="mailto:dr.navin3933@gmail.com" TargetMode="External"/><Relationship Id="rId304" Type="http://schemas.openxmlformats.org/officeDocument/2006/relationships/hyperlink" Target="mailto:nithya161189@gmail.com" TargetMode="External"/><Relationship Id="rId388" Type="http://schemas.openxmlformats.org/officeDocument/2006/relationships/hyperlink" Target="mailto:vamshia.mbbs@gmail.com" TargetMode="External"/><Relationship Id="rId511" Type="http://schemas.openxmlformats.org/officeDocument/2006/relationships/hyperlink" Target="mailto:vasireddysarojini5@gmail.com" TargetMode="External"/><Relationship Id="rId609" Type="http://schemas.openxmlformats.org/officeDocument/2006/relationships/hyperlink" Target="mailto:cvcviswa@gmail.com" TargetMode="External"/><Relationship Id="rId85" Type="http://schemas.openxmlformats.org/officeDocument/2006/relationships/hyperlink" Target="mailto:nalla.jagadeeshbabu9@gmail.com" TargetMode="External"/><Relationship Id="rId150" Type="http://schemas.openxmlformats.org/officeDocument/2006/relationships/hyperlink" Target="mailto:sainisucharitha@gmail.com" TargetMode="External"/><Relationship Id="rId595" Type="http://schemas.openxmlformats.org/officeDocument/2006/relationships/hyperlink" Target="mailto:sreenivasulu.des@gmail.com" TargetMode="External"/><Relationship Id="rId248" Type="http://schemas.openxmlformats.org/officeDocument/2006/relationships/hyperlink" Target="mailto:sheenakhter1314@gmail.com" TargetMode="External"/><Relationship Id="rId455" Type="http://schemas.openxmlformats.org/officeDocument/2006/relationships/hyperlink" Target="mailto:lata.manchala@gmail.com" TargetMode="External"/><Relationship Id="rId662" Type="http://schemas.openxmlformats.org/officeDocument/2006/relationships/hyperlink" Target="mailto:bsaipooja@gmail.com" TargetMode="External"/><Relationship Id="rId12" Type="http://schemas.openxmlformats.org/officeDocument/2006/relationships/hyperlink" Target="mailto:drmadhavivanukuri@gmail.com" TargetMode="External"/><Relationship Id="rId108" Type="http://schemas.openxmlformats.org/officeDocument/2006/relationships/hyperlink" Target="mailto:drumashankar@gmail.com" TargetMode="External"/><Relationship Id="rId315" Type="http://schemas.openxmlformats.org/officeDocument/2006/relationships/hyperlink" Target="mailto:neerajrao10@gmail.com" TargetMode="External"/><Relationship Id="rId522" Type="http://schemas.openxmlformats.org/officeDocument/2006/relationships/hyperlink" Target="mailto:abhilashareddy1997@gmail.com" TargetMode="External"/><Relationship Id="rId96" Type="http://schemas.openxmlformats.org/officeDocument/2006/relationships/hyperlink" Target="mailto:bsr1981bcm@gmail.com" TargetMode="External"/><Relationship Id="rId161" Type="http://schemas.openxmlformats.org/officeDocument/2006/relationships/hyperlink" Target="mailto:sdrmadan@yahoo.com" TargetMode="External"/><Relationship Id="rId399" Type="http://schemas.openxmlformats.org/officeDocument/2006/relationships/hyperlink" Target="mailto:inmanadesana1184@gmail.com" TargetMode="External"/><Relationship Id="rId259" Type="http://schemas.openxmlformats.org/officeDocument/2006/relationships/hyperlink" Target="mailto:patilsaurabh9221997@gmail.com" TargetMode="External"/><Relationship Id="rId466" Type="http://schemas.openxmlformats.org/officeDocument/2006/relationships/hyperlink" Target="mailto:irshad.syed.103@gmail.com" TargetMode="External"/><Relationship Id="rId673" Type="http://schemas.openxmlformats.org/officeDocument/2006/relationships/hyperlink" Target="mailto:aarazaib.sd@gmail.com" TargetMode="External"/><Relationship Id="rId23" Type="http://schemas.openxmlformats.org/officeDocument/2006/relationships/hyperlink" Target="mailto:divyaraju.a@gmail.com" TargetMode="External"/><Relationship Id="rId119" Type="http://schemas.openxmlformats.org/officeDocument/2006/relationships/hyperlink" Target="mailto:rashmi4210@gmail.com" TargetMode="External"/><Relationship Id="rId326" Type="http://schemas.openxmlformats.org/officeDocument/2006/relationships/hyperlink" Target="mailto:shalinie580@gmail.com" TargetMode="External"/><Relationship Id="rId533" Type="http://schemas.openxmlformats.org/officeDocument/2006/relationships/hyperlink" Target="mailto:drharoonhussain@gmail.com" TargetMode="External"/><Relationship Id="rId172" Type="http://schemas.openxmlformats.org/officeDocument/2006/relationships/hyperlink" Target="mailto:nidhireddy51@gmail.com" TargetMode="External"/><Relationship Id="rId477" Type="http://schemas.openxmlformats.org/officeDocument/2006/relationships/hyperlink" Target="mailto:ahmedmuk92@hotmail.com" TargetMode="External"/><Relationship Id="rId600" Type="http://schemas.openxmlformats.org/officeDocument/2006/relationships/hyperlink" Target="mailto:dr.sheronIai@gimail.com" TargetMode="External"/><Relationship Id="rId684" Type="http://schemas.openxmlformats.org/officeDocument/2006/relationships/hyperlink" Target="mailto:harshiniaachi@gmail.com" TargetMode="External"/><Relationship Id="rId337" Type="http://schemas.openxmlformats.org/officeDocument/2006/relationships/hyperlink" Target="mailto:bhagya.byreddy@gmail.com" TargetMode="External"/><Relationship Id="rId34" Type="http://schemas.openxmlformats.org/officeDocument/2006/relationships/hyperlink" Target="mailto:venkatramanaangoth@gmail.com" TargetMode="External"/><Relationship Id="rId544" Type="http://schemas.openxmlformats.org/officeDocument/2006/relationships/hyperlink" Target="mailto:Jabeen.NadiaMD@gmail.com" TargetMode="External"/><Relationship Id="rId183" Type="http://schemas.openxmlformats.org/officeDocument/2006/relationships/hyperlink" Target="mailto:drfasirehman2005@gmail.com" TargetMode="External"/><Relationship Id="rId390" Type="http://schemas.openxmlformats.org/officeDocument/2006/relationships/hyperlink" Target="mailto:rahmathmirza1995@gmail.com" TargetMode="External"/><Relationship Id="rId404" Type="http://schemas.openxmlformats.org/officeDocument/2006/relationships/hyperlink" Target="mailto:drwesamsyed@gmail.com" TargetMode="External"/><Relationship Id="rId611" Type="http://schemas.openxmlformats.org/officeDocument/2006/relationships/hyperlink" Target="mailto:supriya1666@gmail.com" TargetMode="External"/><Relationship Id="rId250" Type="http://schemas.openxmlformats.org/officeDocument/2006/relationships/hyperlink" Target="mailto:pratheek2815@gmail.com" TargetMode="External"/><Relationship Id="rId488" Type="http://schemas.openxmlformats.org/officeDocument/2006/relationships/hyperlink" Target="mailto:sanjana.kilari1993@gmail.com" TargetMode="External"/><Relationship Id="rId695" Type="http://schemas.openxmlformats.org/officeDocument/2006/relationships/hyperlink" Target="mailto:randhivenk@yahoo.com" TargetMode="External"/><Relationship Id="rId709" Type="http://schemas.openxmlformats.org/officeDocument/2006/relationships/hyperlink" Target="mailto:udaykumarpeddi8@gmail.com" TargetMode="External"/><Relationship Id="rId45" Type="http://schemas.openxmlformats.org/officeDocument/2006/relationships/hyperlink" Target="mailto:saradauppey@gmail.com" TargetMode="External"/><Relationship Id="rId110" Type="http://schemas.openxmlformats.org/officeDocument/2006/relationships/hyperlink" Target="mailto:swaru.keerthipati@gmail.com" TargetMode="External"/><Relationship Id="rId348" Type="http://schemas.openxmlformats.org/officeDocument/2006/relationships/hyperlink" Target="mailto:pettemvenkat@gmail.com" TargetMode="External"/><Relationship Id="rId555" Type="http://schemas.openxmlformats.org/officeDocument/2006/relationships/hyperlink" Target="mailto:iramgazala56@gmail.com" TargetMode="External"/><Relationship Id="rId194" Type="http://schemas.openxmlformats.org/officeDocument/2006/relationships/hyperlink" Target="mailto:sreepadyellu90@gmail.com" TargetMode="External"/><Relationship Id="rId208" Type="http://schemas.openxmlformats.org/officeDocument/2006/relationships/hyperlink" Target="mailto:potumanaswireddy.mbbs@gmail.com" TargetMode="External"/><Relationship Id="rId415" Type="http://schemas.openxmlformats.org/officeDocument/2006/relationships/hyperlink" Target="mailto:deepika.yarlagadda50@gmail.com" TargetMode="External"/><Relationship Id="rId622" Type="http://schemas.openxmlformats.org/officeDocument/2006/relationships/hyperlink" Target="mailto:sameekshareddy14230@gmail.com" TargetMode="External"/><Relationship Id="rId261" Type="http://schemas.openxmlformats.org/officeDocument/2006/relationships/hyperlink" Target="mailto:rishabkmittal007@gmail.com" TargetMode="External"/><Relationship Id="rId499" Type="http://schemas.openxmlformats.org/officeDocument/2006/relationships/hyperlink" Target="mailto:drdeviniha97@gmail.com" TargetMode="External"/><Relationship Id="rId56" Type="http://schemas.openxmlformats.org/officeDocument/2006/relationships/hyperlink" Target="mailto:manasvi.24.dawson@gmail.com" TargetMode="External"/><Relationship Id="rId359" Type="http://schemas.openxmlformats.org/officeDocument/2006/relationships/hyperlink" Target="mailto:drlovekesh_monga@yahoo.com" TargetMode="External"/><Relationship Id="rId566" Type="http://schemas.openxmlformats.org/officeDocument/2006/relationships/hyperlink" Target="mailto:kedar10nath@gmail.com" TargetMode="External"/><Relationship Id="rId121" Type="http://schemas.openxmlformats.org/officeDocument/2006/relationships/hyperlink" Target="mailto:docmayukh@gmail.com" TargetMode="External"/><Relationship Id="rId219" Type="http://schemas.openxmlformats.org/officeDocument/2006/relationships/hyperlink" Target="mailto:kowshikkanugula@gmail.com" TargetMode="External"/><Relationship Id="rId426" Type="http://schemas.openxmlformats.org/officeDocument/2006/relationships/hyperlink" Target="mailto:sriramya1605@gmail.com" TargetMode="External"/><Relationship Id="rId633" Type="http://schemas.openxmlformats.org/officeDocument/2006/relationships/hyperlink" Target="mailto:dr.anushakaranam23@gmail.com" TargetMode="External"/><Relationship Id="rId67" Type="http://schemas.openxmlformats.org/officeDocument/2006/relationships/hyperlink" Target="mailto:animireddy.kishore@gmail.com" TargetMode="External"/><Relationship Id="rId272" Type="http://schemas.openxmlformats.org/officeDocument/2006/relationships/hyperlink" Target="mailto:vanirupainspire@gmail.com" TargetMode="External"/><Relationship Id="rId577" Type="http://schemas.openxmlformats.org/officeDocument/2006/relationships/hyperlink" Target="mailto:dr.shamoon@gmail.com" TargetMode="External"/><Relationship Id="rId700" Type="http://schemas.openxmlformats.org/officeDocument/2006/relationships/hyperlink" Target="mailto:nikhita0712@gmail.com" TargetMode="External"/><Relationship Id="rId132" Type="http://schemas.openxmlformats.org/officeDocument/2006/relationships/hyperlink" Target="mailto:l.kukatla@gmail.com" TargetMode="External"/><Relationship Id="rId437" Type="http://schemas.openxmlformats.org/officeDocument/2006/relationships/hyperlink" Target="mailto:ayeshagaleti36@gmail.com" TargetMode="External"/><Relationship Id="rId644" Type="http://schemas.openxmlformats.org/officeDocument/2006/relationships/hyperlink" Target="mailto:drdivyasree282@gmail.com" TargetMode="External"/><Relationship Id="rId283" Type="http://schemas.openxmlformats.org/officeDocument/2006/relationships/hyperlink" Target="mailto:deevihemu@gmail.com" TargetMode="External"/><Relationship Id="rId490" Type="http://schemas.openxmlformats.org/officeDocument/2006/relationships/hyperlink" Target="mailto:sushmita.chilkuri@gmail.com" TargetMode="External"/><Relationship Id="rId504" Type="http://schemas.openxmlformats.org/officeDocument/2006/relationships/hyperlink" Target="mailto:dr_naseeruddin@yahoo.com" TargetMode="External"/><Relationship Id="rId711" Type="http://schemas.openxmlformats.org/officeDocument/2006/relationships/hyperlink" Target="mailto:drkoushikihalder@gmail.com" TargetMode="External"/><Relationship Id="rId78" Type="http://schemas.openxmlformats.org/officeDocument/2006/relationships/hyperlink" Target="mailto:sundardinesh55@gmail.com" TargetMode="External"/><Relationship Id="rId143" Type="http://schemas.openxmlformats.org/officeDocument/2006/relationships/hyperlink" Target="mailto:drhemalatha468@gmail.com" TargetMode="External"/><Relationship Id="rId350" Type="http://schemas.openxmlformats.org/officeDocument/2006/relationships/hyperlink" Target="mailto:dranilt@gmail.com" TargetMode="External"/><Relationship Id="rId588" Type="http://schemas.openxmlformats.org/officeDocument/2006/relationships/hyperlink" Target="mailto:jemnayar@gmail.com" TargetMode="External"/><Relationship Id="rId9" Type="http://schemas.openxmlformats.org/officeDocument/2006/relationships/hyperlink" Target="mailto:dr.s.deepthisandeep@gmail.com" TargetMode="External"/><Relationship Id="rId210" Type="http://schemas.openxmlformats.org/officeDocument/2006/relationships/hyperlink" Target="mailto:badimidevika7@gmail.com" TargetMode="External"/><Relationship Id="rId448" Type="http://schemas.openxmlformats.org/officeDocument/2006/relationships/hyperlink" Target="mailto:vani.naidus16@gmail.com" TargetMode="External"/><Relationship Id="rId655" Type="http://schemas.openxmlformats.org/officeDocument/2006/relationships/hyperlink" Target="mailto:doctorswathipyreddy@gmail.com" TargetMode="External"/><Relationship Id="rId294" Type="http://schemas.openxmlformats.org/officeDocument/2006/relationships/hyperlink" Target="mailto:prabhareddy21@gmail.com" TargetMode="External"/><Relationship Id="rId308" Type="http://schemas.openxmlformats.org/officeDocument/2006/relationships/hyperlink" Target="mailto:jigeeshagutti@gmail.com" TargetMode="External"/><Relationship Id="rId515" Type="http://schemas.openxmlformats.org/officeDocument/2006/relationships/hyperlink" Target="mailto:amatulkareemsumayafarooqui@gmail.com" TargetMode="External"/><Relationship Id="rId89" Type="http://schemas.openxmlformats.org/officeDocument/2006/relationships/hyperlink" Target="mailto:swethamadasu@gmail.com" TargetMode="External"/><Relationship Id="rId154" Type="http://schemas.openxmlformats.org/officeDocument/2006/relationships/hyperlink" Target="mailto:vijayashish23@gmail.com" TargetMode="External"/><Relationship Id="rId361" Type="http://schemas.openxmlformats.org/officeDocument/2006/relationships/hyperlink" Target="mailto:dranusha2004@gmail.com" TargetMode="External"/><Relationship Id="rId599" Type="http://schemas.openxmlformats.org/officeDocument/2006/relationships/hyperlink" Target="mailto:lavanyaramanakol27@gmail.com" TargetMode="External"/><Relationship Id="rId459" Type="http://schemas.openxmlformats.org/officeDocument/2006/relationships/hyperlink" Target="mailto:pavani_vlw@yahoo.com" TargetMode="External"/><Relationship Id="rId666" Type="http://schemas.openxmlformats.org/officeDocument/2006/relationships/hyperlink" Target="mailto:drchandanm@gmail.com" TargetMode="External"/><Relationship Id="rId16" Type="http://schemas.openxmlformats.org/officeDocument/2006/relationships/hyperlink" Target="mailto:varunraghavc@gmail.com" TargetMode="External"/><Relationship Id="rId221" Type="http://schemas.openxmlformats.org/officeDocument/2006/relationships/hyperlink" Target="mailto:guttagoutham.gutta9@gmail.com" TargetMode="External"/><Relationship Id="rId319" Type="http://schemas.openxmlformats.org/officeDocument/2006/relationships/hyperlink" Target="mailto:sudheer.gmc@gmail.com" TargetMode="External"/><Relationship Id="rId526" Type="http://schemas.openxmlformats.org/officeDocument/2006/relationships/hyperlink" Target="mailto:pratap.venkata9@gmail.com" TargetMode="External"/><Relationship Id="rId165" Type="http://schemas.openxmlformats.org/officeDocument/2006/relationships/hyperlink" Target="mailto:shruthigoud57@gmail.com" TargetMode="External"/><Relationship Id="rId372" Type="http://schemas.openxmlformats.org/officeDocument/2006/relationships/hyperlink" Target="mailto:tajammul99@gmail.com" TargetMode="External"/><Relationship Id="rId677" Type="http://schemas.openxmlformats.org/officeDocument/2006/relationships/hyperlink" Target="mailto:vini.lucky5@gmail.com" TargetMode="External"/><Relationship Id="rId232" Type="http://schemas.openxmlformats.org/officeDocument/2006/relationships/hyperlink" Target="mailto:saikirandarbar@gmail.com" TargetMode="External"/><Relationship Id="rId27" Type="http://schemas.openxmlformats.org/officeDocument/2006/relationships/hyperlink" Target="mailto:drravikishore26@gmail.com" TargetMode="External"/><Relationship Id="rId537" Type="http://schemas.openxmlformats.org/officeDocument/2006/relationships/hyperlink" Target="mailto:madhulikadamera03@gmail.com" TargetMode="External"/><Relationship Id="rId80" Type="http://schemas.openxmlformats.org/officeDocument/2006/relationships/hyperlink" Target="mailto:kirannpokam@gmail.com" TargetMode="External"/><Relationship Id="rId176" Type="http://schemas.openxmlformats.org/officeDocument/2006/relationships/hyperlink" Target="mailto:Subhasisdr@gmail.com" TargetMode="External"/><Relationship Id="rId383" Type="http://schemas.openxmlformats.org/officeDocument/2006/relationships/hyperlink" Target="mailto:vuru.sai@gmail.com" TargetMode="External"/><Relationship Id="rId590" Type="http://schemas.openxmlformats.org/officeDocument/2006/relationships/hyperlink" Target="mailto:naiduvijay111@gmail.com" TargetMode="External"/><Relationship Id="rId604" Type="http://schemas.openxmlformats.org/officeDocument/2006/relationships/hyperlink" Target="mailto:naveedsheik24@gmail.com" TargetMode="External"/><Relationship Id="rId243" Type="http://schemas.openxmlformats.org/officeDocument/2006/relationships/hyperlink" Target="mailto:saravanakumar1162@gmail.com" TargetMode="External"/><Relationship Id="rId450" Type="http://schemas.openxmlformats.org/officeDocument/2006/relationships/hyperlink" Target="mailto:shamili.me@gmail.com" TargetMode="External"/><Relationship Id="rId688" Type="http://schemas.openxmlformats.org/officeDocument/2006/relationships/hyperlink" Target="mailto:faisalmedico@gmail.com" TargetMode="External"/><Relationship Id="rId38" Type="http://schemas.openxmlformats.org/officeDocument/2006/relationships/hyperlink" Target="mailto:mansoormd@aol.com" TargetMode="External"/><Relationship Id="rId103" Type="http://schemas.openxmlformats.org/officeDocument/2006/relationships/hyperlink" Target="mailto:priyankaradiology@gmail.com" TargetMode="External"/><Relationship Id="rId310" Type="http://schemas.openxmlformats.org/officeDocument/2006/relationships/hyperlink" Target="mailto:dr.tejaswireddym@gmail.com" TargetMode="External"/><Relationship Id="rId548" Type="http://schemas.openxmlformats.org/officeDocument/2006/relationships/hyperlink" Target="mailto:srilahari.koneru@gmail.com" TargetMode="External"/><Relationship Id="rId91" Type="http://schemas.openxmlformats.org/officeDocument/2006/relationships/hyperlink" Target="mailto:b.bharathreddy6033@gmail.com" TargetMode="External"/><Relationship Id="rId187" Type="http://schemas.openxmlformats.org/officeDocument/2006/relationships/hyperlink" Target="mailto:divyashalom94@gmail.com" TargetMode="External"/><Relationship Id="rId394" Type="http://schemas.openxmlformats.org/officeDocument/2006/relationships/hyperlink" Target="mailto:drpavani.777@gmail.com" TargetMode="External"/><Relationship Id="rId408" Type="http://schemas.openxmlformats.org/officeDocument/2006/relationships/hyperlink" Target="mailto:mouni.chinni150@gmail.com" TargetMode="External"/><Relationship Id="rId615" Type="http://schemas.openxmlformats.org/officeDocument/2006/relationships/hyperlink" Target="mailto:chadapushpakreddy@gmail.com" TargetMode="External"/><Relationship Id="rId254" Type="http://schemas.openxmlformats.org/officeDocument/2006/relationships/hyperlink" Target="mailto:hk4049@gmail.com" TargetMode="External"/><Relationship Id="rId699" Type="http://schemas.openxmlformats.org/officeDocument/2006/relationships/hyperlink" Target="mailto:viralparekh@hotmail.com" TargetMode="External"/><Relationship Id="rId49" Type="http://schemas.openxmlformats.org/officeDocument/2006/relationships/hyperlink" Target="mailto:raktimmukherjee80@gmail.com" TargetMode="External"/><Relationship Id="rId114" Type="http://schemas.openxmlformats.org/officeDocument/2006/relationships/hyperlink" Target="mailto:ufindniha@gmail.com" TargetMode="External"/><Relationship Id="rId461" Type="http://schemas.openxmlformats.org/officeDocument/2006/relationships/hyperlink" Target="mailto:akhil1231994@gmail.com" TargetMode="External"/><Relationship Id="rId559" Type="http://schemas.openxmlformats.org/officeDocument/2006/relationships/hyperlink" Target="mailto:yeshwanthedamadaka@gmail.com" TargetMode="External"/><Relationship Id="rId198" Type="http://schemas.openxmlformats.org/officeDocument/2006/relationships/hyperlink" Target="mailto:noora.ali315@gmail.com" TargetMode="External"/><Relationship Id="rId321" Type="http://schemas.openxmlformats.org/officeDocument/2006/relationships/hyperlink" Target="mailto:shoebsalaam123@gmail.com" TargetMode="External"/><Relationship Id="rId419" Type="http://schemas.openxmlformats.org/officeDocument/2006/relationships/hyperlink" Target="mailto:saithejapaidipelly@gmail.com" TargetMode="External"/><Relationship Id="rId626" Type="http://schemas.openxmlformats.org/officeDocument/2006/relationships/hyperlink" Target="mailto:kallu_kalambe@yahoo.com" TargetMode="External"/><Relationship Id="rId265" Type="http://schemas.openxmlformats.org/officeDocument/2006/relationships/hyperlink" Target="mailto:akshitarana789@gmail.com" TargetMode="External"/><Relationship Id="rId472" Type="http://schemas.openxmlformats.org/officeDocument/2006/relationships/hyperlink" Target="mailto:supriyapandava@gmail.com" TargetMode="External"/><Relationship Id="rId125" Type="http://schemas.openxmlformats.org/officeDocument/2006/relationships/hyperlink" Target="mailto:ahmedarfath@gmail.com" TargetMode="External"/><Relationship Id="rId332" Type="http://schemas.openxmlformats.org/officeDocument/2006/relationships/hyperlink" Target="mailto:sonaljoshi012@gmail.com" TargetMode="External"/><Relationship Id="rId637" Type="http://schemas.openxmlformats.org/officeDocument/2006/relationships/hyperlink" Target="mailto:prashanthdorna@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ECC1-6EEB-4403-B96E-C852DCFB48F1}">
  <dimension ref="A1:BC1204"/>
  <sheetViews>
    <sheetView tabSelected="1" workbookViewId="0">
      <selection activeCell="F22" sqref="F22"/>
    </sheetView>
  </sheetViews>
  <sheetFormatPr defaultRowHeight="15" x14ac:dyDescent="0.25"/>
  <cols>
    <col min="2" max="2" width="9.28515625" bestFit="1" customWidth="1"/>
    <col min="3" max="3" width="12.5703125" bestFit="1" customWidth="1"/>
    <col min="4" max="4" width="12.85546875" bestFit="1" customWidth="1"/>
    <col min="5" max="5" width="21.28515625" customWidth="1"/>
    <col min="6" max="6" width="47.5703125" bestFit="1" customWidth="1"/>
    <col min="8" max="8" width="8.7109375" customWidth="1"/>
    <col min="9" max="9" width="12.28515625" customWidth="1"/>
    <col min="11" max="11" width="25" bestFit="1" customWidth="1"/>
    <col min="13" max="13" width="23.42578125" bestFit="1" customWidth="1"/>
    <col min="14" max="14" width="49" bestFit="1" customWidth="1"/>
    <col min="15" max="15" width="29.85546875" bestFit="1" customWidth="1"/>
    <col min="16" max="16" width="11.5703125" bestFit="1" customWidth="1"/>
    <col min="17" max="17" width="18.140625" bestFit="1" customWidth="1"/>
    <col min="18" max="18" width="15.5703125" bestFit="1" customWidth="1"/>
    <col min="19" max="19" width="18.140625" bestFit="1" customWidth="1"/>
    <col min="21" max="21" width="86.42578125" bestFit="1" customWidth="1"/>
    <col min="22" max="22" width="36" bestFit="1" customWidth="1"/>
    <col min="23" max="23" width="84.42578125" bestFit="1" customWidth="1"/>
    <col min="24" max="24" width="159.5703125" bestFit="1" customWidth="1"/>
    <col min="25" max="25" width="44.42578125" bestFit="1" customWidth="1"/>
    <col min="26" max="26" width="47.7109375" bestFit="1" customWidth="1"/>
    <col min="27" max="27" width="41.140625" bestFit="1" customWidth="1"/>
    <col min="28" max="28" width="27.85546875" bestFit="1" customWidth="1"/>
    <col min="29" max="29" width="17.28515625" bestFit="1" customWidth="1"/>
    <col min="30" max="30" width="27.5703125" bestFit="1" customWidth="1"/>
    <col min="31" max="31" width="56.5703125" bestFit="1" customWidth="1"/>
    <col min="32" max="32" width="38.140625" bestFit="1" customWidth="1"/>
    <col min="33" max="33" width="20.28515625" bestFit="1" customWidth="1"/>
    <col min="34" max="34" width="15.42578125" bestFit="1" customWidth="1"/>
    <col min="35" max="35" width="13.85546875" bestFit="1" customWidth="1"/>
    <col min="36" max="36" width="22" bestFit="1" customWidth="1"/>
    <col min="37" max="37" width="49.28515625" bestFit="1" customWidth="1"/>
    <col min="38" max="38" width="13.42578125" bestFit="1" customWidth="1"/>
    <col min="39" max="39" width="14.5703125" bestFit="1" customWidth="1"/>
    <col min="40" max="40" width="71.140625" bestFit="1" customWidth="1"/>
    <col min="41" max="41" width="166.7109375" bestFit="1" customWidth="1"/>
    <col min="42" max="42" width="9" bestFit="1" customWidth="1"/>
    <col min="43" max="43" width="126.42578125" bestFit="1" customWidth="1"/>
    <col min="44" max="44" width="29.85546875" bestFit="1" customWidth="1"/>
    <col min="45" max="45" width="15.85546875" bestFit="1" customWidth="1"/>
    <col min="46" max="46" width="26.140625" bestFit="1" customWidth="1"/>
    <col min="47" max="47" width="12.5703125" bestFit="1" customWidth="1"/>
    <col min="48" max="48" width="12.28515625" bestFit="1" customWidth="1"/>
    <col min="49" max="49" width="24.140625" bestFit="1" customWidth="1"/>
    <col min="50" max="50" width="15.5703125" bestFit="1" customWidth="1"/>
    <col min="51" max="51" width="21.7109375" bestFit="1" customWidth="1"/>
    <col min="52" max="52" width="16.7109375" bestFit="1" customWidth="1"/>
    <col min="53" max="53" width="11.5703125" bestFit="1" customWidth="1"/>
    <col min="54" max="54" width="12.5703125" bestFit="1" customWidth="1"/>
    <col min="55" max="55" width="13.42578125" bestFit="1" customWidth="1"/>
  </cols>
  <sheetData>
    <row r="1" spans="1:55" ht="45" x14ac:dyDescent="0.25">
      <c r="A1" s="1" t="s">
        <v>0</v>
      </c>
      <c r="B1" s="2" t="s">
        <v>1</v>
      </c>
      <c r="C1" s="2" t="s">
        <v>21</v>
      </c>
      <c r="D1" s="3" t="s">
        <v>2</v>
      </c>
      <c r="E1" s="4" t="s">
        <v>3</v>
      </c>
      <c r="F1" s="5" t="s">
        <v>4</v>
      </c>
      <c r="G1" s="2" t="s">
        <v>5</v>
      </c>
      <c r="H1" s="6" t="s">
        <v>6</v>
      </c>
      <c r="I1" s="6" t="s">
        <v>7</v>
      </c>
      <c r="J1" s="1" t="s">
        <v>8</v>
      </c>
      <c r="K1" s="7" t="s">
        <v>9</v>
      </c>
      <c r="L1" s="8" t="s">
        <v>10</v>
      </c>
      <c r="M1" s="8" t="s">
        <v>11</v>
      </c>
      <c r="N1" s="7" t="s">
        <v>12</v>
      </c>
      <c r="O1" s="7" t="s">
        <v>1290</v>
      </c>
      <c r="P1" s="149" t="s">
        <v>1291</v>
      </c>
      <c r="Q1" s="149" t="s">
        <v>1292</v>
      </c>
      <c r="R1" s="149" t="s">
        <v>1293</v>
      </c>
      <c r="S1" s="149" t="s">
        <v>1294</v>
      </c>
      <c r="T1" s="2" t="s">
        <v>13</v>
      </c>
      <c r="U1" s="8" t="s">
        <v>14</v>
      </c>
      <c r="V1" s="2" t="s">
        <v>15</v>
      </c>
      <c r="W1" s="9" t="s">
        <v>16</v>
      </c>
      <c r="X1" s="150" t="s">
        <v>1295</v>
      </c>
      <c r="Y1" s="7" t="s">
        <v>17</v>
      </c>
      <c r="Z1" s="151" t="s">
        <v>1296</v>
      </c>
      <c r="AA1" s="8" t="s">
        <v>1297</v>
      </c>
      <c r="AB1" s="4" t="s">
        <v>1298</v>
      </c>
      <c r="AC1" s="152" t="s">
        <v>1299</v>
      </c>
      <c r="AD1" s="153" t="s">
        <v>1300</v>
      </c>
      <c r="AE1" s="8" t="s">
        <v>1301</v>
      </c>
      <c r="AF1" s="7" t="s">
        <v>1302</v>
      </c>
      <c r="AG1" s="154" t="s">
        <v>1303</v>
      </c>
      <c r="AH1" s="4" t="s">
        <v>1304</v>
      </c>
      <c r="AI1" s="1" t="s">
        <v>1305</v>
      </c>
      <c r="AJ1" s="154" t="s">
        <v>1306</v>
      </c>
      <c r="AK1" s="8" t="s">
        <v>1307</v>
      </c>
      <c r="AL1" s="152" t="s">
        <v>1308</v>
      </c>
      <c r="AM1" s="155" t="s">
        <v>1309</v>
      </c>
      <c r="AN1" s="156" t="s">
        <v>1310</v>
      </c>
      <c r="AO1" s="9" t="s">
        <v>1311</v>
      </c>
      <c r="AP1" s="1" t="s">
        <v>1312</v>
      </c>
      <c r="AQ1" s="5" t="s">
        <v>1313</v>
      </c>
      <c r="AR1" s="157" t="s">
        <v>1314</v>
      </c>
      <c r="AS1" s="152" t="s">
        <v>1315</v>
      </c>
      <c r="AT1" s="152" t="s">
        <v>1316</v>
      </c>
      <c r="AU1" s="158" t="s">
        <v>1317</v>
      </c>
      <c r="AV1" s="4" t="s">
        <v>1318</v>
      </c>
      <c r="AW1" s="4" t="s">
        <v>18</v>
      </c>
      <c r="AX1" s="1" t="s">
        <v>8</v>
      </c>
      <c r="AY1" s="8" t="s">
        <v>1319</v>
      </c>
      <c r="AZ1" s="1" t="s">
        <v>19</v>
      </c>
      <c r="BA1" s="9" t="s">
        <v>20</v>
      </c>
      <c r="BB1" s="2" t="s">
        <v>21</v>
      </c>
      <c r="BC1" s="2" t="s">
        <v>1320</v>
      </c>
    </row>
    <row r="2" spans="1:55" x14ac:dyDescent="0.25">
      <c r="A2" s="10">
        <v>1</v>
      </c>
      <c r="B2" s="11" t="s">
        <v>22</v>
      </c>
      <c r="C2" s="30" t="s">
        <v>34</v>
      </c>
      <c r="D2" s="12">
        <v>5729</v>
      </c>
      <c r="E2" s="13" t="s">
        <v>23</v>
      </c>
      <c r="F2" s="14" t="s">
        <v>24</v>
      </c>
      <c r="G2" s="16">
        <v>6</v>
      </c>
      <c r="H2" s="66">
        <v>0.39583333333333331</v>
      </c>
      <c r="I2" s="66">
        <v>0.5625</v>
      </c>
      <c r="J2" s="19">
        <v>0.16666666666666666</v>
      </c>
      <c r="K2" s="21" t="s">
        <v>25</v>
      </c>
      <c r="L2" s="22"/>
      <c r="M2" s="15" t="s">
        <v>26</v>
      </c>
      <c r="N2" s="23" t="s">
        <v>27</v>
      </c>
      <c r="O2" s="23" t="s">
        <v>1321</v>
      </c>
      <c r="P2" s="159">
        <v>43900</v>
      </c>
      <c r="Q2" s="159">
        <v>45505</v>
      </c>
      <c r="R2" s="159">
        <v>46234</v>
      </c>
      <c r="S2" s="159">
        <v>46235</v>
      </c>
      <c r="T2" s="24">
        <v>2005</v>
      </c>
      <c r="U2" s="15" t="s">
        <v>28</v>
      </c>
      <c r="V2" s="13"/>
      <c r="W2" s="22"/>
      <c r="X2" s="15" t="s">
        <v>1322</v>
      </c>
      <c r="Y2" s="21" t="s">
        <v>29</v>
      </c>
      <c r="Z2" s="15">
        <v>61028</v>
      </c>
      <c r="AA2" s="21" t="s">
        <v>1323</v>
      </c>
      <c r="AB2" s="160">
        <v>41526</v>
      </c>
      <c r="AC2" s="161" t="s">
        <v>30</v>
      </c>
      <c r="AD2" s="24">
        <v>9836158813</v>
      </c>
      <c r="AE2" s="411" t="s">
        <v>31</v>
      </c>
      <c r="AF2" s="588" t="s">
        <v>1324</v>
      </c>
      <c r="AG2" s="589" t="s">
        <v>1325</v>
      </c>
      <c r="AH2" s="590" t="s">
        <v>1326</v>
      </c>
      <c r="AI2" s="24" t="s">
        <v>1327</v>
      </c>
      <c r="AJ2" s="163" t="s">
        <v>1328</v>
      </c>
      <c r="AK2" s="21" t="s">
        <v>1329</v>
      </c>
      <c r="AL2" s="165"/>
      <c r="AM2" s="22"/>
      <c r="AN2" s="22"/>
      <c r="AO2" s="15" t="s">
        <v>1330</v>
      </c>
      <c r="AP2" s="25">
        <f ca="1">ROUNDDOWN((TODAY() -AU2)/365.25,0)</f>
        <v>46</v>
      </c>
      <c r="AQ2" s="22"/>
      <c r="AR2" s="22"/>
      <c r="AS2" s="166"/>
      <c r="AT2" s="166"/>
      <c r="AU2" s="167" t="s">
        <v>1331</v>
      </c>
      <c r="AV2" s="168" t="s">
        <v>1332</v>
      </c>
      <c r="AW2" s="26" t="s">
        <v>32</v>
      </c>
      <c r="AX2" s="27">
        <v>4</v>
      </c>
      <c r="AY2" s="15" t="s">
        <v>1333</v>
      </c>
      <c r="AZ2" s="28" t="s">
        <v>26</v>
      </c>
      <c r="BA2" s="29" t="s">
        <v>33</v>
      </c>
      <c r="BB2" s="30" t="s">
        <v>34</v>
      </c>
      <c r="BC2" s="22"/>
    </row>
    <row r="3" spans="1:55" x14ac:dyDescent="0.25">
      <c r="A3" s="10">
        <f>A2+1</f>
        <v>2</v>
      </c>
      <c r="B3" s="11" t="s">
        <v>35</v>
      </c>
      <c r="C3" s="30" t="s">
        <v>34</v>
      </c>
      <c r="D3" s="12">
        <v>5767</v>
      </c>
      <c r="E3" s="13" t="s">
        <v>36</v>
      </c>
      <c r="F3" s="14" t="s">
        <v>37</v>
      </c>
      <c r="G3" s="16">
        <v>4</v>
      </c>
      <c r="H3" s="17">
        <v>0.66666666666666663</v>
      </c>
      <c r="I3" s="18">
        <v>0.75</v>
      </c>
      <c r="J3" s="19">
        <v>8.3333333333333329E-2</v>
      </c>
      <c r="K3" s="21" t="s">
        <v>25</v>
      </c>
      <c r="L3" s="22"/>
      <c r="M3" s="15" t="s">
        <v>26</v>
      </c>
      <c r="N3" s="23" t="s">
        <v>38</v>
      </c>
      <c r="O3" s="23" t="s">
        <v>1321</v>
      </c>
      <c r="P3" s="159">
        <v>44669</v>
      </c>
      <c r="Q3" s="159">
        <v>45399</v>
      </c>
      <c r="R3" s="159">
        <v>46128</v>
      </c>
      <c r="S3" s="159">
        <v>46129</v>
      </c>
      <c r="T3" s="24">
        <v>2006</v>
      </c>
      <c r="U3" s="15" t="s">
        <v>28</v>
      </c>
      <c r="V3" s="13"/>
      <c r="W3" s="22"/>
      <c r="X3" s="15" t="s">
        <v>1334</v>
      </c>
      <c r="Y3" s="21" t="s">
        <v>39</v>
      </c>
      <c r="Z3" s="15">
        <v>61551</v>
      </c>
      <c r="AA3" s="21" t="s">
        <v>1323</v>
      </c>
      <c r="AB3" s="160">
        <v>42690</v>
      </c>
      <c r="AC3" s="161" t="s">
        <v>30</v>
      </c>
      <c r="AD3" s="24">
        <v>8420019075</v>
      </c>
      <c r="AE3" s="162" t="s">
        <v>40</v>
      </c>
      <c r="AF3" s="21" t="s">
        <v>1335</v>
      </c>
      <c r="AG3" s="163" t="s">
        <v>1336</v>
      </c>
      <c r="AH3" s="164" t="s">
        <v>1337</v>
      </c>
      <c r="AI3" s="24" t="s">
        <v>1338</v>
      </c>
      <c r="AJ3" s="163" t="s">
        <v>1339</v>
      </c>
      <c r="AK3" s="21" t="s">
        <v>1340</v>
      </c>
      <c r="AL3" s="165"/>
      <c r="AM3" s="22"/>
      <c r="AN3" s="22"/>
      <c r="AO3" s="15" t="s">
        <v>1341</v>
      </c>
      <c r="AP3" s="25">
        <f ca="1">ROUNDDOWN((TODAY() -AU3)/365.25,0)</f>
        <v>44</v>
      </c>
      <c r="AQ3" s="22"/>
      <c r="AR3" s="22"/>
      <c r="AS3" s="166"/>
      <c r="AT3" s="166"/>
      <c r="AU3" s="167" t="s">
        <v>1342</v>
      </c>
      <c r="AV3" s="168" t="s">
        <v>1343</v>
      </c>
      <c r="AW3" s="26" t="s">
        <v>32</v>
      </c>
      <c r="AX3" s="27">
        <v>2</v>
      </c>
      <c r="AY3" s="15" t="s">
        <v>1333</v>
      </c>
      <c r="AZ3" s="28" t="s">
        <v>26</v>
      </c>
      <c r="BA3" s="29" t="s">
        <v>33</v>
      </c>
      <c r="BB3" s="30" t="s">
        <v>34</v>
      </c>
      <c r="BC3" s="22"/>
    </row>
    <row r="4" spans="1:55" x14ac:dyDescent="0.25">
      <c r="A4" s="10">
        <f t="shared" ref="A4:A67" si="0">A3+1</f>
        <v>3</v>
      </c>
      <c r="B4" s="31" t="s">
        <v>41</v>
      </c>
      <c r="C4" s="30" t="s">
        <v>34</v>
      </c>
      <c r="D4" s="32">
        <v>5400055</v>
      </c>
      <c r="E4" s="26" t="s">
        <v>42</v>
      </c>
      <c r="F4" s="14" t="s">
        <v>43</v>
      </c>
      <c r="G4" s="26">
        <v>6</v>
      </c>
      <c r="H4" s="17">
        <v>0.75</v>
      </c>
      <c r="I4" s="17">
        <v>0.83333333333333337</v>
      </c>
      <c r="J4" s="17">
        <v>8.3333333333333329E-2</v>
      </c>
      <c r="K4" s="33" t="s">
        <v>44</v>
      </c>
      <c r="L4" s="28" t="s">
        <v>45</v>
      </c>
      <c r="M4" s="30" t="s">
        <v>26</v>
      </c>
      <c r="N4" s="23" t="s">
        <v>46</v>
      </c>
      <c r="O4" s="23" t="s">
        <v>1321</v>
      </c>
      <c r="P4" s="169">
        <v>45931</v>
      </c>
      <c r="Q4" s="169">
        <v>45931</v>
      </c>
      <c r="R4" s="169">
        <v>46660</v>
      </c>
      <c r="S4" s="169">
        <v>46661</v>
      </c>
      <c r="T4" s="26">
        <v>2016</v>
      </c>
      <c r="U4" s="34" t="s">
        <v>47</v>
      </c>
      <c r="V4" s="26">
        <v>2023</v>
      </c>
      <c r="W4" s="33" t="s">
        <v>48</v>
      </c>
      <c r="X4" s="28" t="s">
        <v>30</v>
      </c>
      <c r="Y4" s="33" t="s">
        <v>49</v>
      </c>
      <c r="Z4" s="170">
        <v>2018041135</v>
      </c>
      <c r="AA4" s="35" t="s">
        <v>1344</v>
      </c>
      <c r="AB4" s="171">
        <v>45039</v>
      </c>
      <c r="AC4" s="171">
        <v>46866</v>
      </c>
      <c r="AD4" s="36">
        <v>7977987457</v>
      </c>
      <c r="AE4" s="172" t="s">
        <v>50</v>
      </c>
      <c r="AF4" s="33" t="s">
        <v>1345</v>
      </c>
      <c r="AG4" s="173" t="s">
        <v>1346</v>
      </c>
      <c r="AH4" s="33" t="s">
        <v>1347</v>
      </c>
      <c r="AI4" s="26" t="s">
        <v>1348</v>
      </c>
      <c r="AJ4" s="174" t="s">
        <v>1349</v>
      </c>
      <c r="AK4" s="33" t="s">
        <v>1350</v>
      </c>
      <c r="AL4" s="175"/>
      <c r="AM4" s="33"/>
      <c r="AN4" s="33"/>
      <c r="AO4" s="33" t="s">
        <v>1351</v>
      </c>
      <c r="AP4" s="26">
        <f ca="1">ROUNDDOWN((TODAY() -AU4)/365.25,0)</f>
        <v>33</v>
      </c>
      <c r="AQ4" s="33"/>
      <c r="AR4" s="33"/>
      <c r="AS4" s="171"/>
      <c r="AT4" s="171"/>
      <c r="AU4" s="171">
        <v>33907</v>
      </c>
      <c r="AV4" s="33" t="s">
        <v>1352</v>
      </c>
      <c r="AW4" s="26" t="s">
        <v>32</v>
      </c>
      <c r="AX4" s="27">
        <v>2</v>
      </c>
      <c r="AY4" s="34" t="s">
        <v>51</v>
      </c>
      <c r="AZ4" s="28" t="s">
        <v>26</v>
      </c>
      <c r="BA4" s="29" t="s">
        <v>51</v>
      </c>
      <c r="BB4" s="30" t="s">
        <v>34</v>
      </c>
      <c r="BC4" s="29"/>
    </row>
    <row r="5" spans="1:55" x14ac:dyDescent="0.25">
      <c r="A5" s="10">
        <f t="shared" si="0"/>
        <v>4</v>
      </c>
      <c r="B5" s="31" t="s">
        <v>1353</v>
      </c>
      <c r="C5" s="58" t="s">
        <v>34</v>
      </c>
      <c r="D5" s="20">
        <v>5400056</v>
      </c>
      <c r="E5" s="13" t="s">
        <v>36</v>
      </c>
      <c r="F5" s="33" t="s">
        <v>1354</v>
      </c>
      <c r="G5" s="13">
        <v>6</v>
      </c>
      <c r="H5" s="17">
        <v>0.33333333333333331</v>
      </c>
      <c r="I5" s="17">
        <v>0.875</v>
      </c>
      <c r="J5" s="42">
        <v>0.33333333333333331</v>
      </c>
      <c r="K5" s="58" t="s">
        <v>62</v>
      </c>
      <c r="L5" s="59" t="s">
        <v>30</v>
      </c>
      <c r="M5" s="70" t="s">
        <v>1355</v>
      </c>
      <c r="N5" s="100" t="s">
        <v>1356</v>
      </c>
      <c r="O5" s="100" t="s">
        <v>1357</v>
      </c>
      <c r="P5" s="176">
        <v>45943</v>
      </c>
      <c r="Q5" s="176">
        <v>45943</v>
      </c>
      <c r="R5" s="176">
        <v>46672</v>
      </c>
      <c r="S5" s="176">
        <v>46673</v>
      </c>
      <c r="T5" s="13">
        <v>2009</v>
      </c>
      <c r="U5" s="60" t="s">
        <v>1358</v>
      </c>
      <c r="V5" s="61">
        <v>2019</v>
      </c>
      <c r="W5" s="60" t="s">
        <v>1359</v>
      </c>
      <c r="X5" s="62" t="s">
        <v>30</v>
      </c>
      <c r="Y5" s="143" t="s">
        <v>1360</v>
      </c>
      <c r="Z5" s="70" t="s">
        <v>1361</v>
      </c>
      <c r="AA5" s="63" t="s">
        <v>1362</v>
      </c>
      <c r="AB5" s="13" t="s">
        <v>30</v>
      </c>
      <c r="AC5" s="166" t="s">
        <v>30</v>
      </c>
      <c r="AD5" s="13">
        <v>7700067364</v>
      </c>
      <c r="AE5" s="70" t="s">
        <v>1363</v>
      </c>
      <c r="AF5" s="22" t="s">
        <v>1364</v>
      </c>
      <c r="AG5" s="177" t="s">
        <v>1365</v>
      </c>
      <c r="AH5" s="62" t="s">
        <v>1366</v>
      </c>
      <c r="AI5" s="13" t="s">
        <v>1367</v>
      </c>
      <c r="AJ5" s="178" t="s">
        <v>1368</v>
      </c>
      <c r="AK5" s="63" t="s">
        <v>1369</v>
      </c>
      <c r="AL5" s="13"/>
      <c r="AM5" s="13"/>
      <c r="AN5" s="22"/>
      <c r="AO5" s="63" t="s">
        <v>1370</v>
      </c>
      <c r="AP5" s="26">
        <f ca="1">ROUNDDOWN((TODAY() -AU5)/365.25,0)</f>
        <v>38</v>
      </c>
      <c r="AQ5" s="70" t="s">
        <v>1371</v>
      </c>
      <c r="AR5" s="179" t="s">
        <v>1372</v>
      </c>
      <c r="AS5" s="176">
        <v>45819</v>
      </c>
      <c r="AT5" s="176">
        <v>46183</v>
      </c>
      <c r="AU5" s="166">
        <v>31950</v>
      </c>
      <c r="AV5" s="64" t="s">
        <v>1352</v>
      </c>
      <c r="AW5" s="13" t="s">
        <v>68</v>
      </c>
      <c r="AX5" s="13">
        <v>8</v>
      </c>
      <c r="AY5" s="58" t="s">
        <v>51</v>
      </c>
      <c r="AZ5" s="70" t="s">
        <v>1373</v>
      </c>
      <c r="BA5" s="22" t="s">
        <v>51</v>
      </c>
      <c r="BB5" s="58" t="s">
        <v>34</v>
      </c>
      <c r="BC5" s="22"/>
    </row>
    <row r="6" spans="1:55" x14ac:dyDescent="0.25">
      <c r="A6" s="10">
        <f t="shared" si="0"/>
        <v>5</v>
      </c>
      <c r="B6" s="13" t="s">
        <v>1374</v>
      </c>
      <c r="C6" s="30" t="s">
        <v>34</v>
      </c>
      <c r="D6" s="20">
        <v>5100001</v>
      </c>
      <c r="E6" s="13" t="s">
        <v>36</v>
      </c>
      <c r="F6" s="14" t="s">
        <v>1375</v>
      </c>
      <c r="G6" s="13">
        <v>6</v>
      </c>
      <c r="H6" s="18">
        <v>0.375</v>
      </c>
      <c r="I6" s="18">
        <v>0.75</v>
      </c>
      <c r="J6" s="18">
        <v>0.375</v>
      </c>
      <c r="K6" s="21" t="s">
        <v>62</v>
      </c>
      <c r="L6" s="70"/>
      <c r="M6" s="30" t="s">
        <v>1376</v>
      </c>
      <c r="N6" s="23" t="s">
        <v>1377</v>
      </c>
      <c r="O6" s="22" t="s">
        <v>30</v>
      </c>
      <c r="P6" s="176">
        <v>40483</v>
      </c>
      <c r="Q6" s="176">
        <v>45383</v>
      </c>
      <c r="R6" s="176">
        <v>46112</v>
      </c>
      <c r="S6" s="176">
        <v>46113</v>
      </c>
      <c r="T6" s="13">
        <v>1992</v>
      </c>
      <c r="U6" s="70" t="s">
        <v>1378</v>
      </c>
      <c r="V6" s="13"/>
      <c r="W6" s="22"/>
      <c r="X6" s="39" t="s">
        <v>30</v>
      </c>
      <c r="Y6" s="22" t="s">
        <v>1379</v>
      </c>
      <c r="Z6" s="70" t="s">
        <v>1380</v>
      </c>
      <c r="AA6" s="70" t="s">
        <v>1381</v>
      </c>
      <c r="AB6" s="171">
        <v>34717</v>
      </c>
      <c r="AC6" s="171">
        <v>47222</v>
      </c>
      <c r="AD6" s="13">
        <v>7057523986</v>
      </c>
      <c r="AE6" s="22" t="s">
        <v>1382</v>
      </c>
      <c r="AF6" s="22" t="s">
        <v>1383</v>
      </c>
      <c r="AG6" s="13" t="s">
        <v>1384</v>
      </c>
      <c r="AH6" s="22" t="s">
        <v>1385</v>
      </c>
      <c r="AI6" s="13" t="s">
        <v>1386</v>
      </c>
      <c r="AJ6" s="180">
        <v>420581175568</v>
      </c>
      <c r="AK6" s="70" t="s">
        <v>1387</v>
      </c>
      <c r="AL6" s="13"/>
      <c r="AM6" s="13"/>
      <c r="AN6" s="13"/>
      <c r="AO6" s="22" t="s">
        <v>1388</v>
      </c>
      <c r="AP6" s="25">
        <f ca="1">ROUNDDOWN((TODAY() -AU6)/365.25,0)</f>
        <v>54</v>
      </c>
      <c r="AQ6" s="13"/>
      <c r="AR6" s="13"/>
      <c r="AS6" s="166"/>
      <c r="AT6" s="166"/>
      <c r="AU6" s="166">
        <v>26125</v>
      </c>
      <c r="AV6" s="13" t="s">
        <v>1389</v>
      </c>
      <c r="AW6" s="13" t="s">
        <v>68</v>
      </c>
      <c r="AX6" s="27">
        <v>9</v>
      </c>
      <c r="AY6" s="15" t="s">
        <v>51</v>
      </c>
      <c r="AZ6" s="28" t="s">
        <v>1390</v>
      </c>
      <c r="BA6" s="29" t="s">
        <v>51</v>
      </c>
      <c r="BB6" s="30" t="s">
        <v>34</v>
      </c>
      <c r="BC6" s="29"/>
    </row>
    <row r="7" spans="1:55" x14ac:dyDescent="0.25">
      <c r="A7" s="10">
        <f t="shared" si="0"/>
        <v>6</v>
      </c>
      <c r="B7" s="181" t="s">
        <v>1391</v>
      </c>
      <c r="C7" s="592" t="s">
        <v>1407</v>
      </c>
      <c r="D7" s="41">
        <v>5400002</v>
      </c>
      <c r="E7" s="40" t="s">
        <v>36</v>
      </c>
      <c r="F7" s="39" t="s">
        <v>1392</v>
      </c>
      <c r="G7" s="40">
        <v>6</v>
      </c>
      <c r="H7" s="42">
        <v>0.6875</v>
      </c>
      <c r="I7" s="42">
        <v>0.77083333333333337</v>
      </c>
      <c r="J7" s="42">
        <v>8.3333333333333329E-2</v>
      </c>
      <c r="K7" s="35" t="s">
        <v>62</v>
      </c>
      <c r="L7" s="39"/>
      <c r="M7" s="97" t="s">
        <v>1376</v>
      </c>
      <c r="N7" s="58" t="s">
        <v>1393</v>
      </c>
      <c r="O7" s="43" t="s">
        <v>30</v>
      </c>
      <c r="P7" s="182">
        <v>42461</v>
      </c>
      <c r="Q7" s="182">
        <v>45383</v>
      </c>
      <c r="R7" s="182">
        <v>46112</v>
      </c>
      <c r="S7" s="182">
        <v>46113</v>
      </c>
      <c r="T7" s="87">
        <v>2000</v>
      </c>
      <c r="U7" s="39" t="s">
        <v>1394</v>
      </c>
      <c r="V7" s="40">
        <v>2007</v>
      </c>
      <c r="W7" s="39" t="s">
        <v>1395</v>
      </c>
      <c r="X7" s="40" t="s">
        <v>1396</v>
      </c>
      <c r="Y7" s="43" t="s">
        <v>1397</v>
      </c>
      <c r="Z7" s="39">
        <v>2002031111</v>
      </c>
      <c r="AA7" s="39" t="s">
        <v>1344</v>
      </c>
      <c r="AB7" s="182" t="s">
        <v>1398</v>
      </c>
      <c r="AC7" s="182"/>
      <c r="AD7" s="40">
        <v>9822304343</v>
      </c>
      <c r="AE7" s="39" t="s">
        <v>1399</v>
      </c>
      <c r="AF7" s="43" t="s">
        <v>1400</v>
      </c>
      <c r="AG7" s="44">
        <v>912010056909727</v>
      </c>
      <c r="AH7" s="40" t="s">
        <v>1401</v>
      </c>
      <c r="AI7" s="40" t="s">
        <v>1402</v>
      </c>
      <c r="AJ7" s="44">
        <v>998918653804</v>
      </c>
      <c r="AK7" s="39" t="s">
        <v>1403</v>
      </c>
      <c r="AL7" s="183">
        <v>45698</v>
      </c>
      <c r="AM7" s="183">
        <v>45636</v>
      </c>
      <c r="AN7" s="39" t="s">
        <v>1404</v>
      </c>
      <c r="AO7" s="43" t="s">
        <v>1405</v>
      </c>
      <c r="AP7" s="10">
        <v>46</v>
      </c>
      <c r="AQ7" s="10"/>
      <c r="AR7" s="10"/>
      <c r="AS7" s="10"/>
      <c r="AT7" s="40"/>
      <c r="AU7" s="182" t="s">
        <v>1406</v>
      </c>
      <c r="AV7" s="40" t="s">
        <v>1389</v>
      </c>
      <c r="AW7" s="31" t="s">
        <v>32</v>
      </c>
      <c r="AX7" s="139">
        <v>2</v>
      </c>
      <c r="AY7" s="58" t="s">
        <v>51</v>
      </c>
      <c r="AZ7" s="58" t="s">
        <v>1390</v>
      </c>
      <c r="BA7" s="58" t="s">
        <v>51</v>
      </c>
      <c r="BB7" s="58" t="s">
        <v>1407</v>
      </c>
      <c r="BC7" s="58"/>
    </row>
    <row r="8" spans="1:55" x14ac:dyDescent="0.25">
      <c r="A8" s="10">
        <f t="shared" si="0"/>
        <v>7</v>
      </c>
      <c r="B8" s="26" t="s">
        <v>52</v>
      </c>
      <c r="C8" s="30" t="s">
        <v>34</v>
      </c>
      <c r="D8" s="37">
        <v>5400003</v>
      </c>
      <c r="E8" s="26" t="s">
        <v>36</v>
      </c>
      <c r="F8" s="14" t="s">
        <v>53</v>
      </c>
      <c r="G8" s="26">
        <v>6</v>
      </c>
      <c r="H8" s="17">
        <v>0.70833333333333337</v>
      </c>
      <c r="I8" s="17">
        <v>0.875</v>
      </c>
      <c r="J8" s="18">
        <v>0.16666666666666666</v>
      </c>
      <c r="K8" s="21" t="s">
        <v>54</v>
      </c>
      <c r="L8" s="28"/>
      <c r="M8" s="28" t="s">
        <v>26</v>
      </c>
      <c r="N8" s="23" t="s">
        <v>55</v>
      </c>
      <c r="O8" s="23" t="s">
        <v>1321</v>
      </c>
      <c r="P8" s="169">
        <v>43192</v>
      </c>
      <c r="Q8" s="169">
        <v>45383</v>
      </c>
      <c r="R8" s="169">
        <v>46112</v>
      </c>
      <c r="S8" s="169">
        <v>46113</v>
      </c>
      <c r="T8" s="26">
        <v>2009</v>
      </c>
      <c r="U8" s="28" t="s">
        <v>56</v>
      </c>
      <c r="V8" s="26">
        <v>2014</v>
      </c>
      <c r="W8" s="33" t="s">
        <v>57</v>
      </c>
      <c r="X8" s="28" t="s">
        <v>1408</v>
      </c>
      <c r="Y8" s="33" t="s">
        <v>58</v>
      </c>
      <c r="Z8" s="28" t="s">
        <v>1409</v>
      </c>
      <c r="AA8" s="38" t="s">
        <v>1344</v>
      </c>
      <c r="AB8" s="171">
        <v>45785</v>
      </c>
      <c r="AC8" s="171">
        <v>47613</v>
      </c>
      <c r="AD8" s="26">
        <v>9890100109</v>
      </c>
      <c r="AE8" s="33" t="s">
        <v>59</v>
      </c>
      <c r="AF8" s="35" t="s">
        <v>1410</v>
      </c>
      <c r="AG8" s="26" t="s">
        <v>1411</v>
      </c>
      <c r="AH8" s="33" t="s">
        <v>1412</v>
      </c>
      <c r="AI8" s="26" t="s">
        <v>1413</v>
      </c>
      <c r="AJ8" s="184">
        <v>549094954321</v>
      </c>
      <c r="AK8" s="28" t="s">
        <v>1414</v>
      </c>
      <c r="AL8" s="171"/>
      <c r="AM8" s="26"/>
      <c r="AN8" s="26"/>
      <c r="AO8" s="33" t="s">
        <v>1415</v>
      </c>
      <c r="AP8" s="10">
        <f t="shared" ref="AP8:AP15" ca="1" si="1">ROUNDDOWN((TODAY() -AU8)/365.25,0)</f>
        <v>55</v>
      </c>
      <c r="AQ8" s="185" t="s">
        <v>1416</v>
      </c>
      <c r="AR8" s="186" t="s">
        <v>1417</v>
      </c>
      <c r="AS8" s="187">
        <v>45853</v>
      </c>
      <c r="AT8" s="187">
        <v>46217</v>
      </c>
      <c r="AU8" s="171" t="s">
        <v>1418</v>
      </c>
      <c r="AV8" s="26" t="s">
        <v>1352</v>
      </c>
      <c r="AW8" s="26" t="s">
        <v>32</v>
      </c>
      <c r="AX8" s="27">
        <v>4</v>
      </c>
      <c r="AY8" s="15" t="s">
        <v>51</v>
      </c>
      <c r="AZ8" s="39" t="s">
        <v>26</v>
      </c>
      <c r="BA8" s="29" t="s">
        <v>51</v>
      </c>
      <c r="BB8" s="30" t="s">
        <v>34</v>
      </c>
      <c r="BC8" s="29"/>
    </row>
    <row r="9" spans="1:55" x14ac:dyDescent="0.25">
      <c r="A9" s="10">
        <f t="shared" si="0"/>
        <v>8</v>
      </c>
      <c r="B9" s="13" t="s">
        <v>1419</v>
      </c>
      <c r="C9" s="30" t="s">
        <v>34</v>
      </c>
      <c r="D9" s="20">
        <v>5100004</v>
      </c>
      <c r="E9" s="13" t="s">
        <v>36</v>
      </c>
      <c r="F9" s="14" t="s">
        <v>1420</v>
      </c>
      <c r="G9" s="13">
        <v>6</v>
      </c>
      <c r="H9" s="18">
        <v>0.41666666666666669</v>
      </c>
      <c r="I9" s="18">
        <v>0.79166666666666663</v>
      </c>
      <c r="J9" s="18">
        <v>4.1666666666666664E-2</v>
      </c>
      <c r="K9" s="21" t="s">
        <v>62</v>
      </c>
      <c r="L9" s="70"/>
      <c r="M9" s="70" t="s">
        <v>1421</v>
      </c>
      <c r="N9" s="23" t="s">
        <v>1422</v>
      </c>
      <c r="O9" s="22" t="s">
        <v>30</v>
      </c>
      <c r="P9" s="176">
        <v>43282</v>
      </c>
      <c r="Q9" s="176">
        <v>45383</v>
      </c>
      <c r="R9" s="176">
        <v>46112</v>
      </c>
      <c r="S9" s="176">
        <v>46113</v>
      </c>
      <c r="T9" s="13"/>
      <c r="U9" s="70"/>
      <c r="V9" s="13"/>
      <c r="W9" s="22"/>
      <c r="X9" s="70"/>
      <c r="Y9" s="22" t="s">
        <v>1423</v>
      </c>
      <c r="Z9" s="70" t="s">
        <v>30</v>
      </c>
      <c r="AA9" s="70" t="s">
        <v>30</v>
      </c>
      <c r="AB9" s="161" t="s">
        <v>1424</v>
      </c>
      <c r="AC9" s="10" t="s">
        <v>1424</v>
      </c>
      <c r="AD9" s="13">
        <v>9371113788</v>
      </c>
      <c r="AE9" s="22" t="s">
        <v>1425</v>
      </c>
      <c r="AF9" s="22" t="s">
        <v>1345</v>
      </c>
      <c r="AG9" s="13" t="s">
        <v>1426</v>
      </c>
      <c r="AH9" s="22" t="s">
        <v>1427</v>
      </c>
      <c r="AI9" s="13" t="s">
        <v>1428</v>
      </c>
      <c r="AJ9" s="180">
        <v>667572541457</v>
      </c>
      <c r="AK9" s="70" t="s">
        <v>1429</v>
      </c>
      <c r="AL9" s="13"/>
      <c r="AM9" s="13"/>
      <c r="AN9" s="13"/>
      <c r="AO9" s="22"/>
      <c r="AP9" s="25">
        <f t="shared" ca="1" si="1"/>
        <v>55</v>
      </c>
      <c r="AQ9" s="70"/>
      <c r="AR9" s="13"/>
      <c r="AS9" s="166"/>
      <c r="AT9" s="166"/>
      <c r="AU9" s="166">
        <v>25722</v>
      </c>
      <c r="AV9" s="13" t="s">
        <v>1352</v>
      </c>
      <c r="AW9" s="13" t="s">
        <v>32</v>
      </c>
      <c r="AX9" s="27">
        <v>1</v>
      </c>
      <c r="AY9" s="15" t="s">
        <v>51</v>
      </c>
      <c r="AZ9" s="28" t="s">
        <v>1421</v>
      </c>
      <c r="BA9" s="29" t="s">
        <v>51</v>
      </c>
      <c r="BB9" s="30" t="s">
        <v>34</v>
      </c>
      <c r="BC9" s="29"/>
    </row>
    <row r="10" spans="1:55" x14ac:dyDescent="0.25">
      <c r="A10" s="10">
        <f t="shared" si="0"/>
        <v>9</v>
      </c>
      <c r="B10" s="40" t="s">
        <v>60</v>
      </c>
      <c r="C10" s="30" t="s">
        <v>34</v>
      </c>
      <c r="D10" s="41">
        <v>5400007</v>
      </c>
      <c r="E10" s="40" t="s">
        <v>36</v>
      </c>
      <c r="F10" s="14" t="s">
        <v>61</v>
      </c>
      <c r="G10" s="40">
        <v>6</v>
      </c>
      <c r="H10" s="42">
        <v>0.39583333333333331</v>
      </c>
      <c r="I10" s="42">
        <v>0.72916666666666663</v>
      </c>
      <c r="J10" s="18">
        <v>0.33333333333333331</v>
      </c>
      <c r="K10" s="21" t="s">
        <v>62</v>
      </c>
      <c r="L10" s="39" t="s">
        <v>63</v>
      </c>
      <c r="M10" s="39" t="s">
        <v>26</v>
      </c>
      <c r="N10" s="23" t="s">
        <v>38</v>
      </c>
      <c r="O10" s="23" t="s">
        <v>1321</v>
      </c>
      <c r="P10" s="183">
        <v>44723</v>
      </c>
      <c r="Q10" s="183">
        <v>45383</v>
      </c>
      <c r="R10" s="183">
        <v>46112</v>
      </c>
      <c r="S10" s="183">
        <v>46113</v>
      </c>
      <c r="T10" s="40">
        <v>2002</v>
      </c>
      <c r="U10" s="39" t="s">
        <v>64</v>
      </c>
      <c r="V10" s="40">
        <v>2007</v>
      </c>
      <c r="W10" s="43" t="s">
        <v>65</v>
      </c>
      <c r="X10" s="39"/>
      <c r="Y10" s="23" t="s">
        <v>66</v>
      </c>
      <c r="Z10" s="39">
        <v>2004020591</v>
      </c>
      <c r="AA10" s="38" t="s">
        <v>1344</v>
      </c>
      <c r="AB10" s="182">
        <v>38029</v>
      </c>
      <c r="AC10" s="182">
        <v>46446</v>
      </c>
      <c r="AD10" s="40">
        <v>9822415588</v>
      </c>
      <c r="AE10" s="43" t="s">
        <v>67</v>
      </c>
      <c r="AF10" s="35" t="s">
        <v>1430</v>
      </c>
      <c r="AG10" s="40" t="s">
        <v>1431</v>
      </c>
      <c r="AH10" s="43" t="s">
        <v>1432</v>
      </c>
      <c r="AI10" s="40" t="s">
        <v>1433</v>
      </c>
      <c r="AJ10" s="44">
        <v>220174635492</v>
      </c>
      <c r="AK10" s="39" t="s">
        <v>1434</v>
      </c>
      <c r="AL10" s="182"/>
      <c r="AM10" s="40"/>
      <c r="AN10" s="40"/>
      <c r="AO10" s="43" t="s">
        <v>1435</v>
      </c>
      <c r="AP10" s="10">
        <f t="shared" ca="1" si="1"/>
        <v>45</v>
      </c>
      <c r="AQ10" s="39"/>
      <c r="AR10" s="43"/>
      <c r="AS10" s="182"/>
      <c r="AT10" s="182"/>
      <c r="AU10" s="182" t="s">
        <v>1436</v>
      </c>
      <c r="AV10" s="40" t="s">
        <v>1352</v>
      </c>
      <c r="AW10" s="40" t="s">
        <v>68</v>
      </c>
      <c r="AX10" s="27">
        <v>8</v>
      </c>
      <c r="AY10" s="15" t="s">
        <v>51</v>
      </c>
      <c r="AZ10" s="39" t="s">
        <v>26</v>
      </c>
      <c r="BA10" s="29" t="s">
        <v>51</v>
      </c>
      <c r="BB10" s="30" t="s">
        <v>34</v>
      </c>
      <c r="BC10" s="29"/>
    </row>
    <row r="11" spans="1:55" x14ac:dyDescent="0.25">
      <c r="A11" s="10">
        <f t="shared" si="0"/>
        <v>10</v>
      </c>
      <c r="B11" s="13" t="s">
        <v>1437</v>
      </c>
      <c r="C11" s="30" t="s">
        <v>34</v>
      </c>
      <c r="D11" s="20">
        <v>5100009</v>
      </c>
      <c r="E11" s="13" t="s">
        <v>36</v>
      </c>
      <c r="F11" s="14" t="s">
        <v>1438</v>
      </c>
      <c r="G11" s="13">
        <v>6</v>
      </c>
      <c r="H11" s="18">
        <v>0.39583333333333331</v>
      </c>
      <c r="I11" s="18">
        <v>0.52083333333333337</v>
      </c>
      <c r="J11" s="18">
        <v>0.125</v>
      </c>
      <c r="K11" s="21" t="s">
        <v>120</v>
      </c>
      <c r="L11" s="70"/>
      <c r="M11" s="30" t="s">
        <v>1376</v>
      </c>
      <c r="N11" s="23" t="s">
        <v>1377</v>
      </c>
      <c r="O11" s="22" t="s">
        <v>30</v>
      </c>
      <c r="P11" s="176">
        <v>45019</v>
      </c>
      <c r="Q11" s="176">
        <v>45383</v>
      </c>
      <c r="R11" s="176">
        <v>46112</v>
      </c>
      <c r="S11" s="176">
        <v>46113</v>
      </c>
      <c r="T11" s="13">
        <v>2009</v>
      </c>
      <c r="U11" s="70" t="s">
        <v>1439</v>
      </c>
      <c r="V11" s="13"/>
      <c r="W11" s="22"/>
      <c r="X11" s="70"/>
      <c r="Y11" s="22" t="s">
        <v>1440</v>
      </c>
      <c r="Z11" s="70">
        <v>47696</v>
      </c>
      <c r="AA11" s="39" t="s">
        <v>1441</v>
      </c>
      <c r="AB11" s="166">
        <v>39856</v>
      </c>
      <c r="AC11" s="166">
        <v>47160</v>
      </c>
      <c r="AD11" s="13">
        <v>9975209747</v>
      </c>
      <c r="AE11" s="22" t="s">
        <v>1442</v>
      </c>
      <c r="AF11" s="35" t="s">
        <v>1430</v>
      </c>
      <c r="AG11" s="180">
        <v>50100237878861</v>
      </c>
      <c r="AH11" s="22" t="s">
        <v>1443</v>
      </c>
      <c r="AI11" s="13" t="s">
        <v>1444</v>
      </c>
      <c r="AJ11" s="180">
        <v>482451688848</v>
      </c>
      <c r="AK11" s="70" t="s">
        <v>1445</v>
      </c>
      <c r="AL11" s="13"/>
      <c r="AM11" s="13"/>
      <c r="AN11" s="13"/>
      <c r="AO11" s="22" t="s">
        <v>1446</v>
      </c>
      <c r="AP11" s="25">
        <f t="shared" ca="1" si="1"/>
        <v>55</v>
      </c>
      <c r="AQ11" s="70"/>
      <c r="AR11" s="13"/>
      <c r="AS11" s="166"/>
      <c r="AT11" s="166"/>
      <c r="AU11" s="166" t="s">
        <v>1418</v>
      </c>
      <c r="AV11" s="13" t="s">
        <v>1352</v>
      </c>
      <c r="AW11" s="13" t="s">
        <v>32</v>
      </c>
      <c r="AX11" s="27">
        <v>3</v>
      </c>
      <c r="AY11" s="15" t="s">
        <v>51</v>
      </c>
      <c r="AZ11" s="28" t="s">
        <v>1390</v>
      </c>
      <c r="BA11" s="29" t="s">
        <v>51</v>
      </c>
      <c r="BB11" s="30" t="s">
        <v>34</v>
      </c>
      <c r="BC11" s="29"/>
    </row>
    <row r="12" spans="1:55" x14ac:dyDescent="0.25">
      <c r="A12" s="10">
        <f t="shared" si="0"/>
        <v>11</v>
      </c>
      <c r="B12" s="40" t="s">
        <v>1447</v>
      </c>
      <c r="C12" s="593" t="s">
        <v>1407</v>
      </c>
      <c r="D12" s="41">
        <v>5400009</v>
      </c>
      <c r="E12" s="40" t="s">
        <v>36</v>
      </c>
      <c r="F12" s="14" t="s">
        <v>1448</v>
      </c>
      <c r="G12" s="40">
        <v>6</v>
      </c>
      <c r="H12" s="42">
        <v>0.4375</v>
      </c>
      <c r="I12" s="42">
        <v>0.77083333333333337</v>
      </c>
      <c r="J12" s="42">
        <v>0.33333333333333331</v>
      </c>
      <c r="K12" s="35" t="s">
        <v>62</v>
      </c>
      <c r="L12" s="39" t="s">
        <v>1449</v>
      </c>
      <c r="M12" s="39" t="s">
        <v>26</v>
      </c>
      <c r="N12" s="23" t="s">
        <v>38</v>
      </c>
      <c r="O12" s="23" t="s">
        <v>1321</v>
      </c>
      <c r="P12" s="183">
        <v>45042</v>
      </c>
      <c r="Q12" s="183">
        <v>45383</v>
      </c>
      <c r="R12" s="183">
        <v>46112</v>
      </c>
      <c r="S12" s="183">
        <v>46113</v>
      </c>
      <c r="T12" s="40">
        <v>2009</v>
      </c>
      <c r="U12" s="39" t="s">
        <v>1450</v>
      </c>
      <c r="V12" s="40">
        <v>2019</v>
      </c>
      <c r="W12" s="43" t="s">
        <v>164</v>
      </c>
      <c r="X12" s="40" t="s">
        <v>1451</v>
      </c>
      <c r="Y12" s="43" t="s">
        <v>1452</v>
      </c>
      <c r="Z12" s="39">
        <v>2011062078</v>
      </c>
      <c r="AA12" s="35" t="s">
        <v>1344</v>
      </c>
      <c r="AB12" s="182">
        <v>40715</v>
      </c>
      <c r="AC12" s="182">
        <v>46194</v>
      </c>
      <c r="AD12" s="40">
        <v>9740018829</v>
      </c>
      <c r="AE12" s="39" t="s">
        <v>1453</v>
      </c>
      <c r="AF12" s="43" t="s">
        <v>1364</v>
      </c>
      <c r="AG12" s="40" t="s">
        <v>1454</v>
      </c>
      <c r="AH12" s="40" t="s">
        <v>1455</v>
      </c>
      <c r="AI12" s="40" t="s">
        <v>1456</v>
      </c>
      <c r="AJ12" s="44">
        <v>207685424629</v>
      </c>
      <c r="AK12" s="43"/>
      <c r="AL12" s="182">
        <v>45915</v>
      </c>
      <c r="AM12" s="182">
        <v>45853</v>
      </c>
      <c r="AN12" s="43" t="s">
        <v>1457</v>
      </c>
      <c r="AO12" s="43" t="s">
        <v>1458</v>
      </c>
      <c r="AP12" s="10">
        <f t="shared" ca="1" si="1"/>
        <v>38</v>
      </c>
      <c r="AQ12" s="40"/>
      <c r="AR12" s="40"/>
      <c r="AS12" s="182"/>
      <c r="AT12" s="182"/>
      <c r="AU12" s="182" t="s">
        <v>1459</v>
      </c>
      <c r="AV12" s="40" t="s">
        <v>1389</v>
      </c>
      <c r="AW12" s="31" t="s">
        <v>68</v>
      </c>
      <c r="AX12" s="31">
        <v>8</v>
      </c>
      <c r="AY12" s="30" t="s">
        <v>51</v>
      </c>
      <c r="AZ12" s="39" t="s">
        <v>26</v>
      </c>
      <c r="BA12" s="35" t="s">
        <v>51</v>
      </c>
      <c r="BB12" s="30" t="s">
        <v>1407</v>
      </c>
      <c r="BC12" s="31"/>
    </row>
    <row r="13" spans="1:55" x14ac:dyDescent="0.25">
      <c r="A13" s="10">
        <f t="shared" si="0"/>
        <v>12</v>
      </c>
      <c r="B13" s="26" t="s">
        <v>69</v>
      </c>
      <c r="C13" s="30" t="s">
        <v>34</v>
      </c>
      <c r="D13" s="37">
        <v>5400010</v>
      </c>
      <c r="E13" s="26" t="s">
        <v>36</v>
      </c>
      <c r="F13" s="14" t="s">
        <v>70</v>
      </c>
      <c r="G13" s="26">
        <v>6</v>
      </c>
      <c r="H13" s="17">
        <v>0.39583333333333331</v>
      </c>
      <c r="I13" s="17">
        <v>0.70833333333333337</v>
      </c>
      <c r="J13" s="18">
        <v>0.3125</v>
      </c>
      <c r="K13" s="21" t="s">
        <v>54</v>
      </c>
      <c r="L13" s="28" t="s">
        <v>71</v>
      </c>
      <c r="M13" s="28" t="s">
        <v>26</v>
      </c>
      <c r="N13" s="23" t="s">
        <v>38</v>
      </c>
      <c r="O13" s="23" t="s">
        <v>1321</v>
      </c>
      <c r="P13" s="169">
        <v>45048</v>
      </c>
      <c r="Q13" s="169">
        <v>45383</v>
      </c>
      <c r="R13" s="169">
        <v>46112</v>
      </c>
      <c r="S13" s="169">
        <v>46113</v>
      </c>
      <c r="T13" s="26">
        <v>2012</v>
      </c>
      <c r="U13" s="28" t="s">
        <v>72</v>
      </c>
      <c r="V13" s="26"/>
      <c r="W13" s="33"/>
      <c r="X13" s="28"/>
      <c r="Y13" s="33" t="s">
        <v>73</v>
      </c>
      <c r="Z13" s="28">
        <v>2013051923</v>
      </c>
      <c r="AA13" s="38" t="s">
        <v>1344</v>
      </c>
      <c r="AB13" s="171">
        <v>41423</v>
      </c>
      <c r="AC13" s="171">
        <v>46902</v>
      </c>
      <c r="AD13" s="26">
        <v>7038985525</v>
      </c>
      <c r="AE13" s="33" t="s">
        <v>74</v>
      </c>
      <c r="AF13" s="35" t="s">
        <v>1410</v>
      </c>
      <c r="AG13" s="26" t="s">
        <v>1460</v>
      </c>
      <c r="AH13" s="33" t="s">
        <v>1461</v>
      </c>
      <c r="AI13" s="26" t="s">
        <v>1462</v>
      </c>
      <c r="AJ13" s="184">
        <v>968388517410</v>
      </c>
      <c r="AK13" s="28" t="s">
        <v>1463</v>
      </c>
      <c r="AL13" s="171"/>
      <c r="AM13" s="26"/>
      <c r="AN13" s="26"/>
      <c r="AO13" s="33" t="s">
        <v>1464</v>
      </c>
      <c r="AP13" s="10">
        <f t="shared" ca="1" si="1"/>
        <v>55</v>
      </c>
      <c r="AQ13" s="28"/>
      <c r="AR13" s="33"/>
      <c r="AS13" s="171"/>
      <c r="AT13" s="171"/>
      <c r="AU13" s="171" t="s">
        <v>1418</v>
      </c>
      <c r="AV13" s="26" t="s">
        <v>1352</v>
      </c>
      <c r="AW13" s="26" t="s">
        <v>32</v>
      </c>
      <c r="AX13" s="27">
        <v>7.5</v>
      </c>
      <c r="AY13" s="15" t="s">
        <v>51</v>
      </c>
      <c r="AZ13" s="39" t="s">
        <v>26</v>
      </c>
      <c r="BA13" s="29" t="s">
        <v>51</v>
      </c>
      <c r="BB13" s="30" t="s">
        <v>34</v>
      </c>
      <c r="BC13" s="29"/>
    </row>
    <row r="14" spans="1:55" x14ac:dyDescent="0.25">
      <c r="A14" s="10">
        <f t="shared" si="0"/>
        <v>13</v>
      </c>
      <c r="B14" s="26" t="s">
        <v>75</v>
      </c>
      <c r="C14" s="30" t="s">
        <v>34</v>
      </c>
      <c r="D14" s="37">
        <v>5400014</v>
      </c>
      <c r="E14" s="26" t="s">
        <v>36</v>
      </c>
      <c r="F14" s="14" t="s">
        <v>76</v>
      </c>
      <c r="G14" s="26">
        <v>6</v>
      </c>
      <c r="H14" s="17">
        <v>0.5625</v>
      </c>
      <c r="I14" s="17">
        <v>0.6875</v>
      </c>
      <c r="J14" s="18">
        <v>0.125</v>
      </c>
      <c r="K14" s="21" t="s">
        <v>54</v>
      </c>
      <c r="L14" s="28" t="s">
        <v>77</v>
      </c>
      <c r="M14" s="28" t="s">
        <v>26</v>
      </c>
      <c r="N14" s="23" t="s">
        <v>38</v>
      </c>
      <c r="O14" s="23" t="s">
        <v>1321</v>
      </c>
      <c r="P14" s="169">
        <v>45098</v>
      </c>
      <c r="Q14" s="169">
        <v>45383</v>
      </c>
      <c r="R14" s="169">
        <v>46112</v>
      </c>
      <c r="S14" s="169">
        <v>46113</v>
      </c>
      <c r="T14" s="26"/>
      <c r="U14" s="28"/>
      <c r="V14" s="26"/>
      <c r="W14" s="33"/>
      <c r="X14" s="28"/>
      <c r="Y14" s="33" t="s">
        <v>39</v>
      </c>
      <c r="Z14" s="28" t="s">
        <v>1465</v>
      </c>
      <c r="AA14" s="38" t="s">
        <v>1344</v>
      </c>
      <c r="AB14" s="171">
        <v>44663</v>
      </c>
      <c r="AC14" s="171">
        <v>46486</v>
      </c>
      <c r="AD14" s="26">
        <v>8408843884</v>
      </c>
      <c r="AE14" s="33" t="s">
        <v>78</v>
      </c>
      <c r="AF14" s="33" t="s">
        <v>1466</v>
      </c>
      <c r="AG14" s="26" t="s">
        <v>1467</v>
      </c>
      <c r="AH14" s="33" t="s">
        <v>1468</v>
      </c>
      <c r="AI14" s="26" t="s">
        <v>1469</v>
      </c>
      <c r="AJ14" s="184">
        <v>685177426852</v>
      </c>
      <c r="AK14" s="28" t="s">
        <v>1470</v>
      </c>
      <c r="AL14" s="171"/>
      <c r="AM14" s="26"/>
      <c r="AN14" s="26"/>
      <c r="AO14" s="33" t="s">
        <v>1471</v>
      </c>
      <c r="AP14" s="10">
        <f t="shared" ca="1" si="1"/>
        <v>41</v>
      </c>
      <c r="AQ14" s="28"/>
      <c r="AR14" s="33"/>
      <c r="AS14" s="171"/>
      <c r="AT14" s="171"/>
      <c r="AU14" s="171" t="s">
        <v>1472</v>
      </c>
      <c r="AV14" s="26" t="s">
        <v>1389</v>
      </c>
      <c r="AW14" s="26" t="s">
        <v>32</v>
      </c>
      <c r="AX14" s="27">
        <v>3</v>
      </c>
      <c r="AY14" s="15" t="s">
        <v>51</v>
      </c>
      <c r="AZ14" s="39" t="s">
        <v>26</v>
      </c>
      <c r="BA14" s="29" t="s">
        <v>51</v>
      </c>
      <c r="BB14" s="30" t="s">
        <v>34</v>
      </c>
      <c r="BC14" s="29"/>
    </row>
    <row r="15" spans="1:55" x14ac:dyDescent="0.25">
      <c r="A15" s="10">
        <f t="shared" si="0"/>
        <v>14</v>
      </c>
      <c r="B15" s="26" t="s">
        <v>1473</v>
      </c>
      <c r="C15" s="30" t="s">
        <v>34</v>
      </c>
      <c r="D15" s="37">
        <v>5400016</v>
      </c>
      <c r="E15" s="26" t="s">
        <v>36</v>
      </c>
      <c r="F15" s="14" t="s">
        <v>1474</v>
      </c>
      <c r="G15" s="26">
        <v>6</v>
      </c>
      <c r="H15" s="17">
        <v>0.45833333333333331</v>
      </c>
      <c r="I15" s="17">
        <v>0.5</v>
      </c>
      <c r="J15" s="18">
        <v>4.1666666666666664E-2</v>
      </c>
      <c r="K15" s="21" t="s">
        <v>54</v>
      </c>
      <c r="L15" s="28"/>
      <c r="M15" s="28" t="s">
        <v>1475</v>
      </c>
      <c r="N15" s="23" t="s">
        <v>1476</v>
      </c>
      <c r="O15" s="22" t="s">
        <v>30</v>
      </c>
      <c r="P15" s="169">
        <v>45145</v>
      </c>
      <c r="Q15" s="169">
        <v>45383</v>
      </c>
      <c r="R15" s="169">
        <v>46112</v>
      </c>
      <c r="S15" s="169">
        <v>46113</v>
      </c>
      <c r="T15" s="26">
        <v>1992</v>
      </c>
      <c r="U15" s="28" t="s">
        <v>64</v>
      </c>
      <c r="V15" s="26">
        <v>1995</v>
      </c>
      <c r="W15" s="33" t="s">
        <v>1477</v>
      </c>
      <c r="X15" s="28"/>
      <c r="Y15" s="33" t="s">
        <v>1478</v>
      </c>
      <c r="Z15" s="188" t="s">
        <v>1479</v>
      </c>
      <c r="AA15" s="38" t="s">
        <v>1344</v>
      </c>
      <c r="AB15" s="189"/>
      <c r="AC15" s="189"/>
      <c r="AD15" s="26">
        <v>9822000576</v>
      </c>
      <c r="AE15" s="33" t="s">
        <v>1480</v>
      </c>
      <c r="AF15" s="33" t="s">
        <v>1481</v>
      </c>
      <c r="AG15" s="26" t="s">
        <v>1482</v>
      </c>
      <c r="AH15" s="33" t="s">
        <v>1483</v>
      </c>
      <c r="AI15" s="26" t="s">
        <v>1484</v>
      </c>
      <c r="AJ15" s="184">
        <v>496681263532</v>
      </c>
      <c r="AK15" s="28" t="s">
        <v>1485</v>
      </c>
      <c r="AL15" s="26"/>
      <c r="AM15" s="26"/>
      <c r="AN15" s="26"/>
      <c r="AO15" s="33" t="s">
        <v>1486</v>
      </c>
      <c r="AP15" s="10">
        <f t="shared" ca="1" si="1"/>
        <v>54</v>
      </c>
      <c r="AQ15" s="28"/>
      <c r="AR15" s="26"/>
      <c r="AS15" s="171"/>
      <c r="AT15" s="171"/>
      <c r="AU15" s="171" t="s">
        <v>1487</v>
      </c>
      <c r="AV15" s="26" t="s">
        <v>1389</v>
      </c>
      <c r="AW15" s="26" t="s">
        <v>32</v>
      </c>
      <c r="AX15" s="27">
        <v>1</v>
      </c>
      <c r="AY15" s="15" t="s">
        <v>51</v>
      </c>
      <c r="AZ15" s="39" t="s">
        <v>1488</v>
      </c>
      <c r="BA15" s="29" t="s">
        <v>51</v>
      </c>
      <c r="BB15" s="30" t="s">
        <v>34</v>
      </c>
      <c r="BC15" s="29"/>
    </row>
    <row r="16" spans="1:55" x14ac:dyDescent="0.25">
      <c r="A16" s="10">
        <f t="shared" si="0"/>
        <v>15</v>
      </c>
      <c r="B16" s="181" t="s">
        <v>1489</v>
      </c>
      <c r="C16" s="592" t="s">
        <v>1407</v>
      </c>
      <c r="D16" s="41">
        <v>5400017</v>
      </c>
      <c r="E16" s="40" t="s">
        <v>36</v>
      </c>
      <c r="F16" s="39" t="s">
        <v>1490</v>
      </c>
      <c r="G16" s="40">
        <v>6</v>
      </c>
      <c r="H16" s="42">
        <v>0.4375</v>
      </c>
      <c r="I16" s="42">
        <v>0.64583333333333337</v>
      </c>
      <c r="J16" s="42">
        <v>0.20833333333333334</v>
      </c>
      <c r="K16" s="43" t="s">
        <v>44</v>
      </c>
      <c r="L16" s="39" t="s">
        <v>1491</v>
      </c>
      <c r="M16" s="39" t="s">
        <v>26</v>
      </c>
      <c r="N16" s="43" t="s">
        <v>38</v>
      </c>
      <c r="O16" s="100" t="s">
        <v>1492</v>
      </c>
      <c r="P16" s="182">
        <v>45189</v>
      </c>
      <c r="Q16" s="182">
        <v>45383</v>
      </c>
      <c r="R16" s="182">
        <v>46112</v>
      </c>
      <c r="S16" s="182">
        <v>46113</v>
      </c>
      <c r="T16" s="87">
        <v>2015</v>
      </c>
      <c r="U16" s="39" t="s">
        <v>1493</v>
      </c>
      <c r="V16" s="40">
        <v>2020</v>
      </c>
      <c r="W16" s="39"/>
      <c r="X16" s="40"/>
      <c r="Y16" s="43" t="s">
        <v>84</v>
      </c>
      <c r="Z16" s="39">
        <v>2015031031</v>
      </c>
      <c r="AA16" s="39" t="s">
        <v>1344</v>
      </c>
      <c r="AB16" s="182">
        <v>43982</v>
      </c>
      <c r="AC16" s="182">
        <v>45733</v>
      </c>
      <c r="AD16" s="40">
        <v>9096093880</v>
      </c>
      <c r="AE16" s="39" t="s">
        <v>1494</v>
      </c>
      <c r="AF16" s="43" t="s">
        <v>1495</v>
      </c>
      <c r="AG16" s="40">
        <v>62125731289</v>
      </c>
      <c r="AH16" s="40" t="s">
        <v>1496</v>
      </c>
      <c r="AI16" s="40" t="s">
        <v>1497</v>
      </c>
      <c r="AJ16" s="44">
        <v>826799030819</v>
      </c>
      <c r="AK16" s="39" t="s">
        <v>1498</v>
      </c>
      <c r="AL16" s="182">
        <v>45696</v>
      </c>
      <c r="AM16" s="183" t="s">
        <v>30</v>
      </c>
      <c r="AN16" s="43" t="s">
        <v>1499</v>
      </c>
      <c r="AO16" s="43" t="s">
        <v>1500</v>
      </c>
      <c r="AP16" s="10">
        <v>36</v>
      </c>
      <c r="AQ16" s="10"/>
      <c r="AR16" s="10"/>
      <c r="AS16" s="10"/>
      <c r="AT16" s="40"/>
      <c r="AU16" s="182" t="s">
        <v>1501</v>
      </c>
      <c r="AV16" s="40" t="s">
        <v>1352</v>
      </c>
      <c r="AW16" s="31" t="s">
        <v>32</v>
      </c>
      <c r="AX16" s="139">
        <v>5</v>
      </c>
      <c r="AY16" s="58" t="s">
        <v>51</v>
      </c>
      <c r="AZ16" s="58" t="s">
        <v>26</v>
      </c>
      <c r="BA16" s="58" t="s">
        <v>51</v>
      </c>
      <c r="BB16" s="58" t="s">
        <v>1407</v>
      </c>
      <c r="BC16" s="58"/>
    </row>
    <row r="17" spans="1:55" x14ac:dyDescent="0.25">
      <c r="A17" s="10">
        <f t="shared" si="0"/>
        <v>16</v>
      </c>
      <c r="B17" s="181" t="s">
        <v>1502</v>
      </c>
      <c r="C17" s="592" t="s">
        <v>1407</v>
      </c>
      <c r="D17" s="41">
        <v>5100013</v>
      </c>
      <c r="E17" s="40" t="s">
        <v>36</v>
      </c>
      <c r="F17" s="39" t="s">
        <v>1503</v>
      </c>
      <c r="G17" s="40">
        <v>6</v>
      </c>
      <c r="H17" s="42">
        <v>0.375</v>
      </c>
      <c r="I17" s="42">
        <v>0.58333333333333337</v>
      </c>
      <c r="J17" s="42">
        <v>0.20833333333333334</v>
      </c>
      <c r="K17" s="21" t="s">
        <v>93</v>
      </c>
      <c r="L17" s="39"/>
      <c r="M17" s="39" t="s">
        <v>1504</v>
      </c>
      <c r="N17" s="43" t="s">
        <v>1505</v>
      </c>
      <c r="O17" s="43" t="s">
        <v>30</v>
      </c>
      <c r="P17" s="182">
        <v>45268</v>
      </c>
      <c r="Q17" s="182">
        <v>45383</v>
      </c>
      <c r="R17" s="182">
        <v>46112</v>
      </c>
      <c r="S17" s="182">
        <v>46113</v>
      </c>
      <c r="T17" s="87">
        <v>2016</v>
      </c>
      <c r="U17" s="39"/>
      <c r="V17" s="40"/>
      <c r="W17" s="39"/>
      <c r="X17" s="40" t="s">
        <v>1506</v>
      </c>
      <c r="Y17" s="43" t="s">
        <v>1507</v>
      </c>
      <c r="Z17" s="39" t="s">
        <v>1508</v>
      </c>
      <c r="AA17" s="39" t="s">
        <v>1509</v>
      </c>
      <c r="AB17" s="182">
        <v>43012</v>
      </c>
      <c r="AC17" s="182">
        <v>43465</v>
      </c>
      <c r="AD17" s="40">
        <v>9011657862</v>
      </c>
      <c r="AE17" s="39" t="s">
        <v>1510</v>
      </c>
      <c r="AF17" s="43" t="s">
        <v>1511</v>
      </c>
      <c r="AG17" s="40" t="s">
        <v>1512</v>
      </c>
      <c r="AH17" s="40" t="s">
        <v>1513</v>
      </c>
      <c r="AI17" s="40" t="s">
        <v>1514</v>
      </c>
      <c r="AJ17" s="44">
        <v>544343035774</v>
      </c>
      <c r="AK17" s="39" t="s">
        <v>1515</v>
      </c>
      <c r="AL17" s="183">
        <v>45808</v>
      </c>
      <c r="AM17" s="183">
        <v>45758</v>
      </c>
      <c r="AN17" s="39" t="s">
        <v>1516</v>
      </c>
      <c r="AO17" s="43" t="s">
        <v>1517</v>
      </c>
      <c r="AP17" s="10">
        <v>30</v>
      </c>
      <c r="AQ17" s="10"/>
      <c r="AR17" s="10"/>
      <c r="AS17" s="10"/>
      <c r="AT17" s="40"/>
      <c r="AU17" s="182">
        <v>34691</v>
      </c>
      <c r="AV17" s="40" t="s">
        <v>1389</v>
      </c>
      <c r="AW17" s="31" t="s">
        <v>32</v>
      </c>
      <c r="AX17" s="139">
        <v>5</v>
      </c>
      <c r="AY17" s="58" t="s">
        <v>51</v>
      </c>
      <c r="AZ17" s="58" t="s">
        <v>1504</v>
      </c>
      <c r="BA17" s="58" t="s">
        <v>51</v>
      </c>
      <c r="BB17" s="58" t="s">
        <v>1407</v>
      </c>
      <c r="BC17" s="58"/>
    </row>
    <row r="18" spans="1:55" x14ac:dyDescent="0.25">
      <c r="A18" s="10">
        <f t="shared" si="0"/>
        <v>17</v>
      </c>
      <c r="B18" s="181" t="s">
        <v>1518</v>
      </c>
      <c r="C18" s="592" t="s">
        <v>1407</v>
      </c>
      <c r="D18" s="41">
        <v>5400020</v>
      </c>
      <c r="E18" s="40" t="s">
        <v>36</v>
      </c>
      <c r="F18" s="39" t="s">
        <v>1519</v>
      </c>
      <c r="G18" s="40">
        <v>6</v>
      </c>
      <c r="H18" s="42">
        <v>0.75</v>
      </c>
      <c r="I18" s="42">
        <v>0.89583333333333337</v>
      </c>
      <c r="J18" s="42">
        <v>0.10416666666666667</v>
      </c>
      <c r="K18" s="35" t="s">
        <v>62</v>
      </c>
      <c r="L18" s="190"/>
      <c r="M18" s="63" t="s">
        <v>1355</v>
      </c>
      <c r="N18" s="100" t="s">
        <v>1520</v>
      </c>
      <c r="O18" s="43" t="s">
        <v>1521</v>
      </c>
      <c r="P18" s="182">
        <v>45269</v>
      </c>
      <c r="Q18" s="182">
        <v>45383</v>
      </c>
      <c r="R18" s="182">
        <v>46112</v>
      </c>
      <c r="S18" s="182">
        <v>46113</v>
      </c>
      <c r="T18" s="87">
        <v>2012</v>
      </c>
      <c r="U18" s="39" t="s">
        <v>1522</v>
      </c>
      <c r="V18" s="40">
        <v>2019</v>
      </c>
      <c r="W18" s="39" t="s">
        <v>1523</v>
      </c>
      <c r="X18" s="40"/>
      <c r="Y18" s="43" t="s">
        <v>1524</v>
      </c>
      <c r="Z18" s="39" t="s">
        <v>1525</v>
      </c>
      <c r="AA18" s="39" t="s">
        <v>1344</v>
      </c>
      <c r="AB18" s="182">
        <v>41625</v>
      </c>
      <c r="AC18" s="182">
        <v>46350</v>
      </c>
      <c r="AD18" s="40">
        <v>9405024218</v>
      </c>
      <c r="AE18" s="39" t="s">
        <v>1526</v>
      </c>
      <c r="AF18" s="43" t="s">
        <v>1430</v>
      </c>
      <c r="AG18" s="40" t="s">
        <v>1527</v>
      </c>
      <c r="AH18" s="40" t="s">
        <v>1528</v>
      </c>
      <c r="AI18" s="40" t="s">
        <v>1529</v>
      </c>
      <c r="AJ18" s="44">
        <v>436624668932</v>
      </c>
      <c r="AK18" s="39" t="s">
        <v>1530</v>
      </c>
      <c r="AL18" s="183">
        <v>45826</v>
      </c>
      <c r="AM18" s="183">
        <v>45827</v>
      </c>
      <c r="AN18" s="39" t="s">
        <v>1516</v>
      </c>
      <c r="AO18" s="43" t="s">
        <v>1531</v>
      </c>
      <c r="AP18" s="10">
        <v>37</v>
      </c>
      <c r="AQ18" s="39"/>
      <c r="AR18" s="40"/>
      <c r="AS18" s="40"/>
      <c r="AT18" s="40"/>
      <c r="AU18" s="182">
        <v>32357</v>
      </c>
      <c r="AV18" s="40" t="s">
        <v>1352</v>
      </c>
      <c r="AW18" s="31" t="s">
        <v>32</v>
      </c>
      <c r="AX18" s="139">
        <v>2.5</v>
      </c>
      <c r="AY18" s="58" t="s">
        <v>51</v>
      </c>
      <c r="AZ18" s="58" t="s">
        <v>1373</v>
      </c>
      <c r="BA18" s="58" t="s">
        <v>51</v>
      </c>
      <c r="BB18" s="58" t="s">
        <v>1407</v>
      </c>
      <c r="BC18" s="58"/>
    </row>
    <row r="19" spans="1:55" x14ac:dyDescent="0.25">
      <c r="A19" s="10">
        <f t="shared" si="0"/>
        <v>18</v>
      </c>
      <c r="B19" s="26" t="s">
        <v>1532</v>
      </c>
      <c r="C19" s="30" t="s">
        <v>34</v>
      </c>
      <c r="D19" s="37">
        <v>5100014</v>
      </c>
      <c r="E19" s="26" t="s">
        <v>36</v>
      </c>
      <c r="F19" s="14" t="s">
        <v>1533</v>
      </c>
      <c r="G19" s="26">
        <v>6</v>
      </c>
      <c r="H19" s="17">
        <v>0.375</v>
      </c>
      <c r="I19" s="17">
        <v>0.70833333333333337</v>
      </c>
      <c r="J19" s="18">
        <v>0.33333333333333331</v>
      </c>
      <c r="K19" s="21" t="s">
        <v>93</v>
      </c>
      <c r="L19" s="28"/>
      <c r="M19" s="30" t="s">
        <v>1376</v>
      </c>
      <c r="N19" s="23" t="s">
        <v>1377</v>
      </c>
      <c r="O19" s="22" t="s">
        <v>30</v>
      </c>
      <c r="P19" s="169">
        <v>45285</v>
      </c>
      <c r="Q19" s="169">
        <v>45383</v>
      </c>
      <c r="R19" s="169">
        <v>46112</v>
      </c>
      <c r="S19" s="169">
        <v>46113</v>
      </c>
      <c r="T19" s="26">
        <v>2015</v>
      </c>
      <c r="U19" s="28" t="s">
        <v>1439</v>
      </c>
      <c r="V19" s="26">
        <v>2015</v>
      </c>
      <c r="W19" s="33" t="s">
        <v>1534</v>
      </c>
      <c r="X19" s="28"/>
      <c r="Y19" s="33" t="s">
        <v>1535</v>
      </c>
      <c r="Z19" s="28">
        <v>62406</v>
      </c>
      <c r="AA19" s="39" t="s">
        <v>1441</v>
      </c>
      <c r="AB19" s="189">
        <v>42207</v>
      </c>
      <c r="AC19" s="189">
        <v>45859</v>
      </c>
      <c r="AD19" s="26">
        <v>9322897690</v>
      </c>
      <c r="AE19" s="33" t="s">
        <v>1536</v>
      </c>
      <c r="AF19" s="33" t="s">
        <v>1466</v>
      </c>
      <c r="AG19" s="26" t="s">
        <v>1537</v>
      </c>
      <c r="AH19" s="33" t="s">
        <v>1538</v>
      </c>
      <c r="AI19" s="26" t="s">
        <v>1539</v>
      </c>
      <c r="AJ19" s="184">
        <v>248020194430</v>
      </c>
      <c r="AK19" s="28" t="s">
        <v>1540</v>
      </c>
      <c r="AL19" s="26"/>
      <c r="AM19" s="26"/>
      <c r="AN19" s="26"/>
      <c r="AO19" s="33" t="s">
        <v>1541</v>
      </c>
      <c r="AP19" s="10">
        <f ca="1">ROUNDDOWN((TODAY() -AU19)/365.25,0)</f>
        <v>34</v>
      </c>
      <c r="AQ19" s="28"/>
      <c r="AR19" s="26"/>
      <c r="AS19" s="171"/>
      <c r="AT19" s="171"/>
      <c r="AU19" s="171">
        <v>33532</v>
      </c>
      <c r="AV19" s="26" t="s">
        <v>1389</v>
      </c>
      <c r="AW19" s="26" t="s">
        <v>68</v>
      </c>
      <c r="AX19" s="27">
        <v>8</v>
      </c>
      <c r="AY19" s="15" t="s">
        <v>51</v>
      </c>
      <c r="AZ19" s="28" t="s">
        <v>1390</v>
      </c>
      <c r="BA19" s="29" t="s">
        <v>51</v>
      </c>
      <c r="BB19" s="30" t="s">
        <v>34</v>
      </c>
      <c r="BC19" s="29"/>
    </row>
    <row r="20" spans="1:55" x14ac:dyDescent="0.25">
      <c r="A20" s="10">
        <f t="shared" si="0"/>
        <v>19</v>
      </c>
      <c r="B20" s="26" t="s">
        <v>1542</v>
      </c>
      <c r="C20" s="30" t="s">
        <v>34</v>
      </c>
      <c r="D20" s="37">
        <v>5400023</v>
      </c>
      <c r="E20" s="26" t="s">
        <v>36</v>
      </c>
      <c r="F20" s="14" t="s">
        <v>1543</v>
      </c>
      <c r="G20" s="26">
        <v>6</v>
      </c>
      <c r="H20" s="17">
        <v>0.41666666666666669</v>
      </c>
      <c r="I20" s="17">
        <v>0.5</v>
      </c>
      <c r="J20" s="18">
        <v>8.3333333333333329E-2</v>
      </c>
      <c r="K20" s="21" t="s">
        <v>62</v>
      </c>
      <c r="L20" s="28"/>
      <c r="M20" s="28" t="s">
        <v>1544</v>
      </c>
      <c r="N20" s="23" t="s">
        <v>1545</v>
      </c>
      <c r="O20" s="33" t="s">
        <v>1546</v>
      </c>
      <c r="P20" s="169">
        <v>45385</v>
      </c>
      <c r="Q20" s="169">
        <v>45413</v>
      </c>
      <c r="R20" s="169">
        <v>46142</v>
      </c>
      <c r="S20" s="169">
        <v>46143</v>
      </c>
      <c r="T20" s="26">
        <v>2004</v>
      </c>
      <c r="U20" s="28" t="s">
        <v>1547</v>
      </c>
      <c r="V20" s="26">
        <v>2012</v>
      </c>
      <c r="W20" s="33" t="s">
        <v>1548</v>
      </c>
      <c r="X20" s="28"/>
      <c r="Y20" s="33" t="s">
        <v>1549</v>
      </c>
      <c r="Z20" s="28" t="s">
        <v>1550</v>
      </c>
      <c r="AA20" s="38" t="s">
        <v>1344</v>
      </c>
      <c r="AB20" s="171">
        <v>38784</v>
      </c>
      <c r="AC20" s="171">
        <v>46089</v>
      </c>
      <c r="AD20" s="26">
        <v>8888825232</v>
      </c>
      <c r="AE20" s="33" t="s">
        <v>1551</v>
      </c>
      <c r="AF20" s="35" t="s">
        <v>1410</v>
      </c>
      <c r="AG20" s="26" t="s">
        <v>1552</v>
      </c>
      <c r="AH20" s="33" t="s">
        <v>1553</v>
      </c>
      <c r="AI20" s="26" t="s">
        <v>1554</v>
      </c>
      <c r="AJ20" s="184">
        <v>959992906842</v>
      </c>
      <c r="AK20" s="28" t="s">
        <v>1555</v>
      </c>
      <c r="AL20" s="26"/>
      <c r="AM20" s="26"/>
      <c r="AN20" s="26"/>
      <c r="AO20" s="33" t="s">
        <v>1556</v>
      </c>
      <c r="AP20" s="10">
        <f ca="1">ROUNDDOWN((TODAY() -AU20)/365.25,0)</f>
        <v>44</v>
      </c>
      <c r="AQ20" s="28"/>
      <c r="AR20" s="33"/>
      <c r="AS20" s="171"/>
      <c r="AT20" s="171"/>
      <c r="AU20" s="171">
        <v>29619</v>
      </c>
      <c r="AV20" s="26" t="s">
        <v>1352</v>
      </c>
      <c r="AW20" s="26" t="s">
        <v>32</v>
      </c>
      <c r="AX20" s="27">
        <v>2</v>
      </c>
      <c r="AY20" s="15" t="s">
        <v>51</v>
      </c>
      <c r="AZ20" s="28" t="s">
        <v>1373</v>
      </c>
      <c r="BA20" s="29" t="s">
        <v>51</v>
      </c>
      <c r="BB20" s="30" t="s">
        <v>34</v>
      </c>
      <c r="BC20" s="29"/>
    </row>
    <row r="21" spans="1:55" x14ac:dyDescent="0.25">
      <c r="A21" s="10">
        <f t="shared" si="0"/>
        <v>20</v>
      </c>
      <c r="B21" s="26" t="s">
        <v>1557</v>
      </c>
      <c r="C21" s="30" t="s">
        <v>34</v>
      </c>
      <c r="D21" s="37">
        <v>5400025</v>
      </c>
      <c r="E21" s="26" t="s">
        <v>36</v>
      </c>
      <c r="F21" s="14" t="s">
        <v>1558</v>
      </c>
      <c r="G21" s="26">
        <v>6</v>
      </c>
      <c r="H21" s="17">
        <v>0.70833333333333337</v>
      </c>
      <c r="I21" s="17">
        <v>0.79166666666666663</v>
      </c>
      <c r="J21" s="18">
        <v>8.3333333333333329E-2</v>
      </c>
      <c r="K21" s="21" t="s">
        <v>62</v>
      </c>
      <c r="L21" s="28"/>
      <c r="M21" s="28" t="s">
        <v>1544</v>
      </c>
      <c r="N21" s="23" t="s">
        <v>1545</v>
      </c>
      <c r="O21" s="33" t="s">
        <v>1546</v>
      </c>
      <c r="P21" s="169">
        <v>45446</v>
      </c>
      <c r="Q21" s="169">
        <v>45446</v>
      </c>
      <c r="R21" s="169">
        <v>46175</v>
      </c>
      <c r="S21" s="169">
        <v>46176</v>
      </c>
      <c r="T21" s="26">
        <v>2011</v>
      </c>
      <c r="U21" s="28" t="s">
        <v>1559</v>
      </c>
      <c r="V21" s="26">
        <v>2015</v>
      </c>
      <c r="W21" s="33" t="s">
        <v>1559</v>
      </c>
      <c r="X21" s="28"/>
      <c r="Y21" s="33" t="s">
        <v>1549</v>
      </c>
      <c r="Z21" s="28">
        <v>92243</v>
      </c>
      <c r="AA21" s="35" t="s">
        <v>1560</v>
      </c>
      <c r="AB21" s="189"/>
      <c r="AC21" s="189"/>
      <c r="AD21" s="26">
        <v>9164238726</v>
      </c>
      <c r="AE21" s="33" t="s">
        <v>1561</v>
      </c>
      <c r="AF21" s="33" t="s">
        <v>1562</v>
      </c>
      <c r="AG21" s="26" t="s">
        <v>1563</v>
      </c>
      <c r="AH21" s="33" t="s">
        <v>1564</v>
      </c>
      <c r="AI21" s="26" t="s">
        <v>1565</v>
      </c>
      <c r="AJ21" s="184">
        <v>866155593722</v>
      </c>
      <c r="AK21" s="28" t="s">
        <v>1566</v>
      </c>
      <c r="AL21" s="26"/>
      <c r="AM21" s="26"/>
      <c r="AN21" s="26"/>
      <c r="AO21" s="33" t="s">
        <v>1567</v>
      </c>
      <c r="AP21" s="10">
        <f ca="1">ROUNDDOWN((TODAY() -AU21)/365.25,0)</f>
        <v>39</v>
      </c>
      <c r="AQ21" s="28"/>
      <c r="AR21" s="33"/>
      <c r="AS21" s="171"/>
      <c r="AT21" s="171"/>
      <c r="AU21" s="171">
        <v>31707</v>
      </c>
      <c r="AV21" s="26" t="s">
        <v>1389</v>
      </c>
      <c r="AW21" s="26" t="s">
        <v>32</v>
      </c>
      <c r="AX21" s="27">
        <v>2</v>
      </c>
      <c r="AY21" s="15" t="s">
        <v>51</v>
      </c>
      <c r="AZ21" s="28" t="s">
        <v>1373</v>
      </c>
      <c r="BA21" s="29" t="s">
        <v>51</v>
      </c>
      <c r="BB21" s="30" t="s">
        <v>34</v>
      </c>
      <c r="BC21" s="29"/>
    </row>
    <row r="22" spans="1:55" x14ac:dyDescent="0.25">
      <c r="A22" s="10">
        <f t="shared" si="0"/>
        <v>21</v>
      </c>
      <c r="B22" s="40" t="s">
        <v>1568</v>
      </c>
      <c r="C22" s="593" t="s">
        <v>1407</v>
      </c>
      <c r="D22" s="41">
        <v>5400026</v>
      </c>
      <c r="E22" s="40" t="s">
        <v>36</v>
      </c>
      <c r="F22" s="14" t="s">
        <v>1546</v>
      </c>
      <c r="G22" s="40">
        <v>6</v>
      </c>
      <c r="H22" s="42">
        <v>0.375</v>
      </c>
      <c r="I22" s="42">
        <v>0.70833333333333337</v>
      </c>
      <c r="J22" s="42">
        <v>0.33333333333333331</v>
      </c>
      <c r="K22" s="35" t="s">
        <v>62</v>
      </c>
      <c r="L22" s="39"/>
      <c r="M22" s="39" t="s">
        <v>1355</v>
      </c>
      <c r="N22" s="23" t="s">
        <v>1569</v>
      </c>
      <c r="O22" s="35" t="s">
        <v>1357</v>
      </c>
      <c r="P22" s="183">
        <v>45455</v>
      </c>
      <c r="Q22" s="183">
        <v>45455</v>
      </c>
      <c r="R22" s="183">
        <v>46184</v>
      </c>
      <c r="S22" s="183">
        <v>46185</v>
      </c>
      <c r="T22" s="40">
        <v>2009</v>
      </c>
      <c r="U22" s="39" t="s">
        <v>1570</v>
      </c>
      <c r="V22" s="40">
        <v>2018</v>
      </c>
      <c r="W22" s="43" t="s">
        <v>209</v>
      </c>
      <c r="X22" s="40"/>
      <c r="Y22" s="43" t="s">
        <v>1360</v>
      </c>
      <c r="Z22" s="39" t="s">
        <v>1571</v>
      </c>
      <c r="AA22" s="35" t="s">
        <v>1344</v>
      </c>
      <c r="AB22" s="182">
        <v>45491</v>
      </c>
      <c r="AC22" s="182">
        <v>47317</v>
      </c>
      <c r="AD22" s="40">
        <v>8019262915</v>
      </c>
      <c r="AE22" s="39" t="s">
        <v>1572</v>
      </c>
      <c r="AF22" s="43" t="s">
        <v>1345</v>
      </c>
      <c r="AG22" s="44">
        <v>562710310000110</v>
      </c>
      <c r="AH22" s="40" t="s">
        <v>1573</v>
      </c>
      <c r="AI22" s="40" t="s">
        <v>1574</v>
      </c>
      <c r="AJ22" s="44">
        <v>932972134243</v>
      </c>
      <c r="AK22" s="43" t="s">
        <v>1575</v>
      </c>
      <c r="AL22" s="182">
        <v>45915</v>
      </c>
      <c r="AM22" s="182">
        <v>45853</v>
      </c>
      <c r="AN22" s="43" t="s">
        <v>1576</v>
      </c>
      <c r="AO22" s="43" t="s">
        <v>1577</v>
      </c>
      <c r="AP22" s="10">
        <f ca="1">ROUNDDOWN((TODAY() -AU22)/365.25,0)</f>
        <v>40</v>
      </c>
      <c r="AQ22" s="40"/>
      <c r="AR22" s="40"/>
      <c r="AS22" s="182"/>
      <c r="AT22" s="182"/>
      <c r="AU22" s="182">
        <v>31289</v>
      </c>
      <c r="AV22" s="40" t="s">
        <v>1352</v>
      </c>
      <c r="AW22" s="31" t="s">
        <v>68</v>
      </c>
      <c r="AX22" s="31">
        <v>8</v>
      </c>
      <c r="AY22" s="30" t="s">
        <v>51</v>
      </c>
      <c r="AZ22" s="39" t="s">
        <v>1373</v>
      </c>
      <c r="BA22" s="35" t="s">
        <v>51</v>
      </c>
      <c r="BB22" s="30" t="s">
        <v>1407</v>
      </c>
      <c r="BC22" s="31"/>
    </row>
    <row r="23" spans="1:55" x14ac:dyDescent="0.25">
      <c r="A23" s="10">
        <f t="shared" si="0"/>
        <v>22</v>
      </c>
      <c r="B23" s="181" t="s">
        <v>1578</v>
      </c>
      <c r="C23" s="592" t="s">
        <v>1407</v>
      </c>
      <c r="D23" s="41">
        <v>5400024</v>
      </c>
      <c r="E23" s="181" t="s">
        <v>9124</v>
      </c>
      <c r="F23" s="39" t="s">
        <v>1579</v>
      </c>
      <c r="G23" s="40">
        <v>6</v>
      </c>
      <c r="H23" s="42" t="s">
        <v>1580</v>
      </c>
      <c r="I23" s="42" t="s">
        <v>1581</v>
      </c>
      <c r="J23" s="42">
        <v>8.3333333333333329E-2</v>
      </c>
      <c r="K23" s="35" t="s">
        <v>62</v>
      </c>
      <c r="L23" s="39"/>
      <c r="M23" s="63" t="s">
        <v>1582</v>
      </c>
      <c r="N23" s="58" t="s">
        <v>1583</v>
      </c>
      <c r="O23" s="43" t="s">
        <v>1521</v>
      </c>
      <c r="P23" s="182">
        <v>45505</v>
      </c>
      <c r="Q23" s="182">
        <v>45413</v>
      </c>
      <c r="R23" s="182">
        <v>46142</v>
      </c>
      <c r="S23" s="182">
        <v>46143</v>
      </c>
      <c r="T23" s="87">
        <v>2011</v>
      </c>
      <c r="U23" s="39" t="s">
        <v>1584</v>
      </c>
      <c r="V23" s="40">
        <v>2016</v>
      </c>
      <c r="W23" s="43" t="s">
        <v>1548</v>
      </c>
      <c r="X23" s="40" t="s">
        <v>1585</v>
      </c>
      <c r="Y23" s="43" t="s">
        <v>1586</v>
      </c>
      <c r="Z23" s="39">
        <v>2011082712</v>
      </c>
      <c r="AA23" s="39" t="s">
        <v>1344</v>
      </c>
      <c r="AB23" s="182">
        <v>40767</v>
      </c>
      <c r="AC23" s="182">
        <v>46246</v>
      </c>
      <c r="AD23" s="40">
        <v>7350003671</v>
      </c>
      <c r="AE23" s="39" t="s">
        <v>1587</v>
      </c>
      <c r="AF23" s="43" t="s">
        <v>1430</v>
      </c>
      <c r="AG23" s="40" t="s">
        <v>1588</v>
      </c>
      <c r="AH23" s="40" t="s">
        <v>1589</v>
      </c>
      <c r="AI23" s="40" t="s">
        <v>1590</v>
      </c>
      <c r="AJ23" s="44">
        <v>691466269879</v>
      </c>
      <c r="AK23" s="39" t="s">
        <v>1591</v>
      </c>
      <c r="AL23" s="183">
        <v>45838</v>
      </c>
      <c r="AM23" s="183">
        <v>45783</v>
      </c>
      <c r="AN23" s="39" t="s">
        <v>1592</v>
      </c>
      <c r="AO23" s="43" t="s">
        <v>1593</v>
      </c>
      <c r="AP23" s="10">
        <v>39</v>
      </c>
      <c r="AQ23" s="10"/>
      <c r="AR23" s="10"/>
      <c r="AS23" s="10"/>
      <c r="AT23" s="40"/>
      <c r="AU23" s="182">
        <v>31631</v>
      </c>
      <c r="AV23" s="40" t="s">
        <v>1352</v>
      </c>
      <c r="AW23" s="31" t="s">
        <v>32</v>
      </c>
      <c r="AX23" s="139">
        <v>2</v>
      </c>
      <c r="AY23" s="58" t="s">
        <v>51</v>
      </c>
      <c r="AZ23" s="58" t="s">
        <v>1373</v>
      </c>
      <c r="BA23" s="58" t="s">
        <v>51</v>
      </c>
      <c r="BB23" s="58" t="s">
        <v>1407</v>
      </c>
      <c r="BC23" s="58"/>
    </row>
    <row r="24" spans="1:55" x14ac:dyDescent="0.25">
      <c r="A24" s="10">
        <f t="shared" si="0"/>
        <v>23</v>
      </c>
      <c r="B24" s="26" t="s">
        <v>79</v>
      </c>
      <c r="C24" s="30" t="s">
        <v>34</v>
      </c>
      <c r="D24" s="37">
        <v>5400030</v>
      </c>
      <c r="E24" s="26" t="s">
        <v>36</v>
      </c>
      <c r="F24" s="14" t="s">
        <v>80</v>
      </c>
      <c r="G24" s="26">
        <v>6</v>
      </c>
      <c r="H24" s="17">
        <v>0.16666666666666666</v>
      </c>
      <c r="I24" s="17">
        <v>0.33333333333333331</v>
      </c>
      <c r="J24" s="18">
        <v>0.16666666666666666</v>
      </c>
      <c r="K24" s="21" t="s">
        <v>81</v>
      </c>
      <c r="L24" s="28"/>
      <c r="M24" s="28" t="s">
        <v>26</v>
      </c>
      <c r="N24" s="23" t="s">
        <v>38</v>
      </c>
      <c r="O24" s="23" t="s">
        <v>1321</v>
      </c>
      <c r="P24" s="169">
        <v>45509</v>
      </c>
      <c r="Q24" s="169">
        <v>45509</v>
      </c>
      <c r="R24" s="169">
        <v>46238</v>
      </c>
      <c r="S24" s="169">
        <v>46239</v>
      </c>
      <c r="T24" s="26">
        <v>2019</v>
      </c>
      <c r="U24" s="28" t="s">
        <v>82</v>
      </c>
      <c r="V24" s="26">
        <v>2022</v>
      </c>
      <c r="W24" s="33" t="s">
        <v>83</v>
      </c>
      <c r="X24" s="28"/>
      <c r="Y24" s="33" t="s">
        <v>84</v>
      </c>
      <c r="Z24" s="28" t="s">
        <v>1594</v>
      </c>
      <c r="AA24" s="38" t="s">
        <v>1344</v>
      </c>
      <c r="AB24" s="171">
        <v>45429</v>
      </c>
      <c r="AC24" s="171">
        <v>47256</v>
      </c>
      <c r="AD24" s="26">
        <v>7720992383</v>
      </c>
      <c r="AE24" s="33" t="s">
        <v>85</v>
      </c>
      <c r="AF24" s="35" t="s">
        <v>1430</v>
      </c>
      <c r="AG24" s="26" t="s">
        <v>1595</v>
      </c>
      <c r="AH24" s="33" t="s">
        <v>1596</v>
      </c>
      <c r="AI24" s="26" t="s">
        <v>1597</v>
      </c>
      <c r="AJ24" s="184">
        <v>442970292756</v>
      </c>
      <c r="AK24" s="28" t="s">
        <v>1598</v>
      </c>
      <c r="AL24" s="171"/>
      <c r="AM24" s="26"/>
      <c r="AN24" s="26"/>
      <c r="AO24" s="33" t="s">
        <v>1599</v>
      </c>
      <c r="AP24" s="10">
        <f ca="1">ROUNDDOWN((TODAY() -AU24)/365.25,0)</f>
        <v>31</v>
      </c>
      <c r="AQ24" s="28"/>
      <c r="AR24" s="33"/>
      <c r="AS24" s="171"/>
      <c r="AT24" s="171"/>
      <c r="AU24" s="171">
        <v>34622</v>
      </c>
      <c r="AV24" s="26" t="s">
        <v>1352</v>
      </c>
      <c r="AW24" s="26" t="s">
        <v>32</v>
      </c>
      <c r="AX24" s="27">
        <v>4</v>
      </c>
      <c r="AY24" s="15" t="s">
        <v>51</v>
      </c>
      <c r="AZ24" s="39" t="s">
        <v>26</v>
      </c>
      <c r="BA24" s="29" t="s">
        <v>51</v>
      </c>
      <c r="BB24" s="30" t="s">
        <v>34</v>
      </c>
      <c r="BC24" s="29"/>
    </row>
    <row r="25" spans="1:55" x14ac:dyDescent="0.25">
      <c r="A25" s="10">
        <f t="shared" si="0"/>
        <v>24</v>
      </c>
      <c r="B25" s="26" t="s">
        <v>86</v>
      </c>
      <c r="C25" s="30" t="s">
        <v>34</v>
      </c>
      <c r="D25" s="37">
        <v>5400031</v>
      </c>
      <c r="E25" s="26" t="s">
        <v>36</v>
      </c>
      <c r="F25" s="14" t="s">
        <v>87</v>
      </c>
      <c r="G25" s="26">
        <v>6</v>
      </c>
      <c r="H25" s="17">
        <v>0.375</v>
      </c>
      <c r="I25" s="17">
        <v>0.58333333333333337</v>
      </c>
      <c r="J25" s="18">
        <v>0.20833333333333334</v>
      </c>
      <c r="K25" s="21" t="s">
        <v>81</v>
      </c>
      <c r="L25" s="28" t="s">
        <v>88</v>
      </c>
      <c r="M25" s="28" t="s">
        <v>26</v>
      </c>
      <c r="N25" s="23" t="s">
        <v>38</v>
      </c>
      <c r="O25" s="23" t="s">
        <v>1321</v>
      </c>
      <c r="P25" s="169">
        <v>45520</v>
      </c>
      <c r="Q25" s="169">
        <v>45520</v>
      </c>
      <c r="R25" s="169">
        <v>46249</v>
      </c>
      <c r="S25" s="169">
        <v>46250</v>
      </c>
      <c r="T25" s="26">
        <v>2015</v>
      </c>
      <c r="U25" s="28" t="s">
        <v>89</v>
      </c>
      <c r="V25" s="26">
        <v>2022</v>
      </c>
      <c r="W25" s="33" t="s">
        <v>83</v>
      </c>
      <c r="X25" s="28"/>
      <c r="Y25" s="33" t="s">
        <v>84</v>
      </c>
      <c r="Z25" s="28">
        <v>2015063354</v>
      </c>
      <c r="AA25" s="38" t="s">
        <v>1344</v>
      </c>
      <c r="AB25" s="171">
        <v>45811</v>
      </c>
      <c r="AC25" s="171">
        <v>47638</v>
      </c>
      <c r="AD25" s="26">
        <v>9096057454</v>
      </c>
      <c r="AE25" s="33" t="s">
        <v>90</v>
      </c>
      <c r="AF25" s="33" t="s">
        <v>1495</v>
      </c>
      <c r="AG25" s="26" t="s">
        <v>1600</v>
      </c>
      <c r="AH25" s="33" t="s">
        <v>1601</v>
      </c>
      <c r="AI25" s="26" t="s">
        <v>1602</v>
      </c>
      <c r="AJ25" s="184">
        <v>564555029012</v>
      </c>
      <c r="AK25" s="28" t="s">
        <v>1603</v>
      </c>
      <c r="AL25" s="171"/>
      <c r="AM25" s="26"/>
      <c r="AN25" s="26"/>
      <c r="AO25" s="33" t="s">
        <v>1604</v>
      </c>
      <c r="AP25" s="10">
        <f ca="1">ROUNDDOWN((TODAY() -AU25)/365.25,0)</f>
        <v>34</v>
      </c>
      <c r="AQ25" s="28" t="s">
        <v>1605</v>
      </c>
      <c r="AR25" s="186" t="s">
        <v>1606</v>
      </c>
      <c r="AS25" s="176">
        <v>45801</v>
      </c>
      <c r="AT25" s="176">
        <v>46165</v>
      </c>
      <c r="AU25" s="171">
        <v>33387</v>
      </c>
      <c r="AV25" s="26" t="s">
        <v>1352</v>
      </c>
      <c r="AW25" s="26" t="s">
        <v>32</v>
      </c>
      <c r="AX25" s="36">
        <v>5</v>
      </c>
      <c r="AY25" s="15" t="s">
        <v>51</v>
      </c>
      <c r="AZ25" s="39" t="s">
        <v>26</v>
      </c>
      <c r="BA25" s="29" t="s">
        <v>51</v>
      </c>
      <c r="BB25" s="30" t="s">
        <v>34</v>
      </c>
      <c r="BC25" s="29"/>
    </row>
    <row r="26" spans="1:55" x14ac:dyDescent="0.25">
      <c r="A26" s="10">
        <f t="shared" si="0"/>
        <v>25</v>
      </c>
      <c r="B26" s="181" t="s">
        <v>1607</v>
      </c>
      <c r="C26" s="592" t="s">
        <v>1407</v>
      </c>
      <c r="D26" s="41">
        <v>5400032</v>
      </c>
      <c r="E26" s="40" t="s">
        <v>36</v>
      </c>
      <c r="F26" s="39" t="s">
        <v>1608</v>
      </c>
      <c r="G26" s="40">
        <v>6</v>
      </c>
      <c r="H26" s="42">
        <v>0.375</v>
      </c>
      <c r="I26" s="42">
        <v>0.70833333333333337</v>
      </c>
      <c r="J26" s="42">
        <v>0.33333333333333331</v>
      </c>
      <c r="K26" s="35" t="s">
        <v>62</v>
      </c>
      <c r="L26" s="39"/>
      <c r="M26" s="63" t="s">
        <v>1355</v>
      </c>
      <c r="N26" s="100" t="s">
        <v>1520</v>
      </c>
      <c r="O26" s="43" t="s">
        <v>1521</v>
      </c>
      <c r="P26" s="182">
        <v>45520</v>
      </c>
      <c r="Q26" s="182">
        <v>45520</v>
      </c>
      <c r="R26" s="182">
        <v>46249</v>
      </c>
      <c r="S26" s="182">
        <v>46250</v>
      </c>
      <c r="T26" s="87">
        <v>2019</v>
      </c>
      <c r="U26" s="39" t="s">
        <v>1609</v>
      </c>
      <c r="V26" s="40">
        <v>2023</v>
      </c>
      <c r="W26" s="43" t="s">
        <v>1610</v>
      </c>
      <c r="X26" s="40"/>
      <c r="Y26" s="43" t="s">
        <v>1611</v>
      </c>
      <c r="Z26" s="39">
        <v>2019043429</v>
      </c>
      <c r="AA26" s="39" t="s">
        <v>1344</v>
      </c>
      <c r="AB26" s="182">
        <v>43585</v>
      </c>
      <c r="AC26" s="182">
        <v>47238</v>
      </c>
      <c r="AD26" s="40">
        <v>9096183657</v>
      </c>
      <c r="AE26" s="39" t="s">
        <v>1612</v>
      </c>
      <c r="AF26" s="43" t="s">
        <v>1430</v>
      </c>
      <c r="AG26" s="40" t="s">
        <v>1613</v>
      </c>
      <c r="AH26" s="40" t="s">
        <v>1614</v>
      </c>
      <c r="AI26" s="40" t="s">
        <v>1615</v>
      </c>
      <c r="AJ26" s="44">
        <v>851492297081</v>
      </c>
      <c r="AK26" s="39" t="s">
        <v>1616</v>
      </c>
      <c r="AL26" s="183">
        <v>45814</v>
      </c>
      <c r="AM26" s="183">
        <v>45754</v>
      </c>
      <c r="AN26" s="39" t="s">
        <v>1617</v>
      </c>
      <c r="AO26" s="43" t="s">
        <v>1618</v>
      </c>
      <c r="AP26" s="10">
        <v>31</v>
      </c>
      <c r="AQ26" s="10"/>
      <c r="AR26" s="10"/>
      <c r="AS26" s="10"/>
      <c r="AT26" s="40"/>
      <c r="AU26" s="182">
        <v>34601</v>
      </c>
      <c r="AV26" s="40" t="s">
        <v>1389</v>
      </c>
      <c r="AW26" s="31" t="s">
        <v>68</v>
      </c>
      <c r="AX26" s="139">
        <v>8</v>
      </c>
      <c r="AY26" s="58" t="s">
        <v>51</v>
      </c>
      <c r="AZ26" s="58" t="s">
        <v>1373</v>
      </c>
      <c r="BA26" s="58" t="s">
        <v>51</v>
      </c>
      <c r="BB26" s="58" t="s">
        <v>1407</v>
      </c>
      <c r="BC26" s="58"/>
    </row>
    <row r="27" spans="1:55" x14ac:dyDescent="0.25">
      <c r="A27" s="10">
        <f t="shared" si="0"/>
        <v>26</v>
      </c>
      <c r="B27" s="26" t="s">
        <v>91</v>
      </c>
      <c r="C27" s="30" t="s">
        <v>34</v>
      </c>
      <c r="D27" s="37">
        <v>5400034</v>
      </c>
      <c r="E27" s="26" t="s">
        <v>36</v>
      </c>
      <c r="F27" s="14" t="s">
        <v>92</v>
      </c>
      <c r="G27" s="26">
        <v>6</v>
      </c>
      <c r="H27" s="17">
        <v>0.70833333333333337</v>
      </c>
      <c r="I27" s="17">
        <v>0.83333333333333337</v>
      </c>
      <c r="J27" s="18">
        <v>0.125</v>
      </c>
      <c r="K27" s="21" t="s">
        <v>93</v>
      </c>
      <c r="L27" s="28" t="s">
        <v>94</v>
      </c>
      <c r="M27" s="28" t="s">
        <v>26</v>
      </c>
      <c r="N27" s="23" t="s">
        <v>38</v>
      </c>
      <c r="O27" s="23" t="s">
        <v>1321</v>
      </c>
      <c r="P27" s="169">
        <v>45525</v>
      </c>
      <c r="Q27" s="169">
        <v>45525</v>
      </c>
      <c r="R27" s="169">
        <v>46254</v>
      </c>
      <c r="S27" s="169">
        <v>46255</v>
      </c>
      <c r="T27" s="26">
        <v>2015</v>
      </c>
      <c r="U27" s="28" t="s">
        <v>95</v>
      </c>
      <c r="V27" s="26">
        <v>2021</v>
      </c>
      <c r="W27" s="33" t="s">
        <v>96</v>
      </c>
      <c r="X27" s="28" t="s">
        <v>1619</v>
      </c>
      <c r="Y27" s="35" t="s">
        <v>97</v>
      </c>
      <c r="Z27" s="28">
        <v>2018105279</v>
      </c>
      <c r="AA27" s="38" t="s">
        <v>1344</v>
      </c>
      <c r="AB27" s="171">
        <v>43389</v>
      </c>
      <c r="AC27" s="171">
        <v>47042</v>
      </c>
      <c r="AD27" s="26">
        <v>9511227350</v>
      </c>
      <c r="AE27" s="33" t="s">
        <v>98</v>
      </c>
      <c r="AF27" s="33" t="s">
        <v>1364</v>
      </c>
      <c r="AG27" s="26" t="s">
        <v>1620</v>
      </c>
      <c r="AH27" s="33" t="s">
        <v>1621</v>
      </c>
      <c r="AI27" s="26" t="s">
        <v>1622</v>
      </c>
      <c r="AJ27" s="184">
        <v>716869135122</v>
      </c>
      <c r="AK27" s="28" t="s">
        <v>1623</v>
      </c>
      <c r="AL27" s="171"/>
      <c r="AM27" s="26"/>
      <c r="AN27" s="26"/>
      <c r="AO27" s="33" t="s">
        <v>1624</v>
      </c>
      <c r="AP27" s="10">
        <f ca="1">ROUNDDOWN((TODAY() -AU27)/365.25,0)</f>
        <v>32</v>
      </c>
      <c r="AQ27" s="28" t="s">
        <v>1605</v>
      </c>
      <c r="AR27" s="186" t="s">
        <v>1625</v>
      </c>
      <c r="AS27" s="176">
        <v>45674</v>
      </c>
      <c r="AT27" s="176">
        <v>46038</v>
      </c>
      <c r="AU27" s="171">
        <v>33949</v>
      </c>
      <c r="AV27" s="26" t="s">
        <v>1352</v>
      </c>
      <c r="AW27" s="26" t="s">
        <v>32</v>
      </c>
      <c r="AX27" s="27">
        <v>3</v>
      </c>
      <c r="AY27" s="15" t="s">
        <v>51</v>
      </c>
      <c r="AZ27" s="39" t="s">
        <v>26</v>
      </c>
      <c r="BA27" s="29" t="s">
        <v>51</v>
      </c>
      <c r="BB27" s="30" t="s">
        <v>34</v>
      </c>
      <c r="BC27" s="29"/>
    </row>
    <row r="28" spans="1:55" x14ac:dyDescent="0.25">
      <c r="A28" s="10">
        <f t="shared" si="0"/>
        <v>27</v>
      </c>
      <c r="B28" s="26" t="s">
        <v>1626</v>
      </c>
      <c r="C28" s="30" t="s">
        <v>34</v>
      </c>
      <c r="D28" s="37">
        <v>5400028</v>
      </c>
      <c r="E28" s="26" t="s">
        <v>36</v>
      </c>
      <c r="F28" s="14" t="s">
        <v>1627</v>
      </c>
      <c r="G28" s="26">
        <v>6</v>
      </c>
      <c r="H28" s="17">
        <v>0.375</v>
      </c>
      <c r="I28" s="17">
        <v>0.41666666666666669</v>
      </c>
      <c r="J28" s="18">
        <v>4.1666666666666664E-2</v>
      </c>
      <c r="K28" s="21" t="s">
        <v>62</v>
      </c>
      <c r="L28" s="28"/>
      <c r="M28" s="28" t="s">
        <v>1628</v>
      </c>
      <c r="N28" s="23" t="s">
        <v>1629</v>
      </c>
      <c r="O28" s="22" t="s">
        <v>30</v>
      </c>
      <c r="P28" s="169">
        <v>45534</v>
      </c>
      <c r="Q28" s="169">
        <v>45505</v>
      </c>
      <c r="R28" s="191">
        <v>45688</v>
      </c>
      <c r="S28" s="169">
        <v>45689</v>
      </c>
      <c r="T28" s="26">
        <v>1997</v>
      </c>
      <c r="U28" s="28" t="s">
        <v>1630</v>
      </c>
      <c r="V28" s="26"/>
      <c r="W28" s="33"/>
      <c r="X28" s="28" t="s">
        <v>1631</v>
      </c>
      <c r="Y28" s="35" t="s">
        <v>1632</v>
      </c>
      <c r="Z28" s="28">
        <v>87201</v>
      </c>
      <c r="AA28" s="38" t="s">
        <v>1344</v>
      </c>
      <c r="AB28" s="171">
        <v>35991</v>
      </c>
      <c r="AC28" s="171" t="s">
        <v>1633</v>
      </c>
      <c r="AD28" s="26">
        <v>9373473434</v>
      </c>
      <c r="AE28" s="33" t="s">
        <v>1634</v>
      </c>
      <c r="AF28" s="33" t="s">
        <v>1345</v>
      </c>
      <c r="AG28" s="26" t="s">
        <v>1635</v>
      </c>
      <c r="AH28" s="33" t="s">
        <v>1427</v>
      </c>
      <c r="AI28" s="26" t="s">
        <v>1636</v>
      </c>
      <c r="AJ28" s="184">
        <v>725417199768</v>
      </c>
      <c r="AK28" s="28" t="s">
        <v>1637</v>
      </c>
      <c r="AL28" s="26"/>
      <c r="AM28" s="26"/>
      <c r="AN28" s="26"/>
      <c r="AO28" s="33" t="s">
        <v>1638</v>
      </c>
      <c r="AP28" s="10">
        <f ca="1">ROUNDDOWN((TODAY() -AU28)/365.25,0)</f>
        <v>50</v>
      </c>
      <c r="AQ28" s="26"/>
      <c r="AR28" s="26"/>
      <c r="AS28" s="171"/>
      <c r="AT28" s="171"/>
      <c r="AU28" s="171">
        <v>27510</v>
      </c>
      <c r="AV28" s="26" t="s">
        <v>1389</v>
      </c>
      <c r="AW28" s="26" t="s">
        <v>32</v>
      </c>
      <c r="AX28" s="27">
        <v>1</v>
      </c>
      <c r="AY28" s="15" t="s">
        <v>51</v>
      </c>
      <c r="AZ28" s="28" t="s">
        <v>1639</v>
      </c>
      <c r="BA28" s="29" t="s">
        <v>51</v>
      </c>
      <c r="BB28" s="30" t="s">
        <v>34</v>
      </c>
      <c r="BC28" s="29"/>
    </row>
    <row r="29" spans="1:55" x14ac:dyDescent="0.25">
      <c r="A29" s="10">
        <f t="shared" si="0"/>
        <v>28</v>
      </c>
      <c r="B29" s="26" t="s">
        <v>99</v>
      </c>
      <c r="C29" s="30" t="s">
        <v>34</v>
      </c>
      <c r="D29" s="37">
        <v>5400036</v>
      </c>
      <c r="E29" s="26" t="s">
        <v>36</v>
      </c>
      <c r="F29" s="14" t="s">
        <v>100</v>
      </c>
      <c r="G29" s="26">
        <v>6</v>
      </c>
      <c r="H29" s="17">
        <v>0.375</v>
      </c>
      <c r="I29" s="17">
        <v>0.83333333333333337</v>
      </c>
      <c r="J29" s="18">
        <v>0.33333333333333331</v>
      </c>
      <c r="K29" s="21" t="s">
        <v>93</v>
      </c>
      <c r="L29" s="28"/>
      <c r="M29" s="28" t="s">
        <v>26</v>
      </c>
      <c r="N29" s="23" t="s">
        <v>38</v>
      </c>
      <c r="O29" s="23" t="s">
        <v>1321</v>
      </c>
      <c r="P29" s="169">
        <v>45574</v>
      </c>
      <c r="Q29" s="169">
        <v>45574</v>
      </c>
      <c r="R29" s="169">
        <v>46303</v>
      </c>
      <c r="S29" s="169">
        <v>46304</v>
      </c>
      <c r="T29" s="26">
        <v>2013</v>
      </c>
      <c r="U29" s="28" t="s">
        <v>101</v>
      </c>
      <c r="V29" s="26">
        <v>2020</v>
      </c>
      <c r="W29" s="33" t="s">
        <v>102</v>
      </c>
      <c r="X29" s="28"/>
      <c r="Y29" s="35" t="s">
        <v>97</v>
      </c>
      <c r="Z29" s="28">
        <v>2013030519</v>
      </c>
      <c r="AA29" s="38" t="s">
        <v>1344</v>
      </c>
      <c r="AB29" s="171">
        <v>45542</v>
      </c>
      <c r="AC29" s="171">
        <v>46827</v>
      </c>
      <c r="AD29" s="26">
        <v>7410063644</v>
      </c>
      <c r="AE29" s="33" t="s">
        <v>103</v>
      </c>
      <c r="AF29" s="38" t="s">
        <v>1640</v>
      </c>
      <c r="AG29" s="26" t="s">
        <v>1641</v>
      </c>
      <c r="AH29" s="33" t="s">
        <v>1642</v>
      </c>
      <c r="AI29" s="26" t="s">
        <v>1643</v>
      </c>
      <c r="AJ29" s="26"/>
      <c r="AK29" s="28" t="s">
        <v>1644</v>
      </c>
      <c r="AL29" s="171"/>
      <c r="AM29" s="26"/>
      <c r="AN29" s="26"/>
      <c r="AO29" s="33" t="s">
        <v>1645</v>
      </c>
      <c r="AP29" s="10">
        <f ca="1">ROUNDDOWN((TODAY() -AU29)/365.25,0)</f>
        <v>35</v>
      </c>
      <c r="AQ29" s="26"/>
      <c r="AR29" s="33"/>
      <c r="AS29" s="171"/>
      <c r="AT29" s="171"/>
      <c r="AU29" s="171">
        <v>32854</v>
      </c>
      <c r="AV29" s="26" t="s">
        <v>1352</v>
      </c>
      <c r="AW29" s="26" t="s">
        <v>68</v>
      </c>
      <c r="AX29" s="27">
        <v>8</v>
      </c>
      <c r="AY29" s="15" t="s">
        <v>51</v>
      </c>
      <c r="AZ29" s="39" t="s">
        <v>26</v>
      </c>
      <c r="BA29" s="29" t="s">
        <v>51</v>
      </c>
      <c r="BB29" s="30" t="s">
        <v>34</v>
      </c>
      <c r="BC29" s="29"/>
    </row>
    <row r="30" spans="1:55" x14ac:dyDescent="0.25">
      <c r="A30" s="10">
        <f t="shared" si="0"/>
        <v>29</v>
      </c>
      <c r="B30" s="40" t="s">
        <v>1646</v>
      </c>
      <c r="C30" s="593" t="s">
        <v>1407</v>
      </c>
      <c r="D30" s="41">
        <v>5400037</v>
      </c>
      <c r="E30" s="40" t="s">
        <v>36</v>
      </c>
      <c r="F30" s="14" t="s">
        <v>1647</v>
      </c>
      <c r="G30" s="40">
        <v>6</v>
      </c>
      <c r="H30" s="42">
        <v>0.61458333333333337</v>
      </c>
      <c r="I30" s="42">
        <v>0.78125</v>
      </c>
      <c r="J30" s="42">
        <v>0.16666666666666666</v>
      </c>
      <c r="K30" s="35" t="s">
        <v>81</v>
      </c>
      <c r="L30" s="39" t="s">
        <v>1648</v>
      </c>
      <c r="M30" s="39" t="s">
        <v>26</v>
      </c>
      <c r="N30" s="23" t="s">
        <v>38</v>
      </c>
      <c r="O30" s="23" t="s">
        <v>1321</v>
      </c>
      <c r="P30" s="183">
        <v>45598</v>
      </c>
      <c r="Q30" s="183">
        <v>45598</v>
      </c>
      <c r="R30" s="183">
        <v>46327</v>
      </c>
      <c r="S30" s="183">
        <v>46328</v>
      </c>
      <c r="T30" s="40">
        <v>2011</v>
      </c>
      <c r="U30" s="39" t="s">
        <v>1649</v>
      </c>
      <c r="V30" s="40">
        <v>2017</v>
      </c>
      <c r="W30" s="43" t="s">
        <v>1650</v>
      </c>
      <c r="X30" s="40" t="s">
        <v>1651</v>
      </c>
      <c r="Y30" s="35" t="s">
        <v>97</v>
      </c>
      <c r="Z30" s="39">
        <v>2012020159</v>
      </c>
      <c r="AA30" s="35" t="s">
        <v>1344</v>
      </c>
      <c r="AB30" s="182">
        <v>44785</v>
      </c>
      <c r="AC30" s="182">
        <v>46425</v>
      </c>
      <c r="AD30" s="40">
        <v>9423093772</v>
      </c>
      <c r="AE30" s="39" t="s">
        <v>1652</v>
      </c>
      <c r="AF30" s="43" t="s">
        <v>1364</v>
      </c>
      <c r="AG30" s="40" t="s">
        <v>1653</v>
      </c>
      <c r="AH30" s="40" t="s">
        <v>1654</v>
      </c>
      <c r="AI30" s="40" t="s">
        <v>1655</v>
      </c>
      <c r="AJ30" s="44">
        <v>665863870618</v>
      </c>
      <c r="AK30" s="43" t="s">
        <v>1656</v>
      </c>
      <c r="AL30" s="182">
        <v>45930</v>
      </c>
      <c r="AM30" s="182">
        <v>45898</v>
      </c>
      <c r="AN30" s="43" t="s">
        <v>1657</v>
      </c>
      <c r="AO30" s="43" t="s">
        <v>1658</v>
      </c>
      <c r="AP30" s="10">
        <f ca="1">ROUNDDOWN((TODAY() -AU30)/365.25,0)</f>
        <v>37</v>
      </c>
      <c r="AQ30" s="40"/>
      <c r="AR30" s="40"/>
      <c r="AS30" s="182"/>
      <c r="AT30" s="182"/>
      <c r="AU30" s="182">
        <v>32291</v>
      </c>
      <c r="AV30" s="40" t="s">
        <v>1389</v>
      </c>
      <c r="AW30" s="31" t="s">
        <v>32</v>
      </c>
      <c r="AX30" s="31">
        <v>4</v>
      </c>
      <c r="AY30" s="30" t="s">
        <v>51</v>
      </c>
      <c r="AZ30" s="39" t="s">
        <v>26</v>
      </c>
      <c r="BA30" s="35" t="s">
        <v>51</v>
      </c>
      <c r="BB30" s="30" t="s">
        <v>1407</v>
      </c>
      <c r="BC30" s="31"/>
    </row>
    <row r="31" spans="1:55" x14ac:dyDescent="0.25">
      <c r="A31" s="10">
        <f t="shared" si="0"/>
        <v>30</v>
      </c>
      <c r="B31" s="181" t="s">
        <v>1659</v>
      </c>
      <c r="C31" s="592" t="s">
        <v>1407</v>
      </c>
      <c r="D31" s="41">
        <v>5400038</v>
      </c>
      <c r="E31" s="40" t="s">
        <v>36</v>
      </c>
      <c r="F31" s="39" t="s">
        <v>1660</v>
      </c>
      <c r="G31" s="40">
        <v>6</v>
      </c>
      <c r="H31" s="42">
        <v>0.375</v>
      </c>
      <c r="I31" s="42">
        <v>0.58333333333333337</v>
      </c>
      <c r="J31" s="42">
        <v>0.20833333333333334</v>
      </c>
      <c r="K31" s="43" t="s">
        <v>54</v>
      </c>
      <c r="L31" s="39"/>
      <c r="M31" s="97" t="s">
        <v>1376</v>
      </c>
      <c r="N31" s="58" t="s">
        <v>1393</v>
      </c>
      <c r="O31" s="43" t="s">
        <v>30</v>
      </c>
      <c r="P31" s="182">
        <v>45637</v>
      </c>
      <c r="Q31" s="182">
        <v>45637</v>
      </c>
      <c r="R31" s="182">
        <v>46366</v>
      </c>
      <c r="S31" s="182">
        <v>46367</v>
      </c>
      <c r="T31" s="87">
        <v>2020</v>
      </c>
      <c r="U31" s="39" t="s">
        <v>1661</v>
      </c>
      <c r="V31" s="40"/>
      <c r="W31" s="39"/>
      <c r="X31" s="40"/>
      <c r="Y31" s="43"/>
      <c r="Z31" s="39" t="s">
        <v>1662</v>
      </c>
      <c r="AA31" s="39" t="s">
        <v>1344</v>
      </c>
      <c r="AB31" s="182">
        <v>44644</v>
      </c>
      <c r="AC31" s="182">
        <v>46470</v>
      </c>
      <c r="AD31" s="40">
        <v>9158859666</v>
      </c>
      <c r="AE31" s="39" t="s">
        <v>1663</v>
      </c>
      <c r="AF31" s="43" t="s">
        <v>1430</v>
      </c>
      <c r="AG31" s="44">
        <v>50100479641170</v>
      </c>
      <c r="AH31" s="40" t="s">
        <v>1664</v>
      </c>
      <c r="AI31" s="40" t="s">
        <v>1665</v>
      </c>
      <c r="AJ31" s="44">
        <v>493069357412</v>
      </c>
      <c r="AK31" s="39" t="s">
        <v>1666</v>
      </c>
      <c r="AL31" s="183">
        <v>45743</v>
      </c>
      <c r="AM31" s="183" t="s">
        <v>30</v>
      </c>
      <c r="AN31" s="43" t="s">
        <v>1516</v>
      </c>
      <c r="AO31" s="43" t="s">
        <v>1667</v>
      </c>
      <c r="AP31" s="10">
        <v>29</v>
      </c>
      <c r="AQ31" s="10"/>
      <c r="AR31" s="10"/>
      <c r="AS31" s="10"/>
      <c r="AT31" s="40"/>
      <c r="AU31" s="182">
        <v>35233</v>
      </c>
      <c r="AV31" s="40" t="s">
        <v>1389</v>
      </c>
      <c r="AW31" s="31" t="s">
        <v>32</v>
      </c>
      <c r="AX31" s="139">
        <v>5</v>
      </c>
      <c r="AY31" s="58" t="s">
        <v>51</v>
      </c>
      <c r="AZ31" s="58" t="s">
        <v>1390</v>
      </c>
      <c r="BA31" s="58" t="s">
        <v>51</v>
      </c>
      <c r="BB31" s="58" t="s">
        <v>1407</v>
      </c>
      <c r="BC31" s="58"/>
    </row>
    <row r="32" spans="1:55" x14ac:dyDescent="0.25">
      <c r="A32" s="10">
        <f t="shared" si="0"/>
        <v>31</v>
      </c>
      <c r="B32" s="26" t="s">
        <v>104</v>
      </c>
      <c r="C32" s="30" t="s">
        <v>34</v>
      </c>
      <c r="D32" s="37">
        <v>5400039</v>
      </c>
      <c r="E32" s="26" t="s">
        <v>36</v>
      </c>
      <c r="F32" s="14" t="s">
        <v>105</v>
      </c>
      <c r="G32" s="26">
        <v>6</v>
      </c>
      <c r="H32" s="17">
        <v>0.54166666666666663</v>
      </c>
      <c r="I32" s="17">
        <v>0.875</v>
      </c>
      <c r="J32" s="18">
        <v>0.33333333333333331</v>
      </c>
      <c r="K32" s="21" t="s">
        <v>62</v>
      </c>
      <c r="L32" s="28" t="s">
        <v>106</v>
      </c>
      <c r="M32" s="28" t="s">
        <v>26</v>
      </c>
      <c r="N32" s="23" t="s">
        <v>38</v>
      </c>
      <c r="O32" s="23" t="s">
        <v>1321</v>
      </c>
      <c r="P32" s="169">
        <v>45642</v>
      </c>
      <c r="Q32" s="169">
        <v>45642</v>
      </c>
      <c r="R32" s="169">
        <v>46371</v>
      </c>
      <c r="S32" s="169">
        <v>46372</v>
      </c>
      <c r="T32" s="26">
        <v>2014</v>
      </c>
      <c r="U32" s="28" t="s">
        <v>107</v>
      </c>
      <c r="V32" s="26">
        <v>2021</v>
      </c>
      <c r="W32" s="33" t="s">
        <v>108</v>
      </c>
      <c r="X32" s="28"/>
      <c r="Y32" s="33" t="s">
        <v>109</v>
      </c>
      <c r="Z32" s="28">
        <v>2016030529</v>
      </c>
      <c r="AA32" s="38" t="s">
        <v>1344</v>
      </c>
      <c r="AB32" s="171">
        <v>44359</v>
      </c>
      <c r="AC32" s="171">
        <v>46110</v>
      </c>
      <c r="AD32" s="26">
        <v>8788260213</v>
      </c>
      <c r="AE32" s="33" t="s">
        <v>110</v>
      </c>
      <c r="AF32" s="33" t="s">
        <v>1466</v>
      </c>
      <c r="AG32" s="184">
        <v>67780200002682</v>
      </c>
      <c r="AH32" s="33" t="s">
        <v>1668</v>
      </c>
      <c r="AI32" s="26" t="s">
        <v>1669</v>
      </c>
      <c r="AJ32" s="184">
        <v>527541426017</v>
      </c>
      <c r="AK32" s="28" t="s">
        <v>1670</v>
      </c>
      <c r="AL32" s="171"/>
      <c r="AM32" s="26"/>
      <c r="AN32" s="26"/>
      <c r="AO32" s="33" t="s">
        <v>1671</v>
      </c>
      <c r="AP32" s="10">
        <f t="shared" ref="AP32:AP38" ca="1" si="2">ROUNDDOWN((TODAY() -AU32)/365.25,0)</f>
        <v>34</v>
      </c>
      <c r="AQ32" s="26"/>
      <c r="AR32" s="33"/>
      <c r="AS32" s="171"/>
      <c r="AT32" s="171"/>
      <c r="AU32" s="171">
        <v>33325</v>
      </c>
      <c r="AV32" s="26" t="s">
        <v>1352</v>
      </c>
      <c r="AW32" s="26" t="s">
        <v>68</v>
      </c>
      <c r="AX32" s="27">
        <v>8</v>
      </c>
      <c r="AY32" s="15" t="s">
        <v>51</v>
      </c>
      <c r="AZ32" s="39" t="s">
        <v>26</v>
      </c>
      <c r="BA32" s="29" t="s">
        <v>51</v>
      </c>
      <c r="BB32" s="30" t="s">
        <v>34</v>
      </c>
      <c r="BC32" s="29"/>
    </row>
    <row r="33" spans="1:55" x14ac:dyDescent="0.25">
      <c r="A33" s="10">
        <f t="shared" si="0"/>
        <v>32</v>
      </c>
      <c r="B33" s="26" t="s">
        <v>111</v>
      </c>
      <c r="C33" s="30" t="s">
        <v>34</v>
      </c>
      <c r="D33" s="37">
        <v>5400040</v>
      </c>
      <c r="E33" s="26" t="s">
        <v>36</v>
      </c>
      <c r="F33" s="14" t="s">
        <v>112</v>
      </c>
      <c r="G33" s="26">
        <v>6</v>
      </c>
      <c r="H33" s="17">
        <v>0.39583333333333331</v>
      </c>
      <c r="I33" s="17">
        <v>0.60416666666666663</v>
      </c>
      <c r="J33" s="18">
        <v>0.20833333333333334</v>
      </c>
      <c r="K33" s="21" t="s">
        <v>44</v>
      </c>
      <c r="L33" s="45" t="s">
        <v>113</v>
      </c>
      <c r="M33" s="28" t="s">
        <v>26</v>
      </c>
      <c r="N33" s="23" t="s">
        <v>38</v>
      </c>
      <c r="O33" s="23" t="s">
        <v>1321</v>
      </c>
      <c r="P33" s="169">
        <v>45698</v>
      </c>
      <c r="Q33" s="169">
        <v>45691</v>
      </c>
      <c r="R33" s="169">
        <v>46420</v>
      </c>
      <c r="S33" s="169">
        <v>46421</v>
      </c>
      <c r="T33" s="26">
        <v>2002</v>
      </c>
      <c r="U33" s="28" t="s">
        <v>114</v>
      </c>
      <c r="V33" s="26"/>
      <c r="W33" s="33"/>
      <c r="X33" s="28" t="s">
        <v>1672</v>
      </c>
      <c r="Y33" s="33" t="s">
        <v>115</v>
      </c>
      <c r="Z33" s="28" t="s">
        <v>1673</v>
      </c>
      <c r="AA33" s="38" t="s">
        <v>1344</v>
      </c>
      <c r="AB33" s="171">
        <v>44557</v>
      </c>
      <c r="AC33" s="171">
        <v>46446</v>
      </c>
      <c r="AD33" s="26" t="s">
        <v>116</v>
      </c>
      <c r="AE33" s="33" t="s">
        <v>117</v>
      </c>
      <c r="AF33" s="33" t="s">
        <v>1495</v>
      </c>
      <c r="AG33" s="26">
        <v>31511786526</v>
      </c>
      <c r="AH33" s="33" t="s">
        <v>1674</v>
      </c>
      <c r="AI33" s="26" t="s">
        <v>1675</v>
      </c>
      <c r="AJ33" s="184">
        <v>440009152517</v>
      </c>
      <c r="AK33" s="28"/>
      <c r="AL33" s="171"/>
      <c r="AM33" s="26"/>
      <c r="AN33" s="26"/>
      <c r="AO33" s="33" t="s">
        <v>1676</v>
      </c>
      <c r="AP33" s="10">
        <f t="shared" ca="1" si="2"/>
        <v>47</v>
      </c>
      <c r="AQ33" s="192" t="s">
        <v>1677</v>
      </c>
      <c r="AR33" s="193" t="s">
        <v>1678</v>
      </c>
      <c r="AS33" s="171">
        <v>45646</v>
      </c>
      <c r="AT33" s="171">
        <v>46010</v>
      </c>
      <c r="AU33" s="171">
        <v>28494</v>
      </c>
      <c r="AV33" s="26" t="s">
        <v>1389</v>
      </c>
      <c r="AW33" s="26" t="s">
        <v>32</v>
      </c>
      <c r="AX33" s="36">
        <v>5</v>
      </c>
      <c r="AY33" s="15" t="s">
        <v>51</v>
      </c>
      <c r="AZ33" s="39" t="s">
        <v>26</v>
      </c>
      <c r="BA33" s="29" t="s">
        <v>51</v>
      </c>
      <c r="BB33" s="30" t="s">
        <v>34</v>
      </c>
      <c r="BC33" s="29"/>
    </row>
    <row r="34" spans="1:55" x14ac:dyDescent="0.25">
      <c r="A34" s="10">
        <f t="shared" si="0"/>
        <v>33</v>
      </c>
      <c r="B34" s="26" t="s">
        <v>118</v>
      </c>
      <c r="C34" s="30" t="s">
        <v>34</v>
      </c>
      <c r="D34" s="37">
        <v>5400041</v>
      </c>
      <c r="E34" s="26" t="s">
        <v>36</v>
      </c>
      <c r="F34" s="14" t="s">
        <v>119</v>
      </c>
      <c r="G34" s="26">
        <v>6</v>
      </c>
      <c r="H34" s="17">
        <v>0.375</v>
      </c>
      <c r="I34" s="17">
        <v>0.54166666666666663</v>
      </c>
      <c r="J34" s="18">
        <v>0.16666666666666666</v>
      </c>
      <c r="K34" s="21" t="s">
        <v>120</v>
      </c>
      <c r="L34" s="28" t="s">
        <v>121</v>
      </c>
      <c r="M34" s="28" t="s">
        <v>26</v>
      </c>
      <c r="N34" s="23" t="s">
        <v>46</v>
      </c>
      <c r="O34" s="23" t="s">
        <v>1321</v>
      </c>
      <c r="P34" s="169">
        <v>45698</v>
      </c>
      <c r="Q34" s="169">
        <v>45698</v>
      </c>
      <c r="R34" s="169">
        <v>46427</v>
      </c>
      <c r="S34" s="169">
        <v>46428</v>
      </c>
      <c r="T34" s="26">
        <v>2014</v>
      </c>
      <c r="U34" s="28" t="s">
        <v>122</v>
      </c>
      <c r="V34" s="26">
        <v>2020</v>
      </c>
      <c r="W34" s="33" t="s">
        <v>123</v>
      </c>
      <c r="X34" s="28" t="s">
        <v>1679</v>
      </c>
      <c r="Y34" s="33" t="s">
        <v>124</v>
      </c>
      <c r="Z34" s="28" t="s">
        <v>1680</v>
      </c>
      <c r="AA34" s="38" t="s">
        <v>1344</v>
      </c>
      <c r="AB34" s="171">
        <v>41817</v>
      </c>
      <c r="AC34" s="171" t="s">
        <v>1681</v>
      </c>
      <c r="AD34" s="26">
        <v>7588814123</v>
      </c>
      <c r="AE34" s="33" t="s">
        <v>125</v>
      </c>
      <c r="AF34" s="194" t="s">
        <v>1364</v>
      </c>
      <c r="AG34" s="184">
        <v>777701022510</v>
      </c>
      <c r="AH34" s="194" t="s">
        <v>1682</v>
      </c>
      <c r="AI34" s="184" t="s">
        <v>1683</v>
      </c>
      <c r="AJ34" s="184">
        <v>677933678849</v>
      </c>
      <c r="AK34" s="28"/>
      <c r="AL34" s="171"/>
      <c r="AM34" s="26"/>
      <c r="AN34" s="26"/>
      <c r="AO34" s="33" t="s">
        <v>1684</v>
      </c>
      <c r="AP34" s="10">
        <f t="shared" ca="1" si="2"/>
        <v>36</v>
      </c>
      <c r="AQ34" s="26"/>
      <c r="AR34" s="33"/>
      <c r="AS34" s="171"/>
      <c r="AT34" s="171"/>
      <c r="AU34" s="171">
        <v>32569</v>
      </c>
      <c r="AV34" s="26" t="s">
        <v>1389</v>
      </c>
      <c r="AW34" s="26" t="s">
        <v>32</v>
      </c>
      <c r="AX34" s="27">
        <v>4</v>
      </c>
      <c r="AY34" s="15" t="s">
        <v>51</v>
      </c>
      <c r="AZ34" s="39" t="s">
        <v>26</v>
      </c>
      <c r="BA34" s="29" t="s">
        <v>51</v>
      </c>
      <c r="BB34" s="30" t="s">
        <v>34</v>
      </c>
      <c r="BC34" s="29"/>
    </row>
    <row r="35" spans="1:55" x14ac:dyDescent="0.25">
      <c r="A35" s="10">
        <f t="shared" si="0"/>
        <v>34</v>
      </c>
      <c r="B35" s="26" t="s">
        <v>1685</v>
      </c>
      <c r="C35" s="30" t="s">
        <v>34</v>
      </c>
      <c r="D35" s="37">
        <v>5100042</v>
      </c>
      <c r="E35" s="26" t="s">
        <v>36</v>
      </c>
      <c r="F35" s="14" t="s">
        <v>1686</v>
      </c>
      <c r="G35" s="26">
        <v>6</v>
      </c>
      <c r="H35" s="17">
        <v>0.41666666666666669</v>
      </c>
      <c r="I35" s="17">
        <v>0.54166666666666663</v>
      </c>
      <c r="J35" s="18">
        <v>0.125</v>
      </c>
      <c r="K35" s="21" t="s">
        <v>44</v>
      </c>
      <c r="L35" s="28"/>
      <c r="M35" s="30" t="s">
        <v>1376</v>
      </c>
      <c r="N35" s="23" t="s">
        <v>1377</v>
      </c>
      <c r="O35" s="22" t="s">
        <v>30</v>
      </c>
      <c r="P35" s="169">
        <v>45734</v>
      </c>
      <c r="Q35" s="169">
        <v>45732</v>
      </c>
      <c r="R35" s="169">
        <v>46461</v>
      </c>
      <c r="S35" s="169">
        <v>46462</v>
      </c>
      <c r="T35" s="26"/>
      <c r="U35" s="28"/>
      <c r="V35" s="26"/>
      <c r="W35" s="33"/>
      <c r="X35" s="28" t="s">
        <v>1687</v>
      </c>
      <c r="Y35" s="33" t="s">
        <v>1688</v>
      </c>
      <c r="Z35" s="28">
        <v>63692</v>
      </c>
      <c r="AA35" s="39" t="s">
        <v>1441</v>
      </c>
      <c r="AB35" s="171">
        <v>44563</v>
      </c>
      <c r="AC35" s="171">
        <v>46178</v>
      </c>
      <c r="AD35" s="26">
        <v>8975330800</v>
      </c>
      <c r="AE35" s="33" t="s">
        <v>1689</v>
      </c>
      <c r="AF35" s="194" t="s">
        <v>1690</v>
      </c>
      <c r="AG35" s="184">
        <v>6812868586</v>
      </c>
      <c r="AH35" s="194" t="s">
        <v>1691</v>
      </c>
      <c r="AI35" s="184" t="s">
        <v>1692</v>
      </c>
      <c r="AJ35" s="184">
        <v>802758782251</v>
      </c>
      <c r="AK35" s="28" t="s">
        <v>1693</v>
      </c>
      <c r="AL35" s="26"/>
      <c r="AM35" s="26"/>
      <c r="AN35" s="26"/>
      <c r="AO35" s="33" t="s">
        <v>1694</v>
      </c>
      <c r="AP35" s="10">
        <f t="shared" ca="1" si="2"/>
        <v>35</v>
      </c>
      <c r="AQ35" s="26"/>
      <c r="AR35" s="26"/>
      <c r="AS35" s="171"/>
      <c r="AT35" s="171"/>
      <c r="AU35" s="171">
        <v>33120</v>
      </c>
      <c r="AV35" s="26" t="s">
        <v>1389</v>
      </c>
      <c r="AW35" s="26" t="s">
        <v>32</v>
      </c>
      <c r="AX35" s="27">
        <v>3</v>
      </c>
      <c r="AY35" s="15" t="s">
        <v>51</v>
      </c>
      <c r="AZ35" s="28" t="s">
        <v>1390</v>
      </c>
      <c r="BA35" s="29" t="s">
        <v>51</v>
      </c>
      <c r="BB35" s="30" t="s">
        <v>34</v>
      </c>
      <c r="BC35" s="29"/>
    </row>
    <row r="36" spans="1:55" x14ac:dyDescent="0.25">
      <c r="A36" s="10">
        <f t="shared" si="0"/>
        <v>35</v>
      </c>
      <c r="B36" s="26" t="s">
        <v>1695</v>
      </c>
      <c r="C36" s="30" t="s">
        <v>34</v>
      </c>
      <c r="D36" s="37">
        <v>5400042</v>
      </c>
      <c r="E36" s="26" t="s">
        <v>36</v>
      </c>
      <c r="F36" s="14" t="s">
        <v>1696</v>
      </c>
      <c r="G36" s="26">
        <v>6</v>
      </c>
      <c r="H36" s="17">
        <v>0.625</v>
      </c>
      <c r="I36" s="17">
        <v>0.70833333333333337</v>
      </c>
      <c r="J36" s="18">
        <v>8.3333333333333329E-2</v>
      </c>
      <c r="K36" s="21" t="s">
        <v>62</v>
      </c>
      <c r="L36" s="28"/>
      <c r="M36" s="30" t="s">
        <v>1376</v>
      </c>
      <c r="N36" s="23" t="s">
        <v>1393</v>
      </c>
      <c r="O36" s="22" t="s">
        <v>30</v>
      </c>
      <c r="P36" s="169">
        <v>45737</v>
      </c>
      <c r="Q36" s="169">
        <v>45737</v>
      </c>
      <c r="R36" s="169">
        <v>46466</v>
      </c>
      <c r="S36" s="169">
        <v>46467</v>
      </c>
      <c r="T36" s="26">
        <v>2008</v>
      </c>
      <c r="U36" s="28" t="s">
        <v>1697</v>
      </c>
      <c r="V36" s="26">
        <v>2013</v>
      </c>
      <c r="W36" s="33" t="s">
        <v>1698</v>
      </c>
      <c r="X36" s="28"/>
      <c r="Y36" s="33" t="s">
        <v>1699</v>
      </c>
      <c r="Z36" s="28" t="s">
        <v>1700</v>
      </c>
      <c r="AA36" s="38" t="s">
        <v>1344</v>
      </c>
      <c r="AB36" s="171">
        <v>39759</v>
      </c>
      <c r="AC36" s="171">
        <v>47064</v>
      </c>
      <c r="AD36" s="26">
        <v>8850309722</v>
      </c>
      <c r="AE36" s="33" t="s">
        <v>1701</v>
      </c>
      <c r="AF36" s="35" t="s">
        <v>1430</v>
      </c>
      <c r="AG36" s="184">
        <v>50100209239359</v>
      </c>
      <c r="AH36" s="194" t="s">
        <v>1702</v>
      </c>
      <c r="AI36" s="184" t="s">
        <v>1703</v>
      </c>
      <c r="AJ36" s="184">
        <v>285306610022</v>
      </c>
      <c r="AK36" s="28"/>
      <c r="AL36" s="26"/>
      <c r="AM36" s="26"/>
      <c r="AN36" s="26"/>
      <c r="AO36" s="33" t="s">
        <v>1704</v>
      </c>
      <c r="AP36" s="10">
        <f t="shared" ca="1" si="2"/>
        <v>40</v>
      </c>
      <c r="AQ36" s="26"/>
      <c r="AR36" s="26"/>
      <c r="AS36" s="171"/>
      <c r="AT36" s="171"/>
      <c r="AU36" s="171">
        <v>31179</v>
      </c>
      <c r="AV36" s="26" t="s">
        <v>1389</v>
      </c>
      <c r="AW36" s="26" t="s">
        <v>32</v>
      </c>
      <c r="AX36" s="27">
        <v>2</v>
      </c>
      <c r="AY36" s="15" t="s">
        <v>51</v>
      </c>
      <c r="AZ36" s="28" t="s">
        <v>1390</v>
      </c>
      <c r="BA36" s="29" t="s">
        <v>51</v>
      </c>
      <c r="BB36" s="30" t="s">
        <v>34</v>
      </c>
      <c r="BC36" s="29"/>
    </row>
    <row r="37" spans="1:55" x14ac:dyDescent="0.25">
      <c r="A37" s="10">
        <f t="shared" si="0"/>
        <v>36</v>
      </c>
      <c r="B37" s="46" t="s">
        <v>1705</v>
      </c>
      <c r="C37" s="594" t="s">
        <v>1407</v>
      </c>
      <c r="D37" s="47">
        <v>5400043</v>
      </c>
      <c r="E37" s="46" t="s">
        <v>36</v>
      </c>
      <c r="F37" s="48" t="s">
        <v>1706</v>
      </c>
      <c r="G37" s="46">
        <v>6</v>
      </c>
      <c r="H37" s="50">
        <v>0.39583333333333331</v>
      </c>
      <c r="I37" s="50">
        <v>0.60416666666666663</v>
      </c>
      <c r="J37" s="50">
        <v>0.20833333333333334</v>
      </c>
      <c r="K37" s="51" t="s">
        <v>1707</v>
      </c>
      <c r="L37" s="49" t="s">
        <v>1708</v>
      </c>
      <c r="M37" s="49" t="s">
        <v>26</v>
      </c>
      <c r="N37" s="52" t="s">
        <v>38</v>
      </c>
      <c r="O37" s="52" t="s">
        <v>1321</v>
      </c>
      <c r="P37" s="195">
        <v>45764</v>
      </c>
      <c r="Q37" s="195">
        <v>45764</v>
      </c>
      <c r="R37" s="195">
        <v>46493</v>
      </c>
      <c r="S37" s="195">
        <v>46494</v>
      </c>
      <c r="T37" s="46">
        <v>2016</v>
      </c>
      <c r="U37" s="49" t="s">
        <v>1709</v>
      </c>
      <c r="V37" s="46">
        <v>2022</v>
      </c>
      <c r="W37" s="53" t="s">
        <v>1710</v>
      </c>
      <c r="X37" s="46" t="s">
        <v>30</v>
      </c>
      <c r="Y37" s="53" t="s">
        <v>84</v>
      </c>
      <c r="Z37" s="49" t="s">
        <v>1711</v>
      </c>
      <c r="AA37" s="51" t="s">
        <v>1344</v>
      </c>
      <c r="AB37" s="196">
        <v>44775</v>
      </c>
      <c r="AC37" s="196">
        <v>46600</v>
      </c>
      <c r="AD37" s="197">
        <v>9699861221</v>
      </c>
      <c r="AE37" s="49" t="s">
        <v>1712</v>
      </c>
      <c r="AF37" s="51" t="s">
        <v>1410</v>
      </c>
      <c r="AG37" s="198" t="s">
        <v>1713</v>
      </c>
      <c r="AH37" s="54" t="s">
        <v>1714</v>
      </c>
      <c r="AI37" s="54" t="s">
        <v>1715</v>
      </c>
      <c r="AJ37" s="198" t="s">
        <v>1716</v>
      </c>
      <c r="AK37" s="51" t="s">
        <v>1717</v>
      </c>
      <c r="AL37" s="199">
        <v>45944</v>
      </c>
      <c r="AM37" s="199">
        <v>45915</v>
      </c>
      <c r="AN37" s="51" t="s">
        <v>1657</v>
      </c>
      <c r="AO37" s="51" t="s">
        <v>1718</v>
      </c>
      <c r="AP37" s="55">
        <f t="shared" ca="1" si="2"/>
        <v>31</v>
      </c>
      <c r="AQ37" s="55"/>
      <c r="AR37" s="53"/>
      <c r="AS37" s="196"/>
      <c r="AT37" s="196"/>
      <c r="AU37" s="196">
        <v>34587</v>
      </c>
      <c r="AV37" s="46" t="s">
        <v>1389</v>
      </c>
      <c r="AW37" s="46" t="s">
        <v>32</v>
      </c>
      <c r="AX37" s="55">
        <v>5</v>
      </c>
      <c r="AY37" s="56" t="s">
        <v>51</v>
      </c>
      <c r="AZ37" s="49" t="s">
        <v>26</v>
      </c>
      <c r="BA37" s="51" t="s">
        <v>51</v>
      </c>
      <c r="BB37" s="56" t="s">
        <v>1407</v>
      </c>
      <c r="BC37" s="54"/>
    </row>
    <row r="38" spans="1:55" x14ac:dyDescent="0.25">
      <c r="A38" s="10">
        <f t="shared" si="0"/>
        <v>37</v>
      </c>
      <c r="B38" s="46" t="s">
        <v>126</v>
      </c>
      <c r="C38" s="56" t="s">
        <v>34</v>
      </c>
      <c r="D38" s="47">
        <v>5400044</v>
      </c>
      <c r="E38" s="46" t="s">
        <v>36</v>
      </c>
      <c r="F38" s="48" t="s">
        <v>127</v>
      </c>
      <c r="G38" s="46">
        <v>6</v>
      </c>
      <c r="H38" s="50">
        <v>0.375</v>
      </c>
      <c r="I38" s="50">
        <v>0.54166666666666663</v>
      </c>
      <c r="J38" s="50">
        <v>0.16666666666666666</v>
      </c>
      <c r="K38" s="51" t="s">
        <v>128</v>
      </c>
      <c r="L38" s="49" t="s">
        <v>129</v>
      </c>
      <c r="M38" s="49" t="s">
        <v>26</v>
      </c>
      <c r="N38" s="52" t="s">
        <v>46</v>
      </c>
      <c r="O38" s="52" t="s">
        <v>1321</v>
      </c>
      <c r="P38" s="195">
        <v>45789</v>
      </c>
      <c r="Q38" s="195">
        <v>45789</v>
      </c>
      <c r="R38" s="195">
        <v>46518</v>
      </c>
      <c r="S38" s="195">
        <v>46519</v>
      </c>
      <c r="T38" s="46"/>
      <c r="U38" s="49" t="s">
        <v>130</v>
      </c>
      <c r="V38" s="46"/>
      <c r="W38" s="53"/>
      <c r="X38" s="49" t="s">
        <v>1719</v>
      </c>
      <c r="Y38" s="51" t="s">
        <v>39</v>
      </c>
      <c r="Z38" s="49">
        <v>2010041517</v>
      </c>
      <c r="AA38" s="51" t="s">
        <v>1344</v>
      </c>
      <c r="AB38" s="196">
        <v>40297</v>
      </c>
      <c r="AC38" s="196">
        <v>47602</v>
      </c>
      <c r="AD38" s="46">
        <v>8130412108</v>
      </c>
      <c r="AE38" s="53" t="s">
        <v>131</v>
      </c>
      <c r="AF38" s="200" t="s">
        <v>1364</v>
      </c>
      <c r="AG38" s="201">
        <v>113601501864</v>
      </c>
      <c r="AH38" s="200" t="s">
        <v>1720</v>
      </c>
      <c r="AI38" s="201" t="s">
        <v>1721</v>
      </c>
      <c r="AJ38" s="201"/>
      <c r="AK38" s="49"/>
      <c r="AL38" s="196">
        <v>45990</v>
      </c>
      <c r="AM38" s="196">
        <v>45961</v>
      </c>
      <c r="AN38" s="56" t="s">
        <v>1657</v>
      </c>
      <c r="AO38" s="53" t="s">
        <v>1722</v>
      </c>
      <c r="AP38" s="55">
        <f t="shared" ca="1" si="2"/>
        <v>41</v>
      </c>
      <c r="AQ38" s="202" t="s">
        <v>1677</v>
      </c>
      <c r="AR38" s="203" t="s">
        <v>1723</v>
      </c>
      <c r="AS38" s="196">
        <v>45776</v>
      </c>
      <c r="AT38" s="196">
        <v>46140</v>
      </c>
      <c r="AU38" s="196">
        <v>30952</v>
      </c>
      <c r="AV38" s="46" t="s">
        <v>1389</v>
      </c>
      <c r="AW38" s="46" t="s">
        <v>32</v>
      </c>
      <c r="AX38" s="54">
        <v>4</v>
      </c>
      <c r="AY38" s="56" t="s">
        <v>51</v>
      </c>
      <c r="AZ38" s="49" t="s">
        <v>26</v>
      </c>
      <c r="BA38" s="51" t="s">
        <v>51</v>
      </c>
      <c r="BB38" s="56" t="s">
        <v>34</v>
      </c>
      <c r="BC38" s="51"/>
    </row>
    <row r="39" spans="1:55" x14ac:dyDescent="0.25">
      <c r="A39" s="10">
        <f t="shared" si="0"/>
        <v>38</v>
      </c>
      <c r="B39" s="181"/>
      <c r="C39" s="592" t="s">
        <v>1407</v>
      </c>
      <c r="D39" s="41">
        <v>5400045</v>
      </c>
      <c r="E39" s="40" t="s">
        <v>36</v>
      </c>
      <c r="F39" s="39" t="s">
        <v>1724</v>
      </c>
      <c r="G39" s="40">
        <v>6</v>
      </c>
      <c r="H39" s="42">
        <v>0.33333333333333331</v>
      </c>
      <c r="I39" s="42">
        <v>0.875</v>
      </c>
      <c r="J39" s="42">
        <v>0.33333333333333331</v>
      </c>
      <c r="K39" s="35" t="s">
        <v>62</v>
      </c>
      <c r="L39" s="190"/>
      <c r="M39" s="63" t="s">
        <v>1355</v>
      </c>
      <c r="N39" s="100" t="s">
        <v>1520</v>
      </c>
      <c r="O39" s="43" t="s">
        <v>1521</v>
      </c>
      <c r="P39" s="182">
        <v>45789</v>
      </c>
      <c r="Q39" s="182">
        <v>45789</v>
      </c>
      <c r="R39" s="182">
        <v>46518</v>
      </c>
      <c r="S39" s="182">
        <v>46519</v>
      </c>
      <c r="T39" s="87">
        <v>2017</v>
      </c>
      <c r="U39" s="39" t="s">
        <v>1725</v>
      </c>
      <c r="V39" s="40">
        <v>2023</v>
      </c>
      <c r="W39" s="39" t="s">
        <v>1726</v>
      </c>
      <c r="X39" s="40"/>
      <c r="Y39" s="43" t="s">
        <v>1611</v>
      </c>
      <c r="Z39" s="39" t="s">
        <v>1727</v>
      </c>
      <c r="AA39" s="39" t="s">
        <v>1728</v>
      </c>
      <c r="AB39" s="182">
        <v>43195</v>
      </c>
      <c r="AC39" s="182">
        <v>46946</v>
      </c>
      <c r="AD39" s="40">
        <v>7838522773</v>
      </c>
      <c r="AE39" s="39" t="s">
        <v>1729</v>
      </c>
      <c r="AF39" s="43"/>
      <c r="AG39" s="40"/>
      <c r="AH39" s="40"/>
      <c r="AI39" s="40" t="s">
        <v>1730</v>
      </c>
      <c r="AJ39" s="44">
        <v>694029426296</v>
      </c>
      <c r="AK39" s="39" t="s">
        <v>1731</v>
      </c>
      <c r="AL39" s="183">
        <v>45797</v>
      </c>
      <c r="AM39" s="183" t="s">
        <v>30</v>
      </c>
      <c r="AN39" s="43" t="s">
        <v>1516</v>
      </c>
      <c r="AO39" s="43" t="s">
        <v>1732</v>
      </c>
      <c r="AP39" s="10">
        <v>31</v>
      </c>
      <c r="AQ39" s="39"/>
      <c r="AR39" s="40"/>
      <c r="AS39" s="40"/>
      <c r="AT39" s="40"/>
      <c r="AU39" s="182">
        <v>34455</v>
      </c>
      <c r="AV39" s="40" t="s">
        <v>1389</v>
      </c>
      <c r="AW39" s="31" t="s">
        <v>68</v>
      </c>
      <c r="AX39" s="139">
        <v>8</v>
      </c>
      <c r="AY39" s="58" t="s">
        <v>51</v>
      </c>
      <c r="AZ39" s="58" t="s">
        <v>1373</v>
      </c>
      <c r="BA39" s="58" t="s">
        <v>51</v>
      </c>
      <c r="BB39" s="58" t="s">
        <v>1407</v>
      </c>
      <c r="BC39" s="58"/>
    </row>
    <row r="40" spans="1:55" x14ac:dyDescent="0.25">
      <c r="A40" s="10">
        <f t="shared" si="0"/>
        <v>39</v>
      </c>
      <c r="B40" s="26" t="s">
        <v>1733</v>
      </c>
      <c r="C40" s="30" t="s">
        <v>34</v>
      </c>
      <c r="D40" s="37">
        <v>5400046</v>
      </c>
      <c r="E40" s="26" t="s">
        <v>36</v>
      </c>
      <c r="F40" s="14" t="s">
        <v>1734</v>
      </c>
      <c r="G40" s="26">
        <v>6</v>
      </c>
      <c r="H40" s="17">
        <v>0.41666666666666669</v>
      </c>
      <c r="I40" s="17">
        <v>0.54166666666666663</v>
      </c>
      <c r="J40" s="18">
        <v>0.125</v>
      </c>
      <c r="K40" s="21" t="s">
        <v>1707</v>
      </c>
      <c r="L40" s="28" t="s">
        <v>30</v>
      </c>
      <c r="M40" s="30" t="s">
        <v>1376</v>
      </c>
      <c r="N40" s="23" t="s">
        <v>1393</v>
      </c>
      <c r="O40" s="22" t="s">
        <v>30</v>
      </c>
      <c r="P40" s="169">
        <v>45819</v>
      </c>
      <c r="Q40" s="169">
        <v>45819</v>
      </c>
      <c r="R40" s="169">
        <v>46548</v>
      </c>
      <c r="S40" s="169">
        <v>46549</v>
      </c>
      <c r="T40" s="26"/>
      <c r="U40" s="28"/>
      <c r="V40" s="26"/>
      <c r="W40" s="33"/>
      <c r="X40" s="28" t="s">
        <v>1735</v>
      </c>
      <c r="Y40" s="33" t="s">
        <v>1440</v>
      </c>
      <c r="Z40" s="28">
        <v>63118</v>
      </c>
      <c r="AA40" s="38" t="s">
        <v>1344</v>
      </c>
      <c r="AB40" s="171">
        <v>44196</v>
      </c>
      <c r="AC40" s="171">
        <v>46000</v>
      </c>
      <c r="AD40" s="26">
        <v>9823729211</v>
      </c>
      <c r="AE40" s="33" t="s">
        <v>1736</v>
      </c>
      <c r="AF40" s="33" t="s">
        <v>1481</v>
      </c>
      <c r="AG40" s="26">
        <v>60428928254</v>
      </c>
      <c r="AH40" s="33" t="s">
        <v>1737</v>
      </c>
      <c r="AI40" s="26" t="s">
        <v>1738</v>
      </c>
      <c r="AJ40" s="184">
        <v>412608330598</v>
      </c>
      <c r="AK40" s="28" t="s">
        <v>1739</v>
      </c>
      <c r="AL40" s="26"/>
      <c r="AM40" s="26"/>
      <c r="AN40" s="26"/>
      <c r="AO40" s="33" t="s">
        <v>1740</v>
      </c>
      <c r="AP40" s="10">
        <f ca="1">ROUNDDOWN((TODAY() -AU40)/365.25,0)</f>
        <v>37</v>
      </c>
      <c r="AQ40" s="26"/>
      <c r="AR40" s="26"/>
      <c r="AS40" s="171"/>
      <c r="AT40" s="171"/>
      <c r="AU40" s="171">
        <v>32417</v>
      </c>
      <c r="AV40" s="26" t="s">
        <v>1389</v>
      </c>
      <c r="AW40" s="26" t="s">
        <v>32</v>
      </c>
      <c r="AX40" s="27">
        <v>3</v>
      </c>
      <c r="AY40" s="15" t="s">
        <v>51</v>
      </c>
      <c r="AZ40" s="28" t="s">
        <v>1390</v>
      </c>
      <c r="BA40" s="29" t="s">
        <v>51</v>
      </c>
      <c r="BB40" s="30" t="s">
        <v>34</v>
      </c>
      <c r="BC40" s="29"/>
    </row>
    <row r="41" spans="1:55" x14ac:dyDescent="0.25">
      <c r="A41" s="10">
        <f t="shared" si="0"/>
        <v>40</v>
      </c>
      <c r="B41" s="26" t="s">
        <v>1741</v>
      </c>
      <c r="C41" s="30" t="s">
        <v>34</v>
      </c>
      <c r="D41" s="37">
        <v>5400047</v>
      </c>
      <c r="E41" s="26" t="s">
        <v>36</v>
      </c>
      <c r="F41" s="14" t="s">
        <v>1742</v>
      </c>
      <c r="G41" s="26">
        <v>6</v>
      </c>
      <c r="H41" s="17">
        <v>0.33333333333333331</v>
      </c>
      <c r="I41" s="17">
        <v>0.875</v>
      </c>
      <c r="J41" s="18">
        <v>0.33333333333333331</v>
      </c>
      <c r="K41" s="21" t="s">
        <v>62</v>
      </c>
      <c r="L41" s="28" t="s">
        <v>30</v>
      </c>
      <c r="M41" s="28" t="s">
        <v>1355</v>
      </c>
      <c r="N41" s="23" t="s">
        <v>1743</v>
      </c>
      <c r="O41" s="33" t="s">
        <v>1546</v>
      </c>
      <c r="P41" s="169">
        <v>45826</v>
      </c>
      <c r="Q41" s="169">
        <v>45826</v>
      </c>
      <c r="R41" s="169">
        <v>46555</v>
      </c>
      <c r="S41" s="169">
        <v>46556</v>
      </c>
      <c r="T41" s="26">
        <v>2004</v>
      </c>
      <c r="U41" s="28" t="s">
        <v>1744</v>
      </c>
      <c r="V41" s="26">
        <v>2011</v>
      </c>
      <c r="W41" s="33" t="s">
        <v>1726</v>
      </c>
      <c r="X41" s="28" t="s">
        <v>1745</v>
      </c>
      <c r="Y41" s="33" t="s">
        <v>1360</v>
      </c>
      <c r="Z41" s="28">
        <v>2005124104</v>
      </c>
      <c r="AA41" s="38" t="s">
        <v>1344</v>
      </c>
      <c r="AB41" s="171">
        <v>38687</v>
      </c>
      <c r="AC41" s="171">
        <v>47818</v>
      </c>
      <c r="AD41" s="26" t="s">
        <v>1746</v>
      </c>
      <c r="AE41" s="33" t="s">
        <v>1747</v>
      </c>
      <c r="AF41" s="35" t="s">
        <v>1430</v>
      </c>
      <c r="AG41" s="173" t="s">
        <v>1748</v>
      </c>
      <c r="AH41" s="33" t="s">
        <v>1749</v>
      </c>
      <c r="AI41" s="26" t="s">
        <v>1750</v>
      </c>
      <c r="AJ41" s="184">
        <v>889439102912</v>
      </c>
      <c r="AK41" s="28" t="s">
        <v>1751</v>
      </c>
      <c r="AL41" s="26"/>
      <c r="AM41" s="26"/>
      <c r="AN41" s="26"/>
      <c r="AO41" s="33" t="s">
        <v>1752</v>
      </c>
      <c r="AP41" s="10">
        <f ca="1">ROUNDDOWN((TODAY() -AU41)/365.25,0)</f>
        <v>43</v>
      </c>
      <c r="AQ41" s="192" t="s">
        <v>1677</v>
      </c>
      <c r="AR41" s="186" t="s">
        <v>1753</v>
      </c>
      <c r="AS41" s="166">
        <v>45910</v>
      </c>
      <c r="AT41" s="166">
        <v>46274</v>
      </c>
      <c r="AU41" s="171">
        <v>30034</v>
      </c>
      <c r="AV41" s="26" t="s">
        <v>1352</v>
      </c>
      <c r="AW41" s="26" t="s">
        <v>68</v>
      </c>
      <c r="AX41" s="27">
        <v>8</v>
      </c>
      <c r="AY41" s="15" t="s">
        <v>51</v>
      </c>
      <c r="AZ41" s="28" t="s">
        <v>1373</v>
      </c>
      <c r="BA41" s="29" t="s">
        <v>51</v>
      </c>
      <c r="BB41" s="30" t="s">
        <v>34</v>
      </c>
      <c r="BC41" s="29"/>
    </row>
    <row r="42" spans="1:55" x14ac:dyDescent="0.25">
      <c r="A42" s="10">
        <f t="shared" si="0"/>
        <v>41</v>
      </c>
      <c r="B42" s="181" t="s">
        <v>1754</v>
      </c>
      <c r="C42" s="592" t="s">
        <v>1407</v>
      </c>
      <c r="D42" s="41">
        <v>5400048</v>
      </c>
      <c r="E42" s="40" t="s">
        <v>42</v>
      </c>
      <c r="F42" s="39" t="s">
        <v>1755</v>
      </c>
      <c r="G42" s="40">
        <v>6</v>
      </c>
      <c r="H42" s="42">
        <v>0.39583333333333331</v>
      </c>
      <c r="I42" s="42">
        <v>0.72916666666666663</v>
      </c>
      <c r="J42" s="42">
        <v>0.33333333333333331</v>
      </c>
      <c r="K42" s="587" t="s">
        <v>11080</v>
      </c>
      <c r="L42" s="190"/>
      <c r="M42" s="39" t="s">
        <v>26</v>
      </c>
      <c r="N42" s="43" t="s">
        <v>46</v>
      </c>
      <c r="O42" s="100" t="s">
        <v>1492</v>
      </c>
      <c r="P42" s="182">
        <v>45839</v>
      </c>
      <c r="Q42" s="182">
        <v>45839</v>
      </c>
      <c r="R42" s="182">
        <v>46568</v>
      </c>
      <c r="S42" s="182">
        <v>46569</v>
      </c>
      <c r="T42" s="87">
        <v>2009</v>
      </c>
      <c r="U42" s="39" t="s">
        <v>1756</v>
      </c>
      <c r="V42" s="40">
        <v>2014</v>
      </c>
      <c r="W42" s="39" t="s">
        <v>1757</v>
      </c>
      <c r="X42" s="40" t="s">
        <v>30</v>
      </c>
      <c r="Y42" s="43" t="s">
        <v>1611</v>
      </c>
      <c r="Z42" s="39">
        <v>2022129736</v>
      </c>
      <c r="AA42" s="39" t="s">
        <v>1344</v>
      </c>
      <c r="AB42" s="182">
        <v>44926</v>
      </c>
      <c r="AC42" s="182">
        <v>46752</v>
      </c>
      <c r="AD42" s="87">
        <v>8928894375</v>
      </c>
      <c r="AE42" s="39" t="s">
        <v>1758</v>
      </c>
      <c r="AF42" s="43" t="s">
        <v>1759</v>
      </c>
      <c r="AG42" s="204" t="s">
        <v>1760</v>
      </c>
      <c r="AH42" s="40" t="s">
        <v>1761</v>
      </c>
      <c r="AI42" s="40" t="s">
        <v>1762</v>
      </c>
      <c r="AJ42" s="205" t="s">
        <v>1763</v>
      </c>
      <c r="AK42" s="39" t="s">
        <v>1764</v>
      </c>
      <c r="AL42" s="182">
        <v>45881</v>
      </c>
      <c r="AM42" s="206" t="s">
        <v>30</v>
      </c>
      <c r="AN42" s="43" t="s">
        <v>1765</v>
      </c>
      <c r="AO42" s="43" t="s">
        <v>1766</v>
      </c>
      <c r="AP42" s="10">
        <v>40</v>
      </c>
      <c r="AQ42" s="39"/>
      <c r="AR42" s="40"/>
      <c r="AS42" s="40"/>
      <c r="AT42" s="40"/>
      <c r="AU42" s="182">
        <v>30956</v>
      </c>
      <c r="AV42" s="40" t="s">
        <v>1389</v>
      </c>
      <c r="AW42" s="31" t="s">
        <v>68</v>
      </c>
      <c r="AX42" s="139">
        <v>8</v>
      </c>
      <c r="AY42" s="58" t="s">
        <v>51</v>
      </c>
      <c r="AZ42" s="58" t="s">
        <v>26</v>
      </c>
      <c r="BA42" s="58" t="s">
        <v>51</v>
      </c>
      <c r="BB42" s="58" t="s">
        <v>1407</v>
      </c>
      <c r="BC42" s="58"/>
    </row>
    <row r="43" spans="1:55" x14ac:dyDescent="0.25">
      <c r="A43" s="10">
        <f t="shared" si="0"/>
        <v>42</v>
      </c>
      <c r="B43" s="10" t="s">
        <v>1767</v>
      </c>
      <c r="C43" s="30" t="s">
        <v>34</v>
      </c>
      <c r="D43" s="65">
        <v>5400049</v>
      </c>
      <c r="E43" s="31" t="s">
        <v>36</v>
      </c>
      <c r="F43" s="14" t="s">
        <v>1768</v>
      </c>
      <c r="G43" s="40">
        <v>6</v>
      </c>
      <c r="H43" s="42">
        <v>0.39583333333333331</v>
      </c>
      <c r="I43" s="42">
        <v>0.54166666666666663</v>
      </c>
      <c r="J43" s="18">
        <v>0.14583333333333334</v>
      </c>
      <c r="K43" s="21" t="s">
        <v>81</v>
      </c>
      <c r="L43" s="39" t="s">
        <v>30</v>
      </c>
      <c r="M43" s="30" t="s">
        <v>1376</v>
      </c>
      <c r="N43" s="23" t="s">
        <v>1393</v>
      </c>
      <c r="O43" s="22" t="s">
        <v>30</v>
      </c>
      <c r="P43" s="183">
        <v>45862</v>
      </c>
      <c r="Q43" s="183">
        <v>45862</v>
      </c>
      <c r="R43" s="183">
        <v>46591</v>
      </c>
      <c r="S43" s="183">
        <v>46592</v>
      </c>
      <c r="T43" s="40">
        <v>2016</v>
      </c>
      <c r="U43" s="39" t="s">
        <v>1769</v>
      </c>
      <c r="V43" s="40" t="s">
        <v>30</v>
      </c>
      <c r="W43" s="43" t="s">
        <v>30</v>
      </c>
      <c r="X43" s="39" t="s">
        <v>30</v>
      </c>
      <c r="Y43" s="43" t="s">
        <v>1440</v>
      </c>
      <c r="Z43" s="39">
        <v>69012</v>
      </c>
      <c r="AA43" s="43" t="s">
        <v>1441</v>
      </c>
      <c r="AB43" s="171">
        <v>45131</v>
      </c>
      <c r="AC43" s="171">
        <v>46957</v>
      </c>
      <c r="AD43" s="40" t="s">
        <v>1770</v>
      </c>
      <c r="AE43" s="207" t="s">
        <v>1771</v>
      </c>
      <c r="AF43" s="35" t="s">
        <v>1772</v>
      </c>
      <c r="AG43" s="208" t="s">
        <v>1773</v>
      </c>
      <c r="AH43" s="35" t="s">
        <v>1774</v>
      </c>
      <c r="AI43" s="31" t="s">
        <v>1775</v>
      </c>
      <c r="AJ43" s="209">
        <v>757545197058</v>
      </c>
      <c r="AK43" s="30" t="s">
        <v>1776</v>
      </c>
      <c r="AL43" s="210"/>
      <c r="AM43" s="35"/>
      <c r="AN43" s="35"/>
      <c r="AO43" s="35" t="s">
        <v>1777</v>
      </c>
      <c r="AP43" s="10">
        <f t="shared" ref="AP43:AP106" ca="1" si="3">ROUNDDOWN((TODAY() -AU43)/365.25,0)</f>
        <v>31</v>
      </c>
      <c r="AQ43" s="43"/>
      <c r="AR43" s="43"/>
      <c r="AS43" s="182"/>
      <c r="AT43" s="182"/>
      <c r="AU43" s="182">
        <v>34556</v>
      </c>
      <c r="AV43" s="43" t="s">
        <v>1389</v>
      </c>
      <c r="AW43" s="40" t="s">
        <v>32</v>
      </c>
      <c r="AX43" s="27">
        <v>3.5</v>
      </c>
      <c r="AY43" s="15" t="s">
        <v>51</v>
      </c>
      <c r="AZ43" s="28" t="s">
        <v>1390</v>
      </c>
      <c r="BA43" s="29" t="s">
        <v>51</v>
      </c>
      <c r="BB43" s="30" t="s">
        <v>34</v>
      </c>
      <c r="BC43" s="29"/>
    </row>
    <row r="44" spans="1:55" x14ac:dyDescent="0.25">
      <c r="A44" s="10">
        <f t="shared" si="0"/>
        <v>43</v>
      </c>
      <c r="B44" s="54" t="s">
        <v>1778</v>
      </c>
      <c r="C44" s="56" t="s">
        <v>34</v>
      </c>
      <c r="D44" s="47">
        <v>5400050</v>
      </c>
      <c r="E44" s="46" t="s">
        <v>36</v>
      </c>
      <c r="F44" s="49" t="s">
        <v>1779</v>
      </c>
      <c r="G44" s="46">
        <v>6</v>
      </c>
      <c r="H44" s="50">
        <v>0.39583333333333331</v>
      </c>
      <c r="I44" s="50">
        <v>0.5625</v>
      </c>
      <c r="J44" s="50">
        <v>0.16666666666666666</v>
      </c>
      <c r="K44" s="51" t="s">
        <v>54</v>
      </c>
      <c r="L44" s="49" t="s">
        <v>30</v>
      </c>
      <c r="M44" s="56" t="s">
        <v>1376</v>
      </c>
      <c r="N44" s="52" t="s">
        <v>1393</v>
      </c>
      <c r="O44" s="53" t="s">
        <v>30</v>
      </c>
      <c r="P44" s="195">
        <v>45870</v>
      </c>
      <c r="Q44" s="195">
        <v>45870</v>
      </c>
      <c r="R44" s="195">
        <v>46599</v>
      </c>
      <c r="S44" s="195">
        <v>46600</v>
      </c>
      <c r="T44" s="46">
        <v>2007</v>
      </c>
      <c r="U44" s="49" t="s">
        <v>1780</v>
      </c>
      <c r="V44" s="46" t="s">
        <v>30</v>
      </c>
      <c r="W44" s="53" t="s">
        <v>30</v>
      </c>
      <c r="X44" s="49" t="s">
        <v>30</v>
      </c>
      <c r="Y44" s="53" t="s">
        <v>1379</v>
      </c>
      <c r="Z44" s="49" t="s">
        <v>1781</v>
      </c>
      <c r="AA44" s="53" t="s">
        <v>1381</v>
      </c>
      <c r="AB44" s="196">
        <v>39940</v>
      </c>
      <c r="AC44" s="196" t="s">
        <v>30</v>
      </c>
      <c r="AD44" s="46" t="s">
        <v>1782</v>
      </c>
      <c r="AE44" s="211" t="s">
        <v>1783</v>
      </c>
      <c r="AF44" s="51" t="s">
        <v>1466</v>
      </c>
      <c r="AG44" s="212" t="s">
        <v>1784</v>
      </c>
      <c r="AH44" s="51" t="s">
        <v>1785</v>
      </c>
      <c r="AI44" s="54" t="s">
        <v>1786</v>
      </c>
      <c r="AJ44" s="213">
        <v>766374689491</v>
      </c>
      <c r="AK44" s="56" t="s">
        <v>1787</v>
      </c>
      <c r="AL44" s="199">
        <v>45961</v>
      </c>
      <c r="AM44" s="199">
        <v>45943</v>
      </c>
      <c r="AN44" s="56" t="s">
        <v>1788</v>
      </c>
      <c r="AO44" s="51" t="s">
        <v>1789</v>
      </c>
      <c r="AP44" s="55">
        <f t="shared" ca="1" si="3"/>
        <v>41</v>
      </c>
      <c r="AQ44" s="53"/>
      <c r="AR44" s="53"/>
      <c r="AS44" s="196"/>
      <c r="AT44" s="196"/>
      <c r="AU44" s="196">
        <v>30640</v>
      </c>
      <c r="AV44" s="53" t="s">
        <v>1389</v>
      </c>
      <c r="AW44" s="46" t="s">
        <v>32</v>
      </c>
      <c r="AX44" s="54">
        <v>4</v>
      </c>
      <c r="AY44" s="56" t="s">
        <v>51</v>
      </c>
      <c r="AZ44" s="49" t="s">
        <v>1390</v>
      </c>
      <c r="BA44" s="51" t="s">
        <v>51</v>
      </c>
      <c r="BB44" s="56" t="s">
        <v>34</v>
      </c>
      <c r="BC44" s="51"/>
    </row>
    <row r="45" spans="1:55" x14ac:dyDescent="0.25">
      <c r="A45" s="10">
        <f t="shared" si="0"/>
        <v>44</v>
      </c>
      <c r="B45" s="31" t="s">
        <v>132</v>
      </c>
      <c r="C45" s="30" t="s">
        <v>34</v>
      </c>
      <c r="D45" s="37">
        <v>5400051</v>
      </c>
      <c r="E45" s="26" t="s">
        <v>36</v>
      </c>
      <c r="F45" s="14" t="s">
        <v>133</v>
      </c>
      <c r="G45" s="26">
        <v>6</v>
      </c>
      <c r="H45" s="17">
        <v>0.375</v>
      </c>
      <c r="I45" s="17">
        <v>0.54166666666666663</v>
      </c>
      <c r="J45" s="18">
        <v>0.16666666666666666</v>
      </c>
      <c r="K45" s="21" t="s">
        <v>62</v>
      </c>
      <c r="L45" s="28" t="s">
        <v>134</v>
      </c>
      <c r="M45" s="28" t="s">
        <v>26</v>
      </c>
      <c r="N45" s="23" t="s">
        <v>46</v>
      </c>
      <c r="O45" s="23" t="s">
        <v>1321</v>
      </c>
      <c r="P45" s="183">
        <v>45887</v>
      </c>
      <c r="Q45" s="183">
        <v>45887</v>
      </c>
      <c r="R45" s="183">
        <v>46616</v>
      </c>
      <c r="S45" s="183">
        <v>46617</v>
      </c>
      <c r="T45" s="26">
        <v>2018</v>
      </c>
      <c r="U45" s="28" t="s">
        <v>135</v>
      </c>
      <c r="V45" s="26">
        <v>2023</v>
      </c>
      <c r="W45" s="33" t="s">
        <v>136</v>
      </c>
      <c r="X45" s="28" t="s">
        <v>30</v>
      </c>
      <c r="Y45" s="33" t="s">
        <v>49</v>
      </c>
      <c r="Z45" s="28" t="s">
        <v>1790</v>
      </c>
      <c r="AA45" s="38" t="s">
        <v>1344</v>
      </c>
      <c r="AB45" s="171">
        <v>45240</v>
      </c>
      <c r="AC45" s="171">
        <v>47066</v>
      </c>
      <c r="AD45" s="26">
        <v>9369495835</v>
      </c>
      <c r="AE45" s="33" t="s">
        <v>137</v>
      </c>
      <c r="AF45" s="35" t="s">
        <v>1410</v>
      </c>
      <c r="AG45" s="173" t="s">
        <v>1791</v>
      </c>
      <c r="AH45" s="33" t="s">
        <v>1792</v>
      </c>
      <c r="AI45" s="26" t="s">
        <v>1793</v>
      </c>
      <c r="AJ45" s="173" t="s">
        <v>1794</v>
      </c>
      <c r="AK45" s="28" t="s">
        <v>1795</v>
      </c>
      <c r="AL45" s="171"/>
      <c r="AM45" s="26"/>
      <c r="AN45" s="26"/>
      <c r="AO45" s="33" t="s">
        <v>1796</v>
      </c>
      <c r="AP45" s="26">
        <f t="shared" ca="1" si="3"/>
        <v>29</v>
      </c>
      <c r="AQ45" s="28" t="s">
        <v>1797</v>
      </c>
      <c r="AR45" s="33" t="s">
        <v>1798</v>
      </c>
      <c r="AS45" s="182">
        <v>45887</v>
      </c>
      <c r="AT45" s="182">
        <v>46251</v>
      </c>
      <c r="AU45" s="182">
        <v>35116</v>
      </c>
      <c r="AV45" s="26" t="s">
        <v>1389</v>
      </c>
      <c r="AW45" s="26" t="s">
        <v>32</v>
      </c>
      <c r="AX45" s="27">
        <v>4</v>
      </c>
      <c r="AY45" s="15" t="s">
        <v>51</v>
      </c>
      <c r="AZ45" s="39" t="s">
        <v>26</v>
      </c>
      <c r="BA45" s="29" t="s">
        <v>51</v>
      </c>
      <c r="BB45" s="30" t="s">
        <v>34</v>
      </c>
      <c r="BC45" s="29"/>
    </row>
    <row r="46" spans="1:55" x14ac:dyDescent="0.25">
      <c r="A46" s="10">
        <f t="shared" si="0"/>
        <v>45</v>
      </c>
      <c r="B46" s="54" t="s">
        <v>1799</v>
      </c>
      <c r="C46" s="56" t="s">
        <v>34</v>
      </c>
      <c r="D46" s="47">
        <v>5400052</v>
      </c>
      <c r="E46" s="46" t="s">
        <v>36</v>
      </c>
      <c r="F46" s="49" t="s">
        <v>1800</v>
      </c>
      <c r="G46" s="46">
        <v>6</v>
      </c>
      <c r="H46" s="50">
        <v>0.77083333333333337</v>
      </c>
      <c r="I46" s="50">
        <v>0.91666666666666663</v>
      </c>
      <c r="J46" s="50">
        <v>0.14583333333333334</v>
      </c>
      <c r="K46" s="51" t="s">
        <v>62</v>
      </c>
      <c r="L46" s="49" t="s">
        <v>30</v>
      </c>
      <c r="M46" s="49" t="s">
        <v>1355</v>
      </c>
      <c r="N46" s="52" t="s">
        <v>1520</v>
      </c>
      <c r="O46" s="53" t="s">
        <v>1546</v>
      </c>
      <c r="P46" s="195">
        <v>45890</v>
      </c>
      <c r="Q46" s="195">
        <v>45890</v>
      </c>
      <c r="R46" s="195">
        <v>46619</v>
      </c>
      <c r="S46" s="195">
        <v>46620</v>
      </c>
      <c r="T46" s="46">
        <v>2019</v>
      </c>
      <c r="U46" s="56" t="s">
        <v>1801</v>
      </c>
      <c r="V46" s="46">
        <v>2025</v>
      </c>
      <c r="W46" s="51" t="s">
        <v>1802</v>
      </c>
      <c r="X46" s="49" t="s">
        <v>30</v>
      </c>
      <c r="Y46" s="53" t="s">
        <v>1360</v>
      </c>
      <c r="Z46" s="48" t="s">
        <v>1803</v>
      </c>
      <c r="AA46" s="51" t="s">
        <v>1344</v>
      </c>
      <c r="AB46" s="196">
        <v>45752</v>
      </c>
      <c r="AC46" s="196">
        <v>47577</v>
      </c>
      <c r="AD46" s="197">
        <v>7588428294</v>
      </c>
      <c r="AE46" s="214" t="s">
        <v>1804</v>
      </c>
      <c r="AF46" s="53" t="s">
        <v>1805</v>
      </c>
      <c r="AG46" s="215" t="s">
        <v>1806</v>
      </c>
      <c r="AH46" s="53" t="s">
        <v>1807</v>
      </c>
      <c r="AI46" s="46" t="s">
        <v>1808</v>
      </c>
      <c r="AJ46" s="215" t="s">
        <v>1809</v>
      </c>
      <c r="AK46" s="53" t="s">
        <v>1810</v>
      </c>
      <c r="AL46" s="196">
        <v>45997</v>
      </c>
      <c r="AM46" s="196">
        <v>45938</v>
      </c>
      <c r="AN46" s="49" t="s">
        <v>1592</v>
      </c>
      <c r="AO46" s="53" t="s">
        <v>1811</v>
      </c>
      <c r="AP46" s="46">
        <f t="shared" ca="1" si="3"/>
        <v>28</v>
      </c>
      <c r="AQ46" s="53"/>
      <c r="AR46" s="53"/>
      <c r="AS46" s="196"/>
      <c r="AT46" s="196"/>
      <c r="AU46" s="196">
        <v>35470</v>
      </c>
      <c r="AV46" s="53" t="s">
        <v>1352</v>
      </c>
      <c r="AW46" s="46" t="s">
        <v>32</v>
      </c>
      <c r="AX46" s="54">
        <v>3.5</v>
      </c>
      <c r="AY46" s="56" t="s">
        <v>51</v>
      </c>
      <c r="AZ46" s="49" t="s">
        <v>1373</v>
      </c>
      <c r="BA46" s="51" t="s">
        <v>51</v>
      </c>
      <c r="BB46" s="56" t="s">
        <v>34</v>
      </c>
      <c r="BC46" s="51"/>
    </row>
    <row r="47" spans="1:55" x14ac:dyDescent="0.25">
      <c r="A47" s="10">
        <f t="shared" si="0"/>
        <v>46</v>
      </c>
      <c r="B47" s="31" t="s">
        <v>1812</v>
      </c>
      <c r="C47" s="30" t="s">
        <v>34</v>
      </c>
      <c r="D47" s="32">
        <v>5400053</v>
      </c>
      <c r="E47" s="26" t="s">
        <v>36</v>
      </c>
      <c r="F47" s="14" t="s">
        <v>1813</v>
      </c>
      <c r="G47" s="26">
        <v>6</v>
      </c>
      <c r="H47" s="17">
        <v>0.375</v>
      </c>
      <c r="I47" s="17">
        <v>0.5</v>
      </c>
      <c r="J47" s="18">
        <v>0.125</v>
      </c>
      <c r="K47" s="21" t="s">
        <v>128</v>
      </c>
      <c r="L47" s="28" t="s">
        <v>30</v>
      </c>
      <c r="M47" s="30" t="s">
        <v>1376</v>
      </c>
      <c r="N47" s="23" t="s">
        <v>1393</v>
      </c>
      <c r="O47" s="22" t="s">
        <v>30</v>
      </c>
      <c r="P47" s="169">
        <v>45901</v>
      </c>
      <c r="Q47" s="169">
        <v>45901</v>
      </c>
      <c r="R47" s="169">
        <v>46630</v>
      </c>
      <c r="S47" s="169">
        <v>46631</v>
      </c>
      <c r="T47" s="26">
        <v>2004</v>
      </c>
      <c r="U47" s="15" t="s">
        <v>1814</v>
      </c>
      <c r="V47" s="26" t="s">
        <v>30</v>
      </c>
      <c r="W47" s="33" t="s">
        <v>30</v>
      </c>
      <c r="X47" s="28" t="s">
        <v>30</v>
      </c>
      <c r="Y47" s="33" t="s">
        <v>1440</v>
      </c>
      <c r="Z47" s="28">
        <v>40159</v>
      </c>
      <c r="AA47" s="43" t="s">
        <v>1441</v>
      </c>
      <c r="AB47" s="171">
        <v>45922</v>
      </c>
      <c r="AC47" s="171">
        <v>47808</v>
      </c>
      <c r="AD47" s="16">
        <v>9028737509</v>
      </c>
      <c r="AE47" s="216" t="s">
        <v>1815</v>
      </c>
      <c r="AF47" s="35" t="s">
        <v>1410</v>
      </c>
      <c r="AG47" s="173" t="s">
        <v>1816</v>
      </c>
      <c r="AH47" s="33" t="s">
        <v>1553</v>
      </c>
      <c r="AI47" s="26" t="s">
        <v>1817</v>
      </c>
      <c r="AJ47" s="174" t="s">
        <v>1818</v>
      </c>
      <c r="AK47" s="33" t="s">
        <v>1819</v>
      </c>
      <c r="AL47" s="33"/>
      <c r="AM47" s="33"/>
      <c r="AN47" s="33"/>
      <c r="AO47" s="22" t="s">
        <v>1820</v>
      </c>
      <c r="AP47" s="26">
        <f t="shared" ca="1" si="3"/>
        <v>44</v>
      </c>
      <c r="AQ47" s="33"/>
      <c r="AR47" s="33"/>
      <c r="AS47" s="171"/>
      <c r="AT47" s="171"/>
      <c r="AU47" s="171">
        <v>29732</v>
      </c>
      <c r="AV47" s="33" t="s">
        <v>1389</v>
      </c>
      <c r="AW47" s="26" t="s">
        <v>32</v>
      </c>
      <c r="AX47" s="27">
        <v>3</v>
      </c>
      <c r="AY47" s="15" t="s">
        <v>51</v>
      </c>
      <c r="AZ47" s="28" t="s">
        <v>1390</v>
      </c>
      <c r="BA47" s="29" t="s">
        <v>51</v>
      </c>
      <c r="BB47" s="30" t="s">
        <v>34</v>
      </c>
      <c r="BC47" s="29"/>
    </row>
    <row r="48" spans="1:55" x14ac:dyDescent="0.25">
      <c r="A48" s="10">
        <f t="shared" si="0"/>
        <v>47</v>
      </c>
      <c r="B48" s="31" t="s">
        <v>1821</v>
      </c>
      <c r="C48" s="30" t="s">
        <v>34</v>
      </c>
      <c r="D48" s="32">
        <v>5400054</v>
      </c>
      <c r="E48" s="26" t="s">
        <v>36</v>
      </c>
      <c r="F48" s="14" t="s">
        <v>1822</v>
      </c>
      <c r="G48" s="26">
        <v>6</v>
      </c>
      <c r="H48" s="17">
        <v>0.39583333333333331</v>
      </c>
      <c r="I48" s="17">
        <v>0.52083333333333337</v>
      </c>
      <c r="J48" s="18">
        <v>0.125</v>
      </c>
      <c r="K48" s="587" t="s">
        <v>11080</v>
      </c>
      <c r="L48" s="28" t="s">
        <v>30</v>
      </c>
      <c r="M48" s="30" t="s">
        <v>1376</v>
      </c>
      <c r="N48" s="23" t="s">
        <v>1393</v>
      </c>
      <c r="O48" s="22" t="s">
        <v>30</v>
      </c>
      <c r="P48" s="169">
        <v>45908</v>
      </c>
      <c r="Q48" s="169">
        <v>45908</v>
      </c>
      <c r="R48" s="169">
        <v>46637</v>
      </c>
      <c r="S48" s="169">
        <v>46638</v>
      </c>
      <c r="T48" s="26">
        <v>2022</v>
      </c>
      <c r="U48" s="15" t="s">
        <v>1823</v>
      </c>
      <c r="V48" s="26" t="s">
        <v>30</v>
      </c>
      <c r="W48" s="33" t="s">
        <v>30</v>
      </c>
      <c r="X48" s="28" t="s">
        <v>30</v>
      </c>
      <c r="Y48" s="33" t="s">
        <v>226</v>
      </c>
      <c r="Z48" s="217" t="s">
        <v>1824</v>
      </c>
      <c r="AA48" s="38" t="s">
        <v>1344</v>
      </c>
      <c r="AB48" s="171">
        <v>45580</v>
      </c>
      <c r="AC48" s="171">
        <v>47406</v>
      </c>
      <c r="AD48" s="16">
        <v>9970589990</v>
      </c>
      <c r="AE48" s="216" t="s">
        <v>1825</v>
      </c>
      <c r="AF48" s="33" t="s">
        <v>1826</v>
      </c>
      <c r="AG48" s="173" t="s">
        <v>1827</v>
      </c>
      <c r="AH48" s="33" t="s">
        <v>1828</v>
      </c>
      <c r="AI48" s="26" t="s">
        <v>1829</v>
      </c>
      <c r="AJ48" s="174" t="s">
        <v>1830</v>
      </c>
      <c r="AK48" s="33" t="s">
        <v>1831</v>
      </c>
      <c r="AL48" s="33"/>
      <c r="AM48" s="33"/>
      <c r="AN48" s="33"/>
      <c r="AO48" s="33" t="s">
        <v>1832</v>
      </c>
      <c r="AP48" s="26">
        <f t="shared" ca="1" si="3"/>
        <v>24</v>
      </c>
      <c r="AQ48" s="33"/>
      <c r="AR48" s="33"/>
      <c r="AS48" s="171"/>
      <c r="AT48" s="171"/>
      <c r="AU48" s="171">
        <v>36874</v>
      </c>
      <c r="AV48" s="33" t="s">
        <v>1352</v>
      </c>
      <c r="AW48" s="26" t="s">
        <v>32</v>
      </c>
      <c r="AX48" s="27">
        <v>3</v>
      </c>
      <c r="AY48" s="15" t="s">
        <v>51</v>
      </c>
      <c r="AZ48" s="28" t="s">
        <v>1390</v>
      </c>
      <c r="BA48" s="29" t="s">
        <v>51</v>
      </c>
      <c r="BB48" s="30" t="s">
        <v>34</v>
      </c>
      <c r="BC48" s="29"/>
    </row>
    <row r="49" spans="1:55" x14ac:dyDescent="0.25">
      <c r="A49" s="10">
        <f t="shared" si="0"/>
        <v>48</v>
      </c>
      <c r="B49" s="31" t="s">
        <v>138</v>
      </c>
      <c r="C49" s="58" t="s">
        <v>34</v>
      </c>
      <c r="D49" s="20">
        <v>5400057</v>
      </c>
      <c r="E49" s="13" t="s">
        <v>36</v>
      </c>
      <c r="F49" s="33" t="s">
        <v>139</v>
      </c>
      <c r="G49" s="26">
        <v>6</v>
      </c>
      <c r="H49" s="17">
        <v>0.375</v>
      </c>
      <c r="I49" s="17">
        <v>0.70833333333333337</v>
      </c>
      <c r="J49" s="42">
        <v>0.33333333333333331</v>
      </c>
      <c r="K49" s="587" t="s">
        <v>11080</v>
      </c>
      <c r="L49" s="59" t="s">
        <v>140</v>
      </c>
      <c r="M49" s="28" t="s">
        <v>26</v>
      </c>
      <c r="N49" s="23" t="s">
        <v>46</v>
      </c>
      <c r="O49" s="23" t="s">
        <v>1321</v>
      </c>
      <c r="P49" s="169">
        <v>45957</v>
      </c>
      <c r="Q49" s="169">
        <v>45957</v>
      </c>
      <c r="R49" s="169">
        <v>46686</v>
      </c>
      <c r="S49" s="169">
        <v>46687</v>
      </c>
      <c r="T49" s="26">
        <v>2018</v>
      </c>
      <c r="U49" s="60" t="s">
        <v>141</v>
      </c>
      <c r="V49" s="61">
        <v>2023</v>
      </c>
      <c r="W49" s="60" t="s">
        <v>142</v>
      </c>
      <c r="X49" s="62" t="s">
        <v>30</v>
      </c>
      <c r="Y49" s="33" t="s">
        <v>49</v>
      </c>
      <c r="Z49" s="28">
        <v>20251011229</v>
      </c>
      <c r="AA49" s="35" t="s">
        <v>1344</v>
      </c>
      <c r="AB49" s="171">
        <v>45954</v>
      </c>
      <c r="AC49" s="171">
        <v>47779</v>
      </c>
      <c r="AD49" s="167">
        <v>8008047489</v>
      </c>
      <c r="AE49" s="218" t="s">
        <v>143</v>
      </c>
      <c r="AF49" s="33" t="s">
        <v>1833</v>
      </c>
      <c r="AG49" s="177" t="s">
        <v>1834</v>
      </c>
      <c r="AH49" s="62" t="s">
        <v>1835</v>
      </c>
      <c r="AI49" s="26" t="s">
        <v>1836</v>
      </c>
      <c r="AJ49" s="173" t="s">
        <v>1837</v>
      </c>
      <c r="AK49" s="63" t="s">
        <v>1838</v>
      </c>
      <c r="AL49" s="171"/>
      <c r="AM49" s="26"/>
      <c r="AN49" s="33"/>
      <c r="AO49" s="63" t="s">
        <v>1839</v>
      </c>
      <c r="AP49" s="26">
        <f t="shared" ca="1" si="3"/>
        <v>29</v>
      </c>
      <c r="AQ49" s="28"/>
      <c r="AR49" s="186"/>
      <c r="AS49" s="169"/>
      <c r="AT49" s="169"/>
      <c r="AU49" s="171">
        <v>35040</v>
      </c>
      <c r="AV49" s="64" t="s">
        <v>1389</v>
      </c>
      <c r="AW49" s="26" t="s">
        <v>68</v>
      </c>
      <c r="AX49" s="26">
        <v>8</v>
      </c>
      <c r="AY49" s="58" t="s">
        <v>51</v>
      </c>
      <c r="AZ49" s="28" t="s">
        <v>26</v>
      </c>
      <c r="BA49" s="33" t="s">
        <v>51</v>
      </c>
      <c r="BB49" s="58" t="s">
        <v>34</v>
      </c>
      <c r="BC49" s="33"/>
    </row>
    <row r="50" spans="1:55" x14ac:dyDescent="0.25">
      <c r="A50" s="10">
        <f t="shared" si="0"/>
        <v>49</v>
      </c>
      <c r="B50" s="10" t="s">
        <v>144</v>
      </c>
      <c r="C50" s="30" t="s">
        <v>34</v>
      </c>
      <c r="D50" s="65">
        <v>400001</v>
      </c>
      <c r="E50" s="10" t="s">
        <v>36</v>
      </c>
      <c r="F50" s="14" t="s">
        <v>145</v>
      </c>
      <c r="G50" s="10">
        <v>4</v>
      </c>
      <c r="H50" s="66">
        <v>0.375</v>
      </c>
      <c r="I50" s="66" t="s">
        <v>146</v>
      </c>
      <c r="J50" s="66">
        <v>0.3125</v>
      </c>
      <c r="K50" s="21" t="s">
        <v>147</v>
      </c>
      <c r="L50" s="14" t="s">
        <v>148</v>
      </c>
      <c r="M50" s="14" t="s">
        <v>26</v>
      </c>
      <c r="N50" s="23" t="s">
        <v>38</v>
      </c>
      <c r="O50" s="23" t="s">
        <v>1321</v>
      </c>
      <c r="P50" s="161">
        <v>36861</v>
      </c>
      <c r="Q50" s="161">
        <v>45566</v>
      </c>
      <c r="R50" s="161">
        <v>46295</v>
      </c>
      <c r="S50" s="161">
        <v>46296</v>
      </c>
      <c r="T50" s="10">
        <v>1987</v>
      </c>
      <c r="U50" s="14" t="s">
        <v>149</v>
      </c>
      <c r="V50" s="10">
        <v>1993</v>
      </c>
      <c r="W50" s="14" t="s">
        <v>149</v>
      </c>
      <c r="X50" s="10" t="s">
        <v>30</v>
      </c>
      <c r="Y50" s="23" t="s">
        <v>66</v>
      </c>
      <c r="Z50" s="14" t="s">
        <v>1840</v>
      </c>
      <c r="AA50" s="23" t="s">
        <v>1841</v>
      </c>
      <c r="AB50" s="219">
        <v>44249</v>
      </c>
      <c r="AC50" s="219">
        <v>46074</v>
      </c>
      <c r="AD50" s="220">
        <v>9866176573</v>
      </c>
      <c r="AE50" s="23" t="s">
        <v>150</v>
      </c>
      <c r="AF50" s="30" t="s">
        <v>1805</v>
      </c>
      <c r="AG50" s="221" t="s">
        <v>1842</v>
      </c>
      <c r="AH50" s="31" t="s">
        <v>1843</v>
      </c>
      <c r="AI50" s="31" t="s">
        <v>1844</v>
      </c>
      <c r="AJ50" s="221" t="s">
        <v>1845</v>
      </c>
      <c r="AK50" s="30" t="s">
        <v>1846</v>
      </c>
      <c r="AL50" s="210"/>
      <c r="AM50" s="210"/>
      <c r="AN50" s="35"/>
      <c r="AO50" s="35" t="s">
        <v>1847</v>
      </c>
      <c r="AP50" s="10">
        <f t="shared" ca="1" si="3"/>
        <v>61</v>
      </c>
      <c r="AQ50" s="67" t="s">
        <v>1677</v>
      </c>
      <c r="AR50" s="222" t="s">
        <v>1848</v>
      </c>
      <c r="AS50" s="187">
        <v>45730</v>
      </c>
      <c r="AT50" s="187">
        <v>46094</v>
      </c>
      <c r="AU50" s="223">
        <v>23523</v>
      </c>
      <c r="AV50" s="10" t="s">
        <v>1389</v>
      </c>
      <c r="AW50" s="10" t="s">
        <v>32</v>
      </c>
      <c r="AX50" s="10">
        <v>7.5</v>
      </c>
      <c r="AY50" s="14" t="s">
        <v>1849</v>
      </c>
      <c r="AZ50" s="30" t="s">
        <v>26</v>
      </c>
      <c r="BA50" s="23" t="s">
        <v>151</v>
      </c>
      <c r="BB50" s="30" t="s">
        <v>34</v>
      </c>
      <c r="BC50" s="22"/>
    </row>
    <row r="51" spans="1:55" x14ac:dyDescent="0.25">
      <c r="A51" s="10">
        <f t="shared" si="0"/>
        <v>50</v>
      </c>
      <c r="B51" s="10" t="s">
        <v>1850</v>
      </c>
      <c r="C51" s="30" t="s">
        <v>34</v>
      </c>
      <c r="D51" s="65">
        <v>400002</v>
      </c>
      <c r="E51" s="31" t="s">
        <v>36</v>
      </c>
      <c r="F51" s="14" t="s">
        <v>1851</v>
      </c>
      <c r="G51" s="10">
        <v>6</v>
      </c>
      <c r="H51" s="66">
        <v>0.33333333333333331</v>
      </c>
      <c r="I51" s="66">
        <v>0.9375</v>
      </c>
      <c r="J51" s="66">
        <v>0.33333333333333331</v>
      </c>
      <c r="K51" s="21" t="s">
        <v>147</v>
      </c>
      <c r="L51" s="30" t="s">
        <v>1544</v>
      </c>
      <c r="M51" s="30" t="s">
        <v>1852</v>
      </c>
      <c r="N51" s="23" t="s">
        <v>1853</v>
      </c>
      <c r="O51" s="35" t="s">
        <v>1357</v>
      </c>
      <c r="P51" s="161">
        <v>40087</v>
      </c>
      <c r="Q51" s="161">
        <v>45539</v>
      </c>
      <c r="R51" s="161">
        <v>46268</v>
      </c>
      <c r="S51" s="161">
        <v>46269</v>
      </c>
      <c r="T51" s="10">
        <v>1985</v>
      </c>
      <c r="U51" s="30" t="s">
        <v>1137</v>
      </c>
      <c r="V51" s="10">
        <v>1996</v>
      </c>
      <c r="W51" s="14" t="s">
        <v>424</v>
      </c>
      <c r="X51" s="31" t="s">
        <v>30</v>
      </c>
      <c r="Y51" s="35" t="s">
        <v>1549</v>
      </c>
      <c r="Z51" s="14" t="s">
        <v>1854</v>
      </c>
      <c r="AA51" s="23" t="s">
        <v>1841</v>
      </c>
      <c r="AB51" s="219">
        <v>45887</v>
      </c>
      <c r="AC51" s="219">
        <v>47712</v>
      </c>
      <c r="AD51" s="220">
        <v>9032860538</v>
      </c>
      <c r="AE51" s="224" t="s">
        <v>1855</v>
      </c>
      <c r="AF51" s="28" t="s">
        <v>1495</v>
      </c>
      <c r="AG51" s="221" t="s">
        <v>1856</v>
      </c>
      <c r="AH51" s="31" t="s">
        <v>1857</v>
      </c>
      <c r="AI51" s="31" t="s">
        <v>1858</v>
      </c>
      <c r="AJ51" s="221" t="s">
        <v>1859</v>
      </c>
      <c r="AK51" s="30" t="s">
        <v>1860</v>
      </c>
      <c r="AL51" s="210"/>
      <c r="AM51" s="210"/>
      <c r="AN51" s="35"/>
      <c r="AO51" s="35" t="s">
        <v>1861</v>
      </c>
      <c r="AP51" s="10">
        <f t="shared" ca="1" si="3"/>
        <v>62</v>
      </c>
      <c r="AQ51" s="35"/>
      <c r="AR51" s="23"/>
      <c r="AS51" s="210"/>
      <c r="AT51" s="210"/>
      <c r="AU51" s="223">
        <v>23224</v>
      </c>
      <c r="AV51" s="31" t="s">
        <v>1352</v>
      </c>
      <c r="AW51" s="31" t="s">
        <v>68</v>
      </c>
      <c r="AX51" s="10">
        <v>8</v>
      </c>
      <c r="AY51" s="14" t="s">
        <v>1849</v>
      </c>
      <c r="AZ51" s="30" t="s">
        <v>1373</v>
      </c>
      <c r="BA51" s="23" t="s">
        <v>151</v>
      </c>
      <c r="BB51" s="30" t="s">
        <v>34</v>
      </c>
      <c r="BC51" s="22"/>
    </row>
    <row r="52" spans="1:55" x14ac:dyDescent="0.25">
      <c r="A52" s="10">
        <f t="shared" si="0"/>
        <v>51</v>
      </c>
      <c r="B52" s="10" t="s">
        <v>1862</v>
      </c>
      <c r="C52" s="30" t="s">
        <v>34</v>
      </c>
      <c r="D52" s="65">
        <v>400006</v>
      </c>
      <c r="E52" s="31" t="s">
        <v>192</v>
      </c>
      <c r="F52" s="14" t="s">
        <v>1863</v>
      </c>
      <c r="G52" s="10">
        <v>6</v>
      </c>
      <c r="H52" s="66">
        <v>0.375</v>
      </c>
      <c r="I52" s="68" t="s">
        <v>1864</v>
      </c>
      <c r="J52" s="66">
        <v>6.25E-2</v>
      </c>
      <c r="K52" s="21" t="s">
        <v>341</v>
      </c>
      <c r="L52" s="30" t="s">
        <v>1424</v>
      </c>
      <c r="M52" s="30" t="s">
        <v>1865</v>
      </c>
      <c r="N52" s="23" t="s">
        <v>1866</v>
      </c>
      <c r="O52" s="35" t="s">
        <v>30</v>
      </c>
      <c r="P52" s="161">
        <v>41286</v>
      </c>
      <c r="Q52" s="161">
        <v>45839</v>
      </c>
      <c r="R52" s="161">
        <v>46568</v>
      </c>
      <c r="S52" s="161">
        <v>46569</v>
      </c>
      <c r="T52" s="10">
        <v>2001</v>
      </c>
      <c r="U52" s="30" t="s">
        <v>1867</v>
      </c>
      <c r="V52" s="10">
        <v>2010</v>
      </c>
      <c r="W52" s="14" t="s">
        <v>1868</v>
      </c>
      <c r="X52" s="31" t="s">
        <v>30</v>
      </c>
      <c r="Y52" s="35" t="s">
        <v>1869</v>
      </c>
      <c r="Z52" s="14" t="s">
        <v>1870</v>
      </c>
      <c r="AA52" s="35" t="s">
        <v>1871</v>
      </c>
      <c r="AB52" s="161" t="s">
        <v>1872</v>
      </c>
      <c r="AC52" s="161" t="s">
        <v>1872</v>
      </c>
      <c r="AD52" s="220">
        <v>9849739077</v>
      </c>
      <c r="AE52" s="224" t="s">
        <v>1873</v>
      </c>
      <c r="AF52" s="30" t="s">
        <v>1690</v>
      </c>
      <c r="AG52" s="221" t="s">
        <v>1874</v>
      </c>
      <c r="AH52" s="31" t="s">
        <v>1875</v>
      </c>
      <c r="AI52" s="31" t="s">
        <v>1876</v>
      </c>
      <c r="AJ52" s="221" t="s">
        <v>1877</v>
      </c>
      <c r="AK52" s="30"/>
      <c r="AL52" s="210"/>
      <c r="AM52" s="210"/>
      <c r="AN52" s="35"/>
      <c r="AO52" s="35" t="s">
        <v>1878</v>
      </c>
      <c r="AP52" s="10">
        <f t="shared" ca="1" si="3"/>
        <v>45</v>
      </c>
      <c r="AQ52" s="35" t="s">
        <v>1879</v>
      </c>
      <c r="AR52" s="222" t="s">
        <v>1880</v>
      </c>
      <c r="AS52" s="187">
        <v>45946</v>
      </c>
      <c r="AT52" s="187">
        <v>46310</v>
      </c>
      <c r="AU52" s="223">
        <v>29221</v>
      </c>
      <c r="AV52" s="31" t="s">
        <v>1352</v>
      </c>
      <c r="AW52" s="31" t="s">
        <v>32</v>
      </c>
      <c r="AX52" s="10">
        <v>1.5</v>
      </c>
      <c r="AY52" s="14" t="s">
        <v>1881</v>
      </c>
      <c r="AZ52" s="30" t="s">
        <v>1865</v>
      </c>
      <c r="BA52" s="23" t="s">
        <v>151</v>
      </c>
      <c r="BB52" s="30" t="s">
        <v>34</v>
      </c>
      <c r="BC52" s="22"/>
    </row>
    <row r="53" spans="1:55" x14ac:dyDescent="0.25">
      <c r="A53" s="10">
        <f t="shared" si="0"/>
        <v>52</v>
      </c>
      <c r="B53" s="10" t="s">
        <v>1882</v>
      </c>
      <c r="C53" s="30" t="s">
        <v>34</v>
      </c>
      <c r="D53" s="65">
        <v>400007</v>
      </c>
      <c r="E53" s="31" t="s">
        <v>36</v>
      </c>
      <c r="F53" s="14" t="s">
        <v>1883</v>
      </c>
      <c r="G53" s="10">
        <v>6</v>
      </c>
      <c r="H53" s="66">
        <v>0.72916666666666663</v>
      </c>
      <c r="I53" s="66">
        <v>0.875</v>
      </c>
      <c r="J53" s="66">
        <v>0.14583333333333334</v>
      </c>
      <c r="K53" s="21" t="s">
        <v>1884</v>
      </c>
      <c r="L53" s="30" t="s">
        <v>1582</v>
      </c>
      <c r="M53" s="30" t="s">
        <v>1355</v>
      </c>
      <c r="N53" s="23" t="s">
        <v>1520</v>
      </c>
      <c r="O53" s="35" t="s">
        <v>1357</v>
      </c>
      <c r="P53" s="161">
        <v>41314</v>
      </c>
      <c r="Q53" s="161">
        <v>45839</v>
      </c>
      <c r="R53" s="161">
        <v>46568</v>
      </c>
      <c r="S53" s="161">
        <v>46569</v>
      </c>
      <c r="T53" s="10">
        <v>1991</v>
      </c>
      <c r="U53" s="30" t="s">
        <v>1885</v>
      </c>
      <c r="V53" s="10">
        <v>1998</v>
      </c>
      <c r="W53" s="14" t="s">
        <v>424</v>
      </c>
      <c r="X53" s="31" t="s">
        <v>30</v>
      </c>
      <c r="Y53" s="23" t="s">
        <v>1360</v>
      </c>
      <c r="Z53" s="14">
        <v>34813</v>
      </c>
      <c r="AA53" s="35" t="s">
        <v>1886</v>
      </c>
      <c r="AB53" s="219">
        <v>45744</v>
      </c>
      <c r="AC53" s="219">
        <v>47569</v>
      </c>
      <c r="AD53" s="220">
        <v>9885109912</v>
      </c>
      <c r="AE53" s="224" t="s">
        <v>1887</v>
      </c>
      <c r="AF53" s="30" t="s">
        <v>1805</v>
      </c>
      <c r="AG53" s="221" t="s">
        <v>1888</v>
      </c>
      <c r="AH53" s="31" t="s">
        <v>1889</v>
      </c>
      <c r="AI53" s="31" t="s">
        <v>1890</v>
      </c>
      <c r="AJ53" s="221" t="s">
        <v>1891</v>
      </c>
      <c r="AK53" s="30" t="s">
        <v>1892</v>
      </c>
      <c r="AL53" s="210"/>
      <c r="AM53" s="210"/>
      <c r="AN53" s="35"/>
      <c r="AO53" s="35" t="s">
        <v>1893</v>
      </c>
      <c r="AP53" s="10">
        <f t="shared" ca="1" si="3"/>
        <v>56</v>
      </c>
      <c r="AQ53" s="35" t="s">
        <v>1605</v>
      </c>
      <c r="AR53" s="222" t="s">
        <v>1894</v>
      </c>
      <c r="AS53" s="166">
        <v>45942</v>
      </c>
      <c r="AT53" s="166">
        <v>46306</v>
      </c>
      <c r="AU53" s="223">
        <v>25361</v>
      </c>
      <c r="AV53" s="31" t="s">
        <v>1389</v>
      </c>
      <c r="AW53" s="31" t="s">
        <v>32</v>
      </c>
      <c r="AX53" s="10">
        <v>3.5</v>
      </c>
      <c r="AY53" s="14" t="s">
        <v>1895</v>
      </c>
      <c r="AZ53" s="30" t="s">
        <v>1373</v>
      </c>
      <c r="BA53" s="23" t="s">
        <v>151</v>
      </c>
      <c r="BB53" s="30" t="s">
        <v>34</v>
      </c>
      <c r="BC53" s="22"/>
    </row>
    <row r="54" spans="1:55" x14ac:dyDescent="0.25">
      <c r="A54" s="10">
        <f t="shared" si="0"/>
        <v>53</v>
      </c>
      <c r="B54" s="10" t="s">
        <v>152</v>
      </c>
      <c r="C54" s="30" t="s">
        <v>34</v>
      </c>
      <c r="D54" s="65">
        <v>400011</v>
      </c>
      <c r="E54" s="31" t="s">
        <v>36</v>
      </c>
      <c r="F54" s="14" t="s">
        <v>153</v>
      </c>
      <c r="G54" s="10">
        <v>6</v>
      </c>
      <c r="H54" s="66">
        <v>0.5</v>
      </c>
      <c r="I54" s="66">
        <v>0.83333333333333337</v>
      </c>
      <c r="J54" s="66">
        <v>0.33333333333333331</v>
      </c>
      <c r="K54" s="21" t="s">
        <v>154</v>
      </c>
      <c r="L54" s="30" t="s">
        <v>155</v>
      </c>
      <c r="M54" s="30" t="s">
        <v>26</v>
      </c>
      <c r="N54" s="23" t="s">
        <v>38</v>
      </c>
      <c r="O54" s="23" t="s">
        <v>1321</v>
      </c>
      <c r="P54" s="161">
        <v>41430</v>
      </c>
      <c r="Q54" s="161">
        <v>45505</v>
      </c>
      <c r="R54" s="161">
        <v>46234</v>
      </c>
      <c r="S54" s="161">
        <v>46235</v>
      </c>
      <c r="T54" s="10">
        <v>2002</v>
      </c>
      <c r="U54" s="30" t="s">
        <v>156</v>
      </c>
      <c r="V54" s="10">
        <v>2007</v>
      </c>
      <c r="W54" s="14" t="s">
        <v>157</v>
      </c>
      <c r="X54" s="31" t="s">
        <v>30</v>
      </c>
      <c r="Y54" s="35" t="s">
        <v>158</v>
      </c>
      <c r="Z54" s="14" t="s">
        <v>1896</v>
      </c>
      <c r="AA54" s="23" t="s">
        <v>1841</v>
      </c>
      <c r="AB54" s="219">
        <v>45629</v>
      </c>
      <c r="AC54" s="219">
        <v>47454</v>
      </c>
      <c r="AD54" s="220">
        <v>8878348182</v>
      </c>
      <c r="AE54" s="224" t="s">
        <v>159</v>
      </c>
      <c r="AF54" s="30" t="s">
        <v>1364</v>
      </c>
      <c r="AG54" s="221" t="s">
        <v>1897</v>
      </c>
      <c r="AH54" s="31" t="s">
        <v>1898</v>
      </c>
      <c r="AI54" s="31" t="s">
        <v>1899</v>
      </c>
      <c r="AJ54" s="221" t="s">
        <v>1900</v>
      </c>
      <c r="AK54" s="30" t="s">
        <v>1901</v>
      </c>
      <c r="AL54" s="210"/>
      <c r="AM54" s="210"/>
      <c r="AN54" s="35"/>
      <c r="AO54" s="35" t="s">
        <v>1902</v>
      </c>
      <c r="AP54" s="10">
        <f t="shared" ca="1" si="3"/>
        <v>45</v>
      </c>
      <c r="AQ54" s="35" t="s">
        <v>1605</v>
      </c>
      <c r="AR54" s="23" t="s">
        <v>1903</v>
      </c>
      <c r="AS54" s="210">
        <v>45607</v>
      </c>
      <c r="AT54" s="210">
        <v>45971</v>
      </c>
      <c r="AU54" s="223">
        <v>29441</v>
      </c>
      <c r="AV54" s="31" t="s">
        <v>1352</v>
      </c>
      <c r="AW54" s="31" t="s">
        <v>68</v>
      </c>
      <c r="AX54" s="10">
        <v>8</v>
      </c>
      <c r="AY54" s="14" t="s">
        <v>1904</v>
      </c>
      <c r="AZ54" s="30" t="s">
        <v>26</v>
      </c>
      <c r="BA54" s="23" t="s">
        <v>151</v>
      </c>
      <c r="BB54" s="30" t="s">
        <v>34</v>
      </c>
      <c r="BC54" s="22"/>
    </row>
    <row r="55" spans="1:55" x14ac:dyDescent="0.25">
      <c r="A55" s="10">
        <f t="shared" si="0"/>
        <v>54</v>
      </c>
      <c r="B55" s="10" t="s">
        <v>1905</v>
      </c>
      <c r="C55" s="30" t="s">
        <v>34</v>
      </c>
      <c r="D55" s="65">
        <v>400018</v>
      </c>
      <c r="E55" s="31" t="s">
        <v>268</v>
      </c>
      <c r="F55" s="14" t="s">
        <v>1906</v>
      </c>
      <c r="G55" s="10">
        <v>6</v>
      </c>
      <c r="H55" s="66">
        <v>0.33333333333333331</v>
      </c>
      <c r="I55" s="66">
        <v>0.875</v>
      </c>
      <c r="J55" s="68">
        <v>0.33333333333333331</v>
      </c>
      <c r="K55" s="21" t="s">
        <v>207</v>
      </c>
      <c r="L55" s="30" t="s">
        <v>1907</v>
      </c>
      <c r="M55" s="30" t="s">
        <v>1908</v>
      </c>
      <c r="N55" s="23" t="s">
        <v>1909</v>
      </c>
      <c r="O55" s="23" t="s">
        <v>1321</v>
      </c>
      <c r="P55" s="161">
        <v>42212</v>
      </c>
      <c r="Q55" s="161">
        <v>45931</v>
      </c>
      <c r="R55" s="161">
        <v>46660</v>
      </c>
      <c r="S55" s="161">
        <v>46661</v>
      </c>
      <c r="T55" s="10">
        <v>2003</v>
      </c>
      <c r="U55" s="30" t="s">
        <v>230</v>
      </c>
      <c r="V55" s="10">
        <v>2015</v>
      </c>
      <c r="W55" s="14" t="s">
        <v>1910</v>
      </c>
      <c r="X55" s="31" t="s">
        <v>30</v>
      </c>
      <c r="Y55" s="35" t="s">
        <v>1911</v>
      </c>
      <c r="Z55" s="14">
        <v>64281</v>
      </c>
      <c r="AA55" s="35" t="s">
        <v>1886</v>
      </c>
      <c r="AB55" s="219">
        <v>44865</v>
      </c>
      <c r="AC55" s="219">
        <v>46690</v>
      </c>
      <c r="AD55" s="220">
        <v>9703997553</v>
      </c>
      <c r="AE55" s="224" t="s">
        <v>1912</v>
      </c>
      <c r="AF55" s="28" t="s">
        <v>1495</v>
      </c>
      <c r="AG55" s="221" t="s">
        <v>1913</v>
      </c>
      <c r="AH55" s="31" t="s">
        <v>1914</v>
      </c>
      <c r="AI55" s="31" t="s">
        <v>1915</v>
      </c>
      <c r="AJ55" s="221" t="s">
        <v>1916</v>
      </c>
      <c r="AK55" s="30" t="s">
        <v>1917</v>
      </c>
      <c r="AL55" s="210"/>
      <c r="AM55" s="210"/>
      <c r="AN55" s="35"/>
      <c r="AO55" s="35" t="s">
        <v>1918</v>
      </c>
      <c r="AP55" s="10">
        <f t="shared" ca="1" si="3"/>
        <v>41</v>
      </c>
      <c r="AQ55" s="35" t="s">
        <v>1605</v>
      </c>
      <c r="AR55" s="23" t="s">
        <v>1919</v>
      </c>
      <c r="AS55" s="210">
        <v>45814</v>
      </c>
      <c r="AT55" s="210">
        <v>46178</v>
      </c>
      <c r="AU55" s="223">
        <v>30872</v>
      </c>
      <c r="AV55" s="31" t="s">
        <v>1352</v>
      </c>
      <c r="AW55" s="31" t="s">
        <v>68</v>
      </c>
      <c r="AX55" s="10">
        <v>8</v>
      </c>
      <c r="AY55" s="14" t="s">
        <v>1920</v>
      </c>
      <c r="AZ55" s="30" t="s">
        <v>1908</v>
      </c>
      <c r="BA55" s="23" t="s">
        <v>151</v>
      </c>
      <c r="BB55" s="30" t="s">
        <v>34</v>
      </c>
      <c r="BC55" s="22"/>
    </row>
    <row r="56" spans="1:55" x14ac:dyDescent="0.25">
      <c r="A56" s="10">
        <f t="shared" si="0"/>
        <v>55</v>
      </c>
      <c r="B56" s="10" t="s">
        <v>160</v>
      </c>
      <c r="C56" s="30" t="s">
        <v>34</v>
      </c>
      <c r="D56" s="65">
        <v>400020</v>
      </c>
      <c r="E56" s="31" t="s">
        <v>42</v>
      </c>
      <c r="F56" s="14" t="s">
        <v>161</v>
      </c>
      <c r="G56" s="10">
        <v>6</v>
      </c>
      <c r="H56" s="66">
        <v>0.33333333333333331</v>
      </c>
      <c r="I56" s="66">
        <v>0.66666666666666663</v>
      </c>
      <c r="J56" s="66">
        <v>0.33333333333333331</v>
      </c>
      <c r="K56" s="21" t="s">
        <v>154</v>
      </c>
      <c r="L56" s="30" t="s">
        <v>162</v>
      </c>
      <c r="M56" s="30" t="s">
        <v>26</v>
      </c>
      <c r="N56" s="23" t="s">
        <v>38</v>
      </c>
      <c r="O56" s="23" t="s">
        <v>1321</v>
      </c>
      <c r="P56" s="161">
        <v>42248</v>
      </c>
      <c r="Q56" s="161">
        <v>45778</v>
      </c>
      <c r="R56" s="161">
        <v>46507</v>
      </c>
      <c r="S56" s="161">
        <v>46508</v>
      </c>
      <c r="T56" s="10">
        <v>2004</v>
      </c>
      <c r="U56" s="30" t="s">
        <v>163</v>
      </c>
      <c r="V56" s="10">
        <v>2012</v>
      </c>
      <c r="W56" s="14" t="s">
        <v>164</v>
      </c>
      <c r="X56" s="31" t="s">
        <v>30</v>
      </c>
      <c r="Y56" s="35" t="s">
        <v>158</v>
      </c>
      <c r="Z56" s="14">
        <v>54002</v>
      </c>
      <c r="AA56" s="23" t="s">
        <v>1841</v>
      </c>
      <c r="AB56" s="219">
        <v>45370</v>
      </c>
      <c r="AC56" s="219">
        <v>47195</v>
      </c>
      <c r="AD56" s="225">
        <v>9949107090</v>
      </c>
      <c r="AE56" s="224" t="s">
        <v>165</v>
      </c>
      <c r="AF56" s="30" t="s">
        <v>1410</v>
      </c>
      <c r="AG56" s="221" t="s">
        <v>1921</v>
      </c>
      <c r="AH56" s="31" t="s">
        <v>1922</v>
      </c>
      <c r="AI56" s="31" t="s">
        <v>1923</v>
      </c>
      <c r="AJ56" s="221" t="s">
        <v>1924</v>
      </c>
      <c r="AK56" s="30" t="s">
        <v>1925</v>
      </c>
      <c r="AL56" s="210"/>
      <c r="AM56" s="210"/>
      <c r="AN56" s="35"/>
      <c r="AO56" s="35" t="s">
        <v>1926</v>
      </c>
      <c r="AP56" s="10">
        <f t="shared" ca="1" si="3"/>
        <v>44</v>
      </c>
      <c r="AQ56" s="35" t="s">
        <v>1605</v>
      </c>
      <c r="AR56" s="23" t="s">
        <v>1927</v>
      </c>
      <c r="AS56" s="210">
        <v>45647</v>
      </c>
      <c r="AT56" s="210">
        <v>46376</v>
      </c>
      <c r="AU56" s="223">
        <v>29709</v>
      </c>
      <c r="AV56" s="31" t="s">
        <v>1389</v>
      </c>
      <c r="AW56" s="31" t="s">
        <v>68</v>
      </c>
      <c r="AX56" s="10">
        <v>8</v>
      </c>
      <c r="AY56" s="14" t="s">
        <v>1904</v>
      </c>
      <c r="AZ56" s="30" t="s">
        <v>26</v>
      </c>
      <c r="BA56" s="23" t="s">
        <v>151</v>
      </c>
      <c r="BB56" s="30" t="s">
        <v>34</v>
      </c>
      <c r="BC56" s="22"/>
    </row>
    <row r="57" spans="1:55" x14ac:dyDescent="0.25">
      <c r="A57" s="10">
        <f t="shared" si="0"/>
        <v>56</v>
      </c>
      <c r="B57" s="10" t="s">
        <v>166</v>
      </c>
      <c r="C57" s="30" t="s">
        <v>34</v>
      </c>
      <c r="D57" s="65">
        <v>400025</v>
      </c>
      <c r="E57" s="31" t="s">
        <v>42</v>
      </c>
      <c r="F57" s="14" t="s">
        <v>167</v>
      </c>
      <c r="G57" s="10">
        <v>6</v>
      </c>
      <c r="H57" s="66">
        <v>0.33333333333333331</v>
      </c>
      <c r="I57" s="66">
        <v>0.54166666666666663</v>
      </c>
      <c r="J57" s="66">
        <v>0.20833333333333334</v>
      </c>
      <c r="K57" s="21" t="s">
        <v>147</v>
      </c>
      <c r="L57" s="30" t="s">
        <v>168</v>
      </c>
      <c r="M57" s="30" t="s">
        <v>26</v>
      </c>
      <c r="N57" s="23" t="s">
        <v>38</v>
      </c>
      <c r="O57" s="23" t="s">
        <v>1321</v>
      </c>
      <c r="P57" s="161">
        <v>42430</v>
      </c>
      <c r="Q57" s="183">
        <v>45689</v>
      </c>
      <c r="R57" s="183">
        <v>46418</v>
      </c>
      <c r="S57" s="183">
        <v>46419</v>
      </c>
      <c r="T57" s="10">
        <v>2007</v>
      </c>
      <c r="U57" s="30" t="s">
        <v>169</v>
      </c>
      <c r="V57" s="10">
        <v>2014</v>
      </c>
      <c r="W57" s="14" t="s">
        <v>170</v>
      </c>
      <c r="X57" s="31" t="s">
        <v>30</v>
      </c>
      <c r="Y57" s="35" t="s">
        <v>49</v>
      </c>
      <c r="Z57" s="14">
        <v>62580</v>
      </c>
      <c r="AA57" s="23" t="s">
        <v>1841</v>
      </c>
      <c r="AB57" s="219">
        <v>44217</v>
      </c>
      <c r="AC57" s="219">
        <v>46042</v>
      </c>
      <c r="AD57" s="220">
        <v>9985265135</v>
      </c>
      <c r="AE57" s="224" t="s">
        <v>171</v>
      </c>
      <c r="AF57" s="30" t="s">
        <v>1928</v>
      </c>
      <c r="AG57" s="221" t="s">
        <v>1929</v>
      </c>
      <c r="AH57" s="31" t="s">
        <v>1930</v>
      </c>
      <c r="AI57" s="31" t="s">
        <v>1931</v>
      </c>
      <c r="AJ57" s="221" t="s">
        <v>1932</v>
      </c>
      <c r="AK57" s="30" t="s">
        <v>1933</v>
      </c>
      <c r="AL57" s="210"/>
      <c r="AM57" s="210"/>
      <c r="AN57" s="35"/>
      <c r="AO57" s="35" t="s">
        <v>1934</v>
      </c>
      <c r="AP57" s="10">
        <f t="shared" ca="1" si="3"/>
        <v>40</v>
      </c>
      <c r="AQ57" s="35"/>
      <c r="AR57" s="23"/>
      <c r="AS57" s="210"/>
      <c r="AT57" s="210"/>
      <c r="AU57" s="223">
        <v>31214</v>
      </c>
      <c r="AV57" s="31" t="s">
        <v>1389</v>
      </c>
      <c r="AW57" s="31" t="s">
        <v>32</v>
      </c>
      <c r="AX57" s="10">
        <v>5</v>
      </c>
      <c r="AY57" s="14" t="s">
        <v>1849</v>
      </c>
      <c r="AZ57" s="30" t="s">
        <v>26</v>
      </c>
      <c r="BA57" s="23" t="s">
        <v>151</v>
      </c>
      <c r="BB57" s="30" t="s">
        <v>34</v>
      </c>
      <c r="BC57" s="22"/>
    </row>
    <row r="58" spans="1:55" x14ac:dyDescent="0.25">
      <c r="A58" s="10">
        <f t="shared" si="0"/>
        <v>57</v>
      </c>
      <c r="B58" s="10" t="s">
        <v>172</v>
      </c>
      <c r="C58" s="30" t="s">
        <v>34</v>
      </c>
      <c r="D58" s="65">
        <v>400026</v>
      </c>
      <c r="E58" s="31" t="s">
        <v>36</v>
      </c>
      <c r="F58" s="14" t="s">
        <v>173</v>
      </c>
      <c r="G58" s="10">
        <v>6</v>
      </c>
      <c r="H58" s="66">
        <v>0.33333333333333331</v>
      </c>
      <c r="I58" s="66">
        <v>0.41666666666666669</v>
      </c>
      <c r="J58" s="66">
        <v>8.3333333333333329E-2</v>
      </c>
      <c r="K58" s="21" t="s">
        <v>174</v>
      </c>
      <c r="L58" s="30" t="s">
        <v>148</v>
      </c>
      <c r="M58" s="30" t="s">
        <v>26</v>
      </c>
      <c r="N58" s="23" t="s">
        <v>38</v>
      </c>
      <c r="O58" s="23" t="s">
        <v>1321</v>
      </c>
      <c r="P58" s="161">
        <v>42450</v>
      </c>
      <c r="Q58" s="161">
        <v>45680</v>
      </c>
      <c r="R58" s="161">
        <v>46409</v>
      </c>
      <c r="S58" s="161">
        <v>46410</v>
      </c>
      <c r="T58" s="10">
        <v>2007</v>
      </c>
      <c r="U58" s="30" t="s">
        <v>175</v>
      </c>
      <c r="V58" s="10">
        <v>2012</v>
      </c>
      <c r="W58" s="14" t="s">
        <v>176</v>
      </c>
      <c r="X58" s="31" t="s">
        <v>30</v>
      </c>
      <c r="Y58" s="35" t="s">
        <v>49</v>
      </c>
      <c r="Z58" s="14" t="s">
        <v>1935</v>
      </c>
      <c r="AA58" s="23" t="s">
        <v>1841</v>
      </c>
      <c r="AB58" s="219">
        <v>45680</v>
      </c>
      <c r="AC58" s="219">
        <v>47505</v>
      </c>
      <c r="AD58" s="220">
        <v>9490193323</v>
      </c>
      <c r="AE58" s="224" t="s">
        <v>177</v>
      </c>
      <c r="AF58" s="30" t="s">
        <v>1430</v>
      </c>
      <c r="AG58" s="221" t="s">
        <v>1936</v>
      </c>
      <c r="AH58" s="31" t="s">
        <v>1937</v>
      </c>
      <c r="AI58" s="31" t="s">
        <v>1938</v>
      </c>
      <c r="AJ58" s="221" t="s">
        <v>1939</v>
      </c>
      <c r="AK58" s="30" t="s">
        <v>1940</v>
      </c>
      <c r="AL58" s="210"/>
      <c r="AM58" s="210"/>
      <c r="AN58" s="35"/>
      <c r="AO58" s="35" t="s">
        <v>1941</v>
      </c>
      <c r="AP58" s="10">
        <f t="shared" ca="1" si="3"/>
        <v>43</v>
      </c>
      <c r="AQ58" s="35"/>
      <c r="AR58" s="23"/>
      <c r="AS58" s="210"/>
      <c r="AT58" s="210"/>
      <c r="AU58" s="223">
        <v>30103</v>
      </c>
      <c r="AV58" s="31" t="s">
        <v>1352</v>
      </c>
      <c r="AW58" s="31" t="s">
        <v>32</v>
      </c>
      <c r="AX58" s="10">
        <v>2</v>
      </c>
      <c r="AY58" s="14" t="s">
        <v>1849</v>
      </c>
      <c r="AZ58" s="30" t="s">
        <v>26</v>
      </c>
      <c r="BA58" s="23" t="s">
        <v>151</v>
      </c>
      <c r="BB58" s="30" t="s">
        <v>34</v>
      </c>
      <c r="BC58" s="22"/>
    </row>
    <row r="59" spans="1:55" x14ac:dyDescent="0.25">
      <c r="A59" s="10">
        <f t="shared" si="0"/>
        <v>58</v>
      </c>
      <c r="B59" s="10" t="s">
        <v>178</v>
      </c>
      <c r="C59" s="30" t="s">
        <v>34</v>
      </c>
      <c r="D59" s="65">
        <v>400027</v>
      </c>
      <c r="E59" s="10" t="s">
        <v>36</v>
      </c>
      <c r="F59" s="14" t="s">
        <v>179</v>
      </c>
      <c r="G59" s="10">
        <v>6</v>
      </c>
      <c r="H59" s="66">
        <v>0.375</v>
      </c>
      <c r="I59" s="66">
        <v>0.70833333333333337</v>
      </c>
      <c r="J59" s="66">
        <v>0.33333333333333331</v>
      </c>
      <c r="K59" s="21" t="s">
        <v>147</v>
      </c>
      <c r="L59" s="30" t="s">
        <v>155</v>
      </c>
      <c r="M59" s="30" t="s">
        <v>26</v>
      </c>
      <c r="N59" s="23" t="s">
        <v>180</v>
      </c>
      <c r="O59" s="23" t="s">
        <v>1321</v>
      </c>
      <c r="P59" s="161">
        <v>42491</v>
      </c>
      <c r="Q59" s="183">
        <v>45831</v>
      </c>
      <c r="R59" s="183">
        <v>46195</v>
      </c>
      <c r="S59" s="183">
        <v>46561</v>
      </c>
      <c r="T59" s="10">
        <v>2001</v>
      </c>
      <c r="U59" s="30" t="s">
        <v>181</v>
      </c>
      <c r="V59" s="10">
        <v>2005</v>
      </c>
      <c r="W59" s="14" t="s">
        <v>182</v>
      </c>
      <c r="X59" s="31" t="s">
        <v>30</v>
      </c>
      <c r="Y59" s="35" t="s">
        <v>183</v>
      </c>
      <c r="Z59" s="14" t="s">
        <v>1942</v>
      </c>
      <c r="AA59" s="23" t="s">
        <v>1841</v>
      </c>
      <c r="AB59" s="219">
        <v>45408</v>
      </c>
      <c r="AC59" s="219">
        <v>47233</v>
      </c>
      <c r="AD59" s="220">
        <v>9741053368</v>
      </c>
      <c r="AE59" s="224" t="s">
        <v>184</v>
      </c>
      <c r="AF59" s="30" t="s">
        <v>1430</v>
      </c>
      <c r="AG59" s="221" t="s">
        <v>1943</v>
      </c>
      <c r="AH59" s="31" t="s">
        <v>1944</v>
      </c>
      <c r="AI59" s="31" t="s">
        <v>1945</v>
      </c>
      <c r="AJ59" s="221" t="s">
        <v>1946</v>
      </c>
      <c r="AK59" s="30" t="s">
        <v>1947</v>
      </c>
      <c r="AL59" s="210"/>
      <c r="AM59" s="210"/>
      <c r="AN59" s="35"/>
      <c r="AO59" s="35" t="s">
        <v>1948</v>
      </c>
      <c r="AP59" s="10">
        <f t="shared" ca="1" si="3"/>
        <v>48</v>
      </c>
      <c r="AQ59" s="35" t="s">
        <v>1605</v>
      </c>
      <c r="AR59" s="23" t="s">
        <v>1949</v>
      </c>
      <c r="AS59" s="210">
        <v>45085</v>
      </c>
      <c r="AT59" s="210">
        <v>46911</v>
      </c>
      <c r="AU59" s="223">
        <v>28418</v>
      </c>
      <c r="AV59" s="31" t="s">
        <v>1352</v>
      </c>
      <c r="AW59" s="31" t="s">
        <v>68</v>
      </c>
      <c r="AX59" s="10">
        <v>8</v>
      </c>
      <c r="AY59" s="14" t="s">
        <v>1849</v>
      </c>
      <c r="AZ59" s="30" t="s">
        <v>26</v>
      </c>
      <c r="BA59" s="23" t="s">
        <v>151</v>
      </c>
      <c r="BB59" s="30" t="s">
        <v>34</v>
      </c>
      <c r="BC59" s="22"/>
    </row>
    <row r="60" spans="1:55" x14ac:dyDescent="0.25">
      <c r="A60" s="10">
        <f t="shared" si="0"/>
        <v>59</v>
      </c>
      <c r="B60" s="10" t="s">
        <v>185</v>
      </c>
      <c r="C60" s="30" t="s">
        <v>34</v>
      </c>
      <c r="D60" s="65">
        <v>400031</v>
      </c>
      <c r="E60" s="31" t="s">
        <v>42</v>
      </c>
      <c r="F60" s="14" t="s">
        <v>186</v>
      </c>
      <c r="G60" s="10">
        <v>5</v>
      </c>
      <c r="H60" s="66">
        <v>0.35416666666666669</v>
      </c>
      <c r="I60" s="66">
        <v>0.60416666666666663</v>
      </c>
      <c r="J60" s="66">
        <v>0.25</v>
      </c>
      <c r="K60" s="21" t="s">
        <v>187</v>
      </c>
      <c r="L60" s="30" t="s">
        <v>155</v>
      </c>
      <c r="M60" s="30" t="s">
        <v>26</v>
      </c>
      <c r="N60" s="23" t="s">
        <v>38</v>
      </c>
      <c r="O60" s="23" t="s">
        <v>1321</v>
      </c>
      <c r="P60" s="161">
        <v>42644</v>
      </c>
      <c r="Q60" s="161">
        <v>45658</v>
      </c>
      <c r="R60" s="161">
        <v>46387</v>
      </c>
      <c r="S60" s="161">
        <v>46388</v>
      </c>
      <c r="T60" s="10">
        <v>1994</v>
      </c>
      <c r="U60" s="30" t="s">
        <v>188</v>
      </c>
      <c r="V60" s="10">
        <v>1996</v>
      </c>
      <c r="W60" s="14" t="s">
        <v>189</v>
      </c>
      <c r="X60" s="31" t="s">
        <v>30</v>
      </c>
      <c r="Y60" s="23" t="s">
        <v>66</v>
      </c>
      <c r="Z60" s="14" t="s">
        <v>1950</v>
      </c>
      <c r="AA60" s="23" t="s">
        <v>1841</v>
      </c>
      <c r="AB60" s="219">
        <v>45392</v>
      </c>
      <c r="AC60" s="219">
        <v>47217</v>
      </c>
      <c r="AD60" s="220">
        <v>9849357397</v>
      </c>
      <c r="AE60" s="224" t="s">
        <v>190</v>
      </c>
      <c r="AF60" s="30" t="s">
        <v>1430</v>
      </c>
      <c r="AG60" s="221" t="s">
        <v>1951</v>
      </c>
      <c r="AH60" s="31" t="s">
        <v>1952</v>
      </c>
      <c r="AI60" s="31" t="s">
        <v>1953</v>
      </c>
      <c r="AJ60" s="221" t="s">
        <v>1954</v>
      </c>
      <c r="AK60" s="30" t="s">
        <v>1955</v>
      </c>
      <c r="AL60" s="210"/>
      <c r="AM60" s="210"/>
      <c r="AN60" s="35"/>
      <c r="AO60" s="35" t="s">
        <v>1956</v>
      </c>
      <c r="AP60" s="10">
        <f t="shared" ca="1" si="3"/>
        <v>54</v>
      </c>
      <c r="AQ60" s="192" t="s">
        <v>1957</v>
      </c>
      <c r="AR60" s="222" t="s">
        <v>1958</v>
      </c>
      <c r="AS60" s="166">
        <v>45648</v>
      </c>
      <c r="AT60" s="166">
        <v>46012</v>
      </c>
      <c r="AU60" s="223">
        <v>26110</v>
      </c>
      <c r="AV60" s="31" t="s">
        <v>1389</v>
      </c>
      <c r="AW60" s="31" t="s">
        <v>32</v>
      </c>
      <c r="AX60" s="10">
        <v>6</v>
      </c>
      <c r="AY60" s="14" t="s">
        <v>1959</v>
      </c>
      <c r="AZ60" s="30" t="s">
        <v>26</v>
      </c>
      <c r="BA60" s="23" t="s">
        <v>151</v>
      </c>
      <c r="BB60" s="30" t="s">
        <v>34</v>
      </c>
      <c r="BC60" s="22"/>
    </row>
    <row r="61" spans="1:55" x14ac:dyDescent="0.25">
      <c r="A61" s="10">
        <f t="shared" si="0"/>
        <v>60</v>
      </c>
      <c r="B61" s="10" t="s">
        <v>191</v>
      </c>
      <c r="C61" s="30" t="s">
        <v>34</v>
      </c>
      <c r="D61" s="65">
        <v>400032</v>
      </c>
      <c r="E61" s="31" t="s">
        <v>192</v>
      </c>
      <c r="F61" s="14" t="s">
        <v>193</v>
      </c>
      <c r="G61" s="10">
        <v>6</v>
      </c>
      <c r="H61" s="66">
        <v>0.33333333333333298</v>
      </c>
      <c r="I61" s="66">
        <v>0.58333333333333337</v>
      </c>
      <c r="J61" s="66">
        <v>0.25</v>
      </c>
      <c r="K61" s="21" t="s">
        <v>194</v>
      </c>
      <c r="L61" s="30" t="s">
        <v>195</v>
      </c>
      <c r="M61" s="30" t="s">
        <v>26</v>
      </c>
      <c r="N61" s="23" t="s">
        <v>38</v>
      </c>
      <c r="O61" s="23" t="s">
        <v>1321</v>
      </c>
      <c r="P61" s="161">
        <v>42656</v>
      </c>
      <c r="Q61" s="161">
        <v>45809</v>
      </c>
      <c r="R61" s="161">
        <v>46538</v>
      </c>
      <c r="S61" s="161">
        <v>46539</v>
      </c>
      <c r="T61" s="10">
        <v>2007</v>
      </c>
      <c r="U61" s="30" t="s">
        <v>196</v>
      </c>
      <c r="V61" s="10">
        <v>2011</v>
      </c>
      <c r="W61" s="14" t="s">
        <v>197</v>
      </c>
      <c r="X61" s="31" t="s">
        <v>30</v>
      </c>
      <c r="Y61" s="23" t="s">
        <v>66</v>
      </c>
      <c r="Z61" s="14">
        <v>58170</v>
      </c>
      <c r="AA61" s="23" t="s">
        <v>1841</v>
      </c>
      <c r="AB61" s="219">
        <v>45755</v>
      </c>
      <c r="AC61" s="210">
        <v>47580</v>
      </c>
      <c r="AD61" s="220">
        <v>8142354555</v>
      </c>
      <c r="AE61" s="224" t="s">
        <v>198</v>
      </c>
      <c r="AF61" s="30" t="s">
        <v>1430</v>
      </c>
      <c r="AG61" s="221" t="s">
        <v>1960</v>
      </c>
      <c r="AH61" s="31" t="s">
        <v>1961</v>
      </c>
      <c r="AI61" s="31" t="s">
        <v>1962</v>
      </c>
      <c r="AJ61" s="221" t="s">
        <v>1963</v>
      </c>
      <c r="AK61" s="30" t="s">
        <v>1964</v>
      </c>
      <c r="AL61" s="210"/>
      <c r="AM61" s="210"/>
      <c r="AN61" s="35"/>
      <c r="AO61" s="35" t="s">
        <v>1965</v>
      </c>
      <c r="AP61" s="10">
        <f t="shared" ca="1" si="3"/>
        <v>44</v>
      </c>
      <c r="AQ61" s="43" t="s">
        <v>1966</v>
      </c>
      <c r="AR61" s="226" t="s">
        <v>1967</v>
      </c>
      <c r="AS61" s="182">
        <v>45852</v>
      </c>
      <c r="AT61" s="182">
        <v>46216</v>
      </c>
      <c r="AU61" s="223">
        <v>29753</v>
      </c>
      <c r="AV61" s="31" t="s">
        <v>1389</v>
      </c>
      <c r="AW61" s="31" t="s">
        <v>32</v>
      </c>
      <c r="AX61" s="10">
        <v>6</v>
      </c>
      <c r="AY61" s="14" t="s">
        <v>1968</v>
      </c>
      <c r="AZ61" s="30" t="s">
        <v>26</v>
      </c>
      <c r="BA61" s="23" t="s">
        <v>151</v>
      </c>
      <c r="BB61" s="30" t="s">
        <v>34</v>
      </c>
      <c r="BC61" s="22"/>
    </row>
    <row r="62" spans="1:55" x14ac:dyDescent="0.25">
      <c r="A62" s="10">
        <f t="shared" si="0"/>
        <v>61</v>
      </c>
      <c r="B62" s="10" t="s">
        <v>199</v>
      </c>
      <c r="C62" s="30" t="s">
        <v>34</v>
      </c>
      <c r="D62" s="65">
        <v>400035</v>
      </c>
      <c r="E62" s="31" t="s">
        <v>192</v>
      </c>
      <c r="F62" s="14" t="s">
        <v>200</v>
      </c>
      <c r="G62" s="10"/>
      <c r="H62" s="66"/>
      <c r="I62" s="66"/>
      <c r="J62" s="66"/>
      <c r="K62" s="35" t="s">
        <v>201</v>
      </c>
      <c r="L62" s="30" t="s">
        <v>202</v>
      </c>
      <c r="M62" s="30" t="s">
        <v>26</v>
      </c>
      <c r="N62" s="23" t="s">
        <v>38</v>
      </c>
      <c r="O62" s="23" t="s">
        <v>1321</v>
      </c>
      <c r="P62" s="161">
        <v>42736</v>
      </c>
      <c r="Q62" s="161">
        <v>45839</v>
      </c>
      <c r="R62" s="161">
        <v>46568</v>
      </c>
      <c r="S62" s="161">
        <v>46569</v>
      </c>
      <c r="T62" s="10">
        <v>2003</v>
      </c>
      <c r="U62" s="30" t="s">
        <v>149</v>
      </c>
      <c r="V62" s="10">
        <v>2009</v>
      </c>
      <c r="W62" s="30" t="s">
        <v>203</v>
      </c>
      <c r="X62" s="31" t="s">
        <v>30</v>
      </c>
      <c r="Y62" s="35" t="s">
        <v>183</v>
      </c>
      <c r="Z62" s="14" t="s">
        <v>1969</v>
      </c>
      <c r="AA62" s="23" t="s">
        <v>1841</v>
      </c>
      <c r="AB62" s="161">
        <v>44286</v>
      </c>
      <c r="AC62" s="161">
        <v>46111</v>
      </c>
      <c r="AD62" s="10">
        <v>9849541987</v>
      </c>
      <c r="AE62" s="227" t="s">
        <v>204</v>
      </c>
      <c r="AF62" s="30" t="s">
        <v>1430</v>
      </c>
      <c r="AG62" s="221" t="s">
        <v>1970</v>
      </c>
      <c r="AH62" s="31" t="s">
        <v>1971</v>
      </c>
      <c r="AI62" s="31" t="s">
        <v>1972</v>
      </c>
      <c r="AJ62" s="221"/>
      <c r="AK62" s="30"/>
      <c r="AL62" s="210"/>
      <c r="AM62" s="210"/>
      <c r="AN62" s="35"/>
      <c r="AO62" s="35" t="s">
        <v>1973</v>
      </c>
      <c r="AP62" s="10">
        <f t="shared" ca="1" si="3"/>
        <v>125</v>
      </c>
      <c r="AQ62" s="43" t="s">
        <v>1966</v>
      </c>
      <c r="AR62" s="222" t="s">
        <v>1974</v>
      </c>
      <c r="AS62" s="182">
        <v>45632</v>
      </c>
      <c r="AT62" s="182">
        <v>45996</v>
      </c>
      <c r="AU62" s="223"/>
      <c r="AV62" s="31" t="s">
        <v>1389</v>
      </c>
      <c r="AW62" s="31" t="s">
        <v>32</v>
      </c>
      <c r="AX62" s="10" t="s">
        <v>30</v>
      </c>
      <c r="AY62" s="14" t="s">
        <v>30</v>
      </c>
      <c r="AZ62" s="30" t="s">
        <v>26</v>
      </c>
      <c r="BA62" s="23" t="s">
        <v>151</v>
      </c>
      <c r="BB62" s="30" t="s">
        <v>34</v>
      </c>
      <c r="BC62" s="22"/>
    </row>
    <row r="63" spans="1:55" x14ac:dyDescent="0.25">
      <c r="A63" s="10">
        <f t="shared" si="0"/>
        <v>62</v>
      </c>
      <c r="B63" s="10" t="s">
        <v>205</v>
      </c>
      <c r="C63" s="30" t="s">
        <v>34</v>
      </c>
      <c r="D63" s="65">
        <v>400037</v>
      </c>
      <c r="E63" s="31" t="s">
        <v>42</v>
      </c>
      <c r="F63" s="14" t="s">
        <v>206</v>
      </c>
      <c r="G63" s="10">
        <v>6</v>
      </c>
      <c r="H63" s="66">
        <v>0.5625</v>
      </c>
      <c r="I63" s="66">
        <v>0.89583333333333337</v>
      </c>
      <c r="J63" s="66">
        <v>0.33333333333333331</v>
      </c>
      <c r="K63" s="21" t="s">
        <v>207</v>
      </c>
      <c r="L63" s="30" t="s">
        <v>208</v>
      </c>
      <c r="M63" s="30" t="s">
        <v>26</v>
      </c>
      <c r="N63" s="23" t="s">
        <v>38</v>
      </c>
      <c r="O63" s="23" t="s">
        <v>1321</v>
      </c>
      <c r="P63" s="161">
        <v>42754</v>
      </c>
      <c r="Q63" s="161">
        <v>45323</v>
      </c>
      <c r="R63" s="161">
        <v>46053</v>
      </c>
      <c r="S63" s="161">
        <v>46054</v>
      </c>
      <c r="T63" s="10">
        <v>2011</v>
      </c>
      <c r="U63" s="30" t="s">
        <v>209</v>
      </c>
      <c r="V63" s="10">
        <v>2015</v>
      </c>
      <c r="W63" s="14" t="s">
        <v>210</v>
      </c>
      <c r="X63" s="31" t="s">
        <v>30</v>
      </c>
      <c r="Y63" s="35" t="s">
        <v>49</v>
      </c>
      <c r="Z63" s="14" t="s">
        <v>1975</v>
      </c>
      <c r="AA63" s="35" t="s">
        <v>1886</v>
      </c>
      <c r="AB63" s="161">
        <v>44931</v>
      </c>
      <c r="AC63" s="219">
        <v>46756</v>
      </c>
      <c r="AD63" s="220">
        <v>8437515679</v>
      </c>
      <c r="AE63" s="224" t="s">
        <v>211</v>
      </c>
      <c r="AF63" s="28" t="s">
        <v>1495</v>
      </c>
      <c r="AG63" s="221" t="s">
        <v>1976</v>
      </c>
      <c r="AH63" s="31" t="s">
        <v>1977</v>
      </c>
      <c r="AI63" s="31" t="s">
        <v>1978</v>
      </c>
      <c r="AJ63" s="221" t="s">
        <v>1979</v>
      </c>
      <c r="AK63" s="30" t="s">
        <v>1980</v>
      </c>
      <c r="AL63" s="210"/>
      <c r="AM63" s="210"/>
      <c r="AN63" s="35"/>
      <c r="AO63" s="35" t="s">
        <v>1981</v>
      </c>
      <c r="AP63" s="10">
        <f t="shared" ca="1" si="3"/>
        <v>36</v>
      </c>
      <c r="AQ63" s="35" t="s">
        <v>1605</v>
      </c>
      <c r="AR63" s="222" t="s">
        <v>1982</v>
      </c>
      <c r="AS63" s="166">
        <v>45621</v>
      </c>
      <c r="AT63" s="166">
        <v>45985</v>
      </c>
      <c r="AU63" s="223">
        <v>32668</v>
      </c>
      <c r="AV63" s="31" t="s">
        <v>1352</v>
      </c>
      <c r="AW63" s="31" t="s">
        <v>68</v>
      </c>
      <c r="AX63" s="10">
        <v>8</v>
      </c>
      <c r="AY63" s="14" t="s">
        <v>1920</v>
      </c>
      <c r="AZ63" s="30" t="s">
        <v>26</v>
      </c>
      <c r="BA63" s="23" t="s">
        <v>151</v>
      </c>
      <c r="BB63" s="30" t="s">
        <v>34</v>
      </c>
      <c r="BC63" s="22"/>
    </row>
    <row r="64" spans="1:55" x14ac:dyDescent="0.25">
      <c r="A64" s="10">
        <f t="shared" si="0"/>
        <v>63</v>
      </c>
      <c r="B64" s="10" t="s">
        <v>212</v>
      </c>
      <c r="C64" s="30" t="s">
        <v>34</v>
      </c>
      <c r="D64" s="65">
        <v>400040</v>
      </c>
      <c r="E64" s="31" t="s">
        <v>42</v>
      </c>
      <c r="F64" s="14" t="s">
        <v>213</v>
      </c>
      <c r="G64" s="10">
        <v>6</v>
      </c>
      <c r="H64" s="66">
        <v>0.4375</v>
      </c>
      <c r="I64" s="66">
        <v>0.77083333333333337</v>
      </c>
      <c r="J64" s="66">
        <v>0.33333333333333331</v>
      </c>
      <c r="K64" s="21" t="s">
        <v>147</v>
      </c>
      <c r="L64" s="30" t="s">
        <v>148</v>
      </c>
      <c r="M64" s="30" t="s">
        <v>26</v>
      </c>
      <c r="N64" s="23" t="s">
        <v>38</v>
      </c>
      <c r="O64" s="23" t="s">
        <v>1321</v>
      </c>
      <c r="P64" s="161">
        <v>42767</v>
      </c>
      <c r="Q64" s="161">
        <v>45292</v>
      </c>
      <c r="R64" s="161">
        <v>46022</v>
      </c>
      <c r="S64" s="161">
        <v>46023</v>
      </c>
      <c r="T64" s="10">
        <v>2000</v>
      </c>
      <c r="U64" s="30" t="s">
        <v>214</v>
      </c>
      <c r="V64" s="10">
        <v>2003</v>
      </c>
      <c r="W64" s="14" t="s">
        <v>214</v>
      </c>
      <c r="X64" s="31" t="s">
        <v>30</v>
      </c>
      <c r="Y64" s="35" t="s">
        <v>49</v>
      </c>
      <c r="Z64" s="228">
        <v>45093</v>
      </c>
      <c r="AA64" s="229" t="s">
        <v>1886</v>
      </c>
      <c r="AB64" s="161">
        <v>44224</v>
      </c>
      <c r="AC64" s="219">
        <v>46049</v>
      </c>
      <c r="AD64" s="220">
        <v>9949528994</v>
      </c>
      <c r="AE64" s="224" t="s">
        <v>215</v>
      </c>
      <c r="AF64" s="28" t="s">
        <v>1495</v>
      </c>
      <c r="AG64" s="221" t="s">
        <v>1983</v>
      </c>
      <c r="AH64" s="31" t="s">
        <v>1984</v>
      </c>
      <c r="AI64" s="31" t="s">
        <v>1985</v>
      </c>
      <c r="AJ64" s="221" t="s">
        <v>1986</v>
      </c>
      <c r="AK64" s="30" t="s">
        <v>1987</v>
      </c>
      <c r="AL64" s="210"/>
      <c r="AM64" s="210"/>
      <c r="AN64" s="35"/>
      <c r="AO64" s="35" t="s">
        <v>1988</v>
      </c>
      <c r="AP64" s="10">
        <f t="shared" ca="1" si="3"/>
        <v>49</v>
      </c>
      <c r="AQ64" s="35" t="s">
        <v>1605</v>
      </c>
      <c r="AR64" s="222" t="s">
        <v>1989</v>
      </c>
      <c r="AS64" s="210">
        <v>45731</v>
      </c>
      <c r="AT64" s="210">
        <v>46095</v>
      </c>
      <c r="AU64" s="223">
        <v>28035</v>
      </c>
      <c r="AV64" s="31" t="s">
        <v>1352</v>
      </c>
      <c r="AW64" s="31" t="s">
        <v>68</v>
      </c>
      <c r="AX64" s="10">
        <v>8</v>
      </c>
      <c r="AY64" s="14" t="s">
        <v>1849</v>
      </c>
      <c r="AZ64" s="30" t="s">
        <v>26</v>
      </c>
      <c r="BA64" s="23" t="s">
        <v>151</v>
      </c>
      <c r="BB64" s="30" t="s">
        <v>34</v>
      </c>
      <c r="BC64" s="22"/>
    </row>
    <row r="65" spans="1:55" x14ac:dyDescent="0.25">
      <c r="A65" s="10">
        <f t="shared" si="0"/>
        <v>64</v>
      </c>
      <c r="B65" s="10" t="s">
        <v>1990</v>
      </c>
      <c r="C65" s="30" t="s">
        <v>34</v>
      </c>
      <c r="D65" s="65">
        <v>400041</v>
      </c>
      <c r="E65" s="31" t="s">
        <v>36</v>
      </c>
      <c r="F65" s="14" t="s">
        <v>1991</v>
      </c>
      <c r="G65" s="10">
        <v>6</v>
      </c>
      <c r="H65" s="66">
        <v>0.70833333333333337</v>
      </c>
      <c r="I65" s="66">
        <v>0.83333333333333337</v>
      </c>
      <c r="J65" s="66">
        <v>0.125</v>
      </c>
      <c r="K65" s="21" t="s">
        <v>1884</v>
      </c>
      <c r="L65" s="30" t="s">
        <v>1544</v>
      </c>
      <c r="M65" s="30" t="s">
        <v>1544</v>
      </c>
      <c r="N65" s="23" t="s">
        <v>1992</v>
      </c>
      <c r="O65" s="35" t="s">
        <v>1357</v>
      </c>
      <c r="P65" s="161">
        <v>42795</v>
      </c>
      <c r="Q65" s="161">
        <v>45748</v>
      </c>
      <c r="R65" s="161">
        <v>46477</v>
      </c>
      <c r="S65" s="161">
        <v>46478</v>
      </c>
      <c r="T65" s="10">
        <v>1997</v>
      </c>
      <c r="U65" s="30" t="s">
        <v>1993</v>
      </c>
      <c r="V65" s="10">
        <v>2007</v>
      </c>
      <c r="W65" s="14" t="s">
        <v>196</v>
      </c>
      <c r="X65" s="31" t="s">
        <v>30</v>
      </c>
      <c r="Y65" s="35" t="s">
        <v>1549</v>
      </c>
      <c r="Z65" s="14">
        <v>72984</v>
      </c>
      <c r="AA65" s="35" t="s">
        <v>1886</v>
      </c>
      <c r="AB65" s="161">
        <v>44648</v>
      </c>
      <c r="AC65" s="219">
        <v>46473</v>
      </c>
      <c r="AD65" s="44">
        <v>9848097774</v>
      </c>
      <c r="AE65" s="224" t="s">
        <v>1994</v>
      </c>
      <c r="AF65" s="28" t="s">
        <v>1495</v>
      </c>
      <c r="AG65" s="221" t="s">
        <v>1995</v>
      </c>
      <c r="AH65" s="31" t="s">
        <v>1996</v>
      </c>
      <c r="AI65" s="31" t="s">
        <v>1997</v>
      </c>
      <c r="AJ65" s="221" t="s">
        <v>1998</v>
      </c>
      <c r="AK65" s="30" t="s">
        <v>1999</v>
      </c>
      <c r="AL65" s="210"/>
      <c r="AM65" s="210"/>
      <c r="AN65" s="35"/>
      <c r="AO65" s="35" t="s">
        <v>2000</v>
      </c>
      <c r="AP65" s="10">
        <f t="shared" ca="1" si="3"/>
        <v>49</v>
      </c>
      <c r="AQ65" s="35"/>
      <c r="AR65" s="23"/>
      <c r="AS65" s="210"/>
      <c r="AT65" s="210"/>
      <c r="AU65" s="223">
        <v>27936</v>
      </c>
      <c r="AV65" s="31" t="s">
        <v>1389</v>
      </c>
      <c r="AW65" s="31" t="s">
        <v>32</v>
      </c>
      <c r="AX65" s="10">
        <v>3</v>
      </c>
      <c r="AY65" s="14" t="s">
        <v>1895</v>
      </c>
      <c r="AZ65" s="30" t="s">
        <v>1373</v>
      </c>
      <c r="BA65" s="23" t="s">
        <v>151</v>
      </c>
      <c r="BB65" s="30" t="s">
        <v>34</v>
      </c>
      <c r="BC65" s="22"/>
    </row>
    <row r="66" spans="1:55" x14ac:dyDescent="0.25">
      <c r="A66" s="10">
        <f t="shared" si="0"/>
        <v>65</v>
      </c>
      <c r="B66" s="10" t="s">
        <v>216</v>
      </c>
      <c r="C66" s="30" t="s">
        <v>34</v>
      </c>
      <c r="D66" s="65">
        <v>400045</v>
      </c>
      <c r="E66" s="181" t="s">
        <v>9124</v>
      </c>
      <c r="F66" s="14" t="s">
        <v>217</v>
      </c>
      <c r="G66" s="10">
        <v>6</v>
      </c>
      <c r="H66" s="66" t="s">
        <v>218</v>
      </c>
      <c r="I66" s="66" t="s">
        <v>219</v>
      </c>
      <c r="J66" s="66">
        <v>0.29166666666666669</v>
      </c>
      <c r="K66" s="21" t="s">
        <v>220</v>
      </c>
      <c r="L66" s="30" t="s">
        <v>221</v>
      </c>
      <c r="M66" s="30" t="s">
        <v>26</v>
      </c>
      <c r="N66" s="23" t="s">
        <v>222</v>
      </c>
      <c r="O66" s="23" t="s">
        <v>1321</v>
      </c>
      <c r="P66" s="161">
        <v>42826</v>
      </c>
      <c r="Q66" s="161">
        <v>45748</v>
      </c>
      <c r="R66" s="161">
        <v>46477</v>
      </c>
      <c r="S66" s="161">
        <v>46478</v>
      </c>
      <c r="T66" s="10">
        <v>2008</v>
      </c>
      <c r="U66" s="30" t="s">
        <v>223</v>
      </c>
      <c r="V66" s="10" t="s">
        <v>224</v>
      </c>
      <c r="W66" s="14" t="s">
        <v>225</v>
      </c>
      <c r="X66" s="31" t="s">
        <v>30</v>
      </c>
      <c r="Y66" s="35" t="s">
        <v>226</v>
      </c>
      <c r="Z66" s="14">
        <v>58958</v>
      </c>
      <c r="AA66" s="35" t="s">
        <v>1841</v>
      </c>
      <c r="AB66" s="161">
        <v>44358</v>
      </c>
      <c r="AC66" s="219">
        <v>46183</v>
      </c>
      <c r="AD66" s="220">
        <v>8008877007</v>
      </c>
      <c r="AE66" s="224" t="s">
        <v>227</v>
      </c>
      <c r="AF66" s="30" t="s">
        <v>1364</v>
      </c>
      <c r="AG66" s="221" t="s">
        <v>2001</v>
      </c>
      <c r="AH66" s="31" t="s">
        <v>2002</v>
      </c>
      <c r="AI66" s="31" t="s">
        <v>2003</v>
      </c>
      <c r="AJ66" s="221"/>
      <c r="AK66" s="30" t="s">
        <v>2004</v>
      </c>
      <c r="AL66" s="210"/>
      <c r="AM66" s="210"/>
      <c r="AN66" s="35"/>
      <c r="AO66" s="35" t="s">
        <v>2005</v>
      </c>
      <c r="AP66" s="10">
        <f t="shared" ca="1" si="3"/>
        <v>43</v>
      </c>
      <c r="AQ66" s="35"/>
      <c r="AR66" s="23"/>
      <c r="AS66" s="210"/>
      <c r="AT66" s="210"/>
      <c r="AU66" s="223">
        <v>30033</v>
      </c>
      <c r="AV66" s="31" t="s">
        <v>1352</v>
      </c>
      <c r="AW66" s="31" t="s">
        <v>32</v>
      </c>
      <c r="AX66" s="10">
        <v>7</v>
      </c>
      <c r="AY66" s="14" t="s">
        <v>2006</v>
      </c>
      <c r="AZ66" s="30" t="s">
        <v>26</v>
      </c>
      <c r="BA66" s="23" t="s">
        <v>151</v>
      </c>
      <c r="BB66" s="30" t="s">
        <v>34</v>
      </c>
      <c r="BC66" s="22"/>
    </row>
    <row r="67" spans="1:55" x14ac:dyDescent="0.25">
      <c r="A67" s="10">
        <f t="shared" si="0"/>
        <v>66</v>
      </c>
      <c r="B67" s="10" t="s">
        <v>228</v>
      </c>
      <c r="C67" s="30" t="s">
        <v>34</v>
      </c>
      <c r="D67" s="65">
        <v>400049</v>
      </c>
      <c r="E67" s="31" t="s">
        <v>42</v>
      </c>
      <c r="F67" s="14" t="s">
        <v>229</v>
      </c>
      <c r="G67" s="10">
        <v>6</v>
      </c>
      <c r="H67" s="66">
        <v>0.38541666666666669</v>
      </c>
      <c r="I67" s="66">
        <v>0.71875</v>
      </c>
      <c r="J67" s="66">
        <v>0.33333333333333331</v>
      </c>
      <c r="K67" s="21" t="s">
        <v>207</v>
      </c>
      <c r="L67" s="30" t="s">
        <v>155</v>
      </c>
      <c r="M67" s="30" t="s">
        <v>26</v>
      </c>
      <c r="N67" s="23" t="s">
        <v>38</v>
      </c>
      <c r="O67" s="23" t="s">
        <v>1321</v>
      </c>
      <c r="P67" s="161">
        <v>41306</v>
      </c>
      <c r="Q67" s="161">
        <v>45778</v>
      </c>
      <c r="R67" s="161">
        <v>46507</v>
      </c>
      <c r="S67" s="161">
        <v>46508</v>
      </c>
      <c r="T67" s="10">
        <v>2008</v>
      </c>
      <c r="U67" s="30" t="s">
        <v>230</v>
      </c>
      <c r="V67" s="10">
        <v>2012</v>
      </c>
      <c r="W67" s="14" t="s">
        <v>231</v>
      </c>
      <c r="X67" s="31" t="s">
        <v>30</v>
      </c>
      <c r="Y67" s="35" t="s">
        <v>183</v>
      </c>
      <c r="Z67" s="14">
        <v>60748</v>
      </c>
      <c r="AA67" s="35" t="s">
        <v>1886</v>
      </c>
      <c r="AB67" s="161">
        <v>44231</v>
      </c>
      <c r="AC67" s="219">
        <v>46056</v>
      </c>
      <c r="AD67" s="220">
        <v>9985254336</v>
      </c>
      <c r="AE67" s="35" t="s">
        <v>232</v>
      </c>
      <c r="AF67" s="30" t="s">
        <v>1430</v>
      </c>
      <c r="AG67" s="230" t="s">
        <v>2007</v>
      </c>
      <c r="AH67" s="31" t="s">
        <v>2008</v>
      </c>
      <c r="AI67" s="31" t="s">
        <v>2009</v>
      </c>
      <c r="AJ67" s="221" t="s">
        <v>2010</v>
      </c>
      <c r="AK67" s="30" t="s">
        <v>2011</v>
      </c>
      <c r="AL67" s="210"/>
      <c r="AM67" s="210"/>
      <c r="AN67" s="35"/>
      <c r="AO67" s="35" t="s">
        <v>2012</v>
      </c>
      <c r="AP67" s="10">
        <f t="shared" ca="1" si="3"/>
        <v>42</v>
      </c>
      <c r="AQ67" s="35"/>
      <c r="AR67" s="23"/>
      <c r="AS67" s="210"/>
      <c r="AT67" s="210"/>
      <c r="AU67" s="223">
        <v>30599</v>
      </c>
      <c r="AV67" s="31" t="s">
        <v>1389</v>
      </c>
      <c r="AW67" s="31" t="s">
        <v>68</v>
      </c>
      <c r="AX67" s="10">
        <v>8</v>
      </c>
      <c r="AY67" s="14" t="s">
        <v>1920</v>
      </c>
      <c r="AZ67" s="30" t="s">
        <v>26</v>
      </c>
      <c r="BA67" s="23" t="s">
        <v>151</v>
      </c>
      <c r="BB67" s="30" t="s">
        <v>34</v>
      </c>
      <c r="BC67" s="22"/>
    </row>
    <row r="68" spans="1:55" x14ac:dyDescent="0.25">
      <c r="A68" s="10">
        <f t="shared" ref="A68:A131" si="4">A67+1</f>
        <v>67</v>
      </c>
      <c r="B68" s="10" t="s">
        <v>2013</v>
      </c>
      <c r="C68" s="30" t="s">
        <v>34</v>
      </c>
      <c r="D68" s="65">
        <v>400050</v>
      </c>
      <c r="E68" s="31" t="s">
        <v>36</v>
      </c>
      <c r="F68" s="14" t="s">
        <v>2014</v>
      </c>
      <c r="G68" s="10">
        <v>6</v>
      </c>
      <c r="H68" s="66">
        <v>0.6875</v>
      </c>
      <c r="I68" s="66">
        <v>0.77083333333333337</v>
      </c>
      <c r="J68" s="66">
        <v>8.3333333333333329E-2</v>
      </c>
      <c r="K68" s="21" t="s">
        <v>593</v>
      </c>
      <c r="L68" s="30" t="s">
        <v>2015</v>
      </c>
      <c r="M68" s="30" t="s">
        <v>1355</v>
      </c>
      <c r="N68" s="23" t="s">
        <v>1520</v>
      </c>
      <c r="O68" s="35" t="s">
        <v>2016</v>
      </c>
      <c r="P68" s="161">
        <v>42909</v>
      </c>
      <c r="Q68" s="161">
        <v>45901</v>
      </c>
      <c r="R68" s="161">
        <v>46630</v>
      </c>
      <c r="S68" s="161">
        <v>46631</v>
      </c>
      <c r="T68" s="10">
        <v>1985</v>
      </c>
      <c r="U68" s="30" t="s">
        <v>230</v>
      </c>
      <c r="V68" s="10">
        <v>2004</v>
      </c>
      <c r="W68" s="14" t="s">
        <v>230</v>
      </c>
      <c r="X68" s="31" t="s">
        <v>30</v>
      </c>
      <c r="Y68" s="23" t="s">
        <v>1360</v>
      </c>
      <c r="Z68" s="14" t="s">
        <v>2017</v>
      </c>
      <c r="AA68" s="35" t="s">
        <v>1886</v>
      </c>
      <c r="AB68" s="161">
        <v>45828</v>
      </c>
      <c r="AC68" s="161">
        <v>47653</v>
      </c>
      <c r="AD68" s="220">
        <v>9885620059</v>
      </c>
      <c r="AE68" s="224" t="s">
        <v>2018</v>
      </c>
      <c r="AF68" s="30" t="s">
        <v>1430</v>
      </c>
      <c r="AG68" s="221" t="s">
        <v>2019</v>
      </c>
      <c r="AH68" s="31" t="s">
        <v>2020</v>
      </c>
      <c r="AI68" s="31" t="s">
        <v>2021</v>
      </c>
      <c r="AJ68" s="221" t="s">
        <v>2022</v>
      </c>
      <c r="AK68" s="30" t="s">
        <v>2023</v>
      </c>
      <c r="AL68" s="210"/>
      <c r="AM68" s="210"/>
      <c r="AN68" s="35"/>
      <c r="AO68" s="35" t="s">
        <v>2024</v>
      </c>
      <c r="AP68" s="10">
        <f t="shared" ca="1" si="3"/>
        <v>64</v>
      </c>
      <c r="AQ68" s="35"/>
      <c r="AR68" s="23"/>
      <c r="AS68" s="210"/>
      <c r="AT68" s="210"/>
      <c r="AU68" s="223">
        <v>22349</v>
      </c>
      <c r="AV68" s="31" t="s">
        <v>1352</v>
      </c>
      <c r="AW68" s="31" t="s">
        <v>32</v>
      </c>
      <c r="AX68" s="10">
        <v>2</v>
      </c>
      <c r="AY68" s="14" t="s">
        <v>1920</v>
      </c>
      <c r="AZ68" s="30" t="s">
        <v>1373</v>
      </c>
      <c r="BA68" s="23" t="s">
        <v>151</v>
      </c>
      <c r="BB68" s="30" t="s">
        <v>34</v>
      </c>
      <c r="BC68" s="22"/>
    </row>
    <row r="69" spans="1:55" x14ac:dyDescent="0.25">
      <c r="A69" s="10">
        <f t="shared" si="4"/>
        <v>68</v>
      </c>
      <c r="B69" s="10" t="s">
        <v>233</v>
      </c>
      <c r="C69" s="30" t="s">
        <v>34</v>
      </c>
      <c r="D69" s="65">
        <v>400051</v>
      </c>
      <c r="E69" s="31" t="s">
        <v>42</v>
      </c>
      <c r="F69" s="14" t="s">
        <v>234</v>
      </c>
      <c r="G69" s="10">
        <v>6</v>
      </c>
      <c r="H69" s="68" t="s">
        <v>235</v>
      </c>
      <c r="I69" s="68" t="s">
        <v>236</v>
      </c>
      <c r="J69" s="66">
        <v>0.29166666666666669</v>
      </c>
      <c r="K69" s="21" t="s">
        <v>187</v>
      </c>
      <c r="L69" s="30" t="s">
        <v>237</v>
      </c>
      <c r="M69" s="30" t="s">
        <v>26</v>
      </c>
      <c r="N69" s="23" t="s">
        <v>38</v>
      </c>
      <c r="O69" s="23" t="s">
        <v>1321</v>
      </c>
      <c r="P69" s="161">
        <v>42915</v>
      </c>
      <c r="Q69" s="161">
        <v>45931</v>
      </c>
      <c r="R69" s="161">
        <v>46660</v>
      </c>
      <c r="S69" s="161">
        <v>46661</v>
      </c>
      <c r="T69" s="10">
        <v>2007</v>
      </c>
      <c r="U69" s="30" t="s">
        <v>238</v>
      </c>
      <c r="V69" s="10">
        <v>2013</v>
      </c>
      <c r="W69" s="14" t="s">
        <v>239</v>
      </c>
      <c r="X69" s="31" t="s">
        <v>30</v>
      </c>
      <c r="Y69" s="35" t="s">
        <v>183</v>
      </c>
      <c r="Z69" s="14" t="s">
        <v>2025</v>
      </c>
      <c r="AA69" s="23" t="s">
        <v>1841</v>
      </c>
      <c r="AB69" s="161">
        <v>44139</v>
      </c>
      <c r="AC69" s="219">
        <v>45964</v>
      </c>
      <c r="AD69" s="220">
        <v>8179626444</v>
      </c>
      <c r="AE69" s="224" t="s">
        <v>240</v>
      </c>
      <c r="AF69" s="30" t="s">
        <v>1430</v>
      </c>
      <c r="AG69" s="221" t="s">
        <v>2026</v>
      </c>
      <c r="AH69" s="31" t="s">
        <v>2027</v>
      </c>
      <c r="AI69" s="31" t="s">
        <v>2028</v>
      </c>
      <c r="AJ69" s="221" t="s">
        <v>2029</v>
      </c>
      <c r="AK69" s="30" t="s">
        <v>2030</v>
      </c>
      <c r="AL69" s="210"/>
      <c r="AM69" s="210"/>
      <c r="AN69" s="35"/>
      <c r="AO69" s="35" t="s">
        <v>2031</v>
      </c>
      <c r="AP69" s="10">
        <f t="shared" ca="1" si="3"/>
        <v>41</v>
      </c>
      <c r="AQ69" s="35" t="s">
        <v>1605</v>
      </c>
      <c r="AR69" s="222" t="s">
        <v>2032</v>
      </c>
      <c r="AS69" s="176">
        <v>45945</v>
      </c>
      <c r="AT69" s="176">
        <v>47040</v>
      </c>
      <c r="AU69" s="223">
        <v>30658</v>
      </c>
      <c r="AV69" s="31" t="s">
        <v>1389</v>
      </c>
      <c r="AW69" s="31" t="s">
        <v>32</v>
      </c>
      <c r="AX69" s="10">
        <v>7</v>
      </c>
      <c r="AY69" s="14" t="s">
        <v>1959</v>
      </c>
      <c r="AZ69" s="30" t="s">
        <v>26</v>
      </c>
      <c r="BA69" s="23" t="s">
        <v>151</v>
      </c>
      <c r="BB69" s="30" t="s">
        <v>34</v>
      </c>
      <c r="BC69" s="22"/>
    </row>
    <row r="70" spans="1:55" x14ac:dyDescent="0.25">
      <c r="A70" s="10">
        <f t="shared" si="4"/>
        <v>69</v>
      </c>
      <c r="B70" s="10" t="s">
        <v>241</v>
      </c>
      <c r="C70" s="30" t="s">
        <v>34</v>
      </c>
      <c r="D70" s="65">
        <v>400060</v>
      </c>
      <c r="E70" s="31" t="s">
        <v>42</v>
      </c>
      <c r="F70" s="14" t="s">
        <v>242</v>
      </c>
      <c r="G70" s="10">
        <v>6</v>
      </c>
      <c r="H70" s="66">
        <v>0.45833333333333331</v>
      </c>
      <c r="I70" s="66">
        <v>0.79166666666666663</v>
      </c>
      <c r="J70" s="66">
        <v>0.33333333333333331</v>
      </c>
      <c r="K70" s="21" t="s">
        <v>147</v>
      </c>
      <c r="L70" s="30" t="s">
        <v>243</v>
      </c>
      <c r="M70" s="30" t="s">
        <v>26</v>
      </c>
      <c r="N70" s="23" t="s">
        <v>38</v>
      </c>
      <c r="O70" s="23" t="s">
        <v>1321</v>
      </c>
      <c r="P70" s="161">
        <v>43089</v>
      </c>
      <c r="Q70" s="161">
        <v>45658</v>
      </c>
      <c r="R70" s="161">
        <v>46387</v>
      </c>
      <c r="S70" s="161">
        <v>46388</v>
      </c>
      <c r="T70" s="10">
        <v>2011</v>
      </c>
      <c r="U70" s="30" t="s">
        <v>244</v>
      </c>
      <c r="V70" s="10">
        <v>2016</v>
      </c>
      <c r="W70" s="14" t="s">
        <v>245</v>
      </c>
      <c r="X70" s="31" t="s">
        <v>30</v>
      </c>
      <c r="Y70" s="35" t="s">
        <v>183</v>
      </c>
      <c r="Z70" s="14" t="s">
        <v>2033</v>
      </c>
      <c r="AA70" s="35" t="s">
        <v>1871</v>
      </c>
      <c r="AB70" s="161" t="s">
        <v>1872</v>
      </c>
      <c r="AC70" s="161" t="s">
        <v>1872</v>
      </c>
      <c r="AD70" s="220">
        <v>9951853242</v>
      </c>
      <c r="AE70" s="224" t="s">
        <v>246</v>
      </c>
      <c r="AF70" s="30" t="s">
        <v>1364</v>
      </c>
      <c r="AG70" s="221" t="s">
        <v>2034</v>
      </c>
      <c r="AH70" s="31" t="s">
        <v>2035</v>
      </c>
      <c r="AI70" s="31" t="s">
        <v>2036</v>
      </c>
      <c r="AJ70" s="221" t="s">
        <v>2037</v>
      </c>
      <c r="AK70" s="30" t="s">
        <v>2038</v>
      </c>
      <c r="AL70" s="210"/>
      <c r="AM70" s="210"/>
      <c r="AN70" s="35"/>
      <c r="AO70" s="35" t="s">
        <v>2039</v>
      </c>
      <c r="AP70" s="10">
        <f t="shared" ca="1" si="3"/>
        <v>36</v>
      </c>
      <c r="AQ70" s="35" t="s">
        <v>1605</v>
      </c>
      <c r="AR70" s="222" t="s">
        <v>2040</v>
      </c>
      <c r="AS70" s="166">
        <v>45690</v>
      </c>
      <c r="AT70" s="166">
        <v>46054</v>
      </c>
      <c r="AU70" s="223">
        <v>32531</v>
      </c>
      <c r="AV70" s="31" t="s">
        <v>1352</v>
      </c>
      <c r="AW70" s="31" t="s">
        <v>68</v>
      </c>
      <c r="AX70" s="10">
        <v>8</v>
      </c>
      <c r="AY70" s="14" t="s">
        <v>1849</v>
      </c>
      <c r="AZ70" s="30" t="s">
        <v>26</v>
      </c>
      <c r="BA70" s="23" t="s">
        <v>151</v>
      </c>
      <c r="BB70" s="30" t="s">
        <v>34</v>
      </c>
      <c r="BC70" s="22"/>
    </row>
    <row r="71" spans="1:55" x14ac:dyDescent="0.25">
      <c r="A71" s="10">
        <f t="shared" si="4"/>
        <v>70</v>
      </c>
      <c r="B71" s="10" t="s">
        <v>2041</v>
      </c>
      <c r="C71" s="30" t="s">
        <v>34</v>
      </c>
      <c r="D71" s="65">
        <v>400062</v>
      </c>
      <c r="E71" s="31" t="s">
        <v>36</v>
      </c>
      <c r="F71" s="14" t="s">
        <v>2042</v>
      </c>
      <c r="G71" s="10">
        <v>6</v>
      </c>
      <c r="H71" s="66">
        <v>0.33333333333333331</v>
      </c>
      <c r="I71" s="66">
        <v>0.875</v>
      </c>
      <c r="J71" s="68">
        <v>0.33333333333333331</v>
      </c>
      <c r="K71" s="21" t="s">
        <v>477</v>
      </c>
      <c r="L71" s="30" t="s">
        <v>2015</v>
      </c>
      <c r="M71" s="30" t="s">
        <v>1355</v>
      </c>
      <c r="N71" s="23" t="s">
        <v>1356</v>
      </c>
      <c r="O71" s="35" t="s">
        <v>1357</v>
      </c>
      <c r="P71" s="161">
        <v>43160</v>
      </c>
      <c r="Q71" s="161">
        <v>45352</v>
      </c>
      <c r="R71" s="161">
        <v>46081</v>
      </c>
      <c r="S71" s="161">
        <v>46082</v>
      </c>
      <c r="T71" s="10">
        <v>1999</v>
      </c>
      <c r="U71" s="30" t="s">
        <v>2043</v>
      </c>
      <c r="V71" s="10">
        <v>2005</v>
      </c>
      <c r="W71" s="14" t="s">
        <v>2044</v>
      </c>
      <c r="X71" s="31" t="s">
        <v>30</v>
      </c>
      <c r="Y71" s="23" t="s">
        <v>1360</v>
      </c>
      <c r="Z71" s="14">
        <v>43345</v>
      </c>
      <c r="AA71" s="23" t="s">
        <v>1841</v>
      </c>
      <c r="AB71" s="161">
        <v>45873</v>
      </c>
      <c r="AC71" s="219">
        <v>47698</v>
      </c>
      <c r="AD71" s="220">
        <v>9701314079</v>
      </c>
      <c r="AE71" s="224" t="s">
        <v>2045</v>
      </c>
      <c r="AF71" s="30" t="s">
        <v>1690</v>
      </c>
      <c r="AG71" s="221" t="s">
        <v>2046</v>
      </c>
      <c r="AH71" s="31" t="s">
        <v>2047</v>
      </c>
      <c r="AI71" s="31" t="s">
        <v>2048</v>
      </c>
      <c r="AJ71" s="221" t="s">
        <v>2049</v>
      </c>
      <c r="AK71" s="30" t="s">
        <v>2050</v>
      </c>
      <c r="AL71" s="210"/>
      <c r="AM71" s="210"/>
      <c r="AN71" s="35"/>
      <c r="AO71" s="35" t="s">
        <v>2051</v>
      </c>
      <c r="AP71" s="10">
        <f t="shared" ca="1" si="3"/>
        <v>50</v>
      </c>
      <c r="AQ71" s="231" t="s">
        <v>1416</v>
      </c>
      <c r="AR71" s="222" t="s">
        <v>2052</v>
      </c>
      <c r="AS71" s="187">
        <v>45943</v>
      </c>
      <c r="AT71" s="210">
        <v>46307</v>
      </c>
      <c r="AU71" s="223">
        <v>27699</v>
      </c>
      <c r="AV71" s="31" t="s">
        <v>1352</v>
      </c>
      <c r="AW71" s="31" t="s">
        <v>68</v>
      </c>
      <c r="AX71" s="10">
        <v>8</v>
      </c>
      <c r="AY71" s="14" t="s">
        <v>2053</v>
      </c>
      <c r="AZ71" s="30" t="s">
        <v>1373</v>
      </c>
      <c r="BA71" s="23" t="s">
        <v>151</v>
      </c>
      <c r="BB71" s="30" t="s">
        <v>34</v>
      </c>
      <c r="BC71" s="22"/>
    </row>
    <row r="72" spans="1:55" x14ac:dyDescent="0.25">
      <c r="A72" s="10">
        <f t="shared" si="4"/>
        <v>71</v>
      </c>
      <c r="B72" s="10" t="s">
        <v>247</v>
      </c>
      <c r="C72" s="30" t="s">
        <v>34</v>
      </c>
      <c r="D72" s="65">
        <v>400072</v>
      </c>
      <c r="E72" s="31" t="s">
        <v>42</v>
      </c>
      <c r="F72" s="14" t="s">
        <v>248</v>
      </c>
      <c r="G72" s="10">
        <v>6</v>
      </c>
      <c r="H72" s="66">
        <v>0.33333333333333331</v>
      </c>
      <c r="I72" s="66">
        <v>0.66666666666666663</v>
      </c>
      <c r="J72" s="66">
        <v>0.33333333333333331</v>
      </c>
      <c r="K72" s="21" t="s">
        <v>154</v>
      </c>
      <c r="L72" s="69" t="s">
        <v>249</v>
      </c>
      <c r="M72" s="30" t="s">
        <v>26</v>
      </c>
      <c r="N72" s="23" t="s">
        <v>38</v>
      </c>
      <c r="O72" s="23" t="s">
        <v>1321</v>
      </c>
      <c r="P72" s="161">
        <v>43298</v>
      </c>
      <c r="Q72" s="183">
        <v>45658</v>
      </c>
      <c r="R72" s="183">
        <v>46387</v>
      </c>
      <c r="S72" s="183">
        <v>46388</v>
      </c>
      <c r="T72" s="10">
        <v>2009</v>
      </c>
      <c r="U72" s="30" t="s">
        <v>250</v>
      </c>
      <c r="V72" s="10">
        <v>2014</v>
      </c>
      <c r="W72" s="14" t="s">
        <v>251</v>
      </c>
      <c r="X72" s="31" t="s">
        <v>30</v>
      </c>
      <c r="Y72" s="35" t="s">
        <v>49</v>
      </c>
      <c r="Z72" s="14">
        <v>67870</v>
      </c>
      <c r="AA72" s="23" t="s">
        <v>1841</v>
      </c>
      <c r="AB72" s="161">
        <v>45342</v>
      </c>
      <c r="AC72" s="219">
        <v>47168</v>
      </c>
      <c r="AD72" s="220">
        <v>9442990087</v>
      </c>
      <c r="AE72" s="224" t="s">
        <v>252</v>
      </c>
      <c r="AF72" s="28" t="s">
        <v>1495</v>
      </c>
      <c r="AG72" s="221" t="s">
        <v>2054</v>
      </c>
      <c r="AH72" s="31" t="s">
        <v>2055</v>
      </c>
      <c r="AI72" s="31" t="s">
        <v>2056</v>
      </c>
      <c r="AJ72" s="221" t="s">
        <v>2057</v>
      </c>
      <c r="AK72" s="30" t="s">
        <v>2058</v>
      </c>
      <c r="AL72" s="210"/>
      <c r="AM72" s="210"/>
      <c r="AN72" s="35"/>
      <c r="AO72" s="35" t="s">
        <v>2059</v>
      </c>
      <c r="AP72" s="10">
        <f t="shared" ca="1" si="3"/>
        <v>38</v>
      </c>
      <c r="AQ72" s="35"/>
      <c r="AR72" s="23"/>
      <c r="AS72" s="210"/>
      <c r="AT72" s="210"/>
      <c r="AU72" s="223">
        <v>32018</v>
      </c>
      <c r="AV72" s="31" t="s">
        <v>1389</v>
      </c>
      <c r="AW72" s="31" t="s">
        <v>68</v>
      </c>
      <c r="AX72" s="10">
        <v>8</v>
      </c>
      <c r="AY72" s="14" t="s">
        <v>1904</v>
      </c>
      <c r="AZ72" s="30" t="s">
        <v>26</v>
      </c>
      <c r="BA72" s="23" t="s">
        <v>151</v>
      </c>
      <c r="BB72" s="30" t="s">
        <v>34</v>
      </c>
      <c r="BC72" s="22"/>
    </row>
    <row r="73" spans="1:55" x14ac:dyDescent="0.25">
      <c r="A73" s="10">
        <f t="shared" si="4"/>
        <v>72</v>
      </c>
      <c r="B73" s="10" t="s">
        <v>253</v>
      </c>
      <c r="C73" s="30" t="s">
        <v>34</v>
      </c>
      <c r="D73" s="65">
        <v>400080</v>
      </c>
      <c r="E73" s="31" t="s">
        <v>42</v>
      </c>
      <c r="F73" s="14" t="s">
        <v>254</v>
      </c>
      <c r="G73" s="10">
        <v>6</v>
      </c>
      <c r="H73" s="66">
        <v>0.35416666666666669</v>
      </c>
      <c r="I73" s="66">
        <v>0.6875</v>
      </c>
      <c r="J73" s="66">
        <v>0.33333333333333331</v>
      </c>
      <c r="K73" s="21" t="s">
        <v>255</v>
      </c>
      <c r="L73" s="30" t="s">
        <v>155</v>
      </c>
      <c r="M73" s="30" t="s">
        <v>26</v>
      </c>
      <c r="N73" s="23" t="s">
        <v>38</v>
      </c>
      <c r="O73" s="23" t="s">
        <v>1321</v>
      </c>
      <c r="P73" s="161">
        <v>41467</v>
      </c>
      <c r="Q73" s="161">
        <v>45597</v>
      </c>
      <c r="R73" s="161">
        <v>46326</v>
      </c>
      <c r="S73" s="161">
        <v>46327</v>
      </c>
      <c r="T73" s="10">
        <v>2005</v>
      </c>
      <c r="U73" s="30" t="s">
        <v>197</v>
      </c>
      <c r="V73" s="10">
        <v>2010</v>
      </c>
      <c r="W73" s="14" t="s">
        <v>256</v>
      </c>
      <c r="X73" s="31" t="s">
        <v>30</v>
      </c>
      <c r="Y73" s="35" t="s">
        <v>49</v>
      </c>
      <c r="Z73" s="14" t="s">
        <v>2060</v>
      </c>
      <c r="AA73" s="23" t="s">
        <v>1841</v>
      </c>
      <c r="AB73" s="161">
        <v>45370</v>
      </c>
      <c r="AC73" s="219">
        <v>47195</v>
      </c>
      <c r="AD73" s="220">
        <v>8790513838</v>
      </c>
      <c r="AE73" s="224" t="s">
        <v>257</v>
      </c>
      <c r="AF73" s="30" t="s">
        <v>1364</v>
      </c>
      <c r="AG73" s="221" t="s">
        <v>2061</v>
      </c>
      <c r="AH73" s="31" t="s">
        <v>2062</v>
      </c>
      <c r="AI73" s="31" t="s">
        <v>2063</v>
      </c>
      <c r="AJ73" s="221" t="s">
        <v>2064</v>
      </c>
      <c r="AK73" s="30" t="s">
        <v>2065</v>
      </c>
      <c r="AL73" s="210"/>
      <c r="AM73" s="210"/>
      <c r="AN73" s="35"/>
      <c r="AO73" s="35" t="s">
        <v>2066</v>
      </c>
      <c r="AP73" s="10">
        <f t="shared" ca="1" si="3"/>
        <v>42</v>
      </c>
      <c r="AQ73" s="30" t="s">
        <v>1879</v>
      </c>
      <c r="AR73" s="232" t="s">
        <v>2067</v>
      </c>
      <c r="AS73" s="187">
        <v>45666</v>
      </c>
      <c r="AT73" s="187">
        <v>46030</v>
      </c>
      <c r="AU73" s="223">
        <v>30388</v>
      </c>
      <c r="AV73" s="31" t="s">
        <v>1352</v>
      </c>
      <c r="AW73" s="31" t="s">
        <v>68</v>
      </c>
      <c r="AX73" s="10">
        <v>8</v>
      </c>
      <c r="AY73" s="14" t="s">
        <v>2068</v>
      </c>
      <c r="AZ73" s="30" t="s">
        <v>26</v>
      </c>
      <c r="BA73" s="23" t="s">
        <v>151</v>
      </c>
      <c r="BB73" s="30" t="s">
        <v>34</v>
      </c>
      <c r="BC73" s="22"/>
    </row>
    <row r="74" spans="1:55" x14ac:dyDescent="0.25">
      <c r="A74" s="10">
        <f t="shared" si="4"/>
        <v>73</v>
      </c>
      <c r="B74" s="10" t="s">
        <v>258</v>
      </c>
      <c r="C74" s="30" t="s">
        <v>34</v>
      </c>
      <c r="D74" s="65">
        <v>400083</v>
      </c>
      <c r="E74" s="31" t="s">
        <v>42</v>
      </c>
      <c r="F74" s="14" t="s">
        <v>259</v>
      </c>
      <c r="G74" s="10">
        <v>6</v>
      </c>
      <c r="H74" s="66">
        <v>0.33333333333333331</v>
      </c>
      <c r="I74" s="66">
        <v>0.66666666666666663</v>
      </c>
      <c r="J74" s="66">
        <v>0.33333333333333331</v>
      </c>
      <c r="K74" s="21" t="s">
        <v>147</v>
      </c>
      <c r="L74" s="30" t="s">
        <v>155</v>
      </c>
      <c r="M74" s="30" t="s">
        <v>26</v>
      </c>
      <c r="N74" s="23" t="s">
        <v>38</v>
      </c>
      <c r="O74" s="23" t="s">
        <v>1321</v>
      </c>
      <c r="P74" s="161">
        <v>42705</v>
      </c>
      <c r="Q74" s="161">
        <v>45627</v>
      </c>
      <c r="R74" s="161">
        <v>46356</v>
      </c>
      <c r="S74" s="161">
        <v>46357</v>
      </c>
      <c r="T74" s="10">
        <v>2007</v>
      </c>
      <c r="U74" s="30" t="s">
        <v>260</v>
      </c>
      <c r="V74" s="10">
        <v>2012</v>
      </c>
      <c r="W74" s="14" t="s">
        <v>57</v>
      </c>
      <c r="X74" s="31" t="s">
        <v>30</v>
      </c>
      <c r="Y74" s="23" t="s">
        <v>66</v>
      </c>
      <c r="Z74" s="14" t="s">
        <v>2069</v>
      </c>
      <c r="AA74" s="23" t="s">
        <v>1841</v>
      </c>
      <c r="AB74" s="161" t="s">
        <v>1872</v>
      </c>
      <c r="AC74" s="161" t="s">
        <v>1872</v>
      </c>
      <c r="AD74" s="220">
        <v>8335947175</v>
      </c>
      <c r="AE74" s="224" t="s">
        <v>261</v>
      </c>
      <c r="AF74" s="28" t="s">
        <v>1495</v>
      </c>
      <c r="AG74" s="221" t="s">
        <v>2070</v>
      </c>
      <c r="AH74" s="31" t="s">
        <v>2071</v>
      </c>
      <c r="AI74" s="31" t="s">
        <v>2072</v>
      </c>
      <c r="AJ74" s="221" t="s">
        <v>2073</v>
      </c>
      <c r="AK74" s="30" t="s">
        <v>2074</v>
      </c>
      <c r="AL74" s="210"/>
      <c r="AM74" s="210"/>
      <c r="AN74" s="35"/>
      <c r="AO74" s="35" t="s">
        <v>2075</v>
      </c>
      <c r="AP74" s="10">
        <f t="shared" ca="1" si="3"/>
        <v>41</v>
      </c>
      <c r="AQ74" s="70" t="s">
        <v>1605</v>
      </c>
      <c r="AR74" s="233" t="s">
        <v>2076</v>
      </c>
      <c r="AS74" s="234">
        <v>45647</v>
      </c>
      <c r="AT74" s="234">
        <v>46011</v>
      </c>
      <c r="AU74" s="223">
        <v>30908</v>
      </c>
      <c r="AV74" s="31" t="s">
        <v>1352</v>
      </c>
      <c r="AW74" s="31" t="s">
        <v>68</v>
      </c>
      <c r="AX74" s="10">
        <v>8</v>
      </c>
      <c r="AY74" s="14" t="s">
        <v>1849</v>
      </c>
      <c r="AZ74" s="30" t="s">
        <v>26</v>
      </c>
      <c r="BA74" s="23" t="s">
        <v>151</v>
      </c>
      <c r="BB74" s="30" t="s">
        <v>34</v>
      </c>
      <c r="BC74" s="22"/>
    </row>
    <row r="75" spans="1:55" x14ac:dyDescent="0.25">
      <c r="A75" s="10">
        <f t="shared" si="4"/>
        <v>74</v>
      </c>
      <c r="B75" s="10" t="s">
        <v>2077</v>
      </c>
      <c r="C75" s="30" t="s">
        <v>34</v>
      </c>
      <c r="D75" s="65">
        <v>400088</v>
      </c>
      <c r="E75" s="31" t="s">
        <v>192</v>
      </c>
      <c r="F75" s="14" t="s">
        <v>2078</v>
      </c>
      <c r="G75" s="10">
        <v>6</v>
      </c>
      <c r="H75" s="66">
        <v>0.33333333333333331</v>
      </c>
      <c r="I75" s="68" t="s">
        <v>236</v>
      </c>
      <c r="J75" s="66">
        <v>0.29166666666666669</v>
      </c>
      <c r="K75" s="21" t="s">
        <v>147</v>
      </c>
      <c r="L75" s="30" t="s">
        <v>1424</v>
      </c>
      <c r="M75" s="30" t="s">
        <v>1865</v>
      </c>
      <c r="N75" s="23" t="s">
        <v>1866</v>
      </c>
      <c r="O75" s="35" t="s">
        <v>30</v>
      </c>
      <c r="P75" s="161">
        <v>43451</v>
      </c>
      <c r="Q75" s="161">
        <v>45839</v>
      </c>
      <c r="R75" s="161">
        <v>46568</v>
      </c>
      <c r="S75" s="161">
        <v>46569</v>
      </c>
      <c r="T75" s="10">
        <v>1983</v>
      </c>
      <c r="U75" s="30"/>
      <c r="V75" s="10">
        <v>2012</v>
      </c>
      <c r="W75" s="14"/>
      <c r="X75" s="31" t="s">
        <v>30</v>
      </c>
      <c r="Y75" s="35" t="s">
        <v>2079</v>
      </c>
      <c r="Z75" s="235" t="s">
        <v>2080</v>
      </c>
      <c r="AA75" s="23" t="s">
        <v>1841</v>
      </c>
      <c r="AB75" s="161">
        <v>45945</v>
      </c>
      <c r="AC75" s="161">
        <v>47772</v>
      </c>
      <c r="AD75" s="220">
        <v>9849232192</v>
      </c>
      <c r="AE75" s="236" t="s">
        <v>2081</v>
      </c>
      <c r="AF75" s="28" t="s">
        <v>1495</v>
      </c>
      <c r="AG75" s="221" t="s">
        <v>2082</v>
      </c>
      <c r="AH75" s="31" t="s">
        <v>2083</v>
      </c>
      <c r="AI75" s="31" t="s">
        <v>2084</v>
      </c>
      <c r="AJ75" s="221" t="s">
        <v>2085</v>
      </c>
      <c r="AK75" s="30"/>
      <c r="AL75" s="210"/>
      <c r="AM75" s="210"/>
      <c r="AN75" s="35"/>
      <c r="AO75" s="35" t="s">
        <v>2086</v>
      </c>
      <c r="AP75" s="10">
        <f t="shared" ca="1" si="3"/>
        <v>67</v>
      </c>
      <c r="AQ75" s="35" t="s">
        <v>1879</v>
      </c>
      <c r="AR75" s="222" t="s">
        <v>2087</v>
      </c>
      <c r="AS75" s="210">
        <v>45834</v>
      </c>
      <c r="AT75" s="210">
        <v>46198</v>
      </c>
      <c r="AU75" s="223">
        <v>21473</v>
      </c>
      <c r="AV75" s="31" t="s">
        <v>1352</v>
      </c>
      <c r="AW75" s="31" t="s">
        <v>32</v>
      </c>
      <c r="AX75" s="10">
        <v>7</v>
      </c>
      <c r="AY75" s="14" t="s">
        <v>1849</v>
      </c>
      <c r="AZ75" s="30" t="s">
        <v>1865</v>
      </c>
      <c r="BA75" s="23" t="s">
        <v>151</v>
      </c>
      <c r="BB75" s="30" t="s">
        <v>34</v>
      </c>
      <c r="BC75" s="22"/>
    </row>
    <row r="76" spans="1:55" x14ac:dyDescent="0.25">
      <c r="A76" s="10">
        <f t="shared" si="4"/>
        <v>75</v>
      </c>
      <c r="B76" s="10" t="s">
        <v>262</v>
      </c>
      <c r="C76" s="30" t="s">
        <v>34</v>
      </c>
      <c r="D76" s="65">
        <v>400096</v>
      </c>
      <c r="E76" s="31" t="s">
        <v>42</v>
      </c>
      <c r="F76" s="14" t="s">
        <v>263</v>
      </c>
      <c r="G76" s="10" t="s">
        <v>264</v>
      </c>
      <c r="H76" s="66">
        <v>0.29166666666666669</v>
      </c>
      <c r="I76" s="66">
        <v>0.625</v>
      </c>
      <c r="J76" s="66">
        <v>0.33333333333333331</v>
      </c>
      <c r="K76" s="21" t="s">
        <v>220</v>
      </c>
      <c r="L76" s="30" t="s">
        <v>155</v>
      </c>
      <c r="M76" s="30" t="s">
        <v>26</v>
      </c>
      <c r="N76" s="23" t="s">
        <v>38</v>
      </c>
      <c r="O76" s="23" t="s">
        <v>1321</v>
      </c>
      <c r="P76" s="161">
        <v>43514</v>
      </c>
      <c r="Q76" s="161">
        <v>45474</v>
      </c>
      <c r="R76" s="161">
        <v>46203</v>
      </c>
      <c r="S76" s="161">
        <v>46204</v>
      </c>
      <c r="T76" s="10">
        <v>1996</v>
      </c>
      <c r="U76" s="30" t="s">
        <v>141</v>
      </c>
      <c r="V76" s="10">
        <v>2001</v>
      </c>
      <c r="W76" s="14" t="s">
        <v>265</v>
      </c>
      <c r="X76" s="31" t="s">
        <v>30</v>
      </c>
      <c r="Y76" s="35" t="s">
        <v>158</v>
      </c>
      <c r="Z76" s="228">
        <v>39975</v>
      </c>
      <c r="AA76" s="229" t="s">
        <v>1886</v>
      </c>
      <c r="AB76" s="237"/>
      <c r="AC76" s="237"/>
      <c r="AD76" s="220">
        <v>9849011638</v>
      </c>
      <c r="AE76" s="224" t="s">
        <v>266</v>
      </c>
      <c r="AF76" s="30" t="s">
        <v>1410</v>
      </c>
      <c r="AG76" s="221" t="s">
        <v>2088</v>
      </c>
      <c r="AH76" s="31" t="s">
        <v>2089</v>
      </c>
      <c r="AI76" s="31" t="s">
        <v>2090</v>
      </c>
      <c r="AJ76" s="221" t="s">
        <v>2091</v>
      </c>
      <c r="AK76" s="30" t="s">
        <v>2092</v>
      </c>
      <c r="AL76" s="210"/>
      <c r="AM76" s="210"/>
      <c r="AN76" s="35"/>
      <c r="AO76" s="35" t="s">
        <v>2093</v>
      </c>
      <c r="AP76" s="10">
        <f t="shared" ca="1" si="3"/>
        <v>55</v>
      </c>
      <c r="AQ76" s="35" t="s">
        <v>1879</v>
      </c>
      <c r="AR76" s="222" t="s">
        <v>2094</v>
      </c>
      <c r="AS76" s="166">
        <v>45649</v>
      </c>
      <c r="AT76" s="166">
        <v>46013</v>
      </c>
      <c r="AU76" s="223">
        <v>25668</v>
      </c>
      <c r="AV76" s="31" t="s">
        <v>1352</v>
      </c>
      <c r="AW76" s="31" t="s">
        <v>68</v>
      </c>
      <c r="AX76" s="10">
        <v>8</v>
      </c>
      <c r="AY76" s="14" t="s">
        <v>2006</v>
      </c>
      <c r="AZ76" s="30" t="s">
        <v>26</v>
      </c>
      <c r="BA76" s="23" t="s">
        <v>151</v>
      </c>
      <c r="BB76" s="30" t="s">
        <v>34</v>
      </c>
      <c r="BC76" s="22"/>
    </row>
    <row r="77" spans="1:55" x14ac:dyDescent="0.25">
      <c r="A77" s="10">
        <f t="shared" si="4"/>
        <v>76</v>
      </c>
      <c r="B77" s="10" t="s">
        <v>2095</v>
      </c>
      <c r="C77" s="30" t="s">
        <v>34</v>
      </c>
      <c r="D77" s="65">
        <v>400097</v>
      </c>
      <c r="E77" s="31" t="s">
        <v>36</v>
      </c>
      <c r="F77" s="14" t="s">
        <v>2096</v>
      </c>
      <c r="G77" s="10">
        <v>6</v>
      </c>
      <c r="H77" s="66">
        <v>0.70833333333333337</v>
      </c>
      <c r="I77" s="66">
        <v>0.875</v>
      </c>
      <c r="J77" s="66">
        <v>0.16666666666666666</v>
      </c>
      <c r="K77" s="21" t="s">
        <v>477</v>
      </c>
      <c r="L77" s="30" t="s">
        <v>2097</v>
      </c>
      <c r="M77" s="30" t="s">
        <v>2097</v>
      </c>
      <c r="N77" s="23" t="s">
        <v>2098</v>
      </c>
      <c r="O77" s="14" t="s">
        <v>2042</v>
      </c>
      <c r="P77" s="161">
        <v>43515</v>
      </c>
      <c r="Q77" s="183">
        <v>45261</v>
      </c>
      <c r="R77" s="183">
        <v>45991</v>
      </c>
      <c r="S77" s="183">
        <v>45992</v>
      </c>
      <c r="T77" s="10">
        <v>1987</v>
      </c>
      <c r="U77" s="30" t="s">
        <v>196</v>
      </c>
      <c r="V77" s="10">
        <v>1996</v>
      </c>
      <c r="W77" s="14" t="s">
        <v>141</v>
      </c>
      <c r="X77" s="31" t="s">
        <v>30</v>
      </c>
      <c r="Y77" s="35" t="s">
        <v>2099</v>
      </c>
      <c r="Z77" s="14" t="s">
        <v>2100</v>
      </c>
      <c r="AA77" s="23" t="s">
        <v>1841</v>
      </c>
      <c r="AB77" s="161">
        <v>45622</v>
      </c>
      <c r="AC77" s="161">
        <v>47447</v>
      </c>
      <c r="AD77" s="220">
        <v>9849573192</v>
      </c>
      <c r="AE77" s="224" t="s">
        <v>2101</v>
      </c>
      <c r="AF77" s="30" t="s">
        <v>1805</v>
      </c>
      <c r="AG77" s="221" t="s">
        <v>2102</v>
      </c>
      <c r="AH77" s="31" t="s">
        <v>2103</v>
      </c>
      <c r="AI77" s="31" t="s">
        <v>2104</v>
      </c>
      <c r="AJ77" s="221" t="s">
        <v>2105</v>
      </c>
      <c r="AK77" s="30" t="s">
        <v>2106</v>
      </c>
      <c r="AL77" s="210"/>
      <c r="AM77" s="210"/>
      <c r="AN77" s="35"/>
      <c r="AO77" s="35" t="s">
        <v>2107</v>
      </c>
      <c r="AP77" s="10">
        <f t="shared" ca="1" si="3"/>
        <v>63</v>
      </c>
      <c r="AQ77" s="35"/>
      <c r="AR77" s="23"/>
      <c r="AS77" s="210"/>
      <c r="AT77" s="210"/>
      <c r="AU77" s="223">
        <v>22811</v>
      </c>
      <c r="AV77" s="31" t="s">
        <v>1352</v>
      </c>
      <c r="AW77" s="31" t="s">
        <v>32</v>
      </c>
      <c r="AX77" s="10">
        <v>4</v>
      </c>
      <c r="AY77" s="14" t="s">
        <v>2053</v>
      </c>
      <c r="AZ77" s="30" t="s">
        <v>1373</v>
      </c>
      <c r="BA77" s="23" t="s">
        <v>151</v>
      </c>
      <c r="BB77" s="30" t="s">
        <v>34</v>
      </c>
      <c r="BC77" s="22"/>
    </row>
    <row r="78" spans="1:55" x14ac:dyDescent="0.25">
      <c r="A78" s="10">
        <f t="shared" si="4"/>
        <v>77</v>
      </c>
      <c r="B78" s="55" t="s">
        <v>2108</v>
      </c>
      <c r="C78" s="56" t="s">
        <v>34</v>
      </c>
      <c r="D78" s="78">
        <v>400104</v>
      </c>
      <c r="E78" s="54" t="s">
        <v>36</v>
      </c>
      <c r="F78" s="48" t="s">
        <v>2109</v>
      </c>
      <c r="G78" s="55">
        <v>6</v>
      </c>
      <c r="H78" s="77">
        <v>0.33333333333333331</v>
      </c>
      <c r="I78" s="77">
        <v>0.66666666666666663</v>
      </c>
      <c r="J78" s="77">
        <v>0.33333333333333331</v>
      </c>
      <c r="K78" s="51" t="s">
        <v>154</v>
      </c>
      <c r="L78" s="51" t="s">
        <v>2097</v>
      </c>
      <c r="M78" s="56" t="s">
        <v>2097</v>
      </c>
      <c r="N78" s="52" t="s">
        <v>2110</v>
      </c>
      <c r="O78" s="48" t="s">
        <v>2109</v>
      </c>
      <c r="P78" s="238">
        <v>43577</v>
      </c>
      <c r="Q78" s="238">
        <v>45769</v>
      </c>
      <c r="R78" s="238">
        <v>46498</v>
      </c>
      <c r="S78" s="238">
        <v>46499</v>
      </c>
      <c r="T78" s="55">
        <v>2000</v>
      </c>
      <c r="U78" s="56" t="s">
        <v>424</v>
      </c>
      <c r="V78" s="55">
        <v>2013</v>
      </c>
      <c r="W78" s="48" t="s">
        <v>282</v>
      </c>
      <c r="X78" s="54" t="s">
        <v>30</v>
      </c>
      <c r="Y78" s="51" t="s">
        <v>2099</v>
      </c>
      <c r="Z78" s="48">
        <v>44589</v>
      </c>
      <c r="AA78" s="52" t="s">
        <v>1841</v>
      </c>
      <c r="AB78" s="238">
        <v>45763</v>
      </c>
      <c r="AC78" s="238">
        <v>47588</v>
      </c>
      <c r="AD78" s="239">
        <v>9573593553</v>
      </c>
      <c r="AE78" s="240" t="s">
        <v>2111</v>
      </c>
      <c r="AF78" s="49" t="s">
        <v>1495</v>
      </c>
      <c r="AG78" s="198" t="s">
        <v>2112</v>
      </c>
      <c r="AH78" s="54" t="s">
        <v>2113</v>
      </c>
      <c r="AI78" s="54" t="s">
        <v>2114</v>
      </c>
      <c r="AJ78" s="198" t="s">
        <v>2115</v>
      </c>
      <c r="AK78" s="56" t="s">
        <v>2116</v>
      </c>
      <c r="AL78" s="199">
        <v>45989</v>
      </c>
      <c r="AM78" s="199">
        <v>45929</v>
      </c>
      <c r="AN78" s="51" t="s">
        <v>1592</v>
      </c>
      <c r="AO78" s="51" t="s">
        <v>2117</v>
      </c>
      <c r="AP78" s="55">
        <f t="shared" ca="1" si="3"/>
        <v>51</v>
      </c>
      <c r="AQ78" s="51" t="s">
        <v>1605</v>
      </c>
      <c r="AR78" s="241" t="s">
        <v>2118</v>
      </c>
      <c r="AS78" s="234">
        <v>45940</v>
      </c>
      <c r="AT78" s="234">
        <v>46304</v>
      </c>
      <c r="AU78" s="242">
        <v>27318</v>
      </c>
      <c r="AV78" s="54" t="s">
        <v>1352</v>
      </c>
      <c r="AW78" s="54" t="s">
        <v>68</v>
      </c>
      <c r="AX78" s="55">
        <v>8</v>
      </c>
      <c r="AY78" s="48" t="s">
        <v>1904</v>
      </c>
      <c r="AZ78" s="56" t="s">
        <v>1373</v>
      </c>
      <c r="BA78" s="52" t="s">
        <v>151</v>
      </c>
      <c r="BB78" s="56" t="s">
        <v>34</v>
      </c>
      <c r="BC78" s="53"/>
    </row>
    <row r="79" spans="1:55" x14ac:dyDescent="0.25">
      <c r="A79" s="10">
        <f t="shared" si="4"/>
        <v>78</v>
      </c>
      <c r="B79" s="10" t="s">
        <v>2119</v>
      </c>
      <c r="C79" s="30" t="s">
        <v>34</v>
      </c>
      <c r="D79" s="65">
        <v>400115</v>
      </c>
      <c r="E79" s="31" t="s">
        <v>36</v>
      </c>
      <c r="F79" s="14" t="s">
        <v>2120</v>
      </c>
      <c r="G79" s="10" t="s">
        <v>2121</v>
      </c>
      <c r="H79" s="66">
        <v>0.75</v>
      </c>
      <c r="I79" s="66">
        <v>0.83333333333333337</v>
      </c>
      <c r="J79" s="66">
        <v>8.3333333333333329E-2</v>
      </c>
      <c r="K79" s="21" t="s">
        <v>147</v>
      </c>
      <c r="L79" s="30" t="s">
        <v>2122</v>
      </c>
      <c r="M79" s="30" t="s">
        <v>2122</v>
      </c>
      <c r="N79" s="23" t="s">
        <v>2123</v>
      </c>
      <c r="O79" s="35" t="s">
        <v>1357</v>
      </c>
      <c r="P79" s="161">
        <v>43619</v>
      </c>
      <c r="Q79" s="161">
        <v>45809</v>
      </c>
      <c r="R79" s="161">
        <v>46538</v>
      </c>
      <c r="S79" s="161">
        <v>46539</v>
      </c>
      <c r="T79" s="10">
        <v>2005</v>
      </c>
      <c r="U79" s="30" t="s">
        <v>2124</v>
      </c>
      <c r="V79" s="10">
        <v>2007</v>
      </c>
      <c r="W79" s="14" t="s">
        <v>1137</v>
      </c>
      <c r="X79" s="31" t="s">
        <v>30</v>
      </c>
      <c r="Y79" s="35" t="s">
        <v>2125</v>
      </c>
      <c r="Z79" s="232" t="s">
        <v>2126</v>
      </c>
      <c r="AA79" s="22" t="s">
        <v>30</v>
      </c>
      <c r="AB79" s="161" t="s">
        <v>1424</v>
      </c>
      <c r="AC79" s="161" t="s">
        <v>1424</v>
      </c>
      <c r="AD79" s="220">
        <v>9849607191</v>
      </c>
      <c r="AE79" s="224" t="s">
        <v>2127</v>
      </c>
      <c r="AF79" s="28" t="s">
        <v>1495</v>
      </c>
      <c r="AG79" s="221" t="s">
        <v>2128</v>
      </c>
      <c r="AH79" s="31" t="s">
        <v>2129</v>
      </c>
      <c r="AI79" s="31" t="s">
        <v>2130</v>
      </c>
      <c r="AJ79" s="221" t="s">
        <v>2131</v>
      </c>
      <c r="AK79" s="30" t="s">
        <v>2132</v>
      </c>
      <c r="AL79" s="210"/>
      <c r="AM79" s="210"/>
      <c r="AN79" s="35"/>
      <c r="AO79" s="35" t="s">
        <v>2133</v>
      </c>
      <c r="AP79" s="10">
        <f t="shared" ca="1" si="3"/>
        <v>41</v>
      </c>
      <c r="AQ79" s="35"/>
      <c r="AR79" s="23"/>
      <c r="AS79" s="210"/>
      <c r="AT79" s="210"/>
      <c r="AU79" s="223">
        <v>30711</v>
      </c>
      <c r="AV79" s="31" t="s">
        <v>1389</v>
      </c>
      <c r="AW79" s="31" t="s">
        <v>32</v>
      </c>
      <c r="AX79" s="10">
        <v>2</v>
      </c>
      <c r="AY79" s="14" t="s">
        <v>1849</v>
      </c>
      <c r="AZ79" s="30" t="s">
        <v>1373</v>
      </c>
      <c r="BA79" s="23" t="s">
        <v>151</v>
      </c>
      <c r="BB79" s="30" t="s">
        <v>34</v>
      </c>
      <c r="BC79" s="22"/>
    </row>
    <row r="80" spans="1:55" x14ac:dyDescent="0.25">
      <c r="A80" s="10">
        <f t="shared" si="4"/>
        <v>79</v>
      </c>
      <c r="B80" s="10" t="s">
        <v>267</v>
      </c>
      <c r="C80" s="30" t="s">
        <v>34</v>
      </c>
      <c r="D80" s="65">
        <v>400948</v>
      </c>
      <c r="E80" s="31" t="s">
        <v>268</v>
      </c>
      <c r="F80" s="14" t="s">
        <v>269</v>
      </c>
      <c r="G80" s="10">
        <v>6</v>
      </c>
      <c r="H80" s="66">
        <v>0.41666666666666669</v>
      </c>
      <c r="I80" s="66">
        <v>0.75</v>
      </c>
      <c r="J80" s="66">
        <v>0.33333333333333331</v>
      </c>
      <c r="K80" s="21" t="s">
        <v>255</v>
      </c>
      <c r="L80" s="30" t="s">
        <v>270</v>
      </c>
      <c r="M80" s="30" t="s">
        <v>26</v>
      </c>
      <c r="N80" s="23" t="s">
        <v>38</v>
      </c>
      <c r="O80" s="23" t="s">
        <v>1321</v>
      </c>
      <c r="P80" s="161">
        <v>45343</v>
      </c>
      <c r="Q80" s="161">
        <v>45343</v>
      </c>
      <c r="R80" s="161">
        <v>46073</v>
      </c>
      <c r="S80" s="161">
        <v>46074</v>
      </c>
      <c r="T80" s="10">
        <v>2018</v>
      </c>
      <c r="U80" s="30" t="s">
        <v>196</v>
      </c>
      <c r="V80" s="10">
        <v>2022</v>
      </c>
      <c r="W80" s="30" t="s">
        <v>271</v>
      </c>
      <c r="X80" s="31" t="s">
        <v>30</v>
      </c>
      <c r="Y80" s="35" t="s">
        <v>49</v>
      </c>
      <c r="Z80" s="14" t="s">
        <v>2134</v>
      </c>
      <c r="AA80" s="23" t="s">
        <v>1841</v>
      </c>
      <c r="AB80" s="161">
        <v>45338</v>
      </c>
      <c r="AC80" s="161">
        <v>47164</v>
      </c>
      <c r="AD80" s="220">
        <v>9700559393</v>
      </c>
      <c r="AE80" s="224" t="s">
        <v>272</v>
      </c>
      <c r="AF80" s="30" t="s">
        <v>1410</v>
      </c>
      <c r="AG80" s="205" t="s">
        <v>2135</v>
      </c>
      <c r="AH80" s="43" t="s">
        <v>2136</v>
      </c>
      <c r="AI80" s="31" t="s">
        <v>2137</v>
      </c>
      <c r="AJ80" s="221" t="s">
        <v>2138</v>
      </c>
      <c r="AK80" s="30" t="e">
        <f>VLOOKUP(D80,[1]Sheet1!#REF!,6,0)</f>
        <v>#REF!</v>
      </c>
      <c r="AL80" s="210"/>
      <c r="AM80" s="210"/>
      <c r="AN80" s="35"/>
      <c r="AO80" s="35" t="s">
        <v>2139</v>
      </c>
      <c r="AP80" s="10">
        <f t="shared" ca="1" si="3"/>
        <v>30</v>
      </c>
      <c r="AQ80" s="30" t="s">
        <v>1605</v>
      </c>
      <c r="AR80" s="14" t="s">
        <v>2140</v>
      </c>
      <c r="AS80" s="210">
        <v>45338</v>
      </c>
      <c r="AT80" s="187">
        <v>46030</v>
      </c>
      <c r="AU80" s="223">
        <v>34903</v>
      </c>
      <c r="AV80" s="31" t="s">
        <v>1389</v>
      </c>
      <c r="AW80" s="31" t="s">
        <v>68</v>
      </c>
      <c r="AX80" s="10">
        <v>8</v>
      </c>
      <c r="AY80" s="14" t="s">
        <v>2068</v>
      </c>
      <c r="AZ80" s="30" t="s">
        <v>26</v>
      </c>
      <c r="BA80" s="23" t="s">
        <v>151</v>
      </c>
      <c r="BB80" s="30" t="s">
        <v>34</v>
      </c>
      <c r="BC80" s="22"/>
    </row>
    <row r="81" spans="1:55" x14ac:dyDescent="0.25">
      <c r="A81" s="10">
        <f t="shared" si="4"/>
        <v>80</v>
      </c>
      <c r="B81" s="10" t="s">
        <v>2141</v>
      </c>
      <c r="C81" s="30" t="s">
        <v>34</v>
      </c>
      <c r="D81" s="65">
        <v>400144</v>
      </c>
      <c r="E81" s="31" t="s">
        <v>36</v>
      </c>
      <c r="F81" s="14" t="s">
        <v>2142</v>
      </c>
      <c r="G81" s="10">
        <v>6</v>
      </c>
      <c r="H81" s="66">
        <v>0.29166666666666669</v>
      </c>
      <c r="I81" s="66">
        <v>0.41666666666666669</v>
      </c>
      <c r="J81" s="66">
        <v>0.125</v>
      </c>
      <c r="K81" s="21" t="s">
        <v>341</v>
      </c>
      <c r="L81" s="30" t="s">
        <v>2143</v>
      </c>
      <c r="M81" s="30" t="s">
        <v>1504</v>
      </c>
      <c r="N81" s="23" t="s">
        <v>2144</v>
      </c>
      <c r="O81" s="35" t="s">
        <v>30</v>
      </c>
      <c r="P81" s="161">
        <v>43748</v>
      </c>
      <c r="Q81" s="161">
        <v>45231</v>
      </c>
      <c r="R81" s="161">
        <v>45961</v>
      </c>
      <c r="S81" s="161">
        <v>45962</v>
      </c>
      <c r="T81" s="10">
        <v>2012</v>
      </c>
      <c r="U81" s="30" t="s">
        <v>2145</v>
      </c>
      <c r="V81" s="10">
        <v>2016</v>
      </c>
      <c r="W81" s="14" t="s">
        <v>2146</v>
      </c>
      <c r="X81" s="31" t="s">
        <v>30</v>
      </c>
      <c r="Y81" s="35" t="s">
        <v>2147</v>
      </c>
      <c r="Z81" s="14" t="s">
        <v>2148</v>
      </c>
      <c r="AA81" s="23" t="s">
        <v>1841</v>
      </c>
      <c r="AB81" s="161">
        <v>45310</v>
      </c>
      <c r="AC81" s="161">
        <v>46022</v>
      </c>
      <c r="AD81" s="220">
        <v>9030117318</v>
      </c>
      <c r="AE81" s="224" t="s">
        <v>2149</v>
      </c>
      <c r="AF81" s="30" t="s">
        <v>1410</v>
      </c>
      <c r="AG81" s="221" t="s">
        <v>2150</v>
      </c>
      <c r="AH81" s="31" t="s">
        <v>2151</v>
      </c>
      <c r="AI81" s="31" t="s">
        <v>2152</v>
      </c>
      <c r="AJ81" s="221" t="s">
        <v>2153</v>
      </c>
      <c r="AK81" s="30" t="s">
        <v>2154</v>
      </c>
      <c r="AL81" s="210"/>
      <c r="AM81" s="210"/>
      <c r="AN81" s="35"/>
      <c r="AO81" s="35" t="s">
        <v>2155</v>
      </c>
      <c r="AP81" s="10">
        <f t="shared" ca="1" si="3"/>
        <v>36</v>
      </c>
      <c r="AQ81" s="35" t="s">
        <v>2156</v>
      </c>
      <c r="AR81" s="23" t="s">
        <v>2157</v>
      </c>
      <c r="AS81" s="210">
        <v>45666</v>
      </c>
      <c r="AT81" s="210">
        <v>45992</v>
      </c>
      <c r="AU81" s="223">
        <v>32478</v>
      </c>
      <c r="AV81" s="31" t="s">
        <v>1352</v>
      </c>
      <c r="AW81" s="31" t="s">
        <v>32</v>
      </c>
      <c r="AX81" s="10">
        <v>3</v>
      </c>
      <c r="AY81" s="14" t="s">
        <v>1881</v>
      </c>
      <c r="AZ81" s="30" t="s">
        <v>1504</v>
      </c>
      <c r="BA81" s="23" t="s">
        <v>151</v>
      </c>
      <c r="BB81" s="30" t="s">
        <v>34</v>
      </c>
      <c r="BC81" s="22"/>
    </row>
    <row r="82" spans="1:55" x14ac:dyDescent="0.25">
      <c r="A82" s="10">
        <f t="shared" si="4"/>
        <v>81</v>
      </c>
      <c r="B82" s="10" t="s">
        <v>273</v>
      </c>
      <c r="C82" s="30" t="s">
        <v>34</v>
      </c>
      <c r="D82" s="65">
        <v>400151</v>
      </c>
      <c r="E82" s="31" t="s">
        <v>192</v>
      </c>
      <c r="F82" s="14" t="s">
        <v>274</v>
      </c>
      <c r="G82" s="10">
        <v>4</v>
      </c>
      <c r="H82" s="66">
        <v>0.375</v>
      </c>
      <c r="I82" s="66">
        <v>0.70833333333333304</v>
      </c>
      <c r="J82" s="66">
        <v>0.33333333333333331</v>
      </c>
      <c r="K82" s="21" t="s">
        <v>275</v>
      </c>
      <c r="L82" s="30" t="s">
        <v>276</v>
      </c>
      <c r="M82" s="30" t="s">
        <v>26</v>
      </c>
      <c r="N82" s="23" t="s">
        <v>277</v>
      </c>
      <c r="O82" s="23" t="s">
        <v>1321</v>
      </c>
      <c r="P82" s="161">
        <v>43780</v>
      </c>
      <c r="Q82" s="161">
        <v>45214</v>
      </c>
      <c r="R82" s="161">
        <v>45944</v>
      </c>
      <c r="S82" s="161">
        <v>45945</v>
      </c>
      <c r="T82" s="10">
        <v>1981</v>
      </c>
      <c r="U82" s="30" t="s">
        <v>209</v>
      </c>
      <c r="V82" s="10">
        <v>1985</v>
      </c>
      <c r="W82" s="14" t="s">
        <v>209</v>
      </c>
      <c r="X82" s="31" t="s">
        <v>30</v>
      </c>
      <c r="Y82" s="35" t="s">
        <v>49</v>
      </c>
      <c r="Z82" s="14" t="s">
        <v>2158</v>
      </c>
      <c r="AA82" s="23" t="s">
        <v>1841</v>
      </c>
      <c r="AB82" s="161">
        <v>44380</v>
      </c>
      <c r="AC82" s="161">
        <v>46205</v>
      </c>
      <c r="AD82" s="220">
        <v>9502791352</v>
      </c>
      <c r="AE82" s="224" t="s">
        <v>278</v>
      </c>
      <c r="AF82" s="30" t="s">
        <v>1805</v>
      </c>
      <c r="AG82" s="221" t="s">
        <v>2159</v>
      </c>
      <c r="AH82" s="31" t="s">
        <v>2160</v>
      </c>
      <c r="AI82" s="31" t="s">
        <v>2161</v>
      </c>
      <c r="AJ82" s="221" t="s">
        <v>2162</v>
      </c>
      <c r="AK82" s="30" t="s">
        <v>2163</v>
      </c>
      <c r="AL82" s="210"/>
      <c r="AM82" s="210"/>
      <c r="AN82" s="35"/>
      <c r="AO82" s="35" t="s">
        <v>2164</v>
      </c>
      <c r="AP82" s="10">
        <f t="shared" ca="1" si="3"/>
        <v>68</v>
      </c>
      <c r="AQ82" s="22" t="s">
        <v>1966</v>
      </c>
      <c r="AR82" s="222" t="s">
        <v>2165</v>
      </c>
      <c r="AS82" s="210">
        <v>45731</v>
      </c>
      <c r="AT82" s="210">
        <v>46095</v>
      </c>
      <c r="AU82" s="223">
        <v>20830</v>
      </c>
      <c r="AV82" s="31" t="s">
        <v>1352</v>
      </c>
      <c r="AW82" s="31" t="s">
        <v>68</v>
      </c>
      <c r="AX82" s="10">
        <v>8</v>
      </c>
      <c r="AY82" s="14" t="s">
        <v>1959</v>
      </c>
      <c r="AZ82" s="30" t="s">
        <v>26</v>
      </c>
      <c r="BA82" s="23" t="s">
        <v>151</v>
      </c>
      <c r="BB82" s="30" t="s">
        <v>34</v>
      </c>
      <c r="BC82" s="22"/>
    </row>
    <row r="83" spans="1:55" x14ac:dyDescent="0.25">
      <c r="A83" s="10">
        <f t="shared" si="4"/>
        <v>82</v>
      </c>
      <c r="B83" s="10" t="s">
        <v>279</v>
      </c>
      <c r="C83" s="30" t="s">
        <v>34</v>
      </c>
      <c r="D83" s="65">
        <v>400157</v>
      </c>
      <c r="E83" s="31" t="s">
        <v>42</v>
      </c>
      <c r="F83" s="14" t="s">
        <v>280</v>
      </c>
      <c r="G83" s="10">
        <v>6</v>
      </c>
      <c r="H83" s="66">
        <v>0.35416666666666669</v>
      </c>
      <c r="I83" s="66">
        <v>0.6875</v>
      </c>
      <c r="J83" s="66">
        <v>0.33333333333333331</v>
      </c>
      <c r="K83" s="21" t="s">
        <v>147</v>
      </c>
      <c r="L83" s="30" t="s">
        <v>281</v>
      </c>
      <c r="M83" s="30" t="s">
        <v>26</v>
      </c>
      <c r="N83" s="23" t="s">
        <v>38</v>
      </c>
      <c r="O83" s="23" t="s">
        <v>1321</v>
      </c>
      <c r="P83" s="161">
        <v>43801</v>
      </c>
      <c r="Q83" s="161">
        <v>45292</v>
      </c>
      <c r="R83" s="161">
        <v>46022</v>
      </c>
      <c r="S83" s="161">
        <v>46023</v>
      </c>
      <c r="T83" s="10">
        <v>2012</v>
      </c>
      <c r="U83" s="30" t="s">
        <v>282</v>
      </c>
      <c r="V83" s="10">
        <v>2018</v>
      </c>
      <c r="W83" s="14" t="s">
        <v>283</v>
      </c>
      <c r="X83" s="31" t="s">
        <v>30</v>
      </c>
      <c r="Y83" s="23" t="s">
        <v>66</v>
      </c>
      <c r="Z83" s="14" t="s">
        <v>2166</v>
      </c>
      <c r="AA83" s="23" t="s">
        <v>1841</v>
      </c>
      <c r="AB83" s="161">
        <v>45329</v>
      </c>
      <c r="AC83" s="161">
        <v>47155</v>
      </c>
      <c r="AD83" s="220">
        <v>9177388579</v>
      </c>
      <c r="AE83" s="224" t="s">
        <v>284</v>
      </c>
      <c r="AF83" s="28" t="s">
        <v>1495</v>
      </c>
      <c r="AG83" s="221" t="s">
        <v>2167</v>
      </c>
      <c r="AH83" s="31" t="s">
        <v>2168</v>
      </c>
      <c r="AI83" s="31" t="s">
        <v>2169</v>
      </c>
      <c r="AJ83" s="221" t="s">
        <v>2170</v>
      </c>
      <c r="AK83" s="30" t="s">
        <v>2171</v>
      </c>
      <c r="AL83" s="210"/>
      <c r="AM83" s="210"/>
      <c r="AN83" s="35"/>
      <c r="AO83" s="35" t="s">
        <v>2172</v>
      </c>
      <c r="AP83" s="10">
        <f t="shared" ca="1" si="3"/>
        <v>36</v>
      </c>
      <c r="AQ83" s="35" t="s">
        <v>1879</v>
      </c>
      <c r="AR83" s="222" t="s">
        <v>2173</v>
      </c>
      <c r="AS83" s="166">
        <v>45616</v>
      </c>
      <c r="AT83" s="166">
        <v>45980</v>
      </c>
      <c r="AU83" s="223">
        <v>32730</v>
      </c>
      <c r="AV83" s="31" t="s">
        <v>1389</v>
      </c>
      <c r="AW83" s="31" t="s">
        <v>68</v>
      </c>
      <c r="AX83" s="10">
        <v>8</v>
      </c>
      <c r="AY83" s="14" t="s">
        <v>1849</v>
      </c>
      <c r="AZ83" s="30" t="s">
        <v>26</v>
      </c>
      <c r="BA83" s="23" t="s">
        <v>151</v>
      </c>
      <c r="BB83" s="30" t="s">
        <v>34</v>
      </c>
      <c r="BC83" s="22"/>
    </row>
    <row r="84" spans="1:55" x14ac:dyDescent="0.25">
      <c r="A84" s="10">
        <f t="shared" si="4"/>
        <v>83</v>
      </c>
      <c r="B84" s="10" t="s">
        <v>285</v>
      </c>
      <c r="C84" s="30" t="s">
        <v>34</v>
      </c>
      <c r="D84" s="65">
        <v>400170</v>
      </c>
      <c r="E84" s="31" t="s">
        <v>42</v>
      </c>
      <c r="F84" s="14" t="s">
        <v>286</v>
      </c>
      <c r="G84" s="10">
        <v>6</v>
      </c>
      <c r="H84" s="66">
        <v>0.375</v>
      </c>
      <c r="I84" s="66">
        <v>0.70833333333333337</v>
      </c>
      <c r="J84" s="66">
        <v>0.33333333333333331</v>
      </c>
      <c r="K84" s="21" t="s">
        <v>287</v>
      </c>
      <c r="L84" s="30" t="s">
        <v>288</v>
      </c>
      <c r="M84" s="30" t="s">
        <v>26</v>
      </c>
      <c r="N84" s="23" t="s">
        <v>38</v>
      </c>
      <c r="O84" s="23" t="s">
        <v>1321</v>
      </c>
      <c r="P84" s="161">
        <v>43847</v>
      </c>
      <c r="Q84" s="161">
        <v>45308</v>
      </c>
      <c r="R84" s="161">
        <v>46038</v>
      </c>
      <c r="S84" s="161">
        <v>46039</v>
      </c>
      <c r="T84" s="10">
        <v>2010</v>
      </c>
      <c r="U84" s="30" t="s">
        <v>289</v>
      </c>
      <c r="V84" s="10">
        <v>2016</v>
      </c>
      <c r="W84" s="14" t="s">
        <v>290</v>
      </c>
      <c r="X84" s="31" t="s">
        <v>30</v>
      </c>
      <c r="Y84" s="35" t="s">
        <v>183</v>
      </c>
      <c r="Z84" s="14" t="s">
        <v>2174</v>
      </c>
      <c r="AA84" s="23" t="s">
        <v>1841</v>
      </c>
      <c r="AB84" s="161">
        <v>45750</v>
      </c>
      <c r="AC84" s="161">
        <v>47575</v>
      </c>
      <c r="AD84" s="220">
        <v>9550532520</v>
      </c>
      <c r="AE84" s="224" t="s">
        <v>291</v>
      </c>
      <c r="AF84" s="30" t="s">
        <v>1430</v>
      </c>
      <c r="AG84" s="221" t="s">
        <v>2175</v>
      </c>
      <c r="AH84" s="31" t="s">
        <v>2020</v>
      </c>
      <c r="AI84" s="31" t="s">
        <v>2176</v>
      </c>
      <c r="AJ84" s="221" t="s">
        <v>2177</v>
      </c>
      <c r="AK84" s="30" t="s">
        <v>2178</v>
      </c>
      <c r="AL84" s="210"/>
      <c r="AM84" s="210"/>
      <c r="AN84" s="35"/>
      <c r="AO84" s="35" t="s">
        <v>2179</v>
      </c>
      <c r="AP84" s="10">
        <f t="shared" ca="1" si="3"/>
        <v>36</v>
      </c>
      <c r="AQ84" s="35" t="s">
        <v>1605</v>
      </c>
      <c r="AR84" s="222" t="s">
        <v>2180</v>
      </c>
      <c r="AS84" s="166">
        <v>45902</v>
      </c>
      <c r="AT84" s="166">
        <v>46266</v>
      </c>
      <c r="AU84" s="223">
        <v>32510</v>
      </c>
      <c r="AV84" s="31" t="s">
        <v>1352</v>
      </c>
      <c r="AW84" s="31" t="s">
        <v>68</v>
      </c>
      <c r="AX84" s="10">
        <v>8</v>
      </c>
      <c r="AY84" s="14" t="s">
        <v>1881</v>
      </c>
      <c r="AZ84" s="30" t="s">
        <v>26</v>
      </c>
      <c r="BA84" s="23" t="s">
        <v>151</v>
      </c>
      <c r="BB84" s="30" t="s">
        <v>34</v>
      </c>
      <c r="BC84" s="22"/>
    </row>
    <row r="85" spans="1:55" x14ac:dyDescent="0.25">
      <c r="A85" s="10">
        <f t="shared" si="4"/>
        <v>84</v>
      </c>
      <c r="B85" s="10" t="s">
        <v>292</v>
      </c>
      <c r="C85" s="30" t="s">
        <v>34</v>
      </c>
      <c r="D85" s="65">
        <v>400257</v>
      </c>
      <c r="E85" s="31" t="s">
        <v>36</v>
      </c>
      <c r="F85" s="14" t="s">
        <v>293</v>
      </c>
      <c r="G85" s="10">
        <v>6</v>
      </c>
      <c r="H85" s="66">
        <v>0.375</v>
      </c>
      <c r="I85" s="66">
        <v>0.70833333333333337</v>
      </c>
      <c r="J85" s="66">
        <v>0.33333333333333331</v>
      </c>
      <c r="K85" s="21" t="s">
        <v>294</v>
      </c>
      <c r="L85" s="30" t="s">
        <v>295</v>
      </c>
      <c r="M85" s="30" t="s">
        <v>26</v>
      </c>
      <c r="N85" s="23" t="s">
        <v>38</v>
      </c>
      <c r="O85" s="23" t="s">
        <v>1321</v>
      </c>
      <c r="P85" s="161">
        <v>42675</v>
      </c>
      <c r="Q85" s="161">
        <v>45597</v>
      </c>
      <c r="R85" s="161">
        <v>46326</v>
      </c>
      <c r="S85" s="161">
        <v>46327</v>
      </c>
      <c r="T85" s="10">
        <v>2001</v>
      </c>
      <c r="U85" s="30" t="s">
        <v>296</v>
      </c>
      <c r="V85" s="10">
        <v>2008</v>
      </c>
      <c r="W85" s="14" t="s">
        <v>175</v>
      </c>
      <c r="X85" s="31" t="s">
        <v>30</v>
      </c>
      <c r="Y85" s="23" t="s">
        <v>66</v>
      </c>
      <c r="Z85" s="14">
        <v>45950</v>
      </c>
      <c r="AA85" s="23" t="s">
        <v>1841</v>
      </c>
      <c r="AB85" s="161">
        <v>44490</v>
      </c>
      <c r="AC85" s="161">
        <v>46315</v>
      </c>
      <c r="AD85" s="220">
        <v>9494209538</v>
      </c>
      <c r="AE85" s="224" t="s">
        <v>297</v>
      </c>
      <c r="AF85" s="30" t="s">
        <v>1364</v>
      </c>
      <c r="AG85" s="221" t="s">
        <v>2181</v>
      </c>
      <c r="AH85" s="31" t="s">
        <v>2182</v>
      </c>
      <c r="AI85" s="31" t="s">
        <v>2183</v>
      </c>
      <c r="AJ85" s="221" t="s">
        <v>2184</v>
      </c>
      <c r="AK85" s="30" t="s">
        <v>2185</v>
      </c>
      <c r="AL85" s="210"/>
      <c r="AM85" s="210"/>
      <c r="AN85" s="35"/>
      <c r="AO85" s="35" t="s">
        <v>2186</v>
      </c>
      <c r="AP85" s="10">
        <f t="shared" ca="1" si="3"/>
        <v>50</v>
      </c>
      <c r="AQ85" s="35" t="s">
        <v>2187</v>
      </c>
      <c r="AR85" s="222" t="s">
        <v>2188</v>
      </c>
      <c r="AS85" s="166">
        <v>45941</v>
      </c>
      <c r="AT85" s="166">
        <v>46305</v>
      </c>
      <c r="AU85" s="223">
        <v>27655</v>
      </c>
      <c r="AV85" s="31" t="s">
        <v>1352</v>
      </c>
      <c r="AW85" s="31" t="s">
        <v>68</v>
      </c>
      <c r="AX85" s="10">
        <v>8</v>
      </c>
      <c r="AY85" s="14" t="s">
        <v>2189</v>
      </c>
      <c r="AZ85" s="30" t="s">
        <v>26</v>
      </c>
      <c r="BA85" s="23" t="s">
        <v>151</v>
      </c>
      <c r="BB85" s="30" t="s">
        <v>34</v>
      </c>
      <c r="BC85" s="22"/>
    </row>
    <row r="86" spans="1:55" x14ac:dyDescent="0.25">
      <c r="A86" s="10">
        <f t="shared" si="4"/>
        <v>85</v>
      </c>
      <c r="B86" s="10" t="s">
        <v>298</v>
      </c>
      <c r="C86" s="30" t="s">
        <v>34</v>
      </c>
      <c r="D86" s="65">
        <v>400263</v>
      </c>
      <c r="E86" s="31" t="s">
        <v>192</v>
      </c>
      <c r="F86" s="14" t="s">
        <v>299</v>
      </c>
      <c r="G86" s="10"/>
      <c r="H86" s="66"/>
      <c r="I86" s="31"/>
      <c r="J86" s="66"/>
      <c r="K86" s="21" t="s">
        <v>154</v>
      </c>
      <c r="L86" s="30" t="s">
        <v>300</v>
      </c>
      <c r="M86" s="30" t="s">
        <v>26</v>
      </c>
      <c r="N86" s="23" t="s">
        <v>38</v>
      </c>
      <c r="O86" s="23" t="s">
        <v>1321</v>
      </c>
      <c r="P86" s="161">
        <v>44136</v>
      </c>
      <c r="Q86" s="161">
        <v>45839</v>
      </c>
      <c r="R86" s="161">
        <v>46568</v>
      </c>
      <c r="S86" s="161">
        <v>46569</v>
      </c>
      <c r="T86" s="10">
        <v>2004</v>
      </c>
      <c r="U86" s="30" t="s">
        <v>296</v>
      </c>
      <c r="V86" s="10">
        <v>2011</v>
      </c>
      <c r="W86" s="14" t="s">
        <v>176</v>
      </c>
      <c r="X86" s="31" t="s">
        <v>30</v>
      </c>
      <c r="Y86" s="35" t="s">
        <v>301</v>
      </c>
      <c r="Z86" s="228">
        <v>53515</v>
      </c>
      <c r="AA86" s="229" t="s">
        <v>1886</v>
      </c>
      <c r="AB86" s="161">
        <v>44309</v>
      </c>
      <c r="AC86" s="161">
        <v>46134</v>
      </c>
      <c r="AD86" s="220">
        <v>9848043270</v>
      </c>
      <c r="AE86" s="224" t="s">
        <v>302</v>
      </c>
      <c r="AF86" s="30" t="s">
        <v>1805</v>
      </c>
      <c r="AG86" s="221" t="s">
        <v>2190</v>
      </c>
      <c r="AH86" s="31" t="s">
        <v>2191</v>
      </c>
      <c r="AI86" s="31" t="s">
        <v>2192</v>
      </c>
      <c r="AJ86" s="221" t="s">
        <v>2193</v>
      </c>
      <c r="AK86" s="30"/>
      <c r="AL86" s="210"/>
      <c r="AM86" s="210"/>
      <c r="AN86" s="35"/>
      <c r="AO86" s="35" t="s">
        <v>2194</v>
      </c>
      <c r="AP86" s="10">
        <f t="shared" ca="1" si="3"/>
        <v>45</v>
      </c>
      <c r="AQ86" s="229"/>
      <c r="AR86" s="243"/>
      <c r="AS86" s="244"/>
      <c r="AT86" s="244"/>
      <c r="AU86" s="223">
        <v>29490</v>
      </c>
      <c r="AV86" s="31" t="s">
        <v>1389</v>
      </c>
      <c r="AW86" s="31" t="s">
        <v>32</v>
      </c>
      <c r="AX86" s="10" t="s">
        <v>30</v>
      </c>
      <c r="AY86" s="14" t="s">
        <v>1904</v>
      </c>
      <c r="AZ86" s="30" t="s">
        <v>26</v>
      </c>
      <c r="BA86" s="23" t="s">
        <v>151</v>
      </c>
      <c r="BB86" s="30" t="s">
        <v>34</v>
      </c>
      <c r="BC86" s="22"/>
    </row>
    <row r="87" spans="1:55" x14ac:dyDescent="0.25">
      <c r="A87" s="10">
        <f t="shared" si="4"/>
        <v>86</v>
      </c>
      <c r="B87" s="10" t="s">
        <v>303</v>
      </c>
      <c r="C87" s="30" t="s">
        <v>34</v>
      </c>
      <c r="D87" s="65">
        <v>400266</v>
      </c>
      <c r="E87" s="31" t="s">
        <v>42</v>
      </c>
      <c r="F87" s="14" t="s">
        <v>304</v>
      </c>
      <c r="G87" s="10">
        <v>6</v>
      </c>
      <c r="H87" s="66">
        <v>0.45833333333333331</v>
      </c>
      <c r="I87" s="66">
        <v>0.70833333333333337</v>
      </c>
      <c r="J87" s="66">
        <v>0.25</v>
      </c>
      <c r="K87" s="21" t="s">
        <v>147</v>
      </c>
      <c r="L87" s="30" t="s">
        <v>305</v>
      </c>
      <c r="M87" s="30" t="s">
        <v>26</v>
      </c>
      <c r="N87" s="23" t="s">
        <v>38</v>
      </c>
      <c r="O87" s="23" t="s">
        <v>1321</v>
      </c>
      <c r="P87" s="161">
        <v>44151</v>
      </c>
      <c r="Q87" s="161">
        <v>45627</v>
      </c>
      <c r="R87" s="161">
        <v>46356</v>
      </c>
      <c r="S87" s="161">
        <v>46357</v>
      </c>
      <c r="T87" s="10">
        <v>2001</v>
      </c>
      <c r="U87" s="30" t="s">
        <v>306</v>
      </c>
      <c r="V87" s="10">
        <v>2006</v>
      </c>
      <c r="W87" s="14" t="s">
        <v>306</v>
      </c>
      <c r="X87" s="31" t="s">
        <v>30</v>
      </c>
      <c r="Y87" s="35" t="s">
        <v>49</v>
      </c>
      <c r="Z87" s="14">
        <v>46172</v>
      </c>
      <c r="AA87" s="23" t="s">
        <v>1841</v>
      </c>
      <c r="AB87" s="161">
        <v>45258</v>
      </c>
      <c r="AC87" s="161">
        <v>47084</v>
      </c>
      <c r="AD87" s="220">
        <v>9652043658</v>
      </c>
      <c r="AE87" s="224" t="s">
        <v>307</v>
      </c>
      <c r="AF87" s="30" t="s">
        <v>1364</v>
      </c>
      <c r="AG87" s="221" t="s">
        <v>2195</v>
      </c>
      <c r="AH87" s="31" t="s">
        <v>2196</v>
      </c>
      <c r="AI87" s="31" t="s">
        <v>2197</v>
      </c>
      <c r="AJ87" s="221" t="s">
        <v>2198</v>
      </c>
      <c r="AK87" s="30" t="s">
        <v>2199</v>
      </c>
      <c r="AL87" s="210"/>
      <c r="AM87" s="210"/>
      <c r="AN87" s="35"/>
      <c r="AO87" s="35" t="s">
        <v>2200</v>
      </c>
      <c r="AP87" s="10">
        <f t="shared" ca="1" si="3"/>
        <v>48</v>
      </c>
      <c r="AQ87" s="35"/>
      <c r="AR87" s="23"/>
      <c r="AS87" s="210"/>
      <c r="AT87" s="210"/>
      <c r="AU87" s="223">
        <v>28080</v>
      </c>
      <c r="AV87" s="31" t="s">
        <v>1389</v>
      </c>
      <c r="AW87" s="31" t="s">
        <v>32</v>
      </c>
      <c r="AX87" s="10">
        <v>6</v>
      </c>
      <c r="AY87" s="14" t="s">
        <v>1849</v>
      </c>
      <c r="AZ87" s="30" t="s">
        <v>26</v>
      </c>
      <c r="BA87" s="23" t="s">
        <v>151</v>
      </c>
      <c r="BB87" s="30" t="s">
        <v>34</v>
      </c>
      <c r="BC87" s="22"/>
    </row>
    <row r="88" spans="1:55" x14ac:dyDescent="0.25">
      <c r="A88" s="10">
        <f t="shared" si="4"/>
        <v>87</v>
      </c>
      <c r="B88" s="10" t="s">
        <v>2201</v>
      </c>
      <c r="C88" s="30" t="s">
        <v>34</v>
      </c>
      <c r="D88" s="65">
        <v>400315</v>
      </c>
      <c r="E88" s="31" t="s">
        <v>36</v>
      </c>
      <c r="F88" s="14" t="s">
        <v>2202</v>
      </c>
      <c r="G88" s="10">
        <v>6</v>
      </c>
      <c r="H88" s="66">
        <v>0.75</v>
      </c>
      <c r="I88" s="66">
        <v>0.875</v>
      </c>
      <c r="J88" s="66">
        <v>0.125</v>
      </c>
      <c r="K88" s="21" t="s">
        <v>348</v>
      </c>
      <c r="L88" s="30" t="s">
        <v>1544</v>
      </c>
      <c r="M88" s="30" t="s">
        <v>1544</v>
      </c>
      <c r="N88" s="23" t="s">
        <v>1992</v>
      </c>
      <c r="O88" s="14" t="s">
        <v>2203</v>
      </c>
      <c r="P88" s="161">
        <v>44258</v>
      </c>
      <c r="Q88" s="183">
        <v>45719</v>
      </c>
      <c r="R88" s="183">
        <v>46448</v>
      </c>
      <c r="S88" s="183">
        <v>46449</v>
      </c>
      <c r="T88" s="10">
        <v>2012</v>
      </c>
      <c r="U88" s="30" t="s">
        <v>351</v>
      </c>
      <c r="V88" s="10">
        <v>2019</v>
      </c>
      <c r="W88" s="14" t="s">
        <v>2204</v>
      </c>
      <c r="X88" s="31" t="s">
        <v>30</v>
      </c>
      <c r="Y88" s="35" t="s">
        <v>1549</v>
      </c>
      <c r="Z88" s="14" t="s">
        <v>2205</v>
      </c>
      <c r="AA88" s="23" t="s">
        <v>1841</v>
      </c>
      <c r="AB88" s="237">
        <v>43748</v>
      </c>
      <c r="AC88" s="237">
        <v>45574</v>
      </c>
      <c r="AD88" s="220">
        <v>7989390931</v>
      </c>
      <c r="AE88" s="224" t="s">
        <v>2206</v>
      </c>
      <c r="AF88" s="30" t="s">
        <v>2207</v>
      </c>
      <c r="AG88" s="221" t="s">
        <v>2208</v>
      </c>
      <c r="AH88" s="31" t="s">
        <v>2209</v>
      </c>
      <c r="AI88" s="31" t="s">
        <v>2210</v>
      </c>
      <c r="AJ88" s="221" t="s">
        <v>2211</v>
      </c>
      <c r="AK88" s="30" t="s">
        <v>2212</v>
      </c>
      <c r="AL88" s="210"/>
      <c r="AM88" s="210"/>
      <c r="AN88" s="35"/>
      <c r="AO88" s="35" t="s">
        <v>2213</v>
      </c>
      <c r="AP88" s="10">
        <f t="shared" ca="1" si="3"/>
        <v>36</v>
      </c>
      <c r="AQ88" s="35"/>
      <c r="AR88" s="23"/>
      <c r="AS88" s="210"/>
      <c r="AT88" s="210"/>
      <c r="AU88" s="223">
        <v>32731</v>
      </c>
      <c r="AV88" s="31" t="s">
        <v>1352</v>
      </c>
      <c r="AW88" s="31" t="s">
        <v>32</v>
      </c>
      <c r="AX88" s="10">
        <v>3</v>
      </c>
      <c r="AY88" s="14" t="s">
        <v>2053</v>
      </c>
      <c r="AZ88" s="30" t="s">
        <v>1373</v>
      </c>
      <c r="BA88" s="23" t="s">
        <v>151</v>
      </c>
      <c r="BB88" s="30" t="s">
        <v>34</v>
      </c>
      <c r="BC88" s="22"/>
    </row>
    <row r="89" spans="1:55" x14ac:dyDescent="0.25">
      <c r="A89" s="10">
        <f t="shared" si="4"/>
        <v>88</v>
      </c>
      <c r="B89" s="10" t="s">
        <v>2214</v>
      </c>
      <c r="C89" s="30" t="s">
        <v>34</v>
      </c>
      <c r="D89" s="65">
        <v>400319</v>
      </c>
      <c r="E89" s="31" t="s">
        <v>36</v>
      </c>
      <c r="F89" s="14" t="s">
        <v>2215</v>
      </c>
      <c r="G89" s="10">
        <v>6</v>
      </c>
      <c r="H89" s="66">
        <v>0.41666666666666669</v>
      </c>
      <c r="I89" s="66">
        <v>0.58333333333333337</v>
      </c>
      <c r="J89" s="66">
        <v>0.16666666666666666</v>
      </c>
      <c r="K89" s="21" t="s">
        <v>147</v>
      </c>
      <c r="L89" s="30" t="s">
        <v>1582</v>
      </c>
      <c r="M89" s="30" t="s">
        <v>1582</v>
      </c>
      <c r="N89" s="23" t="s">
        <v>1520</v>
      </c>
      <c r="O89" s="35" t="s">
        <v>1357</v>
      </c>
      <c r="P89" s="161">
        <v>44270</v>
      </c>
      <c r="Q89" s="161">
        <v>45627</v>
      </c>
      <c r="R89" s="161">
        <v>46356</v>
      </c>
      <c r="S89" s="161">
        <v>46357</v>
      </c>
      <c r="T89" s="10">
        <v>2004</v>
      </c>
      <c r="U89" s="30" t="s">
        <v>260</v>
      </c>
      <c r="V89" s="10">
        <v>2010</v>
      </c>
      <c r="W89" s="14" t="s">
        <v>2216</v>
      </c>
      <c r="X89" s="31" t="s">
        <v>30</v>
      </c>
      <c r="Y89" s="23" t="s">
        <v>1360</v>
      </c>
      <c r="Z89" s="14">
        <v>71648</v>
      </c>
      <c r="AA89" s="245" t="s">
        <v>2217</v>
      </c>
      <c r="AB89" s="161" t="s">
        <v>2217</v>
      </c>
      <c r="AC89" s="161" t="s">
        <v>2218</v>
      </c>
      <c r="AD89" s="220">
        <v>9866274752</v>
      </c>
      <c r="AE89" s="224" t="s">
        <v>2219</v>
      </c>
      <c r="AF89" s="30" t="s">
        <v>1364</v>
      </c>
      <c r="AG89" s="221" t="s">
        <v>2220</v>
      </c>
      <c r="AH89" s="31" t="s">
        <v>2035</v>
      </c>
      <c r="AI89" s="31" t="s">
        <v>2221</v>
      </c>
      <c r="AJ89" s="221" t="s">
        <v>2222</v>
      </c>
      <c r="AK89" s="30" t="s">
        <v>2223</v>
      </c>
      <c r="AL89" s="210"/>
      <c r="AM89" s="210"/>
      <c r="AN89" s="35"/>
      <c r="AO89" s="35" t="s">
        <v>2224</v>
      </c>
      <c r="AP89" s="10">
        <f t="shared" ca="1" si="3"/>
        <v>44</v>
      </c>
      <c r="AQ89" s="35" t="s">
        <v>2225</v>
      </c>
      <c r="AR89" s="222" t="s">
        <v>2226</v>
      </c>
      <c r="AS89" s="210">
        <v>45940</v>
      </c>
      <c r="AT89" s="210">
        <v>46304</v>
      </c>
      <c r="AU89" s="223">
        <v>29541</v>
      </c>
      <c r="AV89" s="31" t="s">
        <v>1389</v>
      </c>
      <c r="AW89" s="31" t="s">
        <v>32</v>
      </c>
      <c r="AX89" s="10">
        <v>4</v>
      </c>
      <c r="AY89" s="14" t="s">
        <v>1849</v>
      </c>
      <c r="AZ89" s="30" t="s">
        <v>1373</v>
      </c>
      <c r="BA89" s="23" t="s">
        <v>151</v>
      </c>
      <c r="BB89" s="30" t="s">
        <v>34</v>
      </c>
      <c r="BC89" s="22"/>
    </row>
    <row r="90" spans="1:55" x14ac:dyDescent="0.25">
      <c r="A90" s="10">
        <f t="shared" si="4"/>
        <v>89</v>
      </c>
      <c r="B90" s="10" t="s">
        <v>308</v>
      </c>
      <c r="C90" s="30" t="s">
        <v>34</v>
      </c>
      <c r="D90" s="65">
        <v>400327</v>
      </c>
      <c r="E90" s="31" t="s">
        <v>42</v>
      </c>
      <c r="F90" s="14" t="s">
        <v>309</v>
      </c>
      <c r="G90" s="10">
        <v>6</v>
      </c>
      <c r="H90" s="66">
        <v>0.375</v>
      </c>
      <c r="I90" s="66">
        <v>0.70833333333333337</v>
      </c>
      <c r="J90" s="68">
        <v>0.33333333333333331</v>
      </c>
      <c r="K90" s="21" t="s">
        <v>207</v>
      </c>
      <c r="L90" s="30" t="s">
        <v>310</v>
      </c>
      <c r="M90" s="30" t="s">
        <v>26</v>
      </c>
      <c r="N90" s="23" t="s">
        <v>38</v>
      </c>
      <c r="O90" s="23" t="s">
        <v>1321</v>
      </c>
      <c r="P90" s="161">
        <v>44277</v>
      </c>
      <c r="Q90" s="161">
        <v>45748</v>
      </c>
      <c r="R90" s="161">
        <v>46477</v>
      </c>
      <c r="S90" s="161">
        <v>46478</v>
      </c>
      <c r="T90" s="10">
        <v>2017</v>
      </c>
      <c r="U90" s="30" t="s">
        <v>306</v>
      </c>
      <c r="V90" s="10">
        <v>2020</v>
      </c>
      <c r="W90" s="14" t="s">
        <v>306</v>
      </c>
      <c r="X90" s="31" t="s">
        <v>30</v>
      </c>
      <c r="Y90" s="23" t="s">
        <v>66</v>
      </c>
      <c r="Z90" s="14" t="s">
        <v>2227</v>
      </c>
      <c r="AA90" s="35" t="s">
        <v>1886</v>
      </c>
      <c r="AB90" s="161">
        <v>44273</v>
      </c>
      <c r="AC90" s="161">
        <v>46098</v>
      </c>
      <c r="AD90" s="220">
        <v>8332830722</v>
      </c>
      <c r="AE90" s="224" t="s">
        <v>311</v>
      </c>
      <c r="AF90" s="28" t="s">
        <v>1495</v>
      </c>
      <c r="AG90" s="221" t="s">
        <v>2228</v>
      </c>
      <c r="AH90" s="31" t="s">
        <v>2229</v>
      </c>
      <c r="AI90" s="31" t="s">
        <v>2230</v>
      </c>
      <c r="AJ90" s="221" t="s">
        <v>2231</v>
      </c>
      <c r="AK90" s="30" t="s">
        <v>2232</v>
      </c>
      <c r="AL90" s="210"/>
      <c r="AM90" s="210"/>
      <c r="AN90" s="35" t="s">
        <v>2233</v>
      </c>
      <c r="AO90" s="35" t="s">
        <v>2234</v>
      </c>
      <c r="AP90" s="10">
        <f t="shared" ca="1" si="3"/>
        <v>31</v>
      </c>
      <c r="AQ90" s="35"/>
      <c r="AR90" s="23"/>
      <c r="AS90" s="210"/>
      <c r="AT90" s="210"/>
      <c r="AU90" s="223">
        <v>34485</v>
      </c>
      <c r="AV90" s="31" t="s">
        <v>1389</v>
      </c>
      <c r="AW90" s="31" t="s">
        <v>68</v>
      </c>
      <c r="AX90" s="10">
        <v>8</v>
      </c>
      <c r="AY90" s="14" t="s">
        <v>1920</v>
      </c>
      <c r="AZ90" s="30" t="s">
        <v>26</v>
      </c>
      <c r="BA90" s="23" t="s">
        <v>151</v>
      </c>
      <c r="BB90" s="30" t="s">
        <v>34</v>
      </c>
      <c r="BC90" s="22"/>
    </row>
    <row r="91" spans="1:55" x14ac:dyDescent="0.25">
      <c r="A91" s="10">
        <f t="shared" si="4"/>
        <v>90</v>
      </c>
      <c r="B91" s="10" t="s">
        <v>2235</v>
      </c>
      <c r="C91" s="30" t="s">
        <v>34</v>
      </c>
      <c r="D91" s="65">
        <v>400339</v>
      </c>
      <c r="E91" s="31" t="s">
        <v>36</v>
      </c>
      <c r="F91" s="14" t="s">
        <v>2236</v>
      </c>
      <c r="G91" s="10" t="s">
        <v>2237</v>
      </c>
      <c r="H91" s="66" t="s">
        <v>2238</v>
      </c>
      <c r="I91" s="66" t="s">
        <v>2238</v>
      </c>
      <c r="J91" s="66">
        <v>4.1666666666666664E-2</v>
      </c>
      <c r="K91" s="21" t="s">
        <v>826</v>
      </c>
      <c r="L91" s="30" t="s">
        <v>1544</v>
      </c>
      <c r="M91" s="30" t="s">
        <v>1544</v>
      </c>
      <c r="N91" s="23" t="s">
        <v>1992</v>
      </c>
      <c r="O91" s="14" t="s">
        <v>2239</v>
      </c>
      <c r="P91" s="161">
        <v>44305</v>
      </c>
      <c r="Q91" s="161">
        <v>45645</v>
      </c>
      <c r="R91" s="161">
        <v>46374</v>
      </c>
      <c r="S91" s="161">
        <v>46375</v>
      </c>
      <c r="T91" s="10">
        <v>2009</v>
      </c>
      <c r="U91" s="30" t="s">
        <v>2240</v>
      </c>
      <c r="V91" s="10">
        <v>2015</v>
      </c>
      <c r="W91" s="14" t="s">
        <v>2241</v>
      </c>
      <c r="X91" s="31" t="s">
        <v>30</v>
      </c>
      <c r="Y91" s="35" t="s">
        <v>1549</v>
      </c>
      <c r="Z91" s="14">
        <v>46801</v>
      </c>
      <c r="AA91" s="35" t="s">
        <v>2242</v>
      </c>
      <c r="AB91" s="161">
        <v>45918</v>
      </c>
      <c r="AC91" s="161">
        <v>47744</v>
      </c>
      <c r="AD91" s="220">
        <v>9711459875</v>
      </c>
      <c r="AE91" s="224" t="s">
        <v>2243</v>
      </c>
      <c r="AF91" s="28" t="s">
        <v>1495</v>
      </c>
      <c r="AG91" s="221" t="s">
        <v>2244</v>
      </c>
      <c r="AH91" s="31" t="s">
        <v>2245</v>
      </c>
      <c r="AI91" s="31" t="s">
        <v>2246</v>
      </c>
      <c r="AJ91" s="221" t="s">
        <v>2247</v>
      </c>
      <c r="AK91" s="30" t="s">
        <v>2248</v>
      </c>
      <c r="AL91" s="210"/>
      <c r="AM91" s="210"/>
      <c r="AN91" s="35"/>
      <c r="AO91" s="35" t="s">
        <v>2249</v>
      </c>
      <c r="AP91" s="10">
        <f t="shared" ca="1" si="3"/>
        <v>39</v>
      </c>
      <c r="AQ91" s="35" t="s">
        <v>1605</v>
      </c>
      <c r="AR91" s="222" t="s">
        <v>2250</v>
      </c>
      <c r="AS91" s="166">
        <v>45768</v>
      </c>
      <c r="AT91" s="166">
        <v>46132</v>
      </c>
      <c r="AU91" s="223">
        <v>31401</v>
      </c>
      <c r="AV91" s="31" t="s">
        <v>1352</v>
      </c>
      <c r="AW91" s="31" t="s">
        <v>32</v>
      </c>
      <c r="AX91" s="10">
        <v>1</v>
      </c>
      <c r="AY91" s="14" t="s">
        <v>2251</v>
      </c>
      <c r="AZ91" s="30" t="s">
        <v>1373</v>
      </c>
      <c r="BA91" s="23" t="s">
        <v>151</v>
      </c>
      <c r="BB91" s="30" t="s">
        <v>34</v>
      </c>
      <c r="BC91" s="22"/>
    </row>
    <row r="92" spans="1:55" x14ac:dyDescent="0.25">
      <c r="A92" s="10">
        <f t="shared" si="4"/>
        <v>91</v>
      </c>
      <c r="B92" s="10" t="s">
        <v>2252</v>
      </c>
      <c r="C92" s="30" t="s">
        <v>34</v>
      </c>
      <c r="D92" s="65">
        <v>400362</v>
      </c>
      <c r="E92" s="31" t="s">
        <v>36</v>
      </c>
      <c r="F92" s="14" t="s">
        <v>2253</v>
      </c>
      <c r="G92" s="10">
        <v>6</v>
      </c>
      <c r="H92" s="66">
        <v>0.72916666666666663</v>
      </c>
      <c r="I92" s="66">
        <v>0.8125</v>
      </c>
      <c r="J92" s="66">
        <v>8.3333333333333329E-2</v>
      </c>
      <c r="K92" s="21" t="s">
        <v>784</v>
      </c>
      <c r="L92" s="30" t="s">
        <v>2015</v>
      </c>
      <c r="M92" s="30" t="s">
        <v>1355</v>
      </c>
      <c r="N92" s="23" t="s">
        <v>1520</v>
      </c>
      <c r="O92" s="14" t="s">
        <v>2254</v>
      </c>
      <c r="P92" s="161">
        <v>44438</v>
      </c>
      <c r="Q92" s="161">
        <v>45899</v>
      </c>
      <c r="R92" s="161">
        <v>46628</v>
      </c>
      <c r="S92" s="161">
        <v>46629</v>
      </c>
      <c r="T92" s="10">
        <v>2007</v>
      </c>
      <c r="U92" s="30" t="s">
        <v>57</v>
      </c>
      <c r="V92" s="10">
        <v>2016</v>
      </c>
      <c r="W92" s="14" t="s">
        <v>516</v>
      </c>
      <c r="X92" s="31" t="s">
        <v>30</v>
      </c>
      <c r="Y92" s="23" t="s">
        <v>1360</v>
      </c>
      <c r="Z92" s="14">
        <v>60029</v>
      </c>
      <c r="AA92" s="35" t="s">
        <v>1886</v>
      </c>
      <c r="AB92" s="161">
        <v>44649</v>
      </c>
      <c r="AC92" s="161">
        <v>46474</v>
      </c>
      <c r="AD92" s="220">
        <v>8897029991</v>
      </c>
      <c r="AE92" s="224" t="s">
        <v>2255</v>
      </c>
      <c r="AF92" s="28" t="s">
        <v>1495</v>
      </c>
      <c r="AG92" s="221" t="s">
        <v>2256</v>
      </c>
      <c r="AH92" s="31" t="s">
        <v>2257</v>
      </c>
      <c r="AI92" s="31" t="s">
        <v>2258</v>
      </c>
      <c r="AJ92" s="221" t="s">
        <v>2259</v>
      </c>
      <c r="AK92" s="30" t="s">
        <v>2260</v>
      </c>
      <c r="AL92" s="210"/>
      <c r="AM92" s="210"/>
      <c r="AN92" s="35"/>
      <c r="AO92" s="35" t="s">
        <v>2261</v>
      </c>
      <c r="AP92" s="10">
        <f t="shared" ca="1" si="3"/>
        <v>41</v>
      </c>
      <c r="AQ92" s="35"/>
      <c r="AR92" s="23"/>
      <c r="AS92" s="210"/>
      <c r="AT92" s="210"/>
      <c r="AU92" s="223">
        <v>30909</v>
      </c>
      <c r="AV92" s="31" t="s">
        <v>1389</v>
      </c>
      <c r="AW92" s="31" t="s">
        <v>32</v>
      </c>
      <c r="AX92" s="10">
        <v>2</v>
      </c>
      <c r="AY92" s="14" t="s">
        <v>2262</v>
      </c>
      <c r="AZ92" s="30" t="s">
        <v>1373</v>
      </c>
      <c r="BA92" s="23" t="s">
        <v>151</v>
      </c>
      <c r="BB92" s="30" t="s">
        <v>34</v>
      </c>
      <c r="BC92" s="22"/>
    </row>
    <row r="93" spans="1:55" x14ac:dyDescent="0.25">
      <c r="A93" s="10">
        <f t="shared" si="4"/>
        <v>92</v>
      </c>
      <c r="B93" s="25" t="s">
        <v>312</v>
      </c>
      <c r="C93" s="30" t="s">
        <v>34</v>
      </c>
      <c r="D93" s="71">
        <v>401148</v>
      </c>
      <c r="E93" s="72" t="s">
        <v>36</v>
      </c>
      <c r="F93" s="14" t="s">
        <v>313</v>
      </c>
      <c r="G93" s="25">
        <v>6</v>
      </c>
      <c r="H93" s="74">
        <v>0.6875</v>
      </c>
      <c r="I93" s="74">
        <v>0.875</v>
      </c>
      <c r="J93" s="74">
        <v>0.1875</v>
      </c>
      <c r="K93" s="21" t="s">
        <v>314</v>
      </c>
      <c r="L93" s="75" t="s">
        <v>315</v>
      </c>
      <c r="M93" s="75" t="s">
        <v>26</v>
      </c>
      <c r="N93" s="23" t="s">
        <v>38</v>
      </c>
      <c r="O93" s="23" t="s">
        <v>1321</v>
      </c>
      <c r="P93" s="246">
        <v>45637</v>
      </c>
      <c r="Q93" s="247">
        <v>45637</v>
      </c>
      <c r="R93" s="247">
        <v>46366</v>
      </c>
      <c r="S93" s="247">
        <v>46367</v>
      </c>
      <c r="T93" s="25">
        <v>2019</v>
      </c>
      <c r="U93" s="76" t="s">
        <v>316</v>
      </c>
      <c r="V93" s="25">
        <v>2022</v>
      </c>
      <c r="W93" s="76" t="s">
        <v>317</v>
      </c>
      <c r="X93" s="72" t="s">
        <v>30</v>
      </c>
      <c r="Y93" s="38" t="s">
        <v>49</v>
      </c>
      <c r="Z93" s="76">
        <v>128784</v>
      </c>
      <c r="AA93" s="35" t="s">
        <v>1560</v>
      </c>
      <c r="AB93" s="161">
        <v>45084</v>
      </c>
      <c r="AC93" s="161">
        <v>46910</v>
      </c>
      <c r="AD93" s="25" t="s">
        <v>318</v>
      </c>
      <c r="AE93" s="248" t="s">
        <v>319</v>
      </c>
      <c r="AF93" s="28" t="s">
        <v>1495</v>
      </c>
      <c r="AG93" s="249" t="s">
        <v>2263</v>
      </c>
      <c r="AH93" s="72" t="s">
        <v>2264</v>
      </c>
      <c r="AI93" s="72" t="s">
        <v>2265</v>
      </c>
      <c r="AJ93" s="249" t="s">
        <v>2266</v>
      </c>
      <c r="AK93" s="75" t="s">
        <v>2267</v>
      </c>
      <c r="AL93" s="250"/>
      <c r="AM93" s="250"/>
      <c r="AN93" s="38"/>
      <c r="AO93" s="38" t="s">
        <v>2268</v>
      </c>
      <c r="AP93" s="25">
        <f t="shared" ca="1" si="3"/>
        <v>33</v>
      </c>
      <c r="AQ93" s="75" t="s">
        <v>2156</v>
      </c>
      <c r="AR93" s="251" t="s">
        <v>2269</v>
      </c>
      <c r="AS93" s="187">
        <v>45943</v>
      </c>
      <c r="AT93" s="187">
        <v>46307</v>
      </c>
      <c r="AU93" s="252">
        <v>33758</v>
      </c>
      <c r="AV93" s="72" t="s">
        <v>1352</v>
      </c>
      <c r="AW93" s="72" t="s">
        <v>32</v>
      </c>
      <c r="AX93" s="25">
        <v>4.5</v>
      </c>
      <c r="AY93" s="76" t="s">
        <v>2270</v>
      </c>
      <c r="AZ93" s="30" t="s">
        <v>26</v>
      </c>
      <c r="BA93" s="23" t="s">
        <v>151</v>
      </c>
      <c r="BB93" s="30" t="s">
        <v>34</v>
      </c>
      <c r="BC93" s="22"/>
    </row>
    <row r="94" spans="1:55" x14ac:dyDescent="0.25">
      <c r="A94" s="10">
        <f t="shared" si="4"/>
        <v>93</v>
      </c>
      <c r="B94" s="10" t="s">
        <v>320</v>
      </c>
      <c r="C94" s="30" t="s">
        <v>34</v>
      </c>
      <c r="D94" s="65">
        <v>400390</v>
      </c>
      <c r="E94" s="181" t="s">
        <v>9124</v>
      </c>
      <c r="F94" s="14" t="s">
        <v>321</v>
      </c>
      <c r="G94" s="10">
        <v>6</v>
      </c>
      <c r="H94" s="66" t="s">
        <v>322</v>
      </c>
      <c r="I94" s="66" t="s">
        <v>323</v>
      </c>
      <c r="J94" s="66">
        <v>0.20833333333333334</v>
      </c>
      <c r="K94" s="21" t="s">
        <v>147</v>
      </c>
      <c r="L94" s="14" t="s">
        <v>324</v>
      </c>
      <c r="M94" s="14" t="s">
        <v>26</v>
      </c>
      <c r="N94" s="23" t="s">
        <v>38</v>
      </c>
      <c r="O94" s="23" t="s">
        <v>1321</v>
      </c>
      <c r="P94" s="161">
        <v>44489</v>
      </c>
      <c r="Q94" s="161">
        <v>45839</v>
      </c>
      <c r="R94" s="161">
        <v>46568</v>
      </c>
      <c r="S94" s="161">
        <v>46569</v>
      </c>
      <c r="T94" s="10">
        <v>2012</v>
      </c>
      <c r="U94" s="14" t="s">
        <v>325</v>
      </c>
      <c r="V94" s="10">
        <v>2017</v>
      </c>
      <c r="W94" s="14" t="s">
        <v>326</v>
      </c>
      <c r="X94" s="10" t="s">
        <v>30</v>
      </c>
      <c r="Y94" s="35" t="s">
        <v>183</v>
      </c>
      <c r="Z94" s="14" t="s">
        <v>2271</v>
      </c>
      <c r="AA94" s="23" t="s">
        <v>1841</v>
      </c>
      <c r="AB94" s="161">
        <v>45201</v>
      </c>
      <c r="AC94" s="161">
        <v>47027</v>
      </c>
      <c r="AD94" s="10">
        <v>9676702828</v>
      </c>
      <c r="AE94" s="23" t="s">
        <v>327</v>
      </c>
      <c r="AF94" s="30" t="s">
        <v>1364</v>
      </c>
      <c r="AG94" s="221" t="s">
        <v>2272</v>
      </c>
      <c r="AH94" s="31" t="s">
        <v>2273</v>
      </c>
      <c r="AI94" s="31" t="s">
        <v>2274</v>
      </c>
      <c r="AJ94" s="221" t="s">
        <v>2275</v>
      </c>
      <c r="AK94" s="30" t="s">
        <v>2276</v>
      </c>
      <c r="AL94" s="210"/>
      <c r="AM94" s="210"/>
      <c r="AN94" s="35"/>
      <c r="AO94" s="35" t="s">
        <v>2277</v>
      </c>
      <c r="AP94" s="10">
        <f t="shared" ca="1" si="3"/>
        <v>37</v>
      </c>
      <c r="AQ94" s="35"/>
      <c r="AR94" s="23"/>
      <c r="AS94" s="210"/>
      <c r="AT94" s="210"/>
      <c r="AU94" s="223">
        <v>32414</v>
      </c>
      <c r="AV94" s="10" t="s">
        <v>1352</v>
      </c>
      <c r="AW94" s="10" t="s">
        <v>32</v>
      </c>
      <c r="AX94" s="10">
        <v>5</v>
      </c>
      <c r="AY94" s="14" t="s">
        <v>1849</v>
      </c>
      <c r="AZ94" s="30" t="s">
        <v>26</v>
      </c>
      <c r="BA94" s="23" t="s">
        <v>151</v>
      </c>
      <c r="BB94" s="30" t="s">
        <v>34</v>
      </c>
      <c r="BC94" s="22"/>
    </row>
    <row r="95" spans="1:55" x14ac:dyDescent="0.25">
      <c r="A95" s="10">
        <f t="shared" si="4"/>
        <v>94</v>
      </c>
      <c r="B95" s="10" t="s">
        <v>2278</v>
      </c>
      <c r="C95" s="30" t="s">
        <v>34</v>
      </c>
      <c r="D95" s="65">
        <v>400405</v>
      </c>
      <c r="E95" s="31" t="s">
        <v>36</v>
      </c>
      <c r="F95" s="14" t="s">
        <v>2279</v>
      </c>
      <c r="G95" s="10">
        <v>6</v>
      </c>
      <c r="H95" s="66">
        <v>0.33333333333333331</v>
      </c>
      <c r="I95" s="66">
        <v>0.875</v>
      </c>
      <c r="J95" s="68">
        <v>0.33333333333333331</v>
      </c>
      <c r="K95" s="21" t="s">
        <v>587</v>
      </c>
      <c r="L95" s="30" t="s">
        <v>2015</v>
      </c>
      <c r="M95" s="30" t="s">
        <v>1355</v>
      </c>
      <c r="N95" s="23" t="s">
        <v>1356</v>
      </c>
      <c r="O95" s="35" t="s">
        <v>1357</v>
      </c>
      <c r="P95" s="161">
        <v>44526</v>
      </c>
      <c r="Q95" s="161">
        <v>45256</v>
      </c>
      <c r="R95" s="161">
        <v>45986</v>
      </c>
      <c r="S95" s="161">
        <v>45987</v>
      </c>
      <c r="T95" s="10">
        <v>2016</v>
      </c>
      <c r="U95" s="30" t="s">
        <v>2280</v>
      </c>
      <c r="V95" s="10">
        <v>2021</v>
      </c>
      <c r="W95" s="14" t="s">
        <v>2281</v>
      </c>
      <c r="X95" s="31" t="s">
        <v>30</v>
      </c>
      <c r="Y95" s="23" t="s">
        <v>1360</v>
      </c>
      <c r="Z95" s="14" t="s">
        <v>2282</v>
      </c>
      <c r="AA95" s="35" t="s">
        <v>1841</v>
      </c>
      <c r="AB95" s="161">
        <v>44830</v>
      </c>
      <c r="AC95" s="161">
        <v>46655</v>
      </c>
      <c r="AD95" s="220">
        <v>9538595108</v>
      </c>
      <c r="AE95" s="224" t="s">
        <v>2283</v>
      </c>
      <c r="AF95" s="30" t="s">
        <v>2284</v>
      </c>
      <c r="AG95" s="221" t="s">
        <v>2285</v>
      </c>
      <c r="AH95" s="31" t="s">
        <v>2286</v>
      </c>
      <c r="AI95" s="31" t="s">
        <v>2287</v>
      </c>
      <c r="AJ95" s="221" t="s">
        <v>2288</v>
      </c>
      <c r="AK95" s="30" t="s">
        <v>2289</v>
      </c>
      <c r="AL95" s="210"/>
      <c r="AM95" s="210"/>
      <c r="AN95" s="35"/>
      <c r="AO95" s="35" t="s">
        <v>2290</v>
      </c>
      <c r="AP95" s="10">
        <f t="shared" ca="1" si="3"/>
        <v>32</v>
      </c>
      <c r="AQ95" s="35"/>
      <c r="AR95" s="23"/>
      <c r="AS95" s="210"/>
      <c r="AT95" s="210"/>
      <c r="AU95" s="223">
        <v>34104</v>
      </c>
      <c r="AV95" s="31" t="s">
        <v>1352</v>
      </c>
      <c r="AW95" s="31" t="s">
        <v>68</v>
      </c>
      <c r="AX95" s="10">
        <v>8</v>
      </c>
      <c r="AY95" s="14" t="s">
        <v>2053</v>
      </c>
      <c r="AZ95" s="30" t="s">
        <v>1373</v>
      </c>
      <c r="BA95" s="23" t="s">
        <v>151</v>
      </c>
      <c r="BB95" s="30" t="s">
        <v>34</v>
      </c>
      <c r="BC95" s="22"/>
    </row>
    <row r="96" spans="1:55" x14ac:dyDescent="0.25">
      <c r="A96" s="10">
        <f t="shared" si="4"/>
        <v>95</v>
      </c>
      <c r="B96" s="10" t="s">
        <v>328</v>
      </c>
      <c r="C96" s="30" t="s">
        <v>34</v>
      </c>
      <c r="D96" s="65">
        <v>400411</v>
      </c>
      <c r="E96" s="31" t="s">
        <v>36</v>
      </c>
      <c r="F96" s="14" t="s">
        <v>329</v>
      </c>
      <c r="G96" s="10">
        <v>6</v>
      </c>
      <c r="H96" s="66">
        <v>0.375</v>
      </c>
      <c r="I96" s="66">
        <v>0.70833333333333337</v>
      </c>
      <c r="J96" s="66">
        <v>0.33333333333333331</v>
      </c>
      <c r="K96" s="21" t="s">
        <v>154</v>
      </c>
      <c r="L96" s="30" t="s">
        <v>330</v>
      </c>
      <c r="M96" s="30" t="s">
        <v>26</v>
      </c>
      <c r="N96" s="23" t="s">
        <v>38</v>
      </c>
      <c r="O96" s="23" t="s">
        <v>1321</v>
      </c>
      <c r="P96" s="161">
        <v>44543</v>
      </c>
      <c r="Q96" s="161">
        <v>45908</v>
      </c>
      <c r="R96" s="161">
        <v>46022</v>
      </c>
      <c r="S96" s="161">
        <v>46023</v>
      </c>
      <c r="T96" s="10">
        <v>2013</v>
      </c>
      <c r="U96" s="30" t="s">
        <v>331</v>
      </c>
      <c r="V96" s="10">
        <v>2021</v>
      </c>
      <c r="W96" s="14" t="s">
        <v>332</v>
      </c>
      <c r="X96" s="31" t="s">
        <v>30</v>
      </c>
      <c r="Y96" s="35" t="s">
        <v>49</v>
      </c>
      <c r="Z96" s="14" t="s">
        <v>2291</v>
      </c>
      <c r="AA96" s="23" t="s">
        <v>1841</v>
      </c>
      <c r="AB96" s="161">
        <v>44714</v>
      </c>
      <c r="AC96" s="161">
        <v>46539</v>
      </c>
      <c r="AD96" s="220">
        <v>9642789670</v>
      </c>
      <c r="AE96" s="224" t="s">
        <v>333</v>
      </c>
      <c r="AF96" s="28" t="s">
        <v>1495</v>
      </c>
      <c r="AG96" s="221" t="s">
        <v>2292</v>
      </c>
      <c r="AH96" s="31" t="s">
        <v>2293</v>
      </c>
      <c r="AI96" s="31" t="s">
        <v>2294</v>
      </c>
      <c r="AJ96" s="221" t="s">
        <v>2295</v>
      </c>
      <c r="AK96" s="30" t="s">
        <v>2296</v>
      </c>
      <c r="AL96" s="210"/>
      <c r="AM96" s="210"/>
      <c r="AN96" s="35"/>
      <c r="AO96" s="23"/>
      <c r="AP96" s="10">
        <f t="shared" ca="1" si="3"/>
        <v>34</v>
      </c>
      <c r="AQ96" s="35"/>
      <c r="AR96" s="23"/>
      <c r="AS96" s="210"/>
      <c r="AT96" s="210"/>
      <c r="AU96" s="223">
        <v>33372</v>
      </c>
      <c r="AV96" s="31" t="s">
        <v>1352</v>
      </c>
      <c r="AW96" s="31" t="s">
        <v>68</v>
      </c>
      <c r="AX96" s="10">
        <v>8</v>
      </c>
      <c r="AY96" s="14" t="s">
        <v>1849</v>
      </c>
      <c r="AZ96" s="30" t="s">
        <v>26</v>
      </c>
      <c r="BA96" s="23" t="s">
        <v>151</v>
      </c>
      <c r="BB96" s="30" t="s">
        <v>34</v>
      </c>
      <c r="BC96" s="22"/>
    </row>
    <row r="97" spans="1:55" x14ac:dyDescent="0.25">
      <c r="A97" s="10">
        <f t="shared" si="4"/>
        <v>96</v>
      </c>
      <c r="B97" s="25" t="s">
        <v>312</v>
      </c>
      <c r="C97" s="30" t="s">
        <v>34</v>
      </c>
      <c r="D97" s="71">
        <v>401192</v>
      </c>
      <c r="E97" s="25" t="s">
        <v>192</v>
      </c>
      <c r="F97" s="14" t="s">
        <v>313</v>
      </c>
      <c r="G97" s="25"/>
      <c r="H97" s="72"/>
      <c r="I97" s="72"/>
      <c r="J97" s="72"/>
      <c r="K97" s="21" t="s">
        <v>334</v>
      </c>
      <c r="L97" s="75" t="s">
        <v>315</v>
      </c>
      <c r="M97" s="75" t="s">
        <v>26</v>
      </c>
      <c r="N97" s="23" t="s">
        <v>38</v>
      </c>
      <c r="O97" s="23" t="s">
        <v>1321</v>
      </c>
      <c r="P97" s="246">
        <v>45738</v>
      </c>
      <c r="Q97" s="246">
        <v>45738</v>
      </c>
      <c r="R97" s="246">
        <v>46467</v>
      </c>
      <c r="S97" s="246">
        <v>46468</v>
      </c>
      <c r="T97" s="25">
        <v>2019</v>
      </c>
      <c r="U97" s="76" t="s">
        <v>316</v>
      </c>
      <c r="V97" s="25">
        <v>2022</v>
      </c>
      <c r="W97" s="76" t="s">
        <v>317</v>
      </c>
      <c r="X97" s="72" t="s">
        <v>30</v>
      </c>
      <c r="Y97" s="38" t="s">
        <v>49</v>
      </c>
      <c r="Z97" s="76">
        <v>128784</v>
      </c>
      <c r="AA97" s="35" t="s">
        <v>1560</v>
      </c>
      <c r="AB97" s="161">
        <v>45084</v>
      </c>
      <c r="AC97" s="161">
        <v>46910</v>
      </c>
      <c r="AD97" s="25" t="s">
        <v>318</v>
      </c>
      <c r="AE97" s="248" t="s">
        <v>319</v>
      </c>
      <c r="AF97" s="28" t="s">
        <v>1495</v>
      </c>
      <c r="AG97" s="249" t="s">
        <v>2263</v>
      </c>
      <c r="AH97" s="72" t="s">
        <v>2264</v>
      </c>
      <c r="AI97" s="72" t="s">
        <v>2265</v>
      </c>
      <c r="AJ97" s="249" t="s">
        <v>2266</v>
      </c>
      <c r="AK97" s="75" t="s">
        <v>2267</v>
      </c>
      <c r="AL97" s="250"/>
      <c r="AM97" s="250"/>
      <c r="AN97" s="38"/>
      <c r="AO97" s="38" t="s">
        <v>2268</v>
      </c>
      <c r="AP97" s="25">
        <f t="shared" ca="1" si="3"/>
        <v>33</v>
      </c>
      <c r="AQ97" s="75" t="s">
        <v>2156</v>
      </c>
      <c r="AR97" s="251" t="s">
        <v>2269</v>
      </c>
      <c r="AS97" s="187">
        <v>45943</v>
      </c>
      <c r="AT97" s="187">
        <v>46307</v>
      </c>
      <c r="AU97" s="252">
        <v>33758</v>
      </c>
      <c r="AV97" s="72" t="s">
        <v>1352</v>
      </c>
      <c r="AW97" s="31" t="s">
        <v>32</v>
      </c>
      <c r="AX97" s="10" t="s">
        <v>30</v>
      </c>
      <c r="AY97" s="76" t="s">
        <v>30</v>
      </c>
      <c r="AZ97" s="30" t="s">
        <v>26</v>
      </c>
      <c r="BA97" s="23" t="s">
        <v>151</v>
      </c>
      <c r="BB97" s="30" t="s">
        <v>34</v>
      </c>
      <c r="BC97" s="22"/>
    </row>
    <row r="98" spans="1:55" x14ac:dyDescent="0.25">
      <c r="A98" s="10">
        <f t="shared" si="4"/>
        <v>97</v>
      </c>
      <c r="B98" s="10" t="s">
        <v>2297</v>
      </c>
      <c r="C98" s="30" t="s">
        <v>34</v>
      </c>
      <c r="D98" s="65">
        <v>400433</v>
      </c>
      <c r="E98" s="31" t="s">
        <v>36</v>
      </c>
      <c r="F98" s="14" t="s">
        <v>2298</v>
      </c>
      <c r="G98" s="10">
        <v>6</v>
      </c>
      <c r="H98" s="66">
        <v>0.83333333333333337</v>
      </c>
      <c r="I98" s="66">
        <v>0.91666666666666663</v>
      </c>
      <c r="J98" s="66">
        <v>8.3333333333333329E-2</v>
      </c>
      <c r="K98" s="21" t="s">
        <v>593</v>
      </c>
      <c r="L98" s="30" t="s">
        <v>2015</v>
      </c>
      <c r="M98" s="30" t="s">
        <v>1355</v>
      </c>
      <c r="N98" s="23" t="s">
        <v>1520</v>
      </c>
      <c r="O98" s="35" t="s">
        <v>2016</v>
      </c>
      <c r="P98" s="161">
        <v>44595</v>
      </c>
      <c r="Q98" s="183">
        <v>45748</v>
      </c>
      <c r="R98" s="183">
        <v>46477</v>
      </c>
      <c r="S98" s="183">
        <v>46478</v>
      </c>
      <c r="T98" s="10">
        <v>2007</v>
      </c>
      <c r="U98" s="30" t="s">
        <v>230</v>
      </c>
      <c r="V98" s="10">
        <v>2018</v>
      </c>
      <c r="W98" s="14" t="s">
        <v>708</v>
      </c>
      <c r="X98" s="31" t="s">
        <v>30</v>
      </c>
      <c r="Y98" s="23" t="s">
        <v>1360</v>
      </c>
      <c r="Z98" s="14">
        <v>62137</v>
      </c>
      <c r="AA98" s="35" t="s">
        <v>1886</v>
      </c>
      <c r="AB98" s="161">
        <v>45831</v>
      </c>
      <c r="AC98" s="161">
        <v>47656</v>
      </c>
      <c r="AD98" s="220">
        <v>9592046656</v>
      </c>
      <c r="AE98" s="224" t="s">
        <v>2299</v>
      </c>
      <c r="AF98" s="30" t="s">
        <v>1430</v>
      </c>
      <c r="AG98" s="221" t="s">
        <v>2300</v>
      </c>
      <c r="AH98" s="31" t="s">
        <v>2301</v>
      </c>
      <c r="AI98" s="31" t="s">
        <v>2302</v>
      </c>
      <c r="AJ98" s="221" t="s">
        <v>2303</v>
      </c>
      <c r="AK98" s="30" t="s">
        <v>2304</v>
      </c>
      <c r="AL98" s="210"/>
      <c r="AM98" s="210"/>
      <c r="AN98" s="35"/>
      <c r="AO98" s="35" t="s">
        <v>2305</v>
      </c>
      <c r="AP98" s="10">
        <f t="shared" ca="1" si="3"/>
        <v>40</v>
      </c>
      <c r="AQ98" s="67" t="s">
        <v>1957</v>
      </c>
      <c r="AR98" s="222" t="s">
        <v>2306</v>
      </c>
      <c r="AS98" s="187">
        <v>45689</v>
      </c>
      <c r="AT98" s="187">
        <v>46053</v>
      </c>
      <c r="AU98" s="223">
        <v>31347</v>
      </c>
      <c r="AV98" s="31" t="s">
        <v>1352</v>
      </c>
      <c r="AW98" s="31" t="s">
        <v>32</v>
      </c>
      <c r="AX98" s="10">
        <v>2</v>
      </c>
      <c r="AY98" s="14" t="s">
        <v>1920</v>
      </c>
      <c r="AZ98" s="30" t="s">
        <v>1373</v>
      </c>
      <c r="BA98" s="23" t="s">
        <v>151</v>
      </c>
      <c r="BB98" s="30" t="s">
        <v>34</v>
      </c>
      <c r="BC98" s="22"/>
    </row>
    <row r="99" spans="1:55" x14ac:dyDescent="0.25">
      <c r="A99" s="10">
        <f t="shared" si="4"/>
        <v>98</v>
      </c>
      <c r="B99" s="10" t="s">
        <v>2307</v>
      </c>
      <c r="C99" s="30" t="s">
        <v>34</v>
      </c>
      <c r="D99" s="65">
        <v>400439</v>
      </c>
      <c r="E99" s="31" t="s">
        <v>36</v>
      </c>
      <c r="F99" s="14" t="s">
        <v>2308</v>
      </c>
      <c r="G99" s="10">
        <v>6</v>
      </c>
      <c r="H99" s="66">
        <v>0.70833333333333337</v>
      </c>
      <c r="I99" s="66">
        <v>0.875</v>
      </c>
      <c r="J99" s="66">
        <v>0.16666666666666666</v>
      </c>
      <c r="K99" s="21" t="s">
        <v>348</v>
      </c>
      <c r="L99" s="30" t="s">
        <v>2015</v>
      </c>
      <c r="M99" s="30" t="s">
        <v>1355</v>
      </c>
      <c r="N99" s="23" t="s">
        <v>1520</v>
      </c>
      <c r="O99" s="14" t="s">
        <v>2203</v>
      </c>
      <c r="P99" s="161">
        <v>44603</v>
      </c>
      <c r="Q99" s="161">
        <v>45333</v>
      </c>
      <c r="R99" s="161">
        <v>46063</v>
      </c>
      <c r="S99" s="161">
        <v>46064</v>
      </c>
      <c r="T99" s="10">
        <v>1985</v>
      </c>
      <c r="U99" s="30" t="s">
        <v>306</v>
      </c>
      <c r="V99" s="10">
        <v>2014</v>
      </c>
      <c r="W99" s="14" t="s">
        <v>924</v>
      </c>
      <c r="X99" s="31" t="s">
        <v>30</v>
      </c>
      <c r="Y99" s="23" t="s">
        <v>1360</v>
      </c>
      <c r="Z99" s="14" t="s">
        <v>2309</v>
      </c>
      <c r="AA99" s="23" t="s">
        <v>1841</v>
      </c>
      <c r="AB99" s="161">
        <v>44442</v>
      </c>
      <c r="AC99" s="161">
        <v>46267</v>
      </c>
      <c r="AD99" s="220">
        <v>9866344203</v>
      </c>
      <c r="AE99" s="224" t="s">
        <v>2310</v>
      </c>
      <c r="AF99" s="28" t="s">
        <v>1495</v>
      </c>
      <c r="AG99" s="221" t="s">
        <v>2311</v>
      </c>
      <c r="AH99" s="31" t="s">
        <v>2312</v>
      </c>
      <c r="AI99" s="31" t="s">
        <v>2313</v>
      </c>
      <c r="AJ99" s="221" t="s">
        <v>2314</v>
      </c>
      <c r="AK99" s="30" t="s">
        <v>2315</v>
      </c>
      <c r="AL99" s="210"/>
      <c r="AM99" s="210"/>
      <c r="AN99" s="35"/>
      <c r="AO99" s="35" t="s">
        <v>2316</v>
      </c>
      <c r="AP99" s="10">
        <f t="shared" ca="1" si="3"/>
        <v>63</v>
      </c>
      <c r="AQ99" s="35"/>
      <c r="AR99" s="23"/>
      <c r="AS99" s="210"/>
      <c r="AT99" s="210"/>
      <c r="AU99" s="223">
        <v>22866</v>
      </c>
      <c r="AV99" s="31" t="s">
        <v>1389</v>
      </c>
      <c r="AW99" s="31" t="s">
        <v>32</v>
      </c>
      <c r="AX99" s="10">
        <v>4</v>
      </c>
      <c r="AY99" s="14" t="s">
        <v>2053</v>
      </c>
      <c r="AZ99" s="30" t="s">
        <v>1373</v>
      </c>
      <c r="BA99" s="23" t="s">
        <v>151</v>
      </c>
      <c r="BB99" s="30" t="s">
        <v>34</v>
      </c>
      <c r="BC99" s="22"/>
    </row>
    <row r="100" spans="1:55" x14ac:dyDescent="0.25">
      <c r="A100" s="10">
        <f t="shared" si="4"/>
        <v>99</v>
      </c>
      <c r="B100" s="10" t="s">
        <v>2317</v>
      </c>
      <c r="C100" s="30" t="s">
        <v>34</v>
      </c>
      <c r="D100" s="65">
        <v>400448</v>
      </c>
      <c r="E100" s="31" t="s">
        <v>36</v>
      </c>
      <c r="F100" s="14" t="s">
        <v>2318</v>
      </c>
      <c r="G100" s="10">
        <v>6</v>
      </c>
      <c r="H100" s="66">
        <v>0.375</v>
      </c>
      <c r="I100" s="66">
        <v>0.5</v>
      </c>
      <c r="J100" s="66">
        <v>0.125</v>
      </c>
      <c r="K100" s="21" t="s">
        <v>147</v>
      </c>
      <c r="L100" s="30" t="s">
        <v>1376</v>
      </c>
      <c r="M100" s="30" t="s">
        <v>1376</v>
      </c>
      <c r="N100" s="23" t="s">
        <v>1393</v>
      </c>
      <c r="O100" s="35" t="s">
        <v>30</v>
      </c>
      <c r="P100" s="161">
        <v>44634</v>
      </c>
      <c r="Q100" s="161">
        <v>45365</v>
      </c>
      <c r="R100" s="161">
        <v>46094</v>
      </c>
      <c r="S100" s="161">
        <v>46095</v>
      </c>
      <c r="T100" s="10">
        <v>2022</v>
      </c>
      <c r="U100" s="30" t="s">
        <v>2319</v>
      </c>
      <c r="V100" s="10" t="s">
        <v>30</v>
      </c>
      <c r="W100" s="14" t="s">
        <v>30</v>
      </c>
      <c r="X100" s="31" t="s">
        <v>30</v>
      </c>
      <c r="Y100" s="35" t="s">
        <v>226</v>
      </c>
      <c r="Z100" s="14" t="s">
        <v>2320</v>
      </c>
      <c r="AA100" s="23" t="s">
        <v>1841</v>
      </c>
      <c r="AB100" s="161">
        <v>44624</v>
      </c>
      <c r="AC100" s="161">
        <v>46449</v>
      </c>
      <c r="AD100" s="220">
        <v>9902300028</v>
      </c>
      <c r="AE100" s="224" t="s">
        <v>2321</v>
      </c>
      <c r="AF100" s="30" t="s">
        <v>1805</v>
      </c>
      <c r="AG100" s="221" t="s">
        <v>2322</v>
      </c>
      <c r="AH100" s="31" t="s">
        <v>2323</v>
      </c>
      <c r="AI100" s="31" t="s">
        <v>2324</v>
      </c>
      <c r="AJ100" s="221" t="s">
        <v>2325</v>
      </c>
      <c r="AK100" s="30" t="s">
        <v>2326</v>
      </c>
      <c r="AL100" s="210"/>
      <c r="AM100" s="210"/>
      <c r="AN100" s="35"/>
      <c r="AO100" s="35" t="s">
        <v>2327</v>
      </c>
      <c r="AP100" s="10">
        <f t="shared" ca="1" si="3"/>
        <v>33</v>
      </c>
      <c r="AQ100" s="35"/>
      <c r="AR100" s="23"/>
      <c r="AS100" s="210"/>
      <c r="AT100" s="210"/>
      <c r="AU100" s="223">
        <v>33670</v>
      </c>
      <c r="AV100" s="31" t="s">
        <v>1352</v>
      </c>
      <c r="AW100" s="31" t="s">
        <v>32</v>
      </c>
      <c r="AX100" s="10">
        <v>3</v>
      </c>
      <c r="AY100" s="14" t="s">
        <v>1849</v>
      </c>
      <c r="AZ100" s="30" t="s">
        <v>1390</v>
      </c>
      <c r="BA100" s="23" t="s">
        <v>151</v>
      </c>
      <c r="BB100" s="30" t="s">
        <v>34</v>
      </c>
      <c r="BC100" s="22"/>
    </row>
    <row r="101" spans="1:55" x14ac:dyDescent="0.25">
      <c r="A101" s="10">
        <f t="shared" si="4"/>
        <v>100</v>
      </c>
      <c r="B101" s="10" t="s">
        <v>335</v>
      </c>
      <c r="C101" s="30" t="s">
        <v>34</v>
      </c>
      <c r="D101" s="65">
        <v>400449</v>
      </c>
      <c r="E101" s="31" t="s">
        <v>192</v>
      </c>
      <c r="F101" s="14" t="s">
        <v>336</v>
      </c>
      <c r="G101" s="10">
        <v>5</v>
      </c>
      <c r="H101" s="66">
        <v>0.45833333333333298</v>
      </c>
      <c r="I101" s="66">
        <v>0.625</v>
      </c>
      <c r="J101" s="66">
        <v>0.16666666666666666</v>
      </c>
      <c r="K101" s="21" t="s">
        <v>147</v>
      </c>
      <c r="L101" s="30" t="s">
        <v>337</v>
      </c>
      <c r="M101" s="30" t="s">
        <v>26</v>
      </c>
      <c r="N101" s="23" t="s">
        <v>38</v>
      </c>
      <c r="O101" s="23" t="s">
        <v>1321</v>
      </c>
      <c r="P101" s="161">
        <v>44635</v>
      </c>
      <c r="Q101" s="161">
        <v>45413</v>
      </c>
      <c r="R101" s="161">
        <v>46112</v>
      </c>
      <c r="S101" s="161">
        <v>46143</v>
      </c>
      <c r="T101" s="10">
        <v>1974</v>
      </c>
      <c r="U101" s="30" t="s">
        <v>209</v>
      </c>
      <c r="V101" s="10">
        <v>1981</v>
      </c>
      <c r="W101" s="14" t="s">
        <v>209</v>
      </c>
      <c r="X101" s="31" t="s">
        <v>30</v>
      </c>
      <c r="Y101" s="23" t="s">
        <v>66</v>
      </c>
      <c r="Z101" s="14" t="s">
        <v>2328</v>
      </c>
      <c r="AA101" s="23" t="s">
        <v>1841</v>
      </c>
      <c r="AB101" s="161">
        <v>45604</v>
      </c>
      <c r="AC101" s="161">
        <v>47429</v>
      </c>
      <c r="AD101" s="220">
        <v>9640005742</v>
      </c>
      <c r="AE101" s="224" t="s">
        <v>338</v>
      </c>
      <c r="AF101" s="30" t="s">
        <v>2329</v>
      </c>
      <c r="AG101" s="221" t="s">
        <v>2330</v>
      </c>
      <c r="AH101" s="31" t="s">
        <v>2331</v>
      </c>
      <c r="AI101" s="31" t="s">
        <v>2332</v>
      </c>
      <c r="AJ101" s="221" t="s">
        <v>2333</v>
      </c>
      <c r="AK101" s="30" t="s">
        <v>2334</v>
      </c>
      <c r="AL101" s="210"/>
      <c r="AM101" s="210"/>
      <c r="AN101" s="35"/>
      <c r="AO101" s="35" t="s">
        <v>2335</v>
      </c>
      <c r="AP101" s="10">
        <f t="shared" ca="1" si="3"/>
        <v>76</v>
      </c>
      <c r="AQ101" s="229"/>
      <c r="AR101" s="243"/>
      <c r="AS101" s="244"/>
      <c r="AT101" s="244"/>
      <c r="AU101" s="223">
        <v>17888</v>
      </c>
      <c r="AV101" s="31" t="s">
        <v>1352</v>
      </c>
      <c r="AW101" s="31" t="s">
        <v>32</v>
      </c>
      <c r="AX101" s="10">
        <v>4</v>
      </c>
      <c r="AY101" s="14" t="s">
        <v>1849</v>
      </c>
      <c r="AZ101" s="30" t="s">
        <v>26</v>
      </c>
      <c r="BA101" s="23" t="s">
        <v>151</v>
      </c>
      <c r="BB101" s="30" t="s">
        <v>34</v>
      </c>
      <c r="BC101" s="22"/>
    </row>
    <row r="102" spans="1:55" x14ac:dyDescent="0.25">
      <c r="A102" s="10">
        <f t="shared" si="4"/>
        <v>101</v>
      </c>
      <c r="B102" s="10" t="s">
        <v>2336</v>
      </c>
      <c r="C102" s="30" t="s">
        <v>34</v>
      </c>
      <c r="D102" s="65">
        <v>400479</v>
      </c>
      <c r="E102" s="31" t="s">
        <v>36</v>
      </c>
      <c r="F102" s="14" t="s">
        <v>2337</v>
      </c>
      <c r="G102" s="10">
        <v>6</v>
      </c>
      <c r="H102" s="66">
        <v>0.66666666666666663</v>
      </c>
      <c r="I102" s="66">
        <v>0.83333333333333337</v>
      </c>
      <c r="J102" s="66">
        <v>0.16666666666666666</v>
      </c>
      <c r="K102" s="21" t="s">
        <v>411</v>
      </c>
      <c r="L102" s="30" t="s">
        <v>2015</v>
      </c>
      <c r="M102" s="30" t="s">
        <v>1355</v>
      </c>
      <c r="N102" s="23" t="s">
        <v>1520</v>
      </c>
      <c r="O102" s="14" t="s">
        <v>2338</v>
      </c>
      <c r="P102" s="161">
        <v>44697</v>
      </c>
      <c r="Q102" s="161">
        <v>45428</v>
      </c>
      <c r="R102" s="161">
        <v>46157</v>
      </c>
      <c r="S102" s="161">
        <v>46158</v>
      </c>
      <c r="T102" s="10">
        <v>2014</v>
      </c>
      <c r="U102" s="30" t="s">
        <v>2339</v>
      </c>
      <c r="V102" s="10">
        <v>2021</v>
      </c>
      <c r="W102" s="14" t="s">
        <v>2340</v>
      </c>
      <c r="X102" s="31" t="s">
        <v>30</v>
      </c>
      <c r="Y102" s="23" t="s">
        <v>1360</v>
      </c>
      <c r="Z102" s="14" t="s">
        <v>2341</v>
      </c>
      <c r="AA102" s="35" t="s">
        <v>1886</v>
      </c>
      <c r="AB102" s="161">
        <v>44254</v>
      </c>
      <c r="AC102" s="161">
        <v>46079</v>
      </c>
      <c r="AD102" s="220">
        <v>7680036834</v>
      </c>
      <c r="AE102" s="224" t="s">
        <v>2342</v>
      </c>
      <c r="AF102" s="28" t="s">
        <v>1495</v>
      </c>
      <c r="AG102" s="221" t="s">
        <v>2343</v>
      </c>
      <c r="AH102" s="31" t="s">
        <v>2344</v>
      </c>
      <c r="AI102" s="31" t="s">
        <v>2345</v>
      </c>
      <c r="AJ102" s="221" t="s">
        <v>2346</v>
      </c>
      <c r="AK102" s="30"/>
      <c r="AL102" s="210"/>
      <c r="AM102" s="210"/>
      <c r="AN102" s="35"/>
      <c r="AO102" s="35" t="s">
        <v>2347</v>
      </c>
      <c r="AP102" s="10">
        <f t="shared" ca="1" si="3"/>
        <v>3</v>
      </c>
      <c r="AQ102" s="35" t="s">
        <v>1605</v>
      </c>
      <c r="AR102" s="222" t="s">
        <v>2348</v>
      </c>
      <c r="AS102" s="166">
        <v>45830</v>
      </c>
      <c r="AT102" s="166">
        <v>46194</v>
      </c>
      <c r="AU102" s="223">
        <v>44693</v>
      </c>
      <c r="AV102" s="31" t="s">
        <v>1352</v>
      </c>
      <c r="AW102" s="31" t="s">
        <v>32</v>
      </c>
      <c r="AX102" s="10">
        <v>4</v>
      </c>
      <c r="AY102" s="14" t="s">
        <v>1920</v>
      </c>
      <c r="AZ102" s="30" t="s">
        <v>1373</v>
      </c>
      <c r="BA102" s="23" t="s">
        <v>151</v>
      </c>
      <c r="BB102" s="30" t="s">
        <v>34</v>
      </c>
      <c r="BC102" s="22"/>
    </row>
    <row r="103" spans="1:55" x14ac:dyDescent="0.25">
      <c r="A103" s="10">
        <f t="shared" si="4"/>
        <v>102</v>
      </c>
      <c r="B103" s="10" t="s">
        <v>339</v>
      </c>
      <c r="C103" s="30" t="s">
        <v>34</v>
      </c>
      <c r="D103" s="65">
        <v>400490</v>
      </c>
      <c r="E103" s="31" t="s">
        <v>36</v>
      </c>
      <c r="F103" s="14" t="s">
        <v>340</v>
      </c>
      <c r="G103" s="10">
        <v>6</v>
      </c>
      <c r="H103" s="66">
        <v>0.33333333333333331</v>
      </c>
      <c r="I103" s="66">
        <v>0.66666666666666663</v>
      </c>
      <c r="J103" s="66">
        <v>0.33333333333333331</v>
      </c>
      <c r="K103" s="21" t="s">
        <v>341</v>
      </c>
      <c r="L103" s="30" t="s">
        <v>342</v>
      </c>
      <c r="M103" s="30" t="s">
        <v>26</v>
      </c>
      <c r="N103" s="23" t="s">
        <v>38</v>
      </c>
      <c r="O103" s="23" t="s">
        <v>1321</v>
      </c>
      <c r="P103" s="161">
        <v>44714</v>
      </c>
      <c r="Q103" s="161">
        <v>45445</v>
      </c>
      <c r="R103" s="161">
        <v>46174</v>
      </c>
      <c r="S103" s="161">
        <v>46175</v>
      </c>
      <c r="T103" s="10">
        <v>2000</v>
      </c>
      <c r="U103" s="30" t="s">
        <v>343</v>
      </c>
      <c r="V103" s="10">
        <v>2003</v>
      </c>
      <c r="W103" s="14" t="s">
        <v>344</v>
      </c>
      <c r="X103" s="31" t="s">
        <v>30</v>
      </c>
      <c r="Y103" s="23" t="s">
        <v>66</v>
      </c>
      <c r="Z103" s="14">
        <v>46248</v>
      </c>
      <c r="AA103" s="23" t="s">
        <v>1841</v>
      </c>
      <c r="AB103" s="161">
        <v>45895</v>
      </c>
      <c r="AC103" s="161">
        <v>47720</v>
      </c>
      <c r="AD103" s="220">
        <v>9441417778</v>
      </c>
      <c r="AE103" s="224" t="s">
        <v>345</v>
      </c>
      <c r="AF103" s="30" t="s">
        <v>1364</v>
      </c>
      <c r="AG103" s="221" t="s">
        <v>2349</v>
      </c>
      <c r="AH103" s="31" t="s">
        <v>2350</v>
      </c>
      <c r="AI103" s="31" t="s">
        <v>2351</v>
      </c>
      <c r="AJ103" s="221" t="s">
        <v>2352</v>
      </c>
      <c r="AK103" s="30" t="s">
        <v>2353</v>
      </c>
      <c r="AL103" s="210"/>
      <c r="AM103" s="210"/>
      <c r="AN103" s="35"/>
      <c r="AO103" s="35" t="s">
        <v>2354</v>
      </c>
      <c r="AP103" s="10">
        <f t="shared" ca="1" si="3"/>
        <v>47</v>
      </c>
      <c r="AQ103" s="35" t="s">
        <v>1605</v>
      </c>
      <c r="AR103" s="23" t="s">
        <v>2355</v>
      </c>
      <c r="AS103" s="182">
        <v>45799</v>
      </c>
      <c r="AT103" s="182">
        <v>46163</v>
      </c>
      <c r="AU103" s="223">
        <v>28497</v>
      </c>
      <c r="AV103" s="31" t="s">
        <v>1352</v>
      </c>
      <c r="AW103" s="31" t="s">
        <v>68</v>
      </c>
      <c r="AX103" s="10">
        <v>8</v>
      </c>
      <c r="AY103" s="14" t="s">
        <v>1881</v>
      </c>
      <c r="AZ103" s="30" t="s">
        <v>26</v>
      </c>
      <c r="BA103" s="23" t="s">
        <v>151</v>
      </c>
      <c r="BB103" s="30" t="s">
        <v>34</v>
      </c>
      <c r="BC103" s="22"/>
    </row>
    <row r="104" spans="1:55" x14ac:dyDescent="0.25">
      <c r="A104" s="10">
        <f t="shared" si="4"/>
        <v>103</v>
      </c>
      <c r="B104" s="10" t="s">
        <v>2356</v>
      </c>
      <c r="C104" s="30" t="s">
        <v>34</v>
      </c>
      <c r="D104" s="65">
        <v>400494</v>
      </c>
      <c r="E104" s="31" t="s">
        <v>36</v>
      </c>
      <c r="F104" s="14" t="s">
        <v>2357</v>
      </c>
      <c r="G104" s="10">
        <v>6</v>
      </c>
      <c r="H104" s="66">
        <v>0.70833333333333337</v>
      </c>
      <c r="I104" s="66">
        <v>0.8125</v>
      </c>
      <c r="J104" s="66">
        <v>0.10416666666666667</v>
      </c>
      <c r="K104" s="21" t="s">
        <v>411</v>
      </c>
      <c r="L104" s="30" t="s">
        <v>1544</v>
      </c>
      <c r="M104" s="30" t="s">
        <v>1544</v>
      </c>
      <c r="N104" s="23" t="s">
        <v>1992</v>
      </c>
      <c r="O104" s="14" t="s">
        <v>2338</v>
      </c>
      <c r="P104" s="161">
        <v>44718</v>
      </c>
      <c r="Q104" s="161">
        <v>45449</v>
      </c>
      <c r="R104" s="161">
        <v>46178</v>
      </c>
      <c r="S104" s="161">
        <v>46179</v>
      </c>
      <c r="T104" s="10">
        <v>2010</v>
      </c>
      <c r="U104" s="30" t="s">
        <v>2358</v>
      </c>
      <c r="V104" s="10">
        <v>2018</v>
      </c>
      <c r="W104" s="14" t="s">
        <v>2359</v>
      </c>
      <c r="X104" s="31" t="s">
        <v>30</v>
      </c>
      <c r="Y104" s="35" t="s">
        <v>1549</v>
      </c>
      <c r="Z104" s="14" t="s">
        <v>2360</v>
      </c>
      <c r="AA104" s="35" t="s">
        <v>1886</v>
      </c>
      <c r="AB104" s="161">
        <v>45279</v>
      </c>
      <c r="AC104" s="161">
        <v>47105</v>
      </c>
      <c r="AD104" s="220">
        <v>9985596166</v>
      </c>
      <c r="AE104" s="224" t="s">
        <v>2361</v>
      </c>
      <c r="AF104" s="30" t="s">
        <v>1466</v>
      </c>
      <c r="AG104" s="221" t="s">
        <v>2362</v>
      </c>
      <c r="AH104" s="31" t="s">
        <v>2363</v>
      </c>
      <c r="AI104" s="31" t="s">
        <v>2364</v>
      </c>
      <c r="AJ104" s="221" t="s">
        <v>2365</v>
      </c>
      <c r="AK104" s="30" t="s">
        <v>2366</v>
      </c>
      <c r="AL104" s="210"/>
      <c r="AM104" s="210"/>
      <c r="AN104" s="35"/>
      <c r="AO104" s="35" t="s">
        <v>2367</v>
      </c>
      <c r="AP104" s="10">
        <f t="shared" ca="1" si="3"/>
        <v>37</v>
      </c>
      <c r="AQ104" s="35"/>
      <c r="AR104" s="23"/>
      <c r="AS104" s="210"/>
      <c r="AT104" s="210"/>
      <c r="AU104" s="223">
        <v>32379</v>
      </c>
      <c r="AV104" s="31" t="s">
        <v>1352</v>
      </c>
      <c r="AW104" s="31" t="s">
        <v>32</v>
      </c>
      <c r="AX104" s="10">
        <v>2.5</v>
      </c>
      <c r="AY104" s="14" t="s">
        <v>1920</v>
      </c>
      <c r="AZ104" s="30" t="s">
        <v>1373</v>
      </c>
      <c r="BA104" s="23" t="s">
        <v>151</v>
      </c>
      <c r="BB104" s="30" t="s">
        <v>34</v>
      </c>
      <c r="BC104" s="22"/>
    </row>
    <row r="105" spans="1:55" x14ac:dyDescent="0.25">
      <c r="A105" s="10">
        <f t="shared" si="4"/>
        <v>104</v>
      </c>
      <c r="B105" s="10" t="s">
        <v>2368</v>
      </c>
      <c r="C105" s="30" t="s">
        <v>34</v>
      </c>
      <c r="D105" s="65">
        <v>400496</v>
      </c>
      <c r="E105" s="31" t="s">
        <v>36</v>
      </c>
      <c r="F105" s="14" t="s">
        <v>2369</v>
      </c>
      <c r="G105" s="10">
        <v>6</v>
      </c>
      <c r="H105" s="66">
        <v>0.41666666666666669</v>
      </c>
      <c r="I105" s="66">
        <v>0.66666666666666663</v>
      </c>
      <c r="J105" s="66">
        <v>0.25</v>
      </c>
      <c r="K105" s="21" t="s">
        <v>411</v>
      </c>
      <c r="L105" s="30" t="s">
        <v>2097</v>
      </c>
      <c r="M105" s="30" t="s">
        <v>2097</v>
      </c>
      <c r="N105" s="23" t="s">
        <v>2110</v>
      </c>
      <c r="O105" s="35" t="s">
        <v>1357</v>
      </c>
      <c r="P105" s="161">
        <v>44725</v>
      </c>
      <c r="Q105" s="161">
        <v>45456</v>
      </c>
      <c r="R105" s="161">
        <v>46185</v>
      </c>
      <c r="S105" s="161">
        <v>46186</v>
      </c>
      <c r="T105" s="10">
        <v>2006</v>
      </c>
      <c r="U105" s="30" t="s">
        <v>2370</v>
      </c>
      <c r="V105" s="10">
        <v>2013</v>
      </c>
      <c r="W105" s="14" t="s">
        <v>2370</v>
      </c>
      <c r="X105" s="31" t="s">
        <v>30</v>
      </c>
      <c r="Y105" s="35" t="s">
        <v>2099</v>
      </c>
      <c r="Z105" s="14">
        <v>55191</v>
      </c>
      <c r="AA105" s="35" t="s">
        <v>1886</v>
      </c>
      <c r="AB105" s="161">
        <v>44943</v>
      </c>
      <c r="AC105" s="161">
        <v>46768</v>
      </c>
      <c r="AD105" s="220">
        <v>9966558352</v>
      </c>
      <c r="AE105" s="224" t="s">
        <v>2371</v>
      </c>
      <c r="AF105" s="30" t="s">
        <v>1364</v>
      </c>
      <c r="AG105" s="221" t="s">
        <v>2372</v>
      </c>
      <c r="AH105" s="31" t="s">
        <v>2373</v>
      </c>
      <c r="AI105" s="31" t="s">
        <v>2374</v>
      </c>
      <c r="AJ105" s="221" t="s">
        <v>2375</v>
      </c>
      <c r="AK105" s="30" t="s">
        <v>2376</v>
      </c>
      <c r="AL105" s="210"/>
      <c r="AM105" s="210"/>
      <c r="AN105" s="35"/>
      <c r="AO105" s="35" t="s">
        <v>2377</v>
      </c>
      <c r="AP105" s="10">
        <f t="shared" ca="1" si="3"/>
        <v>45</v>
      </c>
      <c r="AQ105" s="35"/>
      <c r="AR105" s="23"/>
      <c r="AS105" s="210"/>
      <c r="AT105" s="210"/>
      <c r="AU105" s="223">
        <v>29390</v>
      </c>
      <c r="AV105" s="31" t="s">
        <v>1389</v>
      </c>
      <c r="AW105" s="31" t="s">
        <v>32</v>
      </c>
      <c r="AX105" s="10">
        <v>6</v>
      </c>
      <c r="AY105" s="14" t="s">
        <v>1920</v>
      </c>
      <c r="AZ105" s="30" t="s">
        <v>1373</v>
      </c>
      <c r="BA105" s="23" t="s">
        <v>151</v>
      </c>
      <c r="BB105" s="30" t="s">
        <v>34</v>
      </c>
      <c r="BC105" s="22"/>
    </row>
    <row r="106" spans="1:55" x14ac:dyDescent="0.25">
      <c r="A106" s="10">
        <f t="shared" si="4"/>
        <v>105</v>
      </c>
      <c r="B106" s="10" t="s">
        <v>346</v>
      </c>
      <c r="C106" s="30" t="s">
        <v>34</v>
      </c>
      <c r="D106" s="65">
        <v>400525</v>
      </c>
      <c r="E106" s="54" t="s">
        <v>268</v>
      </c>
      <c r="F106" s="14" t="s">
        <v>347</v>
      </c>
      <c r="G106" s="55">
        <v>6</v>
      </c>
      <c r="H106" s="77">
        <v>0.375</v>
      </c>
      <c r="I106" s="77">
        <v>0.58333333333333337</v>
      </c>
      <c r="J106" s="77">
        <v>0.20833333333333334</v>
      </c>
      <c r="K106" s="51" t="s">
        <v>348</v>
      </c>
      <c r="L106" s="56" t="s">
        <v>349</v>
      </c>
      <c r="M106" s="56" t="s">
        <v>26</v>
      </c>
      <c r="N106" s="52" t="s">
        <v>38</v>
      </c>
      <c r="O106" s="52" t="s">
        <v>1321</v>
      </c>
      <c r="P106" s="238">
        <v>44477</v>
      </c>
      <c r="Q106" s="238">
        <v>45498</v>
      </c>
      <c r="R106" s="238">
        <v>46227</v>
      </c>
      <c r="S106" s="238">
        <v>46228</v>
      </c>
      <c r="T106" s="55">
        <v>2012</v>
      </c>
      <c r="U106" s="56" t="s">
        <v>350</v>
      </c>
      <c r="V106" s="55">
        <v>2021</v>
      </c>
      <c r="W106" s="48" t="s">
        <v>351</v>
      </c>
      <c r="X106" s="54" t="s">
        <v>30</v>
      </c>
      <c r="Y106" s="51" t="s">
        <v>49</v>
      </c>
      <c r="Z106" s="48" t="s">
        <v>2378</v>
      </c>
      <c r="AA106" s="52" t="s">
        <v>1841</v>
      </c>
      <c r="AB106" s="238">
        <v>44886</v>
      </c>
      <c r="AC106" s="238">
        <v>46711</v>
      </c>
      <c r="AD106" s="239">
        <v>7989783601</v>
      </c>
      <c r="AE106" s="240" t="s">
        <v>352</v>
      </c>
      <c r="AF106" s="56" t="s">
        <v>1430</v>
      </c>
      <c r="AG106" s="198" t="s">
        <v>2379</v>
      </c>
      <c r="AH106" s="54" t="s">
        <v>2380</v>
      </c>
      <c r="AI106" s="54" t="s">
        <v>2381</v>
      </c>
      <c r="AJ106" s="198" t="s">
        <v>2382</v>
      </c>
      <c r="AK106" s="56" t="s">
        <v>2383</v>
      </c>
      <c r="AL106" s="210"/>
      <c r="AM106" s="210"/>
      <c r="AN106" s="35" t="s">
        <v>2384</v>
      </c>
      <c r="AO106" s="35" t="s">
        <v>2385</v>
      </c>
      <c r="AP106" s="10">
        <f t="shared" ca="1" si="3"/>
        <v>36</v>
      </c>
      <c r="AQ106" s="35"/>
      <c r="AR106" s="23"/>
      <c r="AS106" s="210"/>
      <c r="AT106" s="210"/>
      <c r="AU106" s="223">
        <v>32524</v>
      </c>
      <c r="AV106" s="31" t="s">
        <v>1389</v>
      </c>
      <c r="AW106" s="31" t="s">
        <v>32</v>
      </c>
      <c r="AX106" s="10">
        <v>5</v>
      </c>
      <c r="AY106" s="14" t="s">
        <v>2053</v>
      </c>
      <c r="AZ106" s="30" t="s">
        <v>26</v>
      </c>
      <c r="BA106" s="23" t="s">
        <v>151</v>
      </c>
      <c r="BB106" s="30" t="s">
        <v>34</v>
      </c>
      <c r="BC106" s="43"/>
    </row>
    <row r="107" spans="1:55" x14ac:dyDescent="0.25">
      <c r="A107" s="10">
        <f t="shared" si="4"/>
        <v>106</v>
      </c>
      <c r="B107" s="10" t="s">
        <v>2386</v>
      </c>
      <c r="C107" s="30" t="s">
        <v>34</v>
      </c>
      <c r="D107" s="65">
        <v>400538</v>
      </c>
      <c r="E107" s="31" t="s">
        <v>36</v>
      </c>
      <c r="F107" s="14" t="s">
        <v>2387</v>
      </c>
      <c r="G107" s="10">
        <v>6</v>
      </c>
      <c r="H107" s="66">
        <v>0.33333333333333331</v>
      </c>
      <c r="I107" s="66">
        <v>0.75</v>
      </c>
      <c r="J107" s="68">
        <v>0.33333333333333331</v>
      </c>
      <c r="K107" s="21" t="s">
        <v>255</v>
      </c>
      <c r="L107" s="30" t="s">
        <v>1376</v>
      </c>
      <c r="M107" s="30" t="s">
        <v>1376</v>
      </c>
      <c r="N107" s="23" t="s">
        <v>1393</v>
      </c>
      <c r="O107" s="35" t="s">
        <v>30</v>
      </c>
      <c r="P107" s="161">
        <v>44790</v>
      </c>
      <c r="Q107" s="161">
        <v>45521</v>
      </c>
      <c r="R107" s="161">
        <v>46250</v>
      </c>
      <c r="S107" s="161">
        <v>46251</v>
      </c>
      <c r="T107" s="10">
        <v>1991</v>
      </c>
      <c r="U107" s="30" t="s">
        <v>2388</v>
      </c>
      <c r="V107" s="10" t="s">
        <v>1424</v>
      </c>
      <c r="W107" s="14" t="s">
        <v>1424</v>
      </c>
      <c r="X107" s="31" t="s">
        <v>30</v>
      </c>
      <c r="Y107" s="35" t="s">
        <v>226</v>
      </c>
      <c r="Z107" s="14" t="s">
        <v>2389</v>
      </c>
      <c r="AA107" s="23" t="s">
        <v>1841</v>
      </c>
      <c r="AB107" s="161">
        <v>44783</v>
      </c>
      <c r="AC107" s="161">
        <v>46608</v>
      </c>
      <c r="AD107" s="220">
        <v>9940633770</v>
      </c>
      <c r="AE107" s="224" t="s">
        <v>2390</v>
      </c>
      <c r="AF107" s="30" t="s">
        <v>1430</v>
      </c>
      <c r="AG107" s="221" t="s">
        <v>2391</v>
      </c>
      <c r="AH107" s="31" t="s">
        <v>2392</v>
      </c>
      <c r="AI107" s="31" t="s">
        <v>2393</v>
      </c>
      <c r="AJ107" s="221" t="s">
        <v>2394</v>
      </c>
      <c r="AK107" s="30" t="s">
        <v>2395</v>
      </c>
      <c r="AL107" s="210"/>
      <c r="AM107" s="210"/>
      <c r="AN107" s="35"/>
      <c r="AO107" s="35" t="s">
        <v>2396</v>
      </c>
      <c r="AP107" s="10">
        <f t="shared" ref="AP107:AP170" ca="1" si="5">ROUNDDOWN((TODAY() -AU107)/365.25,0)</f>
        <v>59</v>
      </c>
      <c r="AQ107" s="35"/>
      <c r="AR107" s="23"/>
      <c r="AS107" s="210"/>
      <c r="AT107" s="210"/>
      <c r="AU107" s="223">
        <v>24114</v>
      </c>
      <c r="AV107" s="31" t="s">
        <v>1389</v>
      </c>
      <c r="AW107" s="31" t="s">
        <v>68</v>
      </c>
      <c r="AX107" s="10">
        <v>8</v>
      </c>
      <c r="AY107" s="14" t="s">
        <v>2068</v>
      </c>
      <c r="AZ107" s="30" t="s">
        <v>1390</v>
      </c>
      <c r="BA107" s="23" t="s">
        <v>151</v>
      </c>
      <c r="BB107" s="30" t="s">
        <v>34</v>
      </c>
      <c r="BC107" s="22"/>
    </row>
    <row r="108" spans="1:55" x14ac:dyDescent="0.25">
      <c r="A108" s="10">
        <f t="shared" si="4"/>
        <v>107</v>
      </c>
      <c r="B108" s="10" t="s">
        <v>2397</v>
      </c>
      <c r="C108" s="30" t="s">
        <v>34</v>
      </c>
      <c r="D108" s="65">
        <v>400543</v>
      </c>
      <c r="E108" s="31" t="s">
        <v>36</v>
      </c>
      <c r="F108" s="14" t="s">
        <v>2398</v>
      </c>
      <c r="G108" s="10">
        <v>6</v>
      </c>
      <c r="H108" s="66">
        <v>0.33333333333333331</v>
      </c>
      <c r="I108" s="66">
        <v>0.875</v>
      </c>
      <c r="J108" s="68">
        <v>0.33333333333333331</v>
      </c>
      <c r="K108" s="21" t="s">
        <v>154</v>
      </c>
      <c r="L108" s="30" t="s">
        <v>2015</v>
      </c>
      <c r="M108" s="30" t="s">
        <v>1355</v>
      </c>
      <c r="N108" s="23" t="s">
        <v>1520</v>
      </c>
      <c r="O108" s="14" t="s">
        <v>2109</v>
      </c>
      <c r="P108" s="161">
        <v>44802</v>
      </c>
      <c r="Q108" s="161">
        <v>45533</v>
      </c>
      <c r="R108" s="161">
        <v>46262</v>
      </c>
      <c r="S108" s="161">
        <v>46263</v>
      </c>
      <c r="T108" s="10">
        <v>2009</v>
      </c>
      <c r="U108" s="30" t="s">
        <v>2399</v>
      </c>
      <c r="V108" s="10">
        <v>2014</v>
      </c>
      <c r="W108" s="14" t="s">
        <v>2400</v>
      </c>
      <c r="X108" s="31" t="s">
        <v>30</v>
      </c>
      <c r="Y108" s="23" t="s">
        <v>1360</v>
      </c>
      <c r="Z108" s="228">
        <v>84462</v>
      </c>
      <c r="AA108" s="253" t="s">
        <v>1560</v>
      </c>
      <c r="AB108" s="161">
        <v>44589</v>
      </c>
      <c r="AC108" s="161">
        <v>46414</v>
      </c>
      <c r="AD108" s="220">
        <v>7204979706</v>
      </c>
      <c r="AE108" s="224" t="s">
        <v>2401</v>
      </c>
      <c r="AF108" s="28" t="s">
        <v>1495</v>
      </c>
      <c r="AG108" s="221" t="s">
        <v>2402</v>
      </c>
      <c r="AH108" s="31" t="s">
        <v>2403</v>
      </c>
      <c r="AI108" s="31" t="s">
        <v>2404</v>
      </c>
      <c r="AJ108" s="221" t="s">
        <v>2405</v>
      </c>
      <c r="AK108" s="30" t="s">
        <v>2406</v>
      </c>
      <c r="AL108" s="210"/>
      <c r="AM108" s="210"/>
      <c r="AN108" s="35"/>
      <c r="AO108" s="35" t="s">
        <v>2407</v>
      </c>
      <c r="AP108" s="10">
        <f t="shared" ca="1" si="5"/>
        <v>41</v>
      </c>
      <c r="AQ108" s="35"/>
      <c r="AR108" s="23"/>
      <c r="AS108" s="210"/>
      <c r="AT108" s="210"/>
      <c r="AU108" s="223">
        <v>30873</v>
      </c>
      <c r="AV108" s="31" t="s">
        <v>1352</v>
      </c>
      <c r="AW108" s="31" t="s">
        <v>68</v>
      </c>
      <c r="AX108" s="10">
        <v>8</v>
      </c>
      <c r="AY108" s="14" t="s">
        <v>1904</v>
      </c>
      <c r="AZ108" s="30" t="s">
        <v>1373</v>
      </c>
      <c r="BA108" s="23" t="s">
        <v>151</v>
      </c>
      <c r="BB108" s="30" t="s">
        <v>34</v>
      </c>
      <c r="BC108" s="22"/>
    </row>
    <row r="109" spans="1:55" x14ac:dyDescent="0.25">
      <c r="A109" s="10">
        <f t="shared" si="4"/>
        <v>108</v>
      </c>
      <c r="B109" s="10" t="s">
        <v>2408</v>
      </c>
      <c r="C109" s="30" t="s">
        <v>34</v>
      </c>
      <c r="D109" s="65">
        <v>400544</v>
      </c>
      <c r="E109" s="31" t="s">
        <v>36</v>
      </c>
      <c r="F109" s="14" t="s">
        <v>2409</v>
      </c>
      <c r="G109" s="10">
        <v>6</v>
      </c>
      <c r="H109" s="66">
        <v>0.33333333333333331</v>
      </c>
      <c r="I109" s="66">
        <v>0.41666666666666669</v>
      </c>
      <c r="J109" s="66">
        <v>8.3333333333333329E-2</v>
      </c>
      <c r="K109" s="21" t="s">
        <v>154</v>
      </c>
      <c r="L109" s="30" t="s">
        <v>1376</v>
      </c>
      <c r="M109" s="30" t="s">
        <v>1376</v>
      </c>
      <c r="N109" s="23" t="s">
        <v>1393</v>
      </c>
      <c r="O109" s="35" t="s">
        <v>30</v>
      </c>
      <c r="P109" s="161">
        <v>44802</v>
      </c>
      <c r="Q109" s="161">
        <v>45533</v>
      </c>
      <c r="R109" s="161">
        <v>46262</v>
      </c>
      <c r="S109" s="161">
        <v>46263</v>
      </c>
      <c r="T109" s="10">
        <v>1980</v>
      </c>
      <c r="U109" s="30" t="s">
        <v>2410</v>
      </c>
      <c r="V109" s="10" t="s">
        <v>1424</v>
      </c>
      <c r="W109" s="14" t="s">
        <v>1424</v>
      </c>
      <c r="X109" s="31" t="s">
        <v>30</v>
      </c>
      <c r="Y109" s="35" t="s">
        <v>226</v>
      </c>
      <c r="Z109" s="14" t="s">
        <v>2411</v>
      </c>
      <c r="AA109" s="23" t="s">
        <v>1841</v>
      </c>
      <c r="AB109" s="161">
        <v>44214</v>
      </c>
      <c r="AC109" s="161">
        <v>46039</v>
      </c>
      <c r="AD109" s="220" t="s">
        <v>2412</v>
      </c>
      <c r="AE109" s="224" t="s">
        <v>2413</v>
      </c>
      <c r="AF109" s="30" t="s">
        <v>1805</v>
      </c>
      <c r="AG109" s="221" t="s">
        <v>2414</v>
      </c>
      <c r="AH109" s="31" t="s">
        <v>2415</v>
      </c>
      <c r="AI109" s="31" t="s">
        <v>2416</v>
      </c>
      <c r="AJ109" s="221" t="s">
        <v>2417</v>
      </c>
      <c r="AK109" s="30" t="s">
        <v>2418</v>
      </c>
      <c r="AL109" s="210"/>
      <c r="AM109" s="210"/>
      <c r="AN109" s="35"/>
      <c r="AO109" s="35" t="s">
        <v>2419</v>
      </c>
      <c r="AP109" s="10">
        <f t="shared" ca="1" si="5"/>
        <v>70</v>
      </c>
      <c r="AQ109" s="35"/>
      <c r="AR109" s="23"/>
      <c r="AS109" s="210"/>
      <c r="AT109" s="210"/>
      <c r="AU109" s="223">
        <v>20341</v>
      </c>
      <c r="AV109" s="31" t="s">
        <v>1352</v>
      </c>
      <c r="AW109" s="31" t="s">
        <v>32</v>
      </c>
      <c r="AX109" s="10">
        <v>2</v>
      </c>
      <c r="AY109" s="14" t="s">
        <v>1904</v>
      </c>
      <c r="AZ109" s="30" t="s">
        <v>1390</v>
      </c>
      <c r="BA109" s="23" t="s">
        <v>151</v>
      </c>
      <c r="BB109" s="30" t="s">
        <v>34</v>
      </c>
      <c r="BC109" s="22"/>
    </row>
    <row r="110" spans="1:55" x14ac:dyDescent="0.25">
      <c r="A110" s="10">
        <f t="shared" si="4"/>
        <v>109</v>
      </c>
      <c r="B110" s="55" t="s">
        <v>353</v>
      </c>
      <c r="C110" s="56" t="s">
        <v>34</v>
      </c>
      <c r="D110" s="78">
        <v>400547</v>
      </c>
      <c r="E110" s="54" t="s">
        <v>268</v>
      </c>
      <c r="F110" s="48" t="s">
        <v>354</v>
      </c>
      <c r="G110" s="55">
        <v>6</v>
      </c>
      <c r="H110" s="77">
        <v>0.33333333333333331</v>
      </c>
      <c r="I110" s="77">
        <v>0.66666666666666663</v>
      </c>
      <c r="J110" s="77">
        <v>0.33333333333333331</v>
      </c>
      <c r="K110" s="51" t="s">
        <v>154</v>
      </c>
      <c r="L110" s="51" t="s">
        <v>355</v>
      </c>
      <c r="M110" s="56" t="s">
        <v>26</v>
      </c>
      <c r="N110" s="52" t="s">
        <v>38</v>
      </c>
      <c r="O110" s="52" t="s">
        <v>1321</v>
      </c>
      <c r="P110" s="238">
        <v>44805</v>
      </c>
      <c r="Q110" s="238">
        <v>45536</v>
      </c>
      <c r="R110" s="238">
        <v>46265</v>
      </c>
      <c r="S110" s="238">
        <v>46266</v>
      </c>
      <c r="T110" s="55">
        <v>2017</v>
      </c>
      <c r="U110" s="56" t="s">
        <v>356</v>
      </c>
      <c r="V110" s="55">
        <v>2022</v>
      </c>
      <c r="W110" s="48" t="s">
        <v>357</v>
      </c>
      <c r="X110" s="54" t="s">
        <v>30</v>
      </c>
      <c r="Y110" s="51" t="s">
        <v>49</v>
      </c>
      <c r="Z110" s="48" t="s">
        <v>2420</v>
      </c>
      <c r="AA110" s="52" t="s">
        <v>1841</v>
      </c>
      <c r="AB110" s="238">
        <v>44792</v>
      </c>
      <c r="AC110" s="238">
        <v>46617</v>
      </c>
      <c r="AD110" s="239">
        <v>9701969011</v>
      </c>
      <c r="AE110" s="240" t="s">
        <v>358</v>
      </c>
      <c r="AF110" s="56" t="s">
        <v>1364</v>
      </c>
      <c r="AG110" s="198" t="s">
        <v>2421</v>
      </c>
      <c r="AH110" s="54" t="s">
        <v>2422</v>
      </c>
      <c r="AI110" s="54" t="s">
        <v>2423</v>
      </c>
      <c r="AJ110" s="198" t="s">
        <v>2424</v>
      </c>
      <c r="AK110" s="56" t="s">
        <v>2425</v>
      </c>
      <c r="AL110" s="199">
        <v>46001</v>
      </c>
      <c r="AM110" s="199">
        <v>45941</v>
      </c>
      <c r="AN110" s="56" t="s">
        <v>1592</v>
      </c>
      <c r="AO110" s="51" t="s">
        <v>2426</v>
      </c>
      <c r="AP110" s="55">
        <f t="shared" ca="1" si="5"/>
        <v>32</v>
      </c>
      <c r="AQ110" s="51"/>
      <c r="AR110" s="52"/>
      <c r="AS110" s="199"/>
      <c r="AT110" s="199"/>
      <c r="AU110" s="242">
        <v>34232</v>
      </c>
      <c r="AV110" s="54" t="s">
        <v>1352</v>
      </c>
      <c r="AW110" s="54" t="s">
        <v>68</v>
      </c>
      <c r="AX110" s="55">
        <v>8</v>
      </c>
      <c r="AY110" s="48" t="s">
        <v>1904</v>
      </c>
      <c r="AZ110" s="56" t="s">
        <v>26</v>
      </c>
      <c r="BA110" s="52" t="s">
        <v>151</v>
      </c>
      <c r="BB110" s="56" t="s">
        <v>34</v>
      </c>
      <c r="BC110" s="53"/>
    </row>
    <row r="111" spans="1:55" x14ac:dyDescent="0.25">
      <c r="A111" s="10">
        <f t="shared" si="4"/>
        <v>110</v>
      </c>
      <c r="B111" s="10" t="s">
        <v>359</v>
      </c>
      <c r="C111" s="30" t="s">
        <v>34</v>
      </c>
      <c r="D111" s="65">
        <v>400557</v>
      </c>
      <c r="E111" s="31" t="s">
        <v>42</v>
      </c>
      <c r="F111" s="14" t="s">
        <v>360</v>
      </c>
      <c r="G111" s="10">
        <v>6</v>
      </c>
      <c r="H111" s="66">
        <v>0.39583333333333331</v>
      </c>
      <c r="I111" s="66">
        <v>0.72916666666666663</v>
      </c>
      <c r="J111" s="66">
        <v>0.33333333333333331</v>
      </c>
      <c r="K111" s="21" t="s">
        <v>220</v>
      </c>
      <c r="L111" s="30" t="s">
        <v>361</v>
      </c>
      <c r="M111" s="30" t="s">
        <v>26</v>
      </c>
      <c r="N111" s="23" t="s">
        <v>38</v>
      </c>
      <c r="O111" s="23" t="s">
        <v>1321</v>
      </c>
      <c r="P111" s="161">
        <v>44816</v>
      </c>
      <c r="Q111" s="161">
        <v>45547</v>
      </c>
      <c r="R111" s="161">
        <v>46276</v>
      </c>
      <c r="S111" s="161">
        <v>46277</v>
      </c>
      <c r="T111" s="10">
        <v>2006</v>
      </c>
      <c r="U111" s="30" t="s">
        <v>362</v>
      </c>
      <c r="V111" s="10">
        <v>2010</v>
      </c>
      <c r="W111" s="14" t="s">
        <v>362</v>
      </c>
      <c r="X111" s="31" t="s">
        <v>2427</v>
      </c>
      <c r="Y111" s="35" t="s">
        <v>158</v>
      </c>
      <c r="Z111" s="14">
        <v>56242</v>
      </c>
      <c r="AA111" s="35" t="s">
        <v>1841</v>
      </c>
      <c r="AB111" s="161">
        <v>44859</v>
      </c>
      <c r="AC111" s="161">
        <v>46684</v>
      </c>
      <c r="AD111" s="220">
        <v>9866087897</v>
      </c>
      <c r="AE111" s="224" t="s">
        <v>363</v>
      </c>
      <c r="AF111" s="30" t="s">
        <v>1430</v>
      </c>
      <c r="AG111" s="221" t="s">
        <v>2428</v>
      </c>
      <c r="AH111" s="31" t="s">
        <v>2429</v>
      </c>
      <c r="AI111" s="31" t="s">
        <v>2430</v>
      </c>
      <c r="AJ111" s="221" t="s">
        <v>2431</v>
      </c>
      <c r="AK111" s="30" t="s">
        <v>2432</v>
      </c>
      <c r="AL111" s="210"/>
      <c r="AM111" s="210"/>
      <c r="AN111" s="35"/>
      <c r="AO111" s="35" t="s">
        <v>2433</v>
      </c>
      <c r="AP111" s="10">
        <f t="shared" ca="1" si="5"/>
        <v>43</v>
      </c>
      <c r="AQ111" s="35" t="s">
        <v>1605</v>
      </c>
      <c r="AR111" s="222" t="s">
        <v>2434</v>
      </c>
      <c r="AS111" s="234">
        <v>45943</v>
      </c>
      <c r="AT111" s="234">
        <v>47038</v>
      </c>
      <c r="AU111" s="223">
        <v>29910</v>
      </c>
      <c r="AV111" s="31" t="s">
        <v>1389</v>
      </c>
      <c r="AW111" s="31" t="s">
        <v>68</v>
      </c>
      <c r="AX111" s="10">
        <v>8</v>
      </c>
      <c r="AY111" s="14" t="s">
        <v>2006</v>
      </c>
      <c r="AZ111" s="30" t="s">
        <v>26</v>
      </c>
      <c r="BA111" s="23" t="s">
        <v>151</v>
      </c>
      <c r="BB111" s="30" t="s">
        <v>34</v>
      </c>
      <c r="BC111" s="22"/>
    </row>
    <row r="112" spans="1:55" x14ac:dyDescent="0.25">
      <c r="A112" s="10">
        <f t="shared" si="4"/>
        <v>111</v>
      </c>
      <c r="B112" s="10" t="s">
        <v>364</v>
      </c>
      <c r="C112" s="30" t="s">
        <v>34</v>
      </c>
      <c r="D112" s="65">
        <v>400957</v>
      </c>
      <c r="E112" s="31" t="s">
        <v>36</v>
      </c>
      <c r="F112" s="14" t="s">
        <v>365</v>
      </c>
      <c r="G112" s="10">
        <v>6</v>
      </c>
      <c r="H112" s="66">
        <v>0.41666666666666669</v>
      </c>
      <c r="I112" s="66">
        <v>0.75</v>
      </c>
      <c r="J112" s="66">
        <v>0.33333333333333331</v>
      </c>
      <c r="K112" s="21" t="s">
        <v>207</v>
      </c>
      <c r="L112" s="30" t="s">
        <v>366</v>
      </c>
      <c r="M112" s="30" t="s">
        <v>26</v>
      </c>
      <c r="N112" s="23" t="s">
        <v>38</v>
      </c>
      <c r="O112" s="23" t="s">
        <v>1321</v>
      </c>
      <c r="P112" s="161">
        <v>45353</v>
      </c>
      <c r="Q112" s="161">
        <v>45353</v>
      </c>
      <c r="R112" s="161">
        <v>46082</v>
      </c>
      <c r="S112" s="161">
        <v>46083</v>
      </c>
      <c r="T112" s="10">
        <v>2011</v>
      </c>
      <c r="U112" s="30" t="s">
        <v>367</v>
      </c>
      <c r="V112" s="10">
        <v>2020</v>
      </c>
      <c r="W112" s="30" t="s">
        <v>368</v>
      </c>
      <c r="X112" s="31" t="s">
        <v>30</v>
      </c>
      <c r="Y112" s="35" t="s">
        <v>49</v>
      </c>
      <c r="Z112" s="14">
        <v>71940</v>
      </c>
      <c r="AA112" s="35" t="s">
        <v>1886</v>
      </c>
      <c r="AB112" s="161">
        <v>44425</v>
      </c>
      <c r="AC112" s="161">
        <v>46250</v>
      </c>
      <c r="AD112" s="220">
        <v>9949730889</v>
      </c>
      <c r="AE112" s="224" t="s">
        <v>369</v>
      </c>
      <c r="AF112" s="30" t="s">
        <v>1430</v>
      </c>
      <c r="AG112" s="221" t="s">
        <v>2435</v>
      </c>
      <c r="AH112" s="31" t="s">
        <v>2436</v>
      </c>
      <c r="AI112" s="31" t="s">
        <v>2437</v>
      </c>
      <c r="AJ112" s="221" t="s">
        <v>2438</v>
      </c>
      <c r="AK112" s="30" t="e">
        <f>VLOOKUP(D112,[1]Sheet1!#REF!,6,0)</f>
        <v>#REF!</v>
      </c>
      <c r="AL112" s="210"/>
      <c r="AM112" s="210"/>
      <c r="AN112" s="35"/>
      <c r="AO112" s="35" t="s">
        <v>2439</v>
      </c>
      <c r="AP112" s="10">
        <f t="shared" ca="1" si="5"/>
        <v>37</v>
      </c>
      <c r="AQ112" s="30"/>
      <c r="AR112" s="14" t="s">
        <v>2440</v>
      </c>
      <c r="AS112" s="210">
        <v>45353</v>
      </c>
      <c r="AT112" s="210">
        <v>45717</v>
      </c>
      <c r="AU112" s="223">
        <v>32280</v>
      </c>
      <c r="AV112" s="31" t="s">
        <v>1389</v>
      </c>
      <c r="AW112" s="31" t="s">
        <v>68</v>
      </c>
      <c r="AX112" s="10">
        <v>8</v>
      </c>
      <c r="AY112" s="14" t="s">
        <v>1920</v>
      </c>
      <c r="AZ112" s="30" t="s">
        <v>26</v>
      </c>
      <c r="BA112" s="23" t="s">
        <v>151</v>
      </c>
      <c r="BB112" s="30" t="s">
        <v>34</v>
      </c>
      <c r="BC112" s="22"/>
    </row>
    <row r="113" spans="1:55" x14ac:dyDescent="0.25">
      <c r="A113" s="10">
        <f t="shared" si="4"/>
        <v>112</v>
      </c>
      <c r="B113" s="25" t="s">
        <v>370</v>
      </c>
      <c r="C113" s="30" t="s">
        <v>34</v>
      </c>
      <c r="D113" s="71">
        <v>401186</v>
      </c>
      <c r="E113" s="25" t="s">
        <v>192</v>
      </c>
      <c r="F113" s="14" t="s">
        <v>371</v>
      </c>
      <c r="G113" s="25"/>
      <c r="H113" s="74"/>
      <c r="I113" s="74"/>
      <c r="J113" s="74"/>
      <c r="K113" s="21" t="s">
        <v>334</v>
      </c>
      <c r="L113" s="75" t="s">
        <v>372</v>
      </c>
      <c r="M113" s="75" t="s">
        <v>26</v>
      </c>
      <c r="N113" s="23" t="s">
        <v>38</v>
      </c>
      <c r="O113" s="23" t="s">
        <v>1321</v>
      </c>
      <c r="P113" s="246">
        <v>45726</v>
      </c>
      <c r="Q113" s="246">
        <v>45726</v>
      </c>
      <c r="R113" s="246">
        <v>46455</v>
      </c>
      <c r="S113" s="246">
        <v>46456</v>
      </c>
      <c r="T113" s="25">
        <v>1996</v>
      </c>
      <c r="U113" s="75" t="s">
        <v>373</v>
      </c>
      <c r="V113" s="25">
        <v>2002</v>
      </c>
      <c r="W113" s="38" t="s">
        <v>374</v>
      </c>
      <c r="X113" s="72" t="s">
        <v>30</v>
      </c>
      <c r="Y113" s="38" t="s">
        <v>49</v>
      </c>
      <c r="Z113" s="254">
        <v>53937</v>
      </c>
      <c r="AA113" s="38" t="s">
        <v>1323</v>
      </c>
      <c r="AB113" s="161">
        <v>44562</v>
      </c>
      <c r="AC113" s="161">
        <v>46387</v>
      </c>
      <c r="AD113" s="25">
        <v>9830331880</v>
      </c>
      <c r="AE113" s="255" t="s">
        <v>375</v>
      </c>
      <c r="AF113" s="30" t="s">
        <v>1430</v>
      </c>
      <c r="AG113" s="256" t="s">
        <v>2441</v>
      </c>
      <c r="AH113" s="72" t="s">
        <v>2442</v>
      </c>
      <c r="AI113" s="72" t="s">
        <v>2443</v>
      </c>
      <c r="AJ113" s="249" t="s">
        <v>2444</v>
      </c>
      <c r="AK113" s="75" t="s">
        <v>2445</v>
      </c>
      <c r="AL113" s="250"/>
      <c r="AM113" s="250"/>
      <c r="AN113" s="38"/>
      <c r="AO113" s="38" t="s">
        <v>2446</v>
      </c>
      <c r="AP113" s="25">
        <f t="shared" ca="1" si="5"/>
        <v>53</v>
      </c>
      <c r="AQ113" s="253" t="s">
        <v>2156</v>
      </c>
      <c r="AR113" s="257" t="s">
        <v>2447</v>
      </c>
      <c r="AS113" s="244">
        <v>45367</v>
      </c>
      <c r="AT113" s="244">
        <v>45731</v>
      </c>
      <c r="AU113" s="252">
        <v>26616</v>
      </c>
      <c r="AV113" s="72" t="s">
        <v>1389</v>
      </c>
      <c r="AW113" s="31" t="s">
        <v>32</v>
      </c>
      <c r="AX113" s="10" t="s">
        <v>30</v>
      </c>
      <c r="AY113" s="76" t="s">
        <v>30</v>
      </c>
      <c r="AZ113" s="30" t="s">
        <v>26</v>
      </c>
      <c r="BA113" s="23" t="s">
        <v>151</v>
      </c>
      <c r="BB113" s="30" t="s">
        <v>34</v>
      </c>
      <c r="BC113" s="22"/>
    </row>
    <row r="114" spans="1:55" x14ac:dyDescent="0.25">
      <c r="A114" s="10">
        <f t="shared" si="4"/>
        <v>113</v>
      </c>
      <c r="B114" s="10" t="s">
        <v>2448</v>
      </c>
      <c r="C114" s="30" t="s">
        <v>34</v>
      </c>
      <c r="D114" s="65">
        <v>400572</v>
      </c>
      <c r="E114" s="31" t="s">
        <v>36</v>
      </c>
      <c r="F114" s="14" t="s">
        <v>2449</v>
      </c>
      <c r="G114" s="10">
        <v>6</v>
      </c>
      <c r="H114" s="66">
        <v>0.70833333333333337</v>
      </c>
      <c r="I114" s="66">
        <v>0.875</v>
      </c>
      <c r="J114" s="66">
        <v>0.16666666666666666</v>
      </c>
      <c r="K114" s="21" t="s">
        <v>348</v>
      </c>
      <c r="L114" s="30" t="s">
        <v>2097</v>
      </c>
      <c r="M114" s="30" t="s">
        <v>2097</v>
      </c>
      <c r="N114" s="23" t="s">
        <v>2098</v>
      </c>
      <c r="O114" s="14" t="s">
        <v>2203</v>
      </c>
      <c r="P114" s="161">
        <v>44851</v>
      </c>
      <c r="Q114" s="161">
        <v>45582</v>
      </c>
      <c r="R114" s="161">
        <v>46311</v>
      </c>
      <c r="S114" s="161">
        <v>46312</v>
      </c>
      <c r="T114" s="10">
        <v>2013</v>
      </c>
      <c r="U114" s="30" t="s">
        <v>2450</v>
      </c>
      <c r="V114" s="10">
        <v>2017</v>
      </c>
      <c r="W114" s="14" t="s">
        <v>2451</v>
      </c>
      <c r="X114" s="31" t="s">
        <v>30</v>
      </c>
      <c r="Y114" s="35" t="s">
        <v>2099</v>
      </c>
      <c r="Z114" s="14" t="s">
        <v>2452</v>
      </c>
      <c r="AA114" s="23" t="s">
        <v>1841</v>
      </c>
      <c r="AB114" s="161">
        <v>45117</v>
      </c>
      <c r="AC114" s="161">
        <v>46943</v>
      </c>
      <c r="AD114" s="220" t="s">
        <v>2453</v>
      </c>
      <c r="AE114" s="224" t="s">
        <v>2454</v>
      </c>
      <c r="AF114" s="30" t="s">
        <v>1364</v>
      </c>
      <c r="AG114" s="221" t="s">
        <v>2455</v>
      </c>
      <c r="AH114" s="31" t="s">
        <v>2456</v>
      </c>
      <c r="AI114" s="31" t="s">
        <v>2457</v>
      </c>
      <c r="AJ114" s="221" t="s">
        <v>2458</v>
      </c>
      <c r="AK114" s="30" t="s">
        <v>2459</v>
      </c>
      <c r="AL114" s="210"/>
      <c r="AM114" s="210"/>
      <c r="AN114" s="35"/>
      <c r="AO114" s="35" t="s">
        <v>2460</v>
      </c>
      <c r="AP114" s="10">
        <f t="shared" ca="1" si="5"/>
        <v>36</v>
      </c>
      <c r="AQ114" s="35"/>
      <c r="AR114" s="23"/>
      <c r="AS114" s="210"/>
      <c r="AT114" s="210"/>
      <c r="AU114" s="223">
        <v>32674</v>
      </c>
      <c r="AV114" s="31" t="s">
        <v>1352</v>
      </c>
      <c r="AW114" s="31" t="s">
        <v>32</v>
      </c>
      <c r="AX114" s="10">
        <v>4</v>
      </c>
      <c r="AY114" s="14" t="s">
        <v>2053</v>
      </c>
      <c r="AZ114" s="30" t="s">
        <v>1373</v>
      </c>
      <c r="BA114" s="23" t="s">
        <v>151</v>
      </c>
      <c r="BB114" s="30" t="s">
        <v>34</v>
      </c>
      <c r="BC114" s="22"/>
    </row>
    <row r="115" spans="1:55" x14ac:dyDescent="0.25">
      <c r="A115" s="10">
        <f t="shared" si="4"/>
        <v>114</v>
      </c>
      <c r="B115" s="10" t="s">
        <v>376</v>
      </c>
      <c r="C115" s="30" t="s">
        <v>34</v>
      </c>
      <c r="D115" s="65">
        <v>401066</v>
      </c>
      <c r="E115" s="31" t="s">
        <v>36</v>
      </c>
      <c r="F115" s="14" t="s">
        <v>377</v>
      </c>
      <c r="G115" s="10">
        <v>6</v>
      </c>
      <c r="H115" s="66">
        <v>0.72916666666666663</v>
      </c>
      <c r="I115" s="66">
        <v>0.8125</v>
      </c>
      <c r="J115" s="66">
        <v>8.3333333333333329E-2</v>
      </c>
      <c r="K115" s="21" t="s">
        <v>378</v>
      </c>
      <c r="L115" s="30" t="s">
        <v>379</v>
      </c>
      <c r="M115" s="30" t="s">
        <v>26</v>
      </c>
      <c r="N115" s="23" t="s">
        <v>38</v>
      </c>
      <c r="O115" s="23" t="s">
        <v>1321</v>
      </c>
      <c r="P115" s="258">
        <v>45540</v>
      </c>
      <c r="Q115" s="161">
        <v>45540</v>
      </c>
      <c r="R115" s="161">
        <v>46269</v>
      </c>
      <c r="S115" s="161">
        <v>46270</v>
      </c>
      <c r="T115" s="79">
        <v>2016</v>
      </c>
      <c r="U115" s="30" t="s">
        <v>380</v>
      </c>
      <c r="V115" s="10">
        <v>2022</v>
      </c>
      <c r="W115" s="35" t="s">
        <v>196</v>
      </c>
      <c r="X115" s="31" t="s">
        <v>30</v>
      </c>
      <c r="Y115" s="35" t="s">
        <v>49</v>
      </c>
      <c r="Z115" s="14" t="s">
        <v>2461</v>
      </c>
      <c r="AA115" s="23" t="s">
        <v>1841</v>
      </c>
      <c r="AB115" s="161">
        <v>44954</v>
      </c>
      <c r="AC115" s="161">
        <v>46779</v>
      </c>
      <c r="AD115" s="220">
        <v>7416729939</v>
      </c>
      <c r="AE115" s="227" t="s">
        <v>381</v>
      </c>
      <c r="AF115" s="30" t="s">
        <v>1410</v>
      </c>
      <c r="AG115" s="221" t="s">
        <v>2462</v>
      </c>
      <c r="AH115" s="31" t="s">
        <v>2463</v>
      </c>
      <c r="AI115" s="31" t="s">
        <v>2464</v>
      </c>
      <c r="AJ115" s="221" t="s">
        <v>2465</v>
      </c>
      <c r="AK115" s="30" t="s">
        <v>2466</v>
      </c>
      <c r="AL115" s="210"/>
      <c r="AM115" s="210"/>
      <c r="AN115" s="35"/>
      <c r="AO115" s="35" t="s">
        <v>2467</v>
      </c>
      <c r="AP115" s="10">
        <f t="shared" ca="1" si="5"/>
        <v>31</v>
      </c>
      <c r="AQ115" s="30" t="s">
        <v>1605</v>
      </c>
      <c r="AR115" s="232" t="s">
        <v>2468</v>
      </c>
      <c r="AS115" s="176">
        <v>45703</v>
      </c>
      <c r="AT115" s="176">
        <v>46067</v>
      </c>
      <c r="AU115" s="223">
        <v>34449</v>
      </c>
      <c r="AV115" s="31" t="s">
        <v>1352</v>
      </c>
      <c r="AW115" s="31" t="s">
        <v>32</v>
      </c>
      <c r="AX115" s="10">
        <v>2</v>
      </c>
      <c r="AY115" s="14" t="s">
        <v>2469</v>
      </c>
      <c r="AZ115" s="30" t="s">
        <v>26</v>
      </c>
      <c r="BA115" s="23" t="s">
        <v>151</v>
      </c>
      <c r="BB115" s="30" t="s">
        <v>34</v>
      </c>
      <c r="BC115" s="22"/>
    </row>
    <row r="116" spans="1:55" x14ac:dyDescent="0.25">
      <c r="A116" s="10">
        <f t="shared" si="4"/>
        <v>115</v>
      </c>
      <c r="B116" s="10" t="s">
        <v>382</v>
      </c>
      <c r="C116" s="30" t="s">
        <v>34</v>
      </c>
      <c r="D116" s="65">
        <v>400594</v>
      </c>
      <c r="E116" s="31" t="s">
        <v>268</v>
      </c>
      <c r="F116" s="14" t="s">
        <v>383</v>
      </c>
      <c r="G116" s="10">
        <v>6</v>
      </c>
      <c r="H116" s="66">
        <v>0.375</v>
      </c>
      <c r="I116" s="66">
        <v>0.54166666666666663</v>
      </c>
      <c r="J116" s="66">
        <v>0.16666666666666666</v>
      </c>
      <c r="K116" s="21" t="s">
        <v>384</v>
      </c>
      <c r="L116" s="30" t="s">
        <v>385</v>
      </c>
      <c r="M116" s="30" t="s">
        <v>26</v>
      </c>
      <c r="N116" s="23" t="s">
        <v>38</v>
      </c>
      <c r="O116" s="23" t="s">
        <v>1321</v>
      </c>
      <c r="P116" s="161">
        <v>44879</v>
      </c>
      <c r="Q116" s="161">
        <v>45617</v>
      </c>
      <c r="R116" s="161">
        <v>46346</v>
      </c>
      <c r="S116" s="161">
        <v>46347</v>
      </c>
      <c r="T116" s="10">
        <v>2013</v>
      </c>
      <c r="U116" s="30" t="s">
        <v>386</v>
      </c>
      <c r="V116" s="10">
        <v>2020</v>
      </c>
      <c r="W116" s="14" t="s">
        <v>387</v>
      </c>
      <c r="X116" s="31" t="s">
        <v>30</v>
      </c>
      <c r="Y116" s="23" t="s">
        <v>66</v>
      </c>
      <c r="Z116" s="14" t="s">
        <v>2470</v>
      </c>
      <c r="AA116" s="23" t="s">
        <v>1841</v>
      </c>
      <c r="AB116" s="161">
        <v>44464</v>
      </c>
      <c r="AC116" s="161">
        <v>46289</v>
      </c>
      <c r="AD116" s="220">
        <v>8328262412</v>
      </c>
      <c r="AE116" s="224" t="s">
        <v>388</v>
      </c>
      <c r="AF116" s="30" t="s">
        <v>1364</v>
      </c>
      <c r="AG116" s="221" t="s">
        <v>2471</v>
      </c>
      <c r="AH116" s="31" t="s">
        <v>2472</v>
      </c>
      <c r="AI116" s="31" t="s">
        <v>2473</v>
      </c>
      <c r="AJ116" s="221" t="s">
        <v>2474</v>
      </c>
      <c r="AK116" s="30" t="s">
        <v>2475</v>
      </c>
      <c r="AL116" s="210"/>
      <c r="AM116" s="210"/>
      <c r="AN116" s="35"/>
      <c r="AO116" s="35" t="s">
        <v>2476</v>
      </c>
      <c r="AP116" s="10">
        <f t="shared" ca="1" si="5"/>
        <v>35</v>
      </c>
      <c r="AQ116" s="35" t="s">
        <v>1605</v>
      </c>
      <c r="AR116" s="222" t="s">
        <v>2477</v>
      </c>
      <c r="AS116" s="166">
        <v>45906</v>
      </c>
      <c r="AT116" s="166">
        <v>46270</v>
      </c>
      <c r="AU116" s="223">
        <v>32885</v>
      </c>
      <c r="AV116" s="31" t="s">
        <v>1389</v>
      </c>
      <c r="AW116" s="31" t="s">
        <v>32</v>
      </c>
      <c r="AX116" s="10">
        <v>4</v>
      </c>
      <c r="AY116" s="14" t="s">
        <v>1959</v>
      </c>
      <c r="AZ116" s="30" t="s">
        <v>26</v>
      </c>
      <c r="BA116" s="23" t="s">
        <v>151</v>
      </c>
      <c r="BB116" s="30" t="s">
        <v>34</v>
      </c>
      <c r="BC116" s="22"/>
    </row>
    <row r="117" spans="1:55" x14ac:dyDescent="0.25">
      <c r="A117" s="10">
        <f t="shared" si="4"/>
        <v>116</v>
      </c>
      <c r="B117" s="10" t="s">
        <v>2478</v>
      </c>
      <c r="C117" s="30" t="s">
        <v>34</v>
      </c>
      <c r="D117" s="65">
        <v>400595</v>
      </c>
      <c r="E117" s="31" t="s">
        <v>36</v>
      </c>
      <c r="F117" s="14" t="s">
        <v>2479</v>
      </c>
      <c r="G117" s="10">
        <v>6</v>
      </c>
      <c r="H117" s="66">
        <v>0.5</v>
      </c>
      <c r="I117" s="66">
        <v>0.70833333333333337</v>
      </c>
      <c r="J117" s="66">
        <v>0.20833333333333334</v>
      </c>
      <c r="K117" s="21" t="s">
        <v>255</v>
      </c>
      <c r="L117" s="30" t="s">
        <v>2480</v>
      </c>
      <c r="M117" s="30" t="s">
        <v>1908</v>
      </c>
      <c r="N117" s="23" t="s">
        <v>2481</v>
      </c>
      <c r="O117" s="30" t="s">
        <v>2482</v>
      </c>
      <c r="P117" s="161">
        <v>44879</v>
      </c>
      <c r="Q117" s="161">
        <v>45839</v>
      </c>
      <c r="R117" s="161">
        <v>46568</v>
      </c>
      <c r="S117" s="161">
        <v>46569</v>
      </c>
      <c r="T117" s="10">
        <v>1991</v>
      </c>
      <c r="U117" s="30" t="s">
        <v>2483</v>
      </c>
      <c r="V117" s="10">
        <v>1998</v>
      </c>
      <c r="W117" s="14" t="s">
        <v>2484</v>
      </c>
      <c r="X117" s="31" t="s">
        <v>2485</v>
      </c>
      <c r="Y117" s="35" t="s">
        <v>2486</v>
      </c>
      <c r="Z117" s="14" t="s">
        <v>2487</v>
      </c>
      <c r="AA117" s="23" t="s">
        <v>1841</v>
      </c>
      <c r="AB117" s="161">
        <v>44847</v>
      </c>
      <c r="AC117" s="161">
        <v>46672</v>
      </c>
      <c r="AD117" s="220">
        <v>7013300820</v>
      </c>
      <c r="AE117" s="224" t="s">
        <v>2488</v>
      </c>
      <c r="AF117" s="30" t="s">
        <v>1430</v>
      </c>
      <c r="AG117" s="221" t="s">
        <v>2489</v>
      </c>
      <c r="AH117" s="31" t="s">
        <v>2490</v>
      </c>
      <c r="AI117" s="31" t="s">
        <v>2491</v>
      </c>
      <c r="AJ117" s="221" t="s">
        <v>2492</v>
      </c>
      <c r="AK117" s="30" t="s">
        <v>2493</v>
      </c>
      <c r="AL117" s="210"/>
      <c r="AM117" s="210"/>
      <c r="AN117" s="35"/>
      <c r="AO117" s="35" t="s">
        <v>2494</v>
      </c>
      <c r="AP117" s="10">
        <f t="shared" ca="1" si="5"/>
        <v>58</v>
      </c>
      <c r="AQ117" s="22" t="s">
        <v>1966</v>
      </c>
      <c r="AR117" s="233" t="s">
        <v>2495</v>
      </c>
      <c r="AS117" s="166">
        <v>45924</v>
      </c>
      <c r="AT117" s="166">
        <v>46288</v>
      </c>
      <c r="AU117" s="223">
        <v>24460</v>
      </c>
      <c r="AV117" s="31" t="s">
        <v>1389</v>
      </c>
      <c r="AW117" s="31" t="s">
        <v>32</v>
      </c>
      <c r="AX117" s="10">
        <v>5</v>
      </c>
      <c r="AY117" s="14" t="s">
        <v>2068</v>
      </c>
      <c r="AZ117" s="30" t="s">
        <v>1908</v>
      </c>
      <c r="BA117" s="23" t="s">
        <v>151</v>
      </c>
      <c r="BB117" s="30" t="s">
        <v>34</v>
      </c>
      <c r="BC117" s="22"/>
    </row>
    <row r="118" spans="1:55" x14ac:dyDescent="0.25">
      <c r="A118" s="10">
        <f t="shared" si="4"/>
        <v>117</v>
      </c>
      <c r="B118" s="10" t="s">
        <v>389</v>
      </c>
      <c r="C118" s="30" t="s">
        <v>34</v>
      </c>
      <c r="D118" s="65">
        <v>400596</v>
      </c>
      <c r="E118" s="31" t="s">
        <v>42</v>
      </c>
      <c r="F118" s="14" t="s">
        <v>390</v>
      </c>
      <c r="G118" s="10">
        <v>6</v>
      </c>
      <c r="H118" s="66">
        <v>0.58333333333333337</v>
      </c>
      <c r="I118" s="66">
        <v>0.91666666666666663</v>
      </c>
      <c r="J118" s="66">
        <v>0.33333333333333331</v>
      </c>
      <c r="K118" s="21" t="s">
        <v>147</v>
      </c>
      <c r="L118" s="30" t="s">
        <v>391</v>
      </c>
      <c r="M118" s="30" t="s">
        <v>26</v>
      </c>
      <c r="N118" s="23" t="s">
        <v>38</v>
      </c>
      <c r="O118" s="23" t="s">
        <v>1321</v>
      </c>
      <c r="P118" s="161">
        <v>44880</v>
      </c>
      <c r="Q118" s="161">
        <v>45597</v>
      </c>
      <c r="R118" s="161">
        <v>46326</v>
      </c>
      <c r="S118" s="161">
        <v>46327</v>
      </c>
      <c r="T118" s="10">
        <v>2013</v>
      </c>
      <c r="U118" s="30" t="s">
        <v>392</v>
      </c>
      <c r="V118" s="10">
        <v>2017</v>
      </c>
      <c r="W118" s="14" t="s">
        <v>393</v>
      </c>
      <c r="X118" s="31" t="s">
        <v>2496</v>
      </c>
      <c r="Y118" s="35" t="s">
        <v>394</v>
      </c>
      <c r="Z118" s="14" t="s">
        <v>2497</v>
      </c>
      <c r="AA118" s="23" t="s">
        <v>1841</v>
      </c>
      <c r="AB118" s="161">
        <v>45335</v>
      </c>
      <c r="AC118" s="161">
        <v>47161</v>
      </c>
      <c r="AD118" s="220">
        <v>9652968752</v>
      </c>
      <c r="AE118" s="224" t="s">
        <v>395</v>
      </c>
      <c r="AF118" s="30" t="s">
        <v>1430</v>
      </c>
      <c r="AG118" s="221" t="s">
        <v>2498</v>
      </c>
      <c r="AH118" s="31" t="s">
        <v>2499</v>
      </c>
      <c r="AI118" s="31" t="s">
        <v>2500</v>
      </c>
      <c r="AJ118" s="221" t="s">
        <v>2501</v>
      </c>
      <c r="AK118" s="30" t="s">
        <v>2502</v>
      </c>
      <c r="AL118" s="210"/>
      <c r="AM118" s="210"/>
      <c r="AN118" s="35"/>
      <c r="AO118" s="35" t="s">
        <v>2503</v>
      </c>
      <c r="AP118" s="10">
        <f t="shared" ca="1" si="5"/>
        <v>35</v>
      </c>
      <c r="AQ118" s="192" t="s">
        <v>1677</v>
      </c>
      <c r="AR118" s="222" t="s">
        <v>2504</v>
      </c>
      <c r="AS118" s="166">
        <v>45618</v>
      </c>
      <c r="AT118" s="166">
        <v>45982</v>
      </c>
      <c r="AU118" s="223">
        <v>33029</v>
      </c>
      <c r="AV118" s="31" t="s">
        <v>1352</v>
      </c>
      <c r="AW118" s="31" t="s">
        <v>68</v>
      </c>
      <c r="AX118" s="10">
        <v>8</v>
      </c>
      <c r="AY118" s="14" t="s">
        <v>1849</v>
      </c>
      <c r="AZ118" s="30" t="s">
        <v>26</v>
      </c>
      <c r="BA118" s="23" t="s">
        <v>151</v>
      </c>
      <c r="BB118" s="30" t="s">
        <v>34</v>
      </c>
      <c r="BC118" s="22"/>
    </row>
    <row r="119" spans="1:55" x14ac:dyDescent="0.25">
      <c r="A119" s="10">
        <f t="shared" si="4"/>
        <v>118</v>
      </c>
      <c r="B119" s="10" t="s">
        <v>2505</v>
      </c>
      <c r="C119" s="30" t="s">
        <v>34</v>
      </c>
      <c r="D119" s="65">
        <v>400602</v>
      </c>
      <c r="E119" s="31" t="s">
        <v>268</v>
      </c>
      <c r="F119" s="14" t="s">
        <v>2506</v>
      </c>
      <c r="G119" s="10">
        <v>6</v>
      </c>
      <c r="H119" s="66">
        <v>0.33333333333333331</v>
      </c>
      <c r="I119" s="66">
        <v>0.66666666666666663</v>
      </c>
      <c r="J119" s="66">
        <v>0.33333333333333331</v>
      </c>
      <c r="K119" s="21" t="s">
        <v>147</v>
      </c>
      <c r="L119" s="30" t="s">
        <v>2507</v>
      </c>
      <c r="M119" s="30" t="s">
        <v>1908</v>
      </c>
      <c r="N119" s="23" t="s">
        <v>1909</v>
      </c>
      <c r="O119" s="30" t="s">
        <v>2482</v>
      </c>
      <c r="P119" s="161">
        <v>44896</v>
      </c>
      <c r="Q119" s="161">
        <v>45627</v>
      </c>
      <c r="R119" s="161">
        <v>46356</v>
      </c>
      <c r="S119" s="161">
        <v>46357</v>
      </c>
      <c r="T119" s="10">
        <v>2005</v>
      </c>
      <c r="U119" s="30" t="s">
        <v>2508</v>
      </c>
      <c r="V119" s="10">
        <v>2013</v>
      </c>
      <c r="W119" s="14" t="s">
        <v>2509</v>
      </c>
      <c r="X119" s="31" t="s">
        <v>30</v>
      </c>
      <c r="Y119" s="35" t="s">
        <v>2510</v>
      </c>
      <c r="Z119" s="14">
        <v>56530</v>
      </c>
      <c r="AA119" s="23" t="s">
        <v>1841</v>
      </c>
      <c r="AB119" s="161">
        <v>44618</v>
      </c>
      <c r="AC119" s="161">
        <v>46443</v>
      </c>
      <c r="AD119" s="220">
        <v>9849950522</v>
      </c>
      <c r="AE119" s="224" t="s">
        <v>2511</v>
      </c>
      <c r="AF119" s="30" t="s">
        <v>1430</v>
      </c>
      <c r="AG119" s="221" t="s">
        <v>2512</v>
      </c>
      <c r="AH119" s="31" t="s">
        <v>2027</v>
      </c>
      <c r="AI119" s="31" t="s">
        <v>2513</v>
      </c>
      <c r="AJ119" s="221" t="s">
        <v>2514</v>
      </c>
      <c r="AK119" s="30" t="s">
        <v>2515</v>
      </c>
      <c r="AL119" s="210"/>
      <c r="AM119" s="210"/>
      <c r="AN119" s="35"/>
      <c r="AO119" s="35" t="s">
        <v>2516</v>
      </c>
      <c r="AP119" s="10">
        <f t="shared" ca="1" si="5"/>
        <v>43</v>
      </c>
      <c r="AQ119" s="35" t="s">
        <v>1879</v>
      </c>
      <c r="AR119" s="222" t="s">
        <v>2517</v>
      </c>
      <c r="AS119" s="187">
        <v>45675</v>
      </c>
      <c r="AT119" s="187">
        <v>46039</v>
      </c>
      <c r="AU119" s="223">
        <v>30196</v>
      </c>
      <c r="AV119" s="31" t="s">
        <v>1352</v>
      </c>
      <c r="AW119" s="31" t="s">
        <v>68</v>
      </c>
      <c r="AX119" s="10">
        <v>8</v>
      </c>
      <c r="AY119" s="14" t="s">
        <v>1849</v>
      </c>
      <c r="AZ119" s="30" t="s">
        <v>1908</v>
      </c>
      <c r="BA119" s="23" t="s">
        <v>151</v>
      </c>
      <c r="BB119" s="30" t="s">
        <v>34</v>
      </c>
      <c r="BC119" s="22"/>
    </row>
    <row r="120" spans="1:55" x14ac:dyDescent="0.25">
      <c r="A120" s="10">
        <f t="shared" si="4"/>
        <v>119</v>
      </c>
      <c r="B120" s="10" t="s">
        <v>396</v>
      </c>
      <c r="C120" s="30" t="s">
        <v>34</v>
      </c>
      <c r="D120" s="65">
        <v>400611</v>
      </c>
      <c r="E120" s="31" t="s">
        <v>36</v>
      </c>
      <c r="F120" s="14" t="s">
        <v>397</v>
      </c>
      <c r="G120" s="10">
        <v>6</v>
      </c>
      <c r="H120" s="66">
        <v>0.375</v>
      </c>
      <c r="I120" s="66">
        <v>0.58333333333333337</v>
      </c>
      <c r="J120" s="66">
        <v>0.20833333333333334</v>
      </c>
      <c r="K120" s="21" t="s">
        <v>348</v>
      </c>
      <c r="L120" s="30" t="s">
        <v>398</v>
      </c>
      <c r="M120" s="30" t="s">
        <v>26</v>
      </c>
      <c r="N120" s="23" t="s">
        <v>38</v>
      </c>
      <c r="O120" s="23" t="s">
        <v>1321</v>
      </c>
      <c r="P120" s="161">
        <v>44916</v>
      </c>
      <c r="Q120" s="161">
        <v>45839</v>
      </c>
      <c r="R120" s="161">
        <v>46568</v>
      </c>
      <c r="S120" s="161">
        <v>46569</v>
      </c>
      <c r="T120" s="10">
        <v>2014</v>
      </c>
      <c r="U120" s="30" t="s">
        <v>399</v>
      </c>
      <c r="V120" s="10">
        <v>2019</v>
      </c>
      <c r="W120" s="14" t="s">
        <v>400</v>
      </c>
      <c r="X120" s="31" t="s">
        <v>30</v>
      </c>
      <c r="Y120" s="35" t="s">
        <v>49</v>
      </c>
      <c r="Z120" s="14" t="s">
        <v>2518</v>
      </c>
      <c r="AA120" s="23" t="s">
        <v>1841</v>
      </c>
      <c r="AB120" s="161">
        <v>44305</v>
      </c>
      <c r="AC120" s="161">
        <v>46130</v>
      </c>
      <c r="AD120" s="220">
        <v>8801811242</v>
      </c>
      <c r="AE120" s="224" t="s">
        <v>401</v>
      </c>
      <c r="AF120" s="30" t="s">
        <v>1805</v>
      </c>
      <c r="AG120" s="221" t="s">
        <v>2519</v>
      </c>
      <c r="AH120" s="31" t="s">
        <v>2520</v>
      </c>
      <c r="AI120" s="31" t="s">
        <v>2521</v>
      </c>
      <c r="AJ120" s="221" t="s">
        <v>2522</v>
      </c>
      <c r="AK120" s="30" t="s">
        <v>2523</v>
      </c>
      <c r="AL120" s="210"/>
      <c r="AM120" s="210"/>
      <c r="AN120" s="35"/>
      <c r="AO120" s="35" t="s">
        <v>2524</v>
      </c>
      <c r="AP120" s="10">
        <f t="shared" ca="1" si="5"/>
        <v>34</v>
      </c>
      <c r="AQ120" s="35" t="s">
        <v>1605</v>
      </c>
      <c r="AR120" s="222" t="s">
        <v>2525</v>
      </c>
      <c r="AS120" s="166">
        <v>45642</v>
      </c>
      <c r="AT120" s="166">
        <v>46006</v>
      </c>
      <c r="AU120" s="223">
        <v>33294</v>
      </c>
      <c r="AV120" s="31" t="s">
        <v>1389</v>
      </c>
      <c r="AW120" s="31" t="s">
        <v>32</v>
      </c>
      <c r="AX120" s="10">
        <v>5</v>
      </c>
      <c r="AY120" s="14" t="s">
        <v>2053</v>
      </c>
      <c r="AZ120" s="30" t="s">
        <v>26</v>
      </c>
      <c r="BA120" s="23" t="s">
        <v>151</v>
      </c>
      <c r="BB120" s="30" t="s">
        <v>34</v>
      </c>
      <c r="BC120" s="22"/>
    </row>
    <row r="121" spans="1:55" x14ac:dyDescent="0.25">
      <c r="A121" s="10">
        <f t="shared" si="4"/>
        <v>120</v>
      </c>
      <c r="B121" s="10" t="s">
        <v>2526</v>
      </c>
      <c r="C121" s="30" t="s">
        <v>34</v>
      </c>
      <c r="D121" s="65">
        <v>400613</v>
      </c>
      <c r="E121" s="31" t="s">
        <v>36</v>
      </c>
      <c r="F121" s="14" t="s">
        <v>2527</v>
      </c>
      <c r="G121" s="10">
        <v>6</v>
      </c>
      <c r="H121" s="66">
        <v>0.39583333333333331</v>
      </c>
      <c r="I121" s="66">
        <v>0.4375</v>
      </c>
      <c r="J121" s="66">
        <v>4.1666666666666664E-2</v>
      </c>
      <c r="K121" s="21" t="s">
        <v>1266</v>
      </c>
      <c r="L121" s="30" t="s">
        <v>1376</v>
      </c>
      <c r="M121" s="30" t="s">
        <v>1376</v>
      </c>
      <c r="N121" s="23" t="s">
        <v>1393</v>
      </c>
      <c r="O121" s="35" t="s">
        <v>30</v>
      </c>
      <c r="P121" s="161">
        <v>44928</v>
      </c>
      <c r="Q121" s="183">
        <v>45658</v>
      </c>
      <c r="R121" s="183">
        <v>46387</v>
      </c>
      <c r="S121" s="183">
        <v>46388</v>
      </c>
      <c r="T121" s="10">
        <v>1994</v>
      </c>
      <c r="U121" s="30" t="s">
        <v>2528</v>
      </c>
      <c r="V121" s="10" t="s">
        <v>1424</v>
      </c>
      <c r="W121" s="14" t="s">
        <v>1424</v>
      </c>
      <c r="X121" s="31" t="s">
        <v>30</v>
      </c>
      <c r="Y121" s="35" t="s">
        <v>226</v>
      </c>
      <c r="Z121" s="14" t="s">
        <v>2529</v>
      </c>
      <c r="AA121" s="23" t="s">
        <v>1841</v>
      </c>
      <c r="AB121" s="161">
        <v>44631</v>
      </c>
      <c r="AC121" s="161">
        <v>46456</v>
      </c>
      <c r="AD121" s="220">
        <v>9441069164</v>
      </c>
      <c r="AE121" s="224" t="s">
        <v>2530</v>
      </c>
      <c r="AF121" s="28" t="s">
        <v>1495</v>
      </c>
      <c r="AG121" s="221" t="s">
        <v>2531</v>
      </c>
      <c r="AH121" s="31" t="s">
        <v>2532</v>
      </c>
      <c r="AI121" s="31" t="s">
        <v>2533</v>
      </c>
      <c r="AJ121" s="221" t="s">
        <v>2534</v>
      </c>
      <c r="AK121" s="30" t="s">
        <v>2535</v>
      </c>
      <c r="AL121" s="210"/>
      <c r="AM121" s="210"/>
      <c r="AN121" s="35"/>
      <c r="AO121" s="35" t="s">
        <v>2536</v>
      </c>
      <c r="AP121" s="10">
        <f t="shared" ca="1" si="5"/>
        <v>64</v>
      </c>
      <c r="AQ121" s="35"/>
      <c r="AR121" s="23"/>
      <c r="AS121" s="210"/>
      <c r="AT121" s="210"/>
      <c r="AU121" s="223">
        <v>22262</v>
      </c>
      <c r="AV121" s="31" t="s">
        <v>1352</v>
      </c>
      <c r="AW121" s="31" t="s">
        <v>32</v>
      </c>
      <c r="AX121" s="10">
        <v>1</v>
      </c>
      <c r="AY121" s="14" t="s">
        <v>1904</v>
      </c>
      <c r="AZ121" s="30" t="s">
        <v>1390</v>
      </c>
      <c r="BA121" s="23" t="s">
        <v>151</v>
      </c>
      <c r="BB121" s="30" t="s">
        <v>34</v>
      </c>
      <c r="BC121" s="22"/>
    </row>
    <row r="122" spans="1:55" x14ac:dyDescent="0.25">
      <c r="A122" s="10">
        <f t="shared" si="4"/>
        <v>121</v>
      </c>
      <c r="B122" s="10" t="s">
        <v>2526</v>
      </c>
      <c r="C122" s="30" t="s">
        <v>34</v>
      </c>
      <c r="D122" s="65">
        <v>400614</v>
      </c>
      <c r="E122" s="31" t="s">
        <v>36</v>
      </c>
      <c r="F122" s="14" t="s">
        <v>2527</v>
      </c>
      <c r="G122" s="10">
        <v>6</v>
      </c>
      <c r="H122" s="66">
        <v>0.33333333333333331</v>
      </c>
      <c r="I122" s="66">
        <v>0.375</v>
      </c>
      <c r="J122" s="66">
        <v>4.1666666666666664E-2</v>
      </c>
      <c r="K122" s="21" t="s">
        <v>538</v>
      </c>
      <c r="L122" s="30" t="s">
        <v>1376</v>
      </c>
      <c r="M122" s="30" t="s">
        <v>1376</v>
      </c>
      <c r="N122" s="23" t="s">
        <v>1393</v>
      </c>
      <c r="O122" s="35" t="s">
        <v>30</v>
      </c>
      <c r="P122" s="161">
        <v>44928</v>
      </c>
      <c r="Q122" s="183">
        <v>45658</v>
      </c>
      <c r="R122" s="183">
        <v>46387</v>
      </c>
      <c r="S122" s="183">
        <v>46388</v>
      </c>
      <c r="T122" s="10">
        <v>1994</v>
      </c>
      <c r="U122" s="30" t="s">
        <v>2528</v>
      </c>
      <c r="V122" s="10" t="s">
        <v>1424</v>
      </c>
      <c r="W122" s="14" t="s">
        <v>1424</v>
      </c>
      <c r="X122" s="31" t="s">
        <v>30</v>
      </c>
      <c r="Y122" s="35" t="s">
        <v>226</v>
      </c>
      <c r="Z122" s="14" t="s">
        <v>2529</v>
      </c>
      <c r="AA122" s="23" t="s">
        <v>1841</v>
      </c>
      <c r="AB122" s="161">
        <v>44631</v>
      </c>
      <c r="AC122" s="161">
        <v>46456</v>
      </c>
      <c r="AD122" s="220">
        <v>9441069164</v>
      </c>
      <c r="AE122" s="224" t="s">
        <v>2530</v>
      </c>
      <c r="AF122" s="28" t="s">
        <v>1495</v>
      </c>
      <c r="AG122" s="221" t="s">
        <v>2531</v>
      </c>
      <c r="AH122" s="31" t="s">
        <v>2532</v>
      </c>
      <c r="AI122" s="31" t="s">
        <v>2533</v>
      </c>
      <c r="AJ122" s="221" t="s">
        <v>2534</v>
      </c>
      <c r="AK122" s="30" t="s">
        <v>2535</v>
      </c>
      <c r="AL122" s="210"/>
      <c r="AM122" s="210"/>
      <c r="AN122" s="35"/>
      <c r="AO122" s="35" t="s">
        <v>2536</v>
      </c>
      <c r="AP122" s="10">
        <f t="shared" ca="1" si="5"/>
        <v>64</v>
      </c>
      <c r="AQ122" s="35"/>
      <c r="AR122" s="23"/>
      <c r="AS122" s="210"/>
      <c r="AT122" s="210"/>
      <c r="AU122" s="223">
        <v>22262</v>
      </c>
      <c r="AV122" s="31" t="s">
        <v>1352</v>
      </c>
      <c r="AW122" s="31" t="s">
        <v>32</v>
      </c>
      <c r="AX122" s="10">
        <v>1</v>
      </c>
      <c r="AY122" s="14" t="s">
        <v>1904</v>
      </c>
      <c r="AZ122" s="30" t="s">
        <v>1390</v>
      </c>
      <c r="BA122" s="23" t="s">
        <v>151</v>
      </c>
      <c r="BB122" s="30" t="s">
        <v>34</v>
      </c>
      <c r="BC122" s="22"/>
    </row>
    <row r="123" spans="1:55" x14ac:dyDescent="0.25">
      <c r="A123" s="10">
        <f t="shared" si="4"/>
        <v>122</v>
      </c>
      <c r="B123" s="10" t="s">
        <v>2537</v>
      </c>
      <c r="C123" s="30" t="s">
        <v>34</v>
      </c>
      <c r="D123" s="65">
        <v>400618</v>
      </c>
      <c r="E123" s="181" t="s">
        <v>9124</v>
      </c>
      <c r="F123" s="14" t="s">
        <v>2538</v>
      </c>
      <c r="G123" s="10">
        <v>6</v>
      </c>
      <c r="H123" s="66" t="s">
        <v>2539</v>
      </c>
      <c r="I123" s="66" t="s">
        <v>581</v>
      </c>
      <c r="J123" s="66">
        <v>0.16666666666666666</v>
      </c>
      <c r="K123" s="21" t="s">
        <v>2540</v>
      </c>
      <c r="L123" s="30" t="s">
        <v>2015</v>
      </c>
      <c r="M123" s="30" t="s">
        <v>1355</v>
      </c>
      <c r="N123" s="23" t="s">
        <v>1520</v>
      </c>
      <c r="O123" s="35" t="s">
        <v>1357</v>
      </c>
      <c r="P123" s="161">
        <v>44933</v>
      </c>
      <c r="Q123" s="183">
        <v>45664</v>
      </c>
      <c r="R123" s="183">
        <v>46393</v>
      </c>
      <c r="S123" s="183">
        <v>46394</v>
      </c>
      <c r="T123" s="10">
        <v>2009</v>
      </c>
      <c r="U123" s="30" t="s">
        <v>2541</v>
      </c>
      <c r="V123" s="10">
        <v>2014</v>
      </c>
      <c r="W123" s="14" t="s">
        <v>2542</v>
      </c>
      <c r="X123" s="31" t="s">
        <v>30</v>
      </c>
      <c r="Y123" s="23" t="s">
        <v>1360</v>
      </c>
      <c r="Z123" s="14" t="s">
        <v>2543</v>
      </c>
      <c r="AA123" s="23" t="s">
        <v>1841</v>
      </c>
      <c r="AB123" s="161">
        <v>44834</v>
      </c>
      <c r="AC123" s="161">
        <v>46659</v>
      </c>
      <c r="AD123" s="220">
        <v>9742933368</v>
      </c>
      <c r="AE123" s="224" t="s">
        <v>2544</v>
      </c>
      <c r="AF123" s="30" t="s">
        <v>2545</v>
      </c>
      <c r="AG123" s="230" t="s">
        <v>2546</v>
      </c>
      <c r="AH123" s="31" t="s">
        <v>2547</v>
      </c>
      <c r="AI123" s="31" t="s">
        <v>2548</v>
      </c>
      <c r="AJ123" s="221" t="s">
        <v>2549</v>
      </c>
      <c r="AK123" s="30" t="s">
        <v>2550</v>
      </c>
      <c r="AL123" s="210"/>
      <c r="AM123" s="210"/>
      <c r="AN123" s="35"/>
      <c r="AO123" s="35" t="s">
        <v>2551</v>
      </c>
      <c r="AP123" s="10">
        <f t="shared" ca="1" si="5"/>
        <v>36</v>
      </c>
      <c r="AQ123" s="35"/>
      <c r="AR123" s="23"/>
      <c r="AS123" s="210"/>
      <c r="AT123" s="210"/>
      <c r="AU123" s="223">
        <v>32783</v>
      </c>
      <c r="AV123" s="31" t="s">
        <v>1389</v>
      </c>
      <c r="AW123" s="31" t="s">
        <v>32</v>
      </c>
      <c r="AX123" s="10">
        <v>4</v>
      </c>
      <c r="AY123" s="14" t="s">
        <v>2469</v>
      </c>
      <c r="AZ123" s="30" t="s">
        <v>1373</v>
      </c>
      <c r="BA123" s="23" t="s">
        <v>151</v>
      </c>
      <c r="BB123" s="30" t="s">
        <v>34</v>
      </c>
      <c r="BC123" s="22"/>
    </row>
    <row r="124" spans="1:55" x14ac:dyDescent="0.25">
      <c r="A124" s="10">
        <f t="shared" si="4"/>
        <v>123</v>
      </c>
      <c r="B124" s="10" t="s">
        <v>402</v>
      </c>
      <c r="C124" s="30" t="s">
        <v>34</v>
      </c>
      <c r="D124" s="65">
        <v>400431</v>
      </c>
      <c r="E124" s="31" t="s">
        <v>36</v>
      </c>
      <c r="F124" s="14" t="s">
        <v>403</v>
      </c>
      <c r="G124" s="10">
        <v>6</v>
      </c>
      <c r="H124" s="66">
        <v>0.35416666666666669</v>
      </c>
      <c r="I124" s="66">
        <v>0.6875</v>
      </c>
      <c r="J124" s="66">
        <v>0.33333333333333331</v>
      </c>
      <c r="K124" s="21" t="s">
        <v>404</v>
      </c>
      <c r="L124" s="30" t="s">
        <v>405</v>
      </c>
      <c r="M124" s="30" t="s">
        <v>26</v>
      </c>
      <c r="N124" s="23" t="s">
        <v>38</v>
      </c>
      <c r="O124" s="23" t="s">
        <v>1321</v>
      </c>
      <c r="P124" s="161">
        <v>44594</v>
      </c>
      <c r="Q124" s="161">
        <v>45324</v>
      </c>
      <c r="R124" s="161">
        <v>46054</v>
      </c>
      <c r="S124" s="161">
        <v>46055</v>
      </c>
      <c r="T124" s="10">
        <v>2011</v>
      </c>
      <c r="U124" s="30" t="s">
        <v>197</v>
      </c>
      <c r="V124" s="10">
        <v>2016</v>
      </c>
      <c r="W124" s="14" t="s">
        <v>406</v>
      </c>
      <c r="X124" s="31" t="s">
        <v>30</v>
      </c>
      <c r="Y124" s="23" t="s">
        <v>66</v>
      </c>
      <c r="Z124" s="14" t="s">
        <v>2552</v>
      </c>
      <c r="AA124" s="23" t="s">
        <v>1841</v>
      </c>
      <c r="AB124" s="161">
        <v>45324</v>
      </c>
      <c r="AC124" s="161">
        <v>47150</v>
      </c>
      <c r="AD124" s="220">
        <v>9701183585</v>
      </c>
      <c r="AE124" s="224" t="s">
        <v>407</v>
      </c>
      <c r="AF124" s="30" t="s">
        <v>1364</v>
      </c>
      <c r="AG124" s="221" t="s">
        <v>2553</v>
      </c>
      <c r="AH124" s="31" t="s">
        <v>2554</v>
      </c>
      <c r="AI124" s="31" t="s">
        <v>2555</v>
      </c>
      <c r="AJ124" s="221" t="s">
        <v>2556</v>
      </c>
      <c r="AK124" s="30" t="s">
        <v>2557</v>
      </c>
      <c r="AL124" s="210"/>
      <c r="AM124" s="210"/>
      <c r="AN124" s="35"/>
      <c r="AO124" s="35" t="s">
        <v>2558</v>
      </c>
      <c r="AP124" s="10">
        <f t="shared" ca="1" si="5"/>
        <v>38</v>
      </c>
      <c r="AQ124" s="30" t="s">
        <v>1605</v>
      </c>
      <c r="AR124" s="232" t="s">
        <v>2559</v>
      </c>
      <c r="AS124" s="234">
        <v>45806</v>
      </c>
      <c r="AT124" s="234">
        <v>46170</v>
      </c>
      <c r="AU124" s="223">
        <v>32009</v>
      </c>
      <c r="AV124" s="31" t="s">
        <v>1352</v>
      </c>
      <c r="AW124" s="31" t="s">
        <v>68</v>
      </c>
      <c r="AX124" s="10">
        <v>8</v>
      </c>
      <c r="AY124" s="14" t="s">
        <v>2469</v>
      </c>
      <c r="AZ124" s="30" t="s">
        <v>26</v>
      </c>
      <c r="BA124" s="23" t="s">
        <v>151</v>
      </c>
      <c r="BB124" s="30" t="s">
        <v>34</v>
      </c>
      <c r="BC124" s="22"/>
    </row>
    <row r="125" spans="1:55" x14ac:dyDescent="0.25">
      <c r="A125" s="10">
        <f t="shared" si="4"/>
        <v>124</v>
      </c>
      <c r="B125" s="55" t="s">
        <v>2560</v>
      </c>
      <c r="C125" s="594" t="s">
        <v>1407</v>
      </c>
      <c r="D125" s="78">
        <v>400641</v>
      </c>
      <c r="E125" s="54" t="s">
        <v>36</v>
      </c>
      <c r="F125" s="48" t="s">
        <v>2561</v>
      </c>
      <c r="G125" s="55">
        <v>6</v>
      </c>
      <c r="H125" s="77">
        <v>0.66666666666666663</v>
      </c>
      <c r="I125" s="77">
        <v>0.8125</v>
      </c>
      <c r="J125" s="77">
        <v>0.14583333333333334</v>
      </c>
      <c r="K125" s="51" t="s">
        <v>2562</v>
      </c>
      <c r="L125" s="51" t="s">
        <v>2563</v>
      </c>
      <c r="M125" s="56" t="s">
        <v>26</v>
      </c>
      <c r="N125" s="52" t="s">
        <v>38</v>
      </c>
      <c r="O125" s="52" t="s">
        <v>1321</v>
      </c>
      <c r="P125" s="238">
        <v>44984</v>
      </c>
      <c r="Q125" s="195">
        <v>45357</v>
      </c>
      <c r="R125" s="195">
        <v>46086</v>
      </c>
      <c r="S125" s="195">
        <v>46087</v>
      </c>
      <c r="T125" s="55">
        <v>2009</v>
      </c>
      <c r="U125" s="56" t="s">
        <v>408</v>
      </c>
      <c r="V125" s="55">
        <v>2022</v>
      </c>
      <c r="W125" s="52" t="s">
        <v>2564</v>
      </c>
      <c r="X125" s="54" t="s">
        <v>30</v>
      </c>
      <c r="Y125" s="51" t="s">
        <v>49</v>
      </c>
      <c r="Z125" s="48">
        <v>63730</v>
      </c>
      <c r="AA125" s="52" t="s">
        <v>1841</v>
      </c>
      <c r="AB125" s="238">
        <v>44986</v>
      </c>
      <c r="AC125" s="238">
        <v>46812</v>
      </c>
      <c r="AD125" s="239">
        <v>7386846966</v>
      </c>
      <c r="AE125" s="259" t="s">
        <v>2565</v>
      </c>
      <c r="AF125" s="49" t="s">
        <v>1495</v>
      </c>
      <c r="AG125" s="198" t="s">
        <v>2566</v>
      </c>
      <c r="AH125" s="54" t="s">
        <v>2567</v>
      </c>
      <c r="AI125" s="54" t="s">
        <v>2568</v>
      </c>
      <c r="AJ125" s="198" t="s">
        <v>2569</v>
      </c>
      <c r="AK125" s="51" t="s">
        <v>2570</v>
      </c>
      <c r="AL125" s="199">
        <v>45948</v>
      </c>
      <c r="AM125" s="199">
        <v>45888</v>
      </c>
      <c r="AN125" s="51" t="s">
        <v>2571</v>
      </c>
      <c r="AO125" s="51" t="s">
        <v>2572</v>
      </c>
      <c r="AP125" s="55">
        <f t="shared" ca="1" si="5"/>
        <v>41</v>
      </c>
      <c r="AQ125" s="51"/>
      <c r="AR125" s="52"/>
      <c r="AS125" s="199"/>
      <c r="AT125" s="199"/>
      <c r="AU125" s="242">
        <v>30873</v>
      </c>
      <c r="AV125" s="54" t="s">
        <v>1352</v>
      </c>
      <c r="AW125" s="54" t="s">
        <v>32</v>
      </c>
      <c r="AX125" s="55">
        <v>3.5</v>
      </c>
      <c r="AY125" s="48" t="s">
        <v>2006</v>
      </c>
      <c r="AZ125" s="56" t="s">
        <v>26</v>
      </c>
      <c r="BA125" s="52" t="s">
        <v>151</v>
      </c>
      <c r="BB125" s="56" t="s">
        <v>1407</v>
      </c>
      <c r="BC125" s="53"/>
    </row>
    <row r="126" spans="1:55" x14ac:dyDescent="0.25">
      <c r="A126" s="10">
        <f t="shared" si="4"/>
        <v>125</v>
      </c>
      <c r="B126" s="10" t="s">
        <v>409</v>
      </c>
      <c r="C126" s="30" t="s">
        <v>34</v>
      </c>
      <c r="D126" s="65">
        <v>400643</v>
      </c>
      <c r="E126" s="31" t="s">
        <v>268</v>
      </c>
      <c r="F126" s="14" t="s">
        <v>410</v>
      </c>
      <c r="G126" s="10">
        <v>6</v>
      </c>
      <c r="H126" s="66">
        <v>0.38541666666666669</v>
      </c>
      <c r="I126" s="66">
        <v>0.71875</v>
      </c>
      <c r="J126" s="66">
        <v>0.33333333333333331</v>
      </c>
      <c r="K126" s="21" t="s">
        <v>411</v>
      </c>
      <c r="L126" s="30" t="s">
        <v>412</v>
      </c>
      <c r="M126" s="30" t="s">
        <v>26</v>
      </c>
      <c r="N126" s="23" t="s">
        <v>38</v>
      </c>
      <c r="O126" s="23" t="s">
        <v>1321</v>
      </c>
      <c r="P126" s="161">
        <v>44991</v>
      </c>
      <c r="Q126" s="183">
        <v>45717</v>
      </c>
      <c r="R126" s="183">
        <v>46446</v>
      </c>
      <c r="S126" s="183">
        <v>46447</v>
      </c>
      <c r="T126" s="10">
        <v>2009</v>
      </c>
      <c r="U126" s="30" t="s">
        <v>408</v>
      </c>
      <c r="V126" s="10">
        <v>2017</v>
      </c>
      <c r="W126" s="14" t="s">
        <v>413</v>
      </c>
      <c r="X126" s="31" t="s">
        <v>30</v>
      </c>
      <c r="Y126" s="35" t="s">
        <v>49</v>
      </c>
      <c r="Z126" s="14">
        <v>66842</v>
      </c>
      <c r="AA126" s="35" t="s">
        <v>2573</v>
      </c>
      <c r="AB126" s="161">
        <v>44646</v>
      </c>
      <c r="AC126" s="161">
        <v>46746</v>
      </c>
      <c r="AD126" s="220">
        <v>6303150119</v>
      </c>
      <c r="AE126" s="224" t="s">
        <v>414</v>
      </c>
      <c r="AF126" s="30" t="s">
        <v>2284</v>
      </c>
      <c r="AG126" s="221" t="s">
        <v>2574</v>
      </c>
      <c r="AH126" s="31" t="s">
        <v>2575</v>
      </c>
      <c r="AI126" s="31" t="s">
        <v>2576</v>
      </c>
      <c r="AJ126" s="221" t="s">
        <v>2577</v>
      </c>
      <c r="AK126" s="30" t="s">
        <v>2578</v>
      </c>
      <c r="AL126" s="210"/>
      <c r="AM126" s="210"/>
      <c r="AN126" s="35"/>
      <c r="AO126" s="35" t="s">
        <v>2579</v>
      </c>
      <c r="AP126" s="10">
        <f t="shared" ca="1" si="5"/>
        <v>38</v>
      </c>
      <c r="AQ126" s="192" t="s">
        <v>1416</v>
      </c>
      <c r="AR126" s="222" t="s">
        <v>2580</v>
      </c>
      <c r="AS126" s="166">
        <v>45921</v>
      </c>
      <c r="AT126" s="166">
        <v>46285</v>
      </c>
      <c r="AU126" s="223">
        <v>32004</v>
      </c>
      <c r="AV126" s="31" t="s">
        <v>1389</v>
      </c>
      <c r="AW126" s="31" t="s">
        <v>68</v>
      </c>
      <c r="AX126" s="10">
        <v>8</v>
      </c>
      <c r="AY126" s="14" t="s">
        <v>1920</v>
      </c>
      <c r="AZ126" s="30" t="s">
        <v>26</v>
      </c>
      <c r="BA126" s="23" t="s">
        <v>151</v>
      </c>
      <c r="BB126" s="30" t="s">
        <v>34</v>
      </c>
      <c r="BC126" s="22"/>
    </row>
    <row r="127" spans="1:55" x14ac:dyDescent="0.25">
      <c r="A127" s="10">
        <f t="shared" si="4"/>
        <v>126</v>
      </c>
      <c r="B127" s="10" t="s">
        <v>415</v>
      </c>
      <c r="C127" s="30" t="s">
        <v>34</v>
      </c>
      <c r="D127" s="65">
        <v>400647</v>
      </c>
      <c r="E127" s="31" t="s">
        <v>192</v>
      </c>
      <c r="F127" s="14" t="s">
        <v>416</v>
      </c>
      <c r="G127" s="10"/>
      <c r="H127" s="66"/>
      <c r="I127" s="66"/>
      <c r="J127" s="66"/>
      <c r="K127" s="21" t="s">
        <v>334</v>
      </c>
      <c r="L127" s="30" t="s">
        <v>417</v>
      </c>
      <c r="M127" s="30" t="s">
        <v>26</v>
      </c>
      <c r="N127" s="23" t="s">
        <v>38</v>
      </c>
      <c r="O127" s="23" t="s">
        <v>1321</v>
      </c>
      <c r="P127" s="161">
        <v>45590</v>
      </c>
      <c r="Q127" s="161">
        <v>45590</v>
      </c>
      <c r="R127" s="161">
        <v>46319</v>
      </c>
      <c r="S127" s="161">
        <v>46320</v>
      </c>
      <c r="T127" s="10">
        <v>2011</v>
      </c>
      <c r="U127" s="30" t="s">
        <v>418</v>
      </c>
      <c r="V127" s="10">
        <v>2017</v>
      </c>
      <c r="W127" s="14" t="s">
        <v>413</v>
      </c>
      <c r="X127" s="31" t="s">
        <v>30</v>
      </c>
      <c r="Y127" s="35" t="s">
        <v>49</v>
      </c>
      <c r="Z127" s="14" t="s">
        <v>2581</v>
      </c>
      <c r="AA127" s="35" t="s">
        <v>2573</v>
      </c>
      <c r="AB127" s="161">
        <v>44936</v>
      </c>
      <c r="AC127" s="161">
        <v>46761</v>
      </c>
      <c r="AD127" s="220">
        <v>9642860960</v>
      </c>
      <c r="AE127" s="224" t="s">
        <v>419</v>
      </c>
      <c r="AF127" s="30" t="s">
        <v>1430</v>
      </c>
      <c r="AG127" s="221" t="s">
        <v>2582</v>
      </c>
      <c r="AH127" s="31" t="s">
        <v>2583</v>
      </c>
      <c r="AI127" s="31" t="s">
        <v>2584</v>
      </c>
      <c r="AJ127" s="221" t="s">
        <v>2585</v>
      </c>
      <c r="AK127" s="30" t="s">
        <v>2586</v>
      </c>
      <c r="AL127" s="210"/>
      <c r="AM127" s="210"/>
      <c r="AN127" s="35"/>
      <c r="AO127" s="35" t="s">
        <v>2587</v>
      </c>
      <c r="AP127" s="10">
        <f t="shared" ca="1" si="5"/>
        <v>36</v>
      </c>
      <c r="AQ127" s="35" t="s">
        <v>1605</v>
      </c>
      <c r="AR127" s="222" t="s">
        <v>2588</v>
      </c>
      <c r="AS127" s="210">
        <v>45882</v>
      </c>
      <c r="AT127" s="210">
        <v>46977</v>
      </c>
      <c r="AU127" s="223">
        <v>32476</v>
      </c>
      <c r="AV127" s="31" t="s">
        <v>1389</v>
      </c>
      <c r="AW127" s="31" t="s">
        <v>32</v>
      </c>
      <c r="AX127" s="10" t="s">
        <v>30</v>
      </c>
      <c r="AY127" s="14" t="s">
        <v>30</v>
      </c>
      <c r="AZ127" s="30" t="s">
        <v>26</v>
      </c>
      <c r="BA127" s="23" t="s">
        <v>151</v>
      </c>
      <c r="BB127" s="30" t="s">
        <v>34</v>
      </c>
      <c r="BC127" s="22"/>
    </row>
    <row r="128" spans="1:55" x14ac:dyDescent="0.25">
      <c r="A128" s="10">
        <f t="shared" si="4"/>
        <v>127</v>
      </c>
      <c r="B128" s="10" t="s">
        <v>2589</v>
      </c>
      <c r="C128" s="30" t="s">
        <v>34</v>
      </c>
      <c r="D128" s="65">
        <v>400652</v>
      </c>
      <c r="E128" s="31" t="s">
        <v>268</v>
      </c>
      <c r="F128" s="14" t="s">
        <v>2590</v>
      </c>
      <c r="G128" s="10">
        <v>6</v>
      </c>
      <c r="H128" s="66">
        <v>0.39583333333333331</v>
      </c>
      <c r="I128" s="66">
        <v>0.72916666666666663</v>
      </c>
      <c r="J128" s="66">
        <v>0.33333333333333331</v>
      </c>
      <c r="K128" s="21" t="s">
        <v>713</v>
      </c>
      <c r="L128" s="30" t="s">
        <v>2591</v>
      </c>
      <c r="M128" s="30" t="s">
        <v>1908</v>
      </c>
      <c r="N128" s="23" t="s">
        <v>1909</v>
      </c>
      <c r="O128" s="30" t="s">
        <v>2482</v>
      </c>
      <c r="P128" s="161">
        <v>45002</v>
      </c>
      <c r="Q128" s="183">
        <v>45566</v>
      </c>
      <c r="R128" s="183">
        <v>46295</v>
      </c>
      <c r="S128" s="183">
        <v>46296</v>
      </c>
      <c r="T128" s="10">
        <v>2011</v>
      </c>
      <c r="U128" s="30" t="s">
        <v>2592</v>
      </c>
      <c r="V128" s="10">
        <v>2017</v>
      </c>
      <c r="W128" s="14" t="s">
        <v>2593</v>
      </c>
      <c r="X128" s="31" t="s">
        <v>30</v>
      </c>
      <c r="Y128" s="35" t="s">
        <v>2594</v>
      </c>
      <c r="Z128" s="14" t="s">
        <v>2595</v>
      </c>
      <c r="AA128" s="35" t="s">
        <v>1886</v>
      </c>
      <c r="AB128" s="161">
        <v>45209</v>
      </c>
      <c r="AC128" s="161">
        <v>47035</v>
      </c>
      <c r="AD128" s="220">
        <v>9966341448</v>
      </c>
      <c r="AE128" s="224" t="s">
        <v>2596</v>
      </c>
      <c r="AF128" s="30" t="s">
        <v>1364</v>
      </c>
      <c r="AG128" s="221" t="s">
        <v>2597</v>
      </c>
      <c r="AH128" s="31" t="s">
        <v>2598</v>
      </c>
      <c r="AI128" s="31" t="s">
        <v>2599</v>
      </c>
      <c r="AJ128" s="221" t="s">
        <v>2600</v>
      </c>
      <c r="AK128" s="30"/>
      <c r="AL128" s="210"/>
      <c r="AM128" s="210"/>
      <c r="AN128" s="35"/>
      <c r="AO128" s="35" t="s">
        <v>2601</v>
      </c>
      <c r="AP128" s="10">
        <f t="shared" ca="1" si="5"/>
        <v>27</v>
      </c>
      <c r="AQ128" s="35"/>
      <c r="AR128" s="23"/>
      <c r="AS128" s="210"/>
      <c r="AT128" s="210"/>
      <c r="AU128" s="223">
        <v>35977</v>
      </c>
      <c r="AV128" s="31" t="s">
        <v>1352</v>
      </c>
      <c r="AW128" s="31" t="s">
        <v>68</v>
      </c>
      <c r="AX128" s="10">
        <v>8</v>
      </c>
      <c r="AY128" s="14" t="s">
        <v>2262</v>
      </c>
      <c r="AZ128" s="30" t="s">
        <v>1908</v>
      </c>
      <c r="BA128" s="23" t="s">
        <v>151</v>
      </c>
      <c r="BB128" s="30" t="s">
        <v>34</v>
      </c>
      <c r="BC128" s="22"/>
    </row>
    <row r="129" spans="1:55" x14ac:dyDescent="0.25">
      <c r="A129" s="10">
        <f t="shared" si="4"/>
        <v>128</v>
      </c>
      <c r="B129" s="10" t="s">
        <v>2602</v>
      </c>
      <c r="C129" s="30" t="s">
        <v>34</v>
      </c>
      <c r="D129" s="65">
        <v>400654</v>
      </c>
      <c r="E129" s="31" t="s">
        <v>36</v>
      </c>
      <c r="F129" s="14" t="s">
        <v>2603</v>
      </c>
      <c r="G129" s="10">
        <v>6</v>
      </c>
      <c r="H129" s="66">
        <v>0.33333333333333331</v>
      </c>
      <c r="I129" s="66">
        <v>0.875</v>
      </c>
      <c r="J129" s="66">
        <v>0.29166666666666669</v>
      </c>
      <c r="K129" s="21" t="s">
        <v>593</v>
      </c>
      <c r="L129" s="30" t="s">
        <v>1424</v>
      </c>
      <c r="M129" s="30" t="s">
        <v>1355</v>
      </c>
      <c r="N129" s="23" t="s">
        <v>1356</v>
      </c>
      <c r="O129" s="35" t="s">
        <v>2016</v>
      </c>
      <c r="P129" s="161">
        <v>45017</v>
      </c>
      <c r="Q129" s="161">
        <v>45931</v>
      </c>
      <c r="R129" s="161">
        <v>46477</v>
      </c>
      <c r="S129" s="161">
        <v>46478</v>
      </c>
      <c r="T129" s="10">
        <v>2017</v>
      </c>
      <c r="U129" s="30" t="s">
        <v>2604</v>
      </c>
      <c r="V129" s="10">
        <v>2022</v>
      </c>
      <c r="W129" s="14" t="s">
        <v>2605</v>
      </c>
      <c r="X129" s="31" t="s">
        <v>30</v>
      </c>
      <c r="Y129" s="23" t="s">
        <v>1360</v>
      </c>
      <c r="Z129" s="14" t="s">
        <v>2606</v>
      </c>
      <c r="AA129" s="35" t="s">
        <v>1886</v>
      </c>
      <c r="AB129" s="161">
        <v>44929</v>
      </c>
      <c r="AC129" s="161">
        <v>46754</v>
      </c>
      <c r="AD129" s="220">
        <v>9100526061</v>
      </c>
      <c r="AE129" s="260" t="s">
        <v>2607</v>
      </c>
      <c r="AF129" s="28" t="s">
        <v>1495</v>
      </c>
      <c r="AG129" s="221" t="s">
        <v>2608</v>
      </c>
      <c r="AH129" s="31" t="s">
        <v>2609</v>
      </c>
      <c r="AI129" s="31" t="s">
        <v>2610</v>
      </c>
      <c r="AJ129" s="221" t="s">
        <v>2611</v>
      </c>
      <c r="AK129" s="30"/>
      <c r="AL129" s="210"/>
      <c r="AM129" s="210"/>
      <c r="AN129" s="35"/>
      <c r="AO129" s="35" t="s">
        <v>2612</v>
      </c>
      <c r="AP129" s="10">
        <f t="shared" ca="1" si="5"/>
        <v>32</v>
      </c>
      <c r="AQ129" s="35"/>
      <c r="AR129" s="23"/>
      <c r="AS129" s="210"/>
      <c r="AT129" s="210"/>
      <c r="AU129" s="223">
        <v>34207</v>
      </c>
      <c r="AV129" s="31" t="s">
        <v>1389</v>
      </c>
      <c r="AW129" s="31" t="s">
        <v>32</v>
      </c>
      <c r="AX129" s="10">
        <v>7</v>
      </c>
      <c r="AY129" s="14" t="s">
        <v>1920</v>
      </c>
      <c r="AZ129" s="30" t="s">
        <v>1373</v>
      </c>
      <c r="BA129" s="23" t="s">
        <v>151</v>
      </c>
      <c r="BB129" s="30" t="s">
        <v>34</v>
      </c>
      <c r="BC129" s="22"/>
    </row>
    <row r="130" spans="1:55" x14ac:dyDescent="0.25">
      <c r="A130" s="10">
        <f t="shared" si="4"/>
        <v>129</v>
      </c>
      <c r="B130" s="10" t="s">
        <v>420</v>
      </c>
      <c r="C130" s="30" t="s">
        <v>34</v>
      </c>
      <c r="D130" s="65">
        <v>400661</v>
      </c>
      <c r="E130" s="31" t="s">
        <v>36</v>
      </c>
      <c r="F130" s="14" t="s">
        <v>421</v>
      </c>
      <c r="G130" s="10">
        <v>6</v>
      </c>
      <c r="H130" s="66">
        <v>0.70833333333333337</v>
      </c>
      <c r="I130" s="66">
        <v>0.83333333333333337</v>
      </c>
      <c r="J130" s="66">
        <v>0.125</v>
      </c>
      <c r="K130" s="21" t="s">
        <v>422</v>
      </c>
      <c r="L130" s="30" t="s">
        <v>423</v>
      </c>
      <c r="M130" s="30" t="s">
        <v>26</v>
      </c>
      <c r="N130" s="23" t="s">
        <v>38</v>
      </c>
      <c r="O130" s="23" t="s">
        <v>1321</v>
      </c>
      <c r="P130" s="161">
        <v>45033</v>
      </c>
      <c r="Q130" s="161">
        <v>45748</v>
      </c>
      <c r="R130" s="161">
        <v>46477</v>
      </c>
      <c r="S130" s="161">
        <v>46478</v>
      </c>
      <c r="T130" s="10">
        <v>2010</v>
      </c>
      <c r="U130" s="14" t="s">
        <v>424</v>
      </c>
      <c r="V130" s="10">
        <v>2020</v>
      </c>
      <c r="W130" s="14" t="s">
        <v>424</v>
      </c>
      <c r="X130" s="31" t="s">
        <v>30</v>
      </c>
      <c r="Y130" s="35" t="s">
        <v>49</v>
      </c>
      <c r="Z130" s="14">
        <v>72465</v>
      </c>
      <c r="AA130" s="35" t="s">
        <v>1886</v>
      </c>
      <c r="AB130" s="161">
        <v>44204</v>
      </c>
      <c r="AC130" s="161">
        <v>46029</v>
      </c>
      <c r="AD130" s="220">
        <v>9398318360</v>
      </c>
      <c r="AE130" s="224" t="s">
        <v>425</v>
      </c>
      <c r="AF130" s="28" t="s">
        <v>1495</v>
      </c>
      <c r="AG130" s="221" t="s">
        <v>2613</v>
      </c>
      <c r="AH130" s="31" t="s">
        <v>2614</v>
      </c>
      <c r="AI130" s="31" t="s">
        <v>2615</v>
      </c>
      <c r="AJ130" s="221" t="s">
        <v>2616</v>
      </c>
      <c r="AK130" s="30"/>
      <c r="AL130" s="210"/>
      <c r="AM130" s="210"/>
      <c r="AN130" s="35"/>
      <c r="AO130" s="35" t="s">
        <v>2617</v>
      </c>
      <c r="AP130" s="10">
        <f t="shared" ca="1" si="5"/>
        <v>40</v>
      </c>
      <c r="AQ130" s="192" t="s">
        <v>1677</v>
      </c>
      <c r="AR130" s="261" t="s">
        <v>2618</v>
      </c>
      <c r="AS130" s="210">
        <v>45945</v>
      </c>
      <c r="AT130" s="210">
        <v>46309</v>
      </c>
      <c r="AU130" s="223">
        <v>31279</v>
      </c>
      <c r="AV130" s="31" t="s">
        <v>1389</v>
      </c>
      <c r="AW130" s="31" t="s">
        <v>32</v>
      </c>
      <c r="AX130" s="10">
        <v>3</v>
      </c>
      <c r="AY130" s="14" t="s">
        <v>2262</v>
      </c>
      <c r="AZ130" s="30" t="s">
        <v>26</v>
      </c>
      <c r="BA130" s="23" t="s">
        <v>151</v>
      </c>
      <c r="BB130" s="30" t="s">
        <v>34</v>
      </c>
      <c r="BC130" s="22"/>
    </row>
    <row r="131" spans="1:55" x14ac:dyDescent="0.25">
      <c r="A131" s="10">
        <f t="shared" si="4"/>
        <v>130</v>
      </c>
      <c r="B131" s="10" t="s">
        <v>2619</v>
      </c>
      <c r="C131" s="30" t="s">
        <v>34</v>
      </c>
      <c r="D131" s="65">
        <v>400665</v>
      </c>
      <c r="E131" s="31" t="s">
        <v>36</v>
      </c>
      <c r="F131" s="14" t="s">
        <v>2620</v>
      </c>
      <c r="G131" s="10">
        <v>6</v>
      </c>
      <c r="H131" s="66">
        <v>0.70833333333333337</v>
      </c>
      <c r="I131" s="66">
        <v>0.75</v>
      </c>
      <c r="J131" s="66">
        <v>4.1666666666666664E-2</v>
      </c>
      <c r="K131" s="43" t="s">
        <v>1282</v>
      </c>
      <c r="L131" s="30" t="s">
        <v>1424</v>
      </c>
      <c r="M131" s="30" t="s">
        <v>1376</v>
      </c>
      <c r="N131" s="23" t="s">
        <v>1393</v>
      </c>
      <c r="O131" s="35" t="s">
        <v>30</v>
      </c>
      <c r="P131" s="161">
        <v>45062</v>
      </c>
      <c r="Q131" s="161">
        <v>45793</v>
      </c>
      <c r="R131" s="161">
        <v>46522</v>
      </c>
      <c r="S131" s="161">
        <v>46523</v>
      </c>
      <c r="T131" s="10">
        <v>1980</v>
      </c>
      <c r="U131" s="30" t="s">
        <v>1137</v>
      </c>
      <c r="V131" s="10" t="s">
        <v>1424</v>
      </c>
      <c r="W131" s="14" t="s">
        <v>1424</v>
      </c>
      <c r="X131" s="10" t="s">
        <v>1424</v>
      </c>
      <c r="Y131" s="35" t="s">
        <v>226</v>
      </c>
      <c r="Z131" s="14" t="s">
        <v>2621</v>
      </c>
      <c r="AA131" s="23" t="s">
        <v>1841</v>
      </c>
      <c r="AB131" s="161">
        <v>45743</v>
      </c>
      <c r="AC131" s="161">
        <v>47568</v>
      </c>
      <c r="AD131" s="220">
        <v>8125970427</v>
      </c>
      <c r="AE131" s="224" t="s">
        <v>2622</v>
      </c>
      <c r="AF131" s="30" t="s">
        <v>1928</v>
      </c>
      <c r="AG131" s="221" t="s">
        <v>2623</v>
      </c>
      <c r="AH131" s="31" t="s">
        <v>2624</v>
      </c>
      <c r="AI131" s="31" t="s">
        <v>2625</v>
      </c>
      <c r="AJ131" s="221" t="s">
        <v>2626</v>
      </c>
      <c r="AK131" s="30" t="s">
        <v>2627</v>
      </c>
      <c r="AL131" s="210"/>
      <c r="AM131" s="210"/>
      <c r="AN131" s="35"/>
      <c r="AO131" s="35" t="s">
        <v>2628</v>
      </c>
      <c r="AP131" s="10">
        <f t="shared" ca="1" si="5"/>
        <v>71</v>
      </c>
      <c r="AQ131" s="35"/>
      <c r="AR131" s="23"/>
      <c r="AS131" s="210"/>
      <c r="AT131" s="210"/>
      <c r="AU131" s="223">
        <v>19860</v>
      </c>
      <c r="AV131" s="31" t="s">
        <v>1352</v>
      </c>
      <c r="AW131" s="31" t="s">
        <v>32</v>
      </c>
      <c r="AX131" s="10">
        <v>1</v>
      </c>
      <c r="AY131" s="14" t="s">
        <v>1968</v>
      </c>
      <c r="AZ131" s="30" t="s">
        <v>1390</v>
      </c>
      <c r="BA131" s="23" t="s">
        <v>151</v>
      </c>
      <c r="BB131" s="30" t="s">
        <v>34</v>
      </c>
      <c r="BC131" s="22"/>
    </row>
    <row r="132" spans="1:55" x14ac:dyDescent="0.25">
      <c r="A132" s="10">
        <f t="shared" ref="A132:A195" si="6">A131+1</f>
        <v>131</v>
      </c>
      <c r="B132" s="10" t="s">
        <v>2619</v>
      </c>
      <c r="C132" s="30" t="s">
        <v>34</v>
      </c>
      <c r="D132" s="65">
        <v>400666</v>
      </c>
      <c r="E132" s="31" t="s">
        <v>36</v>
      </c>
      <c r="F132" s="14" t="s">
        <v>2620</v>
      </c>
      <c r="G132" s="10">
        <v>6</v>
      </c>
      <c r="H132" s="66">
        <v>0.375</v>
      </c>
      <c r="I132" s="66">
        <v>0.41666666666666669</v>
      </c>
      <c r="J132" s="66">
        <v>4.1666666666666664E-2</v>
      </c>
      <c r="K132" s="21" t="s">
        <v>754</v>
      </c>
      <c r="L132" s="30" t="s">
        <v>1424</v>
      </c>
      <c r="M132" s="30" t="s">
        <v>1376</v>
      </c>
      <c r="N132" s="23" t="s">
        <v>1393</v>
      </c>
      <c r="O132" s="35" t="s">
        <v>30</v>
      </c>
      <c r="P132" s="161">
        <v>45062</v>
      </c>
      <c r="Q132" s="161">
        <v>45793</v>
      </c>
      <c r="R132" s="161">
        <v>46522</v>
      </c>
      <c r="S132" s="161">
        <v>46523</v>
      </c>
      <c r="T132" s="10">
        <v>1980</v>
      </c>
      <c r="U132" s="30" t="s">
        <v>1137</v>
      </c>
      <c r="V132" s="10" t="s">
        <v>1424</v>
      </c>
      <c r="W132" s="14" t="s">
        <v>1424</v>
      </c>
      <c r="X132" s="10" t="s">
        <v>1424</v>
      </c>
      <c r="Y132" s="35" t="s">
        <v>226</v>
      </c>
      <c r="Z132" s="14" t="s">
        <v>2621</v>
      </c>
      <c r="AA132" s="35" t="s">
        <v>1841</v>
      </c>
      <c r="AB132" s="161">
        <v>45743</v>
      </c>
      <c r="AC132" s="161">
        <v>47568</v>
      </c>
      <c r="AD132" s="220">
        <v>8125970427</v>
      </c>
      <c r="AE132" s="224" t="s">
        <v>2622</v>
      </c>
      <c r="AF132" s="30" t="s">
        <v>1928</v>
      </c>
      <c r="AG132" s="221" t="s">
        <v>2623</v>
      </c>
      <c r="AH132" s="31" t="s">
        <v>2624</v>
      </c>
      <c r="AI132" s="31" t="s">
        <v>2625</v>
      </c>
      <c r="AJ132" s="221" t="s">
        <v>2626</v>
      </c>
      <c r="AK132" s="30" t="s">
        <v>2627</v>
      </c>
      <c r="AL132" s="210"/>
      <c r="AM132" s="210"/>
      <c r="AN132" s="35"/>
      <c r="AO132" s="35" t="s">
        <v>2628</v>
      </c>
      <c r="AP132" s="10">
        <f t="shared" ca="1" si="5"/>
        <v>71</v>
      </c>
      <c r="AQ132" s="35"/>
      <c r="AR132" s="23"/>
      <c r="AS132" s="210"/>
      <c r="AT132" s="210"/>
      <c r="AU132" s="223">
        <v>19860</v>
      </c>
      <c r="AV132" s="31" t="s">
        <v>1352</v>
      </c>
      <c r="AW132" s="31" t="s">
        <v>32</v>
      </c>
      <c r="AX132" s="10">
        <v>1</v>
      </c>
      <c r="AY132" s="14" t="s">
        <v>1968</v>
      </c>
      <c r="AZ132" s="30" t="s">
        <v>1390</v>
      </c>
      <c r="BA132" s="23" t="s">
        <v>151</v>
      </c>
      <c r="BB132" s="30" t="s">
        <v>34</v>
      </c>
      <c r="BC132" s="22"/>
    </row>
    <row r="133" spans="1:55" x14ac:dyDescent="0.25">
      <c r="A133" s="10">
        <f t="shared" si="6"/>
        <v>132</v>
      </c>
      <c r="B133" s="10" t="s">
        <v>426</v>
      </c>
      <c r="C133" s="30" t="s">
        <v>34</v>
      </c>
      <c r="D133" s="65">
        <v>400667</v>
      </c>
      <c r="E133" s="31" t="s">
        <v>36</v>
      </c>
      <c r="F133" s="14" t="s">
        <v>427</v>
      </c>
      <c r="G133" s="10">
        <v>6</v>
      </c>
      <c r="H133" s="66">
        <v>0.54166666666666663</v>
      </c>
      <c r="I133" s="66">
        <v>0.875</v>
      </c>
      <c r="J133" s="66">
        <v>0.33333333333333331</v>
      </c>
      <c r="K133" s="21" t="s">
        <v>341</v>
      </c>
      <c r="L133" s="30" t="s">
        <v>428</v>
      </c>
      <c r="M133" s="30" t="s">
        <v>26</v>
      </c>
      <c r="N133" s="23" t="s">
        <v>38</v>
      </c>
      <c r="O133" s="23" t="s">
        <v>1321</v>
      </c>
      <c r="P133" s="161">
        <v>45064</v>
      </c>
      <c r="Q133" s="161">
        <v>45795</v>
      </c>
      <c r="R133" s="161">
        <v>46524</v>
      </c>
      <c r="S133" s="161">
        <v>46525</v>
      </c>
      <c r="T133" s="10">
        <v>2010</v>
      </c>
      <c r="U133" s="30" t="s">
        <v>429</v>
      </c>
      <c r="V133" s="10">
        <v>2018</v>
      </c>
      <c r="W133" s="14" t="s">
        <v>430</v>
      </c>
      <c r="X133" s="10" t="s">
        <v>1424</v>
      </c>
      <c r="Y133" s="23" t="s">
        <v>66</v>
      </c>
      <c r="Z133" s="14" t="s">
        <v>2629</v>
      </c>
      <c r="AA133" s="23" t="s">
        <v>1841</v>
      </c>
      <c r="AB133" s="161">
        <v>45374</v>
      </c>
      <c r="AC133" s="161">
        <v>47199</v>
      </c>
      <c r="AD133" s="220">
        <v>7093047818</v>
      </c>
      <c r="AE133" s="224" t="s">
        <v>431</v>
      </c>
      <c r="AF133" s="30" t="s">
        <v>1430</v>
      </c>
      <c r="AG133" s="221" t="s">
        <v>2630</v>
      </c>
      <c r="AH133" s="31" t="s">
        <v>2631</v>
      </c>
      <c r="AI133" s="31" t="s">
        <v>2632</v>
      </c>
      <c r="AJ133" s="221" t="s">
        <v>2633</v>
      </c>
      <c r="AK133" s="30" t="s">
        <v>2634</v>
      </c>
      <c r="AL133" s="210"/>
      <c r="AM133" s="210"/>
      <c r="AN133" s="35"/>
      <c r="AO133" s="35" t="s">
        <v>2635</v>
      </c>
      <c r="AP133" s="10">
        <f t="shared" ca="1" si="5"/>
        <v>38</v>
      </c>
      <c r="AQ133" s="35"/>
      <c r="AR133" s="23"/>
      <c r="AS133" s="210"/>
      <c r="AT133" s="210"/>
      <c r="AU133" s="223">
        <v>31806</v>
      </c>
      <c r="AV133" s="31" t="s">
        <v>1352</v>
      </c>
      <c r="AW133" s="31" t="s">
        <v>68</v>
      </c>
      <c r="AX133" s="10">
        <v>8</v>
      </c>
      <c r="AY133" s="14" t="s">
        <v>1881</v>
      </c>
      <c r="AZ133" s="30" t="s">
        <v>26</v>
      </c>
      <c r="BA133" s="23" t="s">
        <v>151</v>
      </c>
      <c r="BB133" s="30" t="s">
        <v>34</v>
      </c>
      <c r="BC133" s="22"/>
    </row>
    <row r="134" spans="1:55" x14ac:dyDescent="0.25">
      <c r="A134" s="10">
        <f t="shared" si="6"/>
        <v>133</v>
      </c>
      <c r="B134" s="10" t="s">
        <v>432</v>
      </c>
      <c r="C134" s="30" t="s">
        <v>34</v>
      </c>
      <c r="D134" s="65">
        <v>400668</v>
      </c>
      <c r="E134" s="31" t="s">
        <v>42</v>
      </c>
      <c r="F134" s="14" t="s">
        <v>433</v>
      </c>
      <c r="G134" s="10">
        <v>6</v>
      </c>
      <c r="H134" s="66">
        <v>0.375</v>
      </c>
      <c r="I134" s="66">
        <v>0.70833333333333337</v>
      </c>
      <c r="J134" s="66">
        <v>0.33333333333333331</v>
      </c>
      <c r="K134" s="21" t="s">
        <v>255</v>
      </c>
      <c r="L134" s="30" t="s">
        <v>434</v>
      </c>
      <c r="M134" s="30" t="s">
        <v>26</v>
      </c>
      <c r="N134" s="23" t="s">
        <v>38</v>
      </c>
      <c r="O134" s="23" t="s">
        <v>1321</v>
      </c>
      <c r="P134" s="161">
        <v>45068</v>
      </c>
      <c r="Q134" s="161">
        <v>45809</v>
      </c>
      <c r="R134" s="161">
        <v>46538</v>
      </c>
      <c r="S134" s="161">
        <v>46539</v>
      </c>
      <c r="T134" s="10">
        <v>2016</v>
      </c>
      <c r="U134" s="30" t="s">
        <v>435</v>
      </c>
      <c r="V134" s="10">
        <v>2020</v>
      </c>
      <c r="W134" s="14" t="s">
        <v>436</v>
      </c>
      <c r="X134" s="10" t="s">
        <v>1424</v>
      </c>
      <c r="Y134" s="35" t="s">
        <v>49</v>
      </c>
      <c r="Z134" s="14" t="s">
        <v>2636</v>
      </c>
      <c r="AA134" s="23" t="s">
        <v>1841</v>
      </c>
      <c r="AB134" s="161">
        <v>45054</v>
      </c>
      <c r="AC134" s="161">
        <v>46880</v>
      </c>
      <c r="AD134" s="220">
        <v>9742185991</v>
      </c>
      <c r="AE134" s="224" t="s">
        <v>437</v>
      </c>
      <c r="AF134" s="30" t="s">
        <v>1430</v>
      </c>
      <c r="AG134" s="221" t="s">
        <v>2637</v>
      </c>
      <c r="AH134" s="31" t="s">
        <v>2638</v>
      </c>
      <c r="AI134" s="31" t="s">
        <v>2639</v>
      </c>
      <c r="AJ134" s="221" t="s">
        <v>2640</v>
      </c>
      <c r="AK134" s="30"/>
      <c r="AL134" s="210"/>
      <c r="AM134" s="210"/>
      <c r="AN134" s="35"/>
      <c r="AO134" s="35" t="s">
        <v>2641</v>
      </c>
      <c r="AP134" s="10">
        <f t="shared" ca="1" si="5"/>
        <v>33</v>
      </c>
      <c r="AQ134" s="35" t="s">
        <v>1605</v>
      </c>
      <c r="AR134" s="222" t="s">
        <v>2642</v>
      </c>
      <c r="AS134" s="166">
        <v>45601</v>
      </c>
      <c r="AT134" s="166">
        <v>45965</v>
      </c>
      <c r="AU134" s="223">
        <v>33897</v>
      </c>
      <c r="AV134" s="31" t="s">
        <v>1352</v>
      </c>
      <c r="AW134" s="31" t="s">
        <v>68</v>
      </c>
      <c r="AX134" s="10">
        <v>8</v>
      </c>
      <c r="AY134" s="14" t="s">
        <v>2068</v>
      </c>
      <c r="AZ134" s="30" t="s">
        <v>26</v>
      </c>
      <c r="BA134" s="23" t="s">
        <v>151</v>
      </c>
      <c r="BB134" s="30" t="s">
        <v>34</v>
      </c>
      <c r="BC134" s="22"/>
    </row>
    <row r="135" spans="1:55" x14ac:dyDescent="0.25">
      <c r="A135" s="10">
        <f t="shared" si="6"/>
        <v>134</v>
      </c>
      <c r="B135" s="10" t="s">
        <v>438</v>
      </c>
      <c r="C135" s="30" t="s">
        <v>34</v>
      </c>
      <c r="D135" s="65">
        <v>400669</v>
      </c>
      <c r="E135" s="31" t="s">
        <v>36</v>
      </c>
      <c r="F135" s="14" t="s">
        <v>439</v>
      </c>
      <c r="G135" s="10">
        <v>6</v>
      </c>
      <c r="H135" s="66">
        <v>0.35416666666666669</v>
      </c>
      <c r="I135" s="66">
        <v>0.64583333333333337</v>
      </c>
      <c r="J135" s="66">
        <v>0.29166666666666669</v>
      </c>
      <c r="K135" s="35" t="s">
        <v>275</v>
      </c>
      <c r="L135" s="30" t="s">
        <v>440</v>
      </c>
      <c r="M135" s="30" t="s">
        <v>26</v>
      </c>
      <c r="N135" s="23" t="s">
        <v>38</v>
      </c>
      <c r="O135" s="23" t="s">
        <v>1321</v>
      </c>
      <c r="P135" s="161">
        <v>45068</v>
      </c>
      <c r="Q135" s="183">
        <v>45799</v>
      </c>
      <c r="R135" s="161">
        <v>46528</v>
      </c>
      <c r="S135" s="161">
        <v>46529</v>
      </c>
      <c r="T135" s="10">
        <v>2014</v>
      </c>
      <c r="U135" s="30" t="s">
        <v>441</v>
      </c>
      <c r="V135" s="10">
        <v>2020</v>
      </c>
      <c r="W135" s="14" t="s">
        <v>442</v>
      </c>
      <c r="X135" s="10" t="s">
        <v>1424</v>
      </c>
      <c r="Y135" s="35" t="s">
        <v>49</v>
      </c>
      <c r="Z135" s="14" t="s">
        <v>2643</v>
      </c>
      <c r="AA135" s="23" t="s">
        <v>1841</v>
      </c>
      <c r="AB135" s="161">
        <v>45783</v>
      </c>
      <c r="AC135" s="161">
        <v>47608</v>
      </c>
      <c r="AD135" s="220">
        <v>7736701081</v>
      </c>
      <c r="AE135" s="224" t="s">
        <v>443</v>
      </c>
      <c r="AF135" s="30" t="s">
        <v>1410</v>
      </c>
      <c r="AG135" s="221" t="s">
        <v>2644</v>
      </c>
      <c r="AH135" s="31" t="s">
        <v>2645</v>
      </c>
      <c r="AI135" s="31" t="s">
        <v>2646</v>
      </c>
      <c r="AJ135" s="221" t="s">
        <v>2647</v>
      </c>
      <c r="AK135" s="30"/>
      <c r="AL135" s="210"/>
      <c r="AM135" s="210"/>
      <c r="AN135" s="35"/>
      <c r="AO135" s="35" t="s">
        <v>2648</v>
      </c>
      <c r="AP135" s="10">
        <f t="shared" ca="1" si="5"/>
        <v>35</v>
      </c>
      <c r="AQ135" s="35" t="s">
        <v>1605</v>
      </c>
      <c r="AR135" s="222" t="s">
        <v>2649</v>
      </c>
      <c r="AS135" s="183">
        <v>45797</v>
      </c>
      <c r="AT135" s="183">
        <v>46161</v>
      </c>
      <c r="AU135" s="223">
        <v>32887</v>
      </c>
      <c r="AV135" s="31" t="s">
        <v>1389</v>
      </c>
      <c r="AW135" s="31" t="s">
        <v>32</v>
      </c>
      <c r="AX135" s="10">
        <v>7</v>
      </c>
      <c r="AY135" s="14" t="s">
        <v>1959</v>
      </c>
      <c r="AZ135" s="30" t="s">
        <v>26</v>
      </c>
      <c r="BA135" s="23" t="s">
        <v>151</v>
      </c>
      <c r="BB135" s="30" t="s">
        <v>34</v>
      </c>
      <c r="BC135" s="43"/>
    </row>
    <row r="136" spans="1:55" x14ac:dyDescent="0.25">
      <c r="A136" s="10">
        <f t="shared" si="6"/>
        <v>135</v>
      </c>
      <c r="B136" s="10" t="s">
        <v>444</v>
      </c>
      <c r="C136" s="30" t="s">
        <v>34</v>
      </c>
      <c r="D136" s="65">
        <v>400773</v>
      </c>
      <c r="E136" s="31" t="s">
        <v>36</v>
      </c>
      <c r="F136" s="14" t="s">
        <v>445</v>
      </c>
      <c r="G136" s="10">
        <v>6</v>
      </c>
      <c r="H136" s="66">
        <v>0.35416666666666669</v>
      </c>
      <c r="I136" s="66">
        <v>0.52083333333333337</v>
      </c>
      <c r="J136" s="66">
        <v>0.16666666666666666</v>
      </c>
      <c r="K136" s="21" t="s">
        <v>446</v>
      </c>
      <c r="L136" s="30" t="s">
        <v>447</v>
      </c>
      <c r="M136" s="30" t="s">
        <v>26</v>
      </c>
      <c r="N136" s="23" t="s">
        <v>38</v>
      </c>
      <c r="O136" s="23" t="s">
        <v>1321</v>
      </c>
      <c r="P136" s="161">
        <v>45089</v>
      </c>
      <c r="Q136" s="161">
        <v>45455</v>
      </c>
      <c r="R136" s="161">
        <v>46184</v>
      </c>
      <c r="S136" s="161">
        <v>46185</v>
      </c>
      <c r="T136" s="10">
        <v>2014</v>
      </c>
      <c r="U136" s="30" t="s">
        <v>448</v>
      </c>
      <c r="V136" s="10">
        <v>2017</v>
      </c>
      <c r="W136" s="14" t="s">
        <v>449</v>
      </c>
      <c r="X136" s="10" t="s">
        <v>1424</v>
      </c>
      <c r="Y136" s="35" t="s">
        <v>183</v>
      </c>
      <c r="Z136" s="14" t="s">
        <v>2650</v>
      </c>
      <c r="AA136" s="23" t="s">
        <v>1841</v>
      </c>
      <c r="AB136" s="161">
        <v>44644</v>
      </c>
      <c r="AC136" s="161">
        <v>46469</v>
      </c>
      <c r="AD136" s="220">
        <v>9100836865</v>
      </c>
      <c r="AE136" s="224" t="s">
        <v>450</v>
      </c>
      <c r="AF136" s="30" t="s">
        <v>1364</v>
      </c>
      <c r="AG136" s="221" t="s">
        <v>2651</v>
      </c>
      <c r="AH136" s="31" t="s">
        <v>2035</v>
      </c>
      <c r="AI136" s="31" t="s">
        <v>2652</v>
      </c>
      <c r="AJ136" s="221" t="s">
        <v>2653</v>
      </c>
      <c r="AK136" s="30" t="s">
        <v>2654</v>
      </c>
      <c r="AL136" s="210"/>
      <c r="AM136" s="210"/>
      <c r="AN136" s="35"/>
      <c r="AO136" s="35"/>
      <c r="AP136" s="10">
        <f t="shared" ca="1" si="5"/>
        <v>36</v>
      </c>
      <c r="AQ136" s="35"/>
      <c r="AR136" s="23"/>
      <c r="AS136" s="210"/>
      <c r="AT136" s="210"/>
      <c r="AU136" s="223">
        <v>32659</v>
      </c>
      <c r="AV136" s="31" t="s">
        <v>1389</v>
      </c>
      <c r="AW136" s="31" t="s">
        <v>32</v>
      </c>
      <c r="AX136" s="10">
        <v>4</v>
      </c>
      <c r="AY136" s="14" t="s">
        <v>1849</v>
      </c>
      <c r="AZ136" s="30" t="s">
        <v>26</v>
      </c>
      <c r="BA136" s="23" t="s">
        <v>151</v>
      </c>
      <c r="BB136" s="30" t="s">
        <v>34</v>
      </c>
      <c r="BC136" s="22"/>
    </row>
    <row r="137" spans="1:55" x14ac:dyDescent="0.25">
      <c r="A137" s="10">
        <f t="shared" si="6"/>
        <v>136</v>
      </c>
      <c r="B137" s="55" t="s">
        <v>2655</v>
      </c>
      <c r="C137" s="56" t="s">
        <v>34</v>
      </c>
      <c r="D137" s="78">
        <v>400775</v>
      </c>
      <c r="E137" s="54" t="s">
        <v>36</v>
      </c>
      <c r="F137" s="48" t="s">
        <v>2656</v>
      </c>
      <c r="G137" s="55">
        <v>6</v>
      </c>
      <c r="H137" s="77">
        <v>0.72916666666666663</v>
      </c>
      <c r="I137" s="77">
        <v>0.89583333333333337</v>
      </c>
      <c r="J137" s="77">
        <v>0.16666666666666666</v>
      </c>
      <c r="K137" s="51" t="s">
        <v>1884</v>
      </c>
      <c r="L137" s="51" t="s">
        <v>1424</v>
      </c>
      <c r="M137" s="56" t="s">
        <v>2097</v>
      </c>
      <c r="N137" s="52" t="s">
        <v>2098</v>
      </c>
      <c r="O137" s="51" t="s">
        <v>1357</v>
      </c>
      <c r="P137" s="238">
        <v>45092</v>
      </c>
      <c r="Q137" s="238">
        <v>45823</v>
      </c>
      <c r="R137" s="238">
        <v>46552</v>
      </c>
      <c r="S137" s="238">
        <v>46553</v>
      </c>
      <c r="T137" s="55">
        <v>2005</v>
      </c>
      <c r="U137" s="56" t="s">
        <v>2657</v>
      </c>
      <c r="V137" s="55">
        <v>2014</v>
      </c>
      <c r="W137" s="52" t="s">
        <v>343</v>
      </c>
      <c r="X137" s="55" t="s">
        <v>1424</v>
      </c>
      <c r="Y137" s="51" t="s">
        <v>2099</v>
      </c>
      <c r="Z137" s="48">
        <v>53521</v>
      </c>
      <c r="AA137" s="51" t="s">
        <v>1886</v>
      </c>
      <c r="AB137" s="238">
        <v>44270</v>
      </c>
      <c r="AC137" s="238">
        <v>46095</v>
      </c>
      <c r="AD137" s="239">
        <v>9440592399</v>
      </c>
      <c r="AE137" s="259" t="s">
        <v>2658</v>
      </c>
      <c r="AF137" s="49" t="s">
        <v>1495</v>
      </c>
      <c r="AG137" s="198" t="s">
        <v>2659</v>
      </c>
      <c r="AH137" s="54" t="s">
        <v>2660</v>
      </c>
      <c r="AI137" s="54" t="s">
        <v>2661</v>
      </c>
      <c r="AJ137" s="198" t="s">
        <v>2662</v>
      </c>
      <c r="AK137" s="51" t="s">
        <v>2663</v>
      </c>
      <c r="AL137" s="199">
        <v>45977</v>
      </c>
      <c r="AM137" s="199">
        <v>45900</v>
      </c>
      <c r="AN137" s="51" t="s">
        <v>1592</v>
      </c>
      <c r="AO137" s="51" t="s">
        <v>2664</v>
      </c>
      <c r="AP137" s="55">
        <f t="shared" ca="1" si="5"/>
        <v>45</v>
      </c>
      <c r="AQ137" s="51"/>
      <c r="AR137" s="52"/>
      <c r="AS137" s="199"/>
      <c r="AT137" s="199"/>
      <c r="AU137" s="242">
        <v>29216</v>
      </c>
      <c r="AV137" s="54" t="s">
        <v>1389</v>
      </c>
      <c r="AW137" s="54" t="s">
        <v>32</v>
      </c>
      <c r="AX137" s="55">
        <v>4</v>
      </c>
      <c r="AY137" s="48" t="s">
        <v>1895</v>
      </c>
      <c r="AZ137" s="56" t="s">
        <v>1373</v>
      </c>
      <c r="BA137" s="52" t="s">
        <v>151</v>
      </c>
      <c r="BB137" s="56" t="s">
        <v>34</v>
      </c>
      <c r="BC137" s="53"/>
    </row>
    <row r="138" spans="1:55" x14ac:dyDescent="0.25">
      <c r="A138" s="10">
        <f t="shared" si="6"/>
        <v>137</v>
      </c>
      <c r="B138" s="10" t="s">
        <v>451</v>
      </c>
      <c r="C138" s="30" t="s">
        <v>34</v>
      </c>
      <c r="D138" s="65">
        <v>400776</v>
      </c>
      <c r="E138" s="31" t="s">
        <v>36</v>
      </c>
      <c r="F138" s="14" t="s">
        <v>452</v>
      </c>
      <c r="G138" s="10">
        <v>6</v>
      </c>
      <c r="H138" s="66">
        <v>0.35416666666666702</v>
      </c>
      <c r="I138" s="66">
        <v>0.60416666666666663</v>
      </c>
      <c r="J138" s="66">
        <v>0.25</v>
      </c>
      <c r="K138" s="21" t="s">
        <v>453</v>
      </c>
      <c r="L138" s="30" t="s">
        <v>454</v>
      </c>
      <c r="M138" s="30" t="s">
        <v>26</v>
      </c>
      <c r="N138" s="23" t="s">
        <v>38</v>
      </c>
      <c r="O138" s="23" t="s">
        <v>1321</v>
      </c>
      <c r="P138" s="161">
        <v>45092</v>
      </c>
      <c r="Q138" s="161">
        <v>45823</v>
      </c>
      <c r="R138" s="161">
        <v>46552</v>
      </c>
      <c r="S138" s="161">
        <v>46553</v>
      </c>
      <c r="T138" s="10">
        <v>2013</v>
      </c>
      <c r="U138" s="30" t="s">
        <v>455</v>
      </c>
      <c r="V138" s="10">
        <v>2022</v>
      </c>
      <c r="W138" s="14" t="s">
        <v>456</v>
      </c>
      <c r="X138" s="10" t="s">
        <v>1424</v>
      </c>
      <c r="Y138" s="35" t="s">
        <v>49</v>
      </c>
      <c r="Z138" s="14" t="s">
        <v>2665</v>
      </c>
      <c r="AA138" s="35" t="s">
        <v>1886</v>
      </c>
      <c r="AB138" s="161">
        <v>44896</v>
      </c>
      <c r="AC138" s="161">
        <v>46721</v>
      </c>
      <c r="AD138" s="220">
        <v>8125650955</v>
      </c>
      <c r="AE138" s="224" t="s">
        <v>457</v>
      </c>
      <c r="AF138" s="30" t="s">
        <v>1410</v>
      </c>
      <c r="AG138" s="221" t="s">
        <v>2666</v>
      </c>
      <c r="AH138" s="31" t="s">
        <v>2667</v>
      </c>
      <c r="AI138" s="31" t="s">
        <v>2668</v>
      </c>
      <c r="AJ138" s="221" t="s">
        <v>2669</v>
      </c>
      <c r="AK138" s="30"/>
      <c r="AL138" s="210"/>
      <c r="AM138" s="210"/>
      <c r="AN138" s="35"/>
      <c r="AO138" s="35" t="s">
        <v>2670</v>
      </c>
      <c r="AP138" s="10">
        <f t="shared" ca="1" si="5"/>
        <v>34</v>
      </c>
      <c r="AQ138" s="35" t="s">
        <v>1605</v>
      </c>
      <c r="AR138" s="222" t="s">
        <v>2671</v>
      </c>
      <c r="AS138" s="166">
        <v>45926</v>
      </c>
      <c r="AT138" s="166">
        <v>47021</v>
      </c>
      <c r="AU138" s="223">
        <v>33359</v>
      </c>
      <c r="AV138" s="31" t="s">
        <v>1389</v>
      </c>
      <c r="AW138" s="31" t="s">
        <v>32</v>
      </c>
      <c r="AX138" s="10">
        <v>6</v>
      </c>
      <c r="AY138" s="14" t="s">
        <v>1920</v>
      </c>
      <c r="AZ138" s="30" t="s">
        <v>26</v>
      </c>
      <c r="BA138" s="23" t="s">
        <v>151</v>
      </c>
      <c r="BB138" s="30" t="s">
        <v>34</v>
      </c>
      <c r="BC138" s="22"/>
    </row>
    <row r="139" spans="1:55" x14ac:dyDescent="0.25">
      <c r="A139" s="10">
        <f t="shared" si="6"/>
        <v>138</v>
      </c>
      <c r="B139" s="10" t="s">
        <v>2672</v>
      </c>
      <c r="C139" s="30" t="s">
        <v>34</v>
      </c>
      <c r="D139" s="80">
        <v>400788</v>
      </c>
      <c r="E139" s="40" t="s">
        <v>36</v>
      </c>
      <c r="F139" s="14" t="s">
        <v>2673</v>
      </c>
      <c r="G139" s="262">
        <v>6</v>
      </c>
      <c r="H139" s="66">
        <v>0.33333333333333331</v>
      </c>
      <c r="I139" s="66">
        <v>0.875</v>
      </c>
      <c r="J139" s="68">
        <v>0.33333333333333331</v>
      </c>
      <c r="K139" s="21" t="s">
        <v>713</v>
      </c>
      <c r="L139" s="14" t="s">
        <v>30</v>
      </c>
      <c r="M139" s="30" t="s">
        <v>1355</v>
      </c>
      <c r="N139" s="23" t="s">
        <v>1356</v>
      </c>
      <c r="O139" s="35" t="s">
        <v>1357</v>
      </c>
      <c r="P139" s="183">
        <v>45658</v>
      </c>
      <c r="Q139" s="161">
        <v>45658</v>
      </c>
      <c r="R139" s="161">
        <v>46387</v>
      </c>
      <c r="S139" s="161">
        <v>46388</v>
      </c>
      <c r="T139" s="87">
        <v>2016</v>
      </c>
      <c r="U139" s="86" t="s">
        <v>2674</v>
      </c>
      <c r="V139" s="87">
        <v>2021</v>
      </c>
      <c r="W139" s="86" t="s">
        <v>2674</v>
      </c>
      <c r="X139" s="31" t="s">
        <v>30</v>
      </c>
      <c r="Y139" s="23" t="s">
        <v>1360</v>
      </c>
      <c r="Z139" s="86" t="s">
        <v>2675</v>
      </c>
      <c r="AA139" s="43" t="s">
        <v>1886</v>
      </c>
      <c r="AB139" s="161">
        <v>44468</v>
      </c>
      <c r="AC139" s="161">
        <v>46293</v>
      </c>
      <c r="AD139" s="263">
        <v>9652135826</v>
      </c>
      <c r="AE139" s="264" t="s">
        <v>2676</v>
      </c>
      <c r="AF139" s="30" t="s">
        <v>1410</v>
      </c>
      <c r="AG139" s="221" t="s">
        <v>2677</v>
      </c>
      <c r="AH139" s="31" t="s">
        <v>2678</v>
      </c>
      <c r="AI139" s="31" t="s">
        <v>2679</v>
      </c>
      <c r="AJ139" s="221" t="s">
        <v>2680</v>
      </c>
      <c r="AK139" s="30" t="s">
        <v>2681</v>
      </c>
      <c r="AL139" s="210"/>
      <c r="AM139" s="210"/>
      <c r="AN139" s="35"/>
      <c r="AO139" s="35" t="s">
        <v>2682</v>
      </c>
      <c r="AP139" s="10">
        <f t="shared" ca="1" si="5"/>
        <v>31</v>
      </c>
      <c r="AQ139" s="35"/>
      <c r="AR139" s="23"/>
      <c r="AS139" s="210"/>
      <c r="AT139" s="210"/>
      <c r="AU139" s="265">
        <v>34564</v>
      </c>
      <c r="AV139" s="40" t="s">
        <v>1389</v>
      </c>
      <c r="AW139" s="40" t="s">
        <v>68</v>
      </c>
      <c r="AX139" s="87">
        <v>8</v>
      </c>
      <c r="AY139" s="14" t="s">
        <v>2262</v>
      </c>
      <c r="AZ139" s="30" t="s">
        <v>1373</v>
      </c>
      <c r="BA139" s="23" t="s">
        <v>151</v>
      </c>
      <c r="BB139" s="30" t="s">
        <v>34</v>
      </c>
      <c r="BC139" s="22"/>
    </row>
    <row r="140" spans="1:55" x14ac:dyDescent="0.25">
      <c r="A140" s="10">
        <f t="shared" si="6"/>
        <v>139</v>
      </c>
      <c r="B140" s="10" t="s">
        <v>426</v>
      </c>
      <c r="C140" s="30" t="s">
        <v>34</v>
      </c>
      <c r="D140" s="65">
        <v>400792</v>
      </c>
      <c r="E140" s="31" t="s">
        <v>42</v>
      </c>
      <c r="F140" s="14" t="s">
        <v>427</v>
      </c>
      <c r="G140" s="10">
        <v>6</v>
      </c>
      <c r="H140" s="66">
        <v>0.375</v>
      </c>
      <c r="I140" s="66">
        <v>0.47916666666666669</v>
      </c>
      <c r="J140" s="66">
        <v>0.10416666666666667</v>
      </c>
      <c r="K140" s="21" t="s">
        <v>458</v>
      </c>
      <c r="L140" s="30" t="s">
        <v>428</v>
      </c>
      <c r="M140" s="30" t="s">
        <v>26</v>
      </c>
      <c r="N140" s="23" t="s">
        <v>38</v>
      </c>
      <c r="O140" s="23" t="s">
        <v>1321</v>
      </c>
      <c r="P140" s="161">
        <v>45110</v>
      </c>
      <c r="Q140" s="161">
        <v>45778</v>
      </c>
      <c r="R140" s="161">
        <v>46507</v>
      </c>
      <c r="S140" s="161">
        <v>46508</v>
      </c>
      <c r="T140" s="10">
        <v>2010</v>
      </c>
      <c r="U140" s="30" t="s">
        <v>429</v>
      </c>
      <c r="V140" s="10">
        <v>2018</v>
      </c>
      <c r="W140" s="14" t="s">
        <v>430</v>
      </c>
      <c r="X140" s="10" t="s">
        <v>1424</v>
      </c>
      <c r="Y140" s="23" t="s">
        <v>66</v>
      </c>
      <c r="Z140" s="14" t="s">
        <v>2629</v>
      </c>
      <c r="AA140" s="23" t="s">
        <v>1841</v>
      </c>
      <c r="AB140" s="161">
        <v>45374</v>
      </c>
      <c r="AC140" s="161">
        <v>47199</v>
      </c>
      <c r="AD140" s="220">
        <v>7093047818</v>
      </c>
      <c r="AE140" s="224" t="s">
        <v>431</v>
      </c>
      <c r="AF140" s="30" t="s">
        <v>1430</v>
      </c>
      <c r="AG140" s="221" t="s">
        <v>2630</v>
      </c>
      <c r="AH140" s="31" t="s">
        <v>2631</v>
      </c>
      <c r="AI140" s="31" t="s">
        <v>2632</v>
      </c>
      <c r="AJ140" s="221" t="s">
        <v>2633</v>
      </c>
      <c r="AK140" s="30" t="s">
        <v>2634</v>
      </c>
      <c r="AL140" s="210"/>
      <c r="AM140" s="210"/>
      <c r="AN140" s="35"/>
      <c r="AO140" s="35" t="s">
        <v>2635</v>
      </c>
      <c r="AP140" s="10">
        <f t="shared" ca="1" si="5"/>
        <v>38</v>
      </c>
      <c r="AQ140" s="35"/>
      <c r="AR140" s="23"/>
      <c r="AS140" s="210"/>
      <c r="AT140" s="210"/>
      <c r="AU140" s="223">
        <v>31806</v>
      </c>
      <c r="AV140" s="31" t="s">
        <v>1352</v>
      </c>
      <c r="AW140" s="31" t="s">
        <v>32</v>
      </c>
      <c r="AX140" s="10">
        <v>2.5</v>
      </c>
      <c r="AY140" s="14" t="s">
        <v>1881</v>
      </c>
      <c r="AZ140" s="30" t="s">
        <v>26</v>
      </c>
      <c r="BA140" s="23" t="s">
        <v>151</v>
      </c>
      <c r="BB140" s="30" t="s">
        <v>34</v>
      </c>
      <c r="BC140" s="22"/>
    </row>
    <row r="141" spans="1:55" x14ac:dyDescent="0.25">
      <c r="A141" s="10">
        <f t="shared" si="6"/>
        <v>140</v>
      </c>
      <c r="B141" s="25" t="s">
        <v>459</v>
      </c>
      <c r="C141" s="30" t="s">
        <v>34</v>
      </c>
      <c r="D141" s="71">
        <v>401185</v>
      </c>
      <c r="E141" s="25" t="s">
        <v>192</v>
      </c>
      <c r="F141" s="14" t="s">
        <v>460</v>
      </c>
      <c r="G141" s="25"/>
      <c r="H141" s="74"/>
      <c r="I141" s="74"/>
      <c r="J141" s="74"/>
      <c r="K141" s="21" t="s">
        <v>334</v>
      </c>
      <c r="L141" s="75" t="s">
        <v>372</v>
      </c>
      <c r="M141" s="75" t="s">
        <v>26</v>
      </c>
      <c r="N141" s="23" t="s">
        <v>38</v>
      </c>
      <c r="O141" s="23" t="s">
        <v>1321</v>
      </c>
      <c r="P141" s="246">
        <v>45726</v>
      </c>
      <c r="Q141" s="246">
        <v>45726</v>
      </c>
      <c r="R141" s="246">
        <v>46455</v>
      </c>
      <c r="S141" s="246">
        <v>46456</v>
      </c>
      <c r="T141" s="25">
        <v>2008</v>
      </c>
      <c r="U141" s="75" t="s">
        <v>209</v>
      </c>
      <c r="V141" s="25">
        <v>2013</v>
      </c>
      <c r="W141" s="38" t="s">
        <v>209</v>
      </c>
      <c r="X141" s="72" t="s">
        <v>30</v>
      </c>
      <c r="Y141" s="38" t="s">
        <v>49</v>
      </c>
      <c r="Z141" s="254">
        <v>64987</v>
      </c>
      <c r="AA141" s="38" t="s">
        <v>1886</v>
      </c>
      <c r="AB141" s="161">
        <v>44746</v>
      </c>
      <c r="AC141" s="161">
        <v>46571</v>
      </c>
      <c r="AD141" s="25">
        <v>9030011511</v>
      </c>
      <c r="AE141" s="255" t="s">
        <v>461</v>
      </c>
      <c r="AF141" s="28" t="s">
        <v>1495</v>
      </c>
      <c r="AG141" s="249" t="s">
        <v>2683</v>
      </c>
      <c r="AH141" s="72" t="s">
        <v>2684</v>
      </c>
      <c r="AI141" s="72" t="s">
        <v>2685</v>
      </c>
      <c r="AJ141" s="249" t="s">
        <v>2686</v>
      </c>
      <c r="AK141" s="75" t="s">
        <v>2687</v>
      </c>
      <c r="AL141" s="250"/>
      <c r="AM141" s="250"/>
      <c r="AN141" s="38"/>
      <c r="AO141" s="38" t="s">
        <v>2688</v>
      </c>
      <c r="AP141" s="25">
        <f t="shared" ca="1" si="5"/>
        <v>39</v>
      </c>
      <c r="AQ141" s="253" t="s">
        <v>1605</v>
      </c>
      <c r="AR141" s="228" t="s">
        <v>2689</v>
      </c>
      <c r="AS141" s="244">
        <v>45465</v>
      </c>
      <c r="AT141" s="244">
        <v>45829</v>
      </c>
      <c r="AU141" s="252">
        <v>31567</v>
      </c>
      <c r="AV141" s="72" t="s">
        <v>1352</v>
      </c>
      <c r="AW141" s="31" t="s">
        <v>32</v>
      </c>
      <c r="AX141" s="10" t="s">
        <v>30</v>
      </c>
      <c r="AY141" s="76" t="s">
        <v>30</v>
      </c>
      <c r="AZ141" s="30" t="s">
        <v>26</v>
      </c>
      <c r="BA141" s="23" t="s">
        <v>151</v>
      </c>
      <c r="BB141" s="30" t="s">
        <v>34</v>
      </c>
      <c r="BC141" s="22"/>
    </row>
    <row r="142" spans="1:55" x14ac:dyDescent="0.25">
      <c r="A142" s="10">
        <f t="shared" si="6"/>
        <v>141</v>
      </c>
      <c r="B142" s="10" t="s">
        <v>2690</v>
      </c>
      <c r="C142" s="30" t="s">
        <v>34</v>
      </c>
      <c r="D142" s="65">
        <v>400796</v>
      </c>
      <c r="E142" s="31" t="s">
        <v>36</v>
      </c>
      <c r="F142" s="14" t="s">
        <v>2691</v>
      </c>
      <c r="G142" s="10">
        <v>6</v>
      </c>
      <c r="H142" s="66">
        <v>0.45833333333333331</v>
      </c>
      <c r="I142" s="66">
        <v>0.625</v>
      </c>
      <c r="J142" s="66">
        <v>0.16666666666666666</v>
      </c>
      <c r="K142" s="21" t="s">
        <v>466</v>
      </c>
      <c r="L142" s="30" t="s">
        <v>1424</v>
      </c>
      <c r="M142" s="30" t="s">
        <v>1355</v>
      </c>
      <c r="N142" s="23" t="s">
        <v>1520</v>
      </c>
      <c r="O142" s="14" t="s">
        <v>2692</v>
      </c>
      <c r="P142" s="161">
        <v>45114</v>
      </c>
      <c r="Q142" s="161">
        <v>45845</v>
      </c>
      <c r="R142" s="161">
        <v>46574</v>
      </c>
      <c r="S142" s="161">
        <v>46575</v>
      </c>
      <c r="T142" s="10">
        <v>2009</v>
      </c>
      <c r="U142" s="30" t="s">
        <v>2693</v>
      </c>
      <c r="V142" s="10">
        <v>2014</v>
      </c>
      <c r="W142" s="14" t="s">
        <v>2694</v>
      </c>
      <c r="X142" s="10" t="s">
        <v>1424</v>
      </c>
      <c r="Y142" s="23" t="s">
        <v>1360</v>
      </c>
      <c r="Z142" s="14">
        <v>64668</v>
      </c>
      <c r="AA142" s="35" t="s">
        <v>2695</v>
      </c>
      <c r="AB142" s="161">
        <v>39916</v>
      </c>
      <c r="AC142" s="161">
        <v>55153</v>
      </c>
      <c r="AD142" s="220">
        <v>8420650635</v>
      </c>
      <c r="AE142" s="224" t="s">
        <v>2696</v>
      </c>
      <c r="AF142" s="30" t="s">
        <v>1410</v>
      </c>
      <c r="AG142" s="221" t="s">
        <v>2697</v>
      </c>
      <c r="AH142" s="31" t="s">
        <v>2698</v>
      </c>
      <c r="AI142" s="31" t="s">
        <v>2699</v>
      </c>
      <c r="AJ142" s="221" t="s">
        <v>2700</v>
      </c>
      <c r="AK142" s="30" t="s">
        <v>2701</v>
      </c>
      <c r="AL142" s="210"/>
      <c r="AM142" s="210"/>
      <c r="AN142" s="35"/>
      <c r="AO142" s="35" t="s">
        <v>2702</v>
      </c>
      <c r="AP142" s="10">
        <f t="shared" ca="1" si="5"/>
        <v>40</v>
      </c>
      <c r="AQ142" s="35"/>
      <c r="AR142" s="23"/>
      <c r="AS142" s="210"/>
      <c r="AT142" s="210"/>
      <c r="AU142" s="223">
        <v>31118</v>
      </c>
      <c r="AV142" s="31" t="s">
        <v>1389</v>
      </c>
      <c r="AW142" s="31" t="s">
        <v>32</v>
      </c>
      <c r="AX142" s="10">
        <v>4</v>
      </c>
      <c r="AY142" s="14" t="s">
        <v>2703</v>
      </c>
      <c r="AZ142" s="30" t="s">
        <v>1373</v>
      </c>
      <c r="BA142" s="23" t="s">
        <v>151</v>
      </c>
      <c r="BB142" s="30" t="s">
        <v>34</v>
      </c>
      <c r="BC142" s="22"/>
    </row>
    <row r="143" spans="1:55" x14ac:dyDescent="0.25">
      <c r="A143" s="10">
        <f t="shared" si="6"/>
        <v>142</v>
      </c>
      <c r="B143" s="10" t="s">
        <v>462</v>
      </c>
      <c r="C143" s="30" t="s">
        <v>34</v>
      </c>
      <c r="D143" s="65">
        <v>400799</v>
      </c>
      <c r="E143" s="181" t="s">
        <v>9124</v>
      </c>
      <c r="F143" s="14" t="s">
        <v>463</v>
      </c>
      <c r="G143" s="10">
        <v>7</v>
      </c>
      <c r="H143" s="66" t="s">
        <v>464</v>
      </c>
      <c r="I143" s="66" t="s">
        <v>465</v>
      </c>
      <c r="J143" s="66"/>
      <c r="K143" s="21" t="s">
        <v>466</v>
      </c>
      <c r="L143" s="30" t="s">
        <v>467</v>
      </c>
      <c r="M143" s="30" t="s">
        <v>26</v>
      </c>
      <c r="N143" s="23" t="s">
        <v>38</v>
      </c>
      <c r="O143" s="23" t="s">
        <v>1321</v>
      </c>
      <c r="P143" s="161">
        <v>45131</v>
      </c>
      <c r="Q143" s="161">
        <v>45862</v>
      </c>
      <c r="R143" s="161">
        <v>46591</v>
      </c>
      <c r="S143" s="161">
        <v>46592</v>
      </c>
      <c r="T143" s="10">
        <v>2005</v>
      </c>
      <c r="U143" s="30" t="s">
        <v>468</v>
      </c>
      <c r="V143" s="10">
        <v>2018</v>
      </c>
      <c r="W143" s="14" t="s">
        <v>469</v>
      </c>
      <c r="X143" s="10" t="s">
        <v>1424</v>
      </c>
      <c r="Y143" s="35" t="s">
        <v>49</v>
      </c>
      <c r="Z143" s="14">
        <v>60333</v>
      </c>
      <c r="AA143" s="35" t="s">
        <v>2695</v>
      </c>
      <c r="AB143" s="161">
        <v>38338</v>
      </c>
      <c r="AC143" s="161">
        <v>55153</v>
      </c>
      <c r="AD143" s="220">
        <v>9498382561</v>
      </c>
      <c r="AE143" s="224" t="s">
        <v>470</v>
      </c>
      <c r="AF143" s="30" t="s">
        <v>2207</v>
      </c>
      <c r="AG143" s="221" t="s">
        <v>2704</v>
      </c>
      <c r="AH143" s="31" t="s">
        <v>2705</v>
      </c>
      <c r="AI143" s="31" t="s">
        <v>2706</v>
      </c>
      <c r="AJ143" s="221" t="s">
        <v>2707</v>
      </c>
      <c r="AK143" s="30" t="s">
        <v>2708</v>
      </c>
      <c r="AL143" s="210"/>
      <c r="AM143" s="210"/>
      <c r="AN143" s="35"/>
      <c r="AO143" s="35" t="s">
        <v>2709</v>
      </c>
      <c r="AP143" s="10">
        <f t="shared" ca="1" si="5"/>
        <v>45</v>
      </c>
      <c r="AQ143" s="229"/>
      <c r="AR143" s="243"/>
      <c r="AS143" s="244"/>
      <c r="AT143" s="244"/>
      <c r="AU143" s="223">
        <v>29313</v>
      </c>
      <c r="AV143" s="31" t="s">
        <v>1352</v>
      </c>
      <c r="AW143" s="31" t="s">
        <v>32</v>
      </c>
      <c r="AX143" s="10" t="s">
        <v>30</v>
      </c>
      <c r="AY143" s="14" t="s">
        <v>2703</v>
      </c>
      <c r="AZ143" s="30" t="s">
        <v>26</v>
      </c>
      <c r="BA143" s="23" t="s">
        <v>151</v>
      </c>
      <c r="BB143" s="30" t="s">
        <v>34</v>
      </c>
      <c r="BC143" s="22"/>
    </row>
    <row r="144" spans="1:55" x14ac:dyDescent="0.25">
      <c r="A144" s="10">
        <f t="shared" si="6"/>
        <v>143</v>
      </c>
      <c r="B144" s="10" t="s">
        <v>2710</v>
      </c>
      <c r="C144" s="30" t="s">
        <v>34</v>
      </c>
      <c r="D144" s="65">
        <v>400800</v>
      </c>
      <c r="E144" s="31" t="s">
        <v>36</v>
      </c>
      <c r="F144" s="14" t="s">
        <v>2711</v>
      </c>
      <c r="G144" s="10">
        <v>6</v>
      </c>
      <c r="H144" s="66">
        <v>0.39583333333333331</v>
      </c>
      <c r="I144" s="66">
        <v>0.45833333333333331</v>
      </c>
      <c r="J144" s="66">
        <v>6.25E-2</v>
      </c>
      <c r="K144" s="21" t="s">
        <v>466</v>
      </c>
      <c r="L144" s="30" t="s">
        <v>1424</v>
      </c>
      <c r="M144" s="30" t="s">
        <v>1544</v>
      </c>
      <c r="N144" s="23" t="s">
        <v>2712</v>
      </c>
      <c r="O144" s="14" t="s">
        <v>2692</v>
      </c>
      <c r="P144" s="161">
        <v>45131</v>
      </c>
      <c r="Q144" s="161">
        <v>45862</v>
      </c>
      <c r="R144" s="161">
        <v>46591</v>
      </c>
      <c r="S144" s="161">
        <v>46592</v>
      </c>
      <c r="T144" s="10">
        <v>2000</v>
      </c>
      <c r="U144" s="30" t="s">
        <v>1242</v>
      </c>
      <c r="V144" s="10">
        <v>2013</v>
      </c>
      <c r="W144" s="14" t="s">
        <v>469</v>
      </c>
      <c r="X144" s="10" t="s">
        <v>1424</v>
      </c>
      <c r="Y144" s="35" t="s">
        <v>1549</v>
      </c>
      <c r="Z144" s="14">
        <v>56646</v>
      </c>
      <c r="AA144" s="35" t="s">
        <v>2695</v>
      </c>
      <c r="AB144" s="161">
        <v>36900</v>
      </c>
      <c r="AC144" s="161">
        <v>55153</v>
      </c>
      <c r="AD144" s="220">
        <v>9432092416</v>
      </c>
      <c r="AE144" s="224" t="s">
        <v>2713</v>
      </c>
      <c r="AF144" s="28" t="s">
        <v>1495</v>
      </c>
      <c r="AG144" s="221" t="s">
        <v>2714</v>
      </c>
      <c r="AH144" s="31" t="s">
        <v>2715</v>
      </c>
      <c r="AI144" s="31" t="s">
        <v>2716</v>
      </c>
      <c r="AJ144" s="221" t="s">
        <v>2717</v>
      </c>
      <c r="AK144" s="30" t="s">
        <v>2718</v>
      </c>
      <c r="AL144" s="210"/>
      <c r="AM144" s="210"/>
      <c r="AN144" s="35"/>
      <c r="AO144" s="35" t="s">
        <v>2719</v>
      </c>
      <c r="AP144" s="10">
        <f t="shared" ca="1" si="5"/>
        <v>50</v>
      </c>
      <c r="AQ144" s="35"/>
      <c r="AR144" s="23"/>
      <c r="AS144" s="210"/>
      <c r="AT144" s="210"/>
      <c r="AU144" s="223">
        <v>27378</v>
      </c>
      <c r="AV144" s="31" t="s">
        <v>1352</v>
      </c>
      <c r="AW144" s="31" t="s">
        <v>32</v>
      </c>
      <c r="AX144" s="10">
        <v>1.5</v>
      </c>
      <c r="AY144" s="14" t="s">
        <v>2703</v>
      </c>
      <c r="AZ144" s="30" t="s">
        <v>1373</v>
      </c>
      <c r="BA144" s="23" t="s">
        <v>151</v>
      </c>
      <c r="BB144" s="30" t="s">
        <v>34</v>
      </c>
      <c r="BC144" s="22"/>
    </row>
    <row r="145" spans="1:55" x14ac:dyDescent="0.25">
      <c r="A145" s="10">
        <f t="shared" si="6"/>
        <v>144</v>
      </c>
      <c r="B145" s="10" t="s">
        <v>2720</v>
      </c>
      <c r="C145" s="30" t="s">
        <v>34</v>
      </c>
      <c r="D145" s="65">
        <v>400801</v>
      </c>
      <c r="E145" s="31" t="s">
        <v>36</v>
      </c>
      <c r="F145" s="14" t="s">
        <v>2692</v>
      </c>
      <c r="G145" s="10">
        <v>6</v>
      </c>
      <c r="H145" s="66">
        <v>0.64583333333333337</v>
      </c>
      <c r="I145" s="66">
        <v>0.8125</v>
      </c>
      <c r="J145" s="66">
        <v>0.16666666666666666</v>
      </c>
      <c r="K145" s="21" t="s">
        <v>466</v>
      </c>
      <c r="L145" s="30" t="s">
        <v>1424</v>
      </c>
      <c r="M145" s="30" t="s">
        <v>1355</v>
      </c>
      <c r="N145" s="23" t="s">
        <v>1356</v>
      </c>
      <c r="O145" s="35" t="s">
        <v>1357</v>
      </c>
      <c r="P145" s="161">
        <v>45131</v>
      </c>
      <c r="Q145" s="161">
        <v>45505</v>
      </c>
      <c r="R145" s="161">
        <v>46234</v>
      </c>
      <c r="S145" s="161">
        <v>46235</v>
      </c>
      <c r="T145" s="10">
        <v>2002</v>
      </c>
      <c r="U145" s="30" t="s">
        <v>1242</v>
      </c>
      <c r="V145" s="10">
        <v>2010</v>
      </c>
      <c r="W145" s="14" t="s">
        <v>469</v>
      </c>
      <c r="X145" s="10" t="s">
        <v>1424</v>
      </c>
      <c r="Y145" s="23" t="s">
        <v>1360</v>
      </c>
      <c r="Z145" s="14">
        <v>57882</v>
      </c>
      <c r="AA145" s="35" t="s">
        <v>2721</v>
      </c>
      <c r="AB145" s="161">
        <v>37548</v>
      </c>
      <c r="AC145" s="161">
        <v>55153</v>
      </c>
      <c r="AD145" s="220">
        <v>9830296830</v>
      </c>
      <c r="AE145" s="224" t="s">
        <v>2722</v>
      </c>
      <c r="AF145" s="30" t="s">
        <v>1364</v>
      </c>
      <c r="AG145" s="221" t="s">
        <v>2723</v>
      </c>
      <c r="AH145" s="31" t="s">
        <v>2724</v>
      </c>
      <c r="AI145" s="31" t="s">
        <v>2725</v>
      </c>
      <c r="AJ145" s="221" t="s">
        <v>2726</v>
      </c>
      <c r="AK145" s="30" t="s">
        <v>2727</v>
      </c>
      <c r="AL145" s="210"/>
      <c r="AM145" s="210"/>
      <c r="AN145" s="35"/>
      <c r="AO145" s="35" t="s">
        <v>2728</v>
      </c>
      <c r="AP145" s="10">
        <f t="shared" ca="1" si="5"/>
        <v>49</v>
      </c>
      <c r="AQ145" s="35" t="s">
        <v>2156</v>
      </c>
      <c r="AR145" s="222" t="s">
        <v>2729</v>
      </c>
      <c r="AS145" s="166">
        <v>45914</v>
      </c>
      <c r="AT145" s="166">
        <v>46278</v>
      </c>
      <c r="AU145" s="223">
        <v>28033</v>
      </c>
      <c r="AV145" s="31" t="s">
        <v>1352</v>
      </c>
      <c r="AW145" s="31" t="s">
        <v>32</v>
      </c>
      <c r="AX145" s="10">
        <v>4</v>
      </c>
      <c r="AY145" s="14" t="s">
        <v>2703</v>
      </c>
      <c r="AZ145" s="30" t="s">
        <v>1373</v>
      </c>
      <c r="BA145" s="23" t="s">
        <v>151</v>
      </c>
      <c r="BB145" s="30" t="s">
        <v>34</v>
      </c>
      <c r="BC145" s="22"/>
    </row>
    <row r="146" spans="1:55" x14ac:dyDescent="0.25">
      <c r="A146" s="10">
        <f t="shared" si="6"/>
        <v>145</v>
      </c>
      <c r="B146" s="10" t="s">
        <v>471</v>
      </c>
      <c r="C146" s="30" t="s">
        <v>34</v>
      </c>
      <c r="D146" s="65">
        <v>400803</v>
      </c>
      <c r="E146" s="31" t="s">
        <v>192</v>
      </c>
      <c r="F146" s="14" t="s">
        <v>472</v>
      </c>
      <c r="G146" s="10">
        <v>6</v>
      </c>
      <c r="H146" s="66">
        <v>0.64583333333333337</v>
      </c>
      <c r="I146" s="66">
        <v>0.875</v>
      </c>
      <c r="J146" s="66">
        <v>0.22916666666666666</v>
      </c>
      <c r="K146" s="21" t="s">
        <v>334</v>
      </c>
      <c r="L146" s="30" t="s">
        <v>467</v>
      </c>
      <c r="M146" s="30" t="s">
        <v>26</v>
      </c>
      <c r="N146" s="23" t="s">
        <v>38</v>
      </c>
      <c r="O146" s="23" t="s">
        <v>1321</v>
      </c>
      <c r="P146" s="161">
        <v>45131</v>
      </c>
      <c r="Q146" s="161">
        <v>45931</v>
      </c>
      <c r="R146" s="183">
        <v>46691</v>
      </c>
      <c r="S146" s="183">
        <v>46692</v>
      </c>
      <c r="T146" s="10">
        <v>1996</v>
      </c>
      <c r="U146" s="30" t="s">
        <v>141</v>
      </c>
      <c r="V146" s="10">
        <v>2000</v>
      </c>
      <c r="W146" s="14" t="s">
        <v>473</v>
      </c>
      <c r="X146" s="10" t="s">
        <v>1424</v>
      </c>
      <c r="Y146" s="23" t="s">
        <v>66</v>
      </c>
      <c r="Z146" s="14">
        <v>39914</v>
      </c>
      <c r="AA146" s="23" t="s">
        <v>1841</v>
      </c>
      <c r="AB146" s="161">
        <v>45216</v>
      </c>
      <c r="AC146" s="161">
        <v>47042</v>
      </c>
      <c r="AD146" s="220">
        <v>9391361337</v>
      </c>
      <c r="AE146" s="224" t="s">
        <v>474</v>
      </c>
      <c r="AF146" s="30" t="s">
        <v>1364</v>
      </c>
      <c r="AG146" s="221" t="s">
        <v>2730</v>
      </c>
      <c r="AH146" s="31" t="s">
        <v>2731</v>
      </c>
      <c r="AI146" s="31" t="s">
        <v>2732</v>
      </c>
      <c r="AJ146" s="221" t="s">
        <v>2733</v>
      </c>
      <c r="AK146" s="30" t="s">
        <v>2734</v>
      </c>
      <c r="AL146" s="210"/>
      <c r="AM146" s="210"/>
      <c r="AN146" s="35"/>
      <c r="AO146" s="35" t="s">
        <v>2735</v>
      </c>
      <c r="AP146" s="10">
        <f t="shared" ca="1" si="5"/>
        <v>52</v>
      </c>
      <c r="AQ146" s="35" t="s">
        <v>2736</v>
      </c>
      <c r="AR146" s="23" t="s">
        <v>2737</v>
      </c>
      <c r="AS146" s="210">
        <v>44598</v>
      </c>
      <c r="AT146" s="210">
        <v>46423</v>
      </c>
      <c r="AU146" s="223">
        <v>26799</v>
      </c>
      <c r="AV146" s="31" t="s">
        <v>1352</v>
      </c>
      <c r="AW146" s="31" t="s">
        <v>32</v>
      </c>
      <c r="AX146" s="10">
        <v>5.5</v>
      </c>
      <c r="AY146" s="14" t="s">
        <v>2053</v>
      </c>
      <c r="AZ146" s="30" t="s">
        <v>26</v>
      </c>
      <c r="BA146" s="23" t="s">
        <v>151</v>
      </c>
      <c r="BB146" s="30" t="s">
        <v>34</v>
      </c>
      <c r="BC146" s="22"/>
    </row>
    <row r="147" spans="1:55" x14ac:dyDescent="0.25">
      <c r="A147" s="10">
        <f t="shared" si="6"/>
        <v>146</v>
      </c>
      <c r="B147" s="10" t="s">
        <v>2738</v>
      </c>
      <c r="C147" s="30" t="s">
        <v>34</v>
      </c>
      <c r="D147" s="65">
        <v>400804</v>
      </c>
      <c r="E147" s="31" t="s">
        <v>36</v>
      </c>
      <c r="F147" s="14" t="s">
        <v>2739</v>
      </c>
      <c r="G147" s="10">
        <v>6</v>
      </c>
      <c r="H147" s="66">
        <v>0.70833333333333337</v>
      </c>
      <c r="I147" s="66">
        <v>0.83333333333333337</v>
      </c>
      <c r="J147" s="66">
        <v>0.125</v>
      </c>
      <c r="K147" s="21" t="s">
        <v>466</v>
      </c>
      <c r="L147" s="30" t="s">
        <v>1424</v>
      </c>
      <c r="M147" s="30" t="s">
        <v>2097</v>
      </c>
      <c r="N147" s="23" t="s">
        <v>2098</v>
      </c>
      <c r="O147" s="14" t="s">
        <v>2692</v>
      </c>
      <c r="P147" s="161">
        <v>45131</v>
      </c>
      <c r="Q147" s="161">
        <v>45862</v>
      </c>
      <c r="R147" s="161">
        <v>46591</v>
      </c>
      <c r="S147" s="161">
        <v>46592</v>
      </c>
      <c r="T147" s="10">
        <v>2001</v>
      </c>
      <c r="U147" s="30" t="s">
        <v>2740</v>
      </c>
      <c r="V147" s="10">
        <v>2011</v>
      </c>
      <c r="W147" s="14" t="s">
        <v>2694</v>
      </c>
      <c r="X147" s="10" t="s">
        <v>1424</v>
      </c>
      <c r="Y147" s="35" t="s">
        <v>2099</v>
      </c>
      <c r="Z147" s="14">
        <v>57007</v>
      </c>
      <c r="AA147" s="35" t="s">
        <v>2695</v>
      </c>
      <c r="AB147" s="161">
        <v>37147</v>
      </c>
      <c r="AC147" s="161">
        <v>55153</v>
      </c>
      <c r="AD147" s="220" t="s">
        <v>2741</v>
      </c>
      <c r="AE147" s="224" t="s">
        <v>2742</v>
      </c>
      <c r="AF147" s="28" t="s">
        <v>1495</v>
      </c>
      <c r="AG147" s="221" t="s">
        <v>2743</v>
      </c>
      <c r="AH147" s="31" t="s">
        <v>2744</v>
      </c>
      <c r="AI147" s="31" t="s">
        <v>2745</v>
      </c>
      <c r="AJ147" s="221" t="s">
        <v>2746</v>
      </c>
      <c r="AK147" s="30" t="s">
        <v>2747</v>
      </c>
      <c r="AL147" s="210"/>
      <c r="AM147" s="210"/>
      <c r="AN147" s="35"/>
      <c r="AO147" s="35" t="s">
        <v>2748</v>
      </c>
      <c r="AP147" s="10">
        <f t="shared" ca="1" si="5"/>
        <v>48</v>
      </c>
      <c r="AQ147" s="35"/>
      <c r="AR147" s="23"/>
      <c r="AS147" s="210"/>
      <c r="AT147" s="210"/>
      <c r="AU147" s="223">
        <v>28301</v>
      </c>
      <c r="AV147" s="31" t="s">
        <v>1352</v>
      </c>
      <c r="AW147" s="31" t="s">
        <v>32</v>
      </c>
      <c r="AX147" s="10">
        <v>3</v>
      </c>
      <c r="AY147" s="14" t="s">
        <v>2703</v>
      </c>
      <c r="AZ147" s="30" t="s">
        <v>1373</v>
      </c>
      <c r="BA147" s="23" t="s">
        <v>151</v>
      </c>
      <c r="BB147" s="30" t="s">
        <v>34</v>
      </c>
      <c r="BC147" s="22"/>
    </row>
    <row r="148" spans="1:55" x14ac:dyDescent="0.25">
      <c r="A148" s="10">
        <f t="shared" si="6"/>
        <v>147</v>
      </c>
      <c r="B148" s="10" t="s">
        <v>475</v>
      </c>
      <c r="C148" s="30" t="s">
        <v>34</v>
      </c>
      <c r="D148" s="65">
        <v>400819</v>
      </c>
      <c r="E148" s="31" t="s">
        <v>42</v>
      </c>
      <c r="F148" s="14" t="s">
        <v>476</v>
      </c>
      <c r="G148" s="10">
        <v>6</v>
      </c>
      <c r="H148" s="66">
        <v>0.39583333333333331</v>
      </c>
      <c r="I148" s="66">
        <v>0.54166666666666663</v>
      </c>
      <c r="J148" s="66">
        <v>0.14583333333333334</v>
      </c>
      <c r="K148" s="21" t="s">
        <v>477</v>
      </c>
      <c r="L148" s="30" t="s">
        <v>478</v>
      </c>
      <c r="M148" s="30" t="s">
        <v>26</v>
      </c>
      <c r="N148" s="23" t="s">
        <v>38</v>
      </c>
      <c r="O148" s="23" t="s">
        <v>1321</v>
      </c>
      <c r="P148" s="161">
        <v>45141</v>
      </c>
      <c r="Q148" s="161">
        <v>45231</v>
      </c>
      <c r="R148" s="161">
        <v>45961</v>
      </c>
      <c r="S148" s="161">
        <v>45962</v>
      </c>
      <c r="T148" s="10">
        <v>2014</v>
      </c>
      <c r="U148" s="30" t="s">
        <v>479</v>
      </c>
      <c r="V148" s="10">
        <v>2021</v>
      </c>
      <c r="W148" s="14" t="s">
        <v>480</v>
      </c>
      <c r="X148" s="10" t="s">
        <v>1424</v>
      </c>
      <c r="Y148" s="35" t="s">
        <v>49</v>
      </c>
      <c r="Z148" s="14" t="s">
        <v>2749</v>
      </c>
      <c r="AA148" s="23" t="s">
        <v>1841</v>
      </c>
      <c r="AB148" s="161">
        <v>44944</v>
      </c>
      <c r="AC148" s="161">
        <v>46769</v>
      </c>
      <c r="AD148" s="220">
        <v>8686680108</v>
      </c>
      <c r="AE148" s="224" t="s">
        <v>481</v>
      </c>
      <c r="AF148" s="30" t="s">
        <v>1430</v>
      </c>
      <c r="AG148" s="221" t="s">
        <v>2750</v>
      </c>
      <c r="AH148" s="31" t="s">
        <v>2751</v>
      </c>
      <c r="AI148" s="31" t="s">
        <v>2752</v>
      </c>
      <c r="AJ148" s="221" t="s">
        <v>2753</v>
      </c>
      <c r="AK148" s="30" t="s">
        <v>2754</v>
      </c>
      <c r="AL148" s="210"/>
      <c r="AM148" s="210"/>
      <c r="AN148" s="35"/>
      <c r="AO148" s="35" t="s">
        <v>2755</v>
      </c>
      <c r="AP148" s="10">
        <f t="shared" ca="1" si="5"/>
        <v>36</v>
      </c>
      <c r="AQ148" s="35"/>
      <c r="AR148" s="23"/>
      <c r="AS148" s="210"/>
      <c r="AT148" s="210"/>
      <c r="AU148" s="223">
        <v>32780</v>
      </c>
      <c r="AV148" s="31" t="s">
        <v>1352</v>
      </c>
      <c r="AW148" s="31" t="s">
        <v>32</v>
      </c>
      <c r="AX148" s="10">
        <v>3.5</v>
      </c>
      <c r="AY148" s="14" t="s">
        <v>2053</v>
      </c>
      <c r="AZ148" s="30" t="s">
        <v>26</v>
      </c>
      <c r="BA148" s="23" t="s">
        <v>151</v>
      </c>
      <c r="BB148" s="30" t="s">
        <v>34</v>
      </c>
      <c r="BC148" s="22"/>
    </row>
    <row r="149" spans="1:55" x14ac:dyDescent="0.25">
      <c r="A149" s="10">
        <f t="shared" si="6"/>
        <v>148</v>
      </c>
      <c r="B149" s="10" t="s">
        <v>2756</v>
      </c>
      <c r="C149" s="30" t="s">
        <v>34</v>
      </c>
      <c r="D149" s="65">
        <v>400820</v>
      </c>
      <c r="E149" s="31" t="s">
        <v>36</v>
      </c>
      <c r="F149" s="14" t="s">
        <v>2757</v>
      </c>
      <c r="G149" s="10">
        <v>6</v>
      </c>
      <c r="H149" s="66">
        <v>0.75</v>
      </c>
      <c r="I149" s="66">
        <v>0.83333333333333337</v>
      </c>
      <c r="J149" s="66">
        <v>8.3333333333333329E-2</v>
      </c>
      <c r="K149" s="21" t="s">
        <v>784</v>
      </c>
      <c r="L149" s="30" t="s">
        <v>1424</v>
      </c>
      <c r="M149" s="30" t="s">
        <v>1544</v>
      </c>
      <c r="N149" s="23" t="s">
        <v>2712</v>
      </c>
      <c r="O149" s="14" t="s">
        <v>2254</v>
      </c>
      <c r="P149" s="161">
        <v>45141</v>
      </c>
      <c r="Q149" s="161">
        <v>45872</v>
      </c>
      <c r="R149" s="161">
        <v>46601</v>
      </c>
      <c r="S149" s="161">
        <v>46602</v>
      </c>
      <c r="T149" s="10">
        <v>2013</v>
      </c>
      <c r="U149" s="30" t="s">
        <v>2758</v>
      </c>
      <c r="V149" s="10">
        <v>2020</v>
      </c>
      <c r="W149" s="14" t="s">
        <v>2759</v>
      </c>
      <c r="X149" s="10" t="s">
        <v>1424</v>
      </c>
      <c r="Y149" s="35" t="s">
        <v>1549</v>
      </c>
      <c r="Z149" s="14" t="s">
        <v>2760</v>
      </c>
      <c r="AA149" s="35" t="s">
        <v>1886</v>
      </c>
      <c r="AB149" s="161">
        <v>44873</v>
      </c>
      <c r="AC149" s="161">
        <v>46698</v>
      </c>
      <c r="AD149" s="220">
        <v>9573743276</v>
      </c>
      <c r="AE149" s="224" t="s">
        <v>2761</v>
      </c>
      <c r="AF149" s="30" t="s">
        <v>1410</v>
      </c>
      <c r="AG149" s="221" t="s">
        <v>2762</v>
      </c>
      <c r="AH149" s="31" t="s">
        <v>2763</v>
      </c>
      <c r="AI149" s="31" t="s">
        <v>2764</v>
      </c>
      <c r="AJ149" s="221" t="s">
        <v>2765</v>
      </c>
      <c r="AK149" s="30" t="s">
        <v>2766</v>
      </c>
      <c r="AL149" s="210"/>
      <c r="AM149" s="210"/>
      <c r="AN149" s="35"/>
      <c r="AO149" s="35" t="s">
        <v>2767</v>
      </c>
      <c r="AP149" s="10">
        <f t="shared" ca="1" si="5"/>
        <v>35</v>
      </c>
      <c r="AQ149" s="35" t="s">
        <v>1605</v>
      </c>
      <c r="AR149" s="222" t="s">
        <v>2768</v>
      </c>
      <c r="AS149" s="210">
        <v>45925</v>
      </c>
      <c r="AT149" s="210">
        <v>46289</v>
      </c>
      <c r="AU149" s="223">
        <v>32831</v>
      </c>
      <c r="AV149" s="31" t="s">
        <v>1352</v>
      </c>
      <c r="AW149" s="31" t="s">
        <v>32</v>
      </c>
      <c r="AX149" s="10">
        <v>2</v>
      </c>
      <c r="AY149" s="14" t="s">
        <v>2262</v>
      </c>
      <c r="AZ149" s="30" t="s">
        <v>1373</v>
      </c>
      <c r="BA149" s="23" t="s">
        <v>151</v>
      </c>
      <c r="BB149" s="30" t="s">
        <v>34</v>
      </c>
      <c r="BC149" s="22"/>
    </row>
    <row r="150" spans="1:55" x14ac:dyDescent="0.25">
      <c r="A150" s="10">
        <f t="shared" si="6"/>
        <v>149</v>
      </c>
      <c r="B150" s="10" t="s">
        <v>482</v>
      </c>
      <c r="C150" s="30" t="s">
        <v>34</v>
      </c>
      <c r="D150" s="65">
        <v>400832</v>
      </c>
      <c r="E150" s="31" t="s">
        <v>36</v>
      </c>
      <c r="F150" s="14" t="s">
        <v>483</v>
      </c>
      <c r="G150" s="10">
        <v>6</v>
      </c>
      <c r="H150" s="66">
        <v>0.35416666666666669</v>
      </c>
      <c r="I150" s="66">
        <v>0.6875</v>
      </c>
      <c r="J150" s="66">
        <v>0.33333333333333331</v>
      </c>
      <c r="K150" s="21" t="s">
        <v>484</v>
      </c>
      <c r="L150" s="30" t="s">
        <v>485</v>
      </c>
      <c r="M150" s="30" t="s">
        <v>26</v>
      </c>
      <c r="N150" s="23" t="s">
        <v>38</v>
      </c>
      <c r="O150" s="23" t="s">
        <v>1321</v>
      </c>
      <c r="P150" s="161">
        <v>45161</v>
      </c>
      <c r="Q150" s="161">
        <v>45892</v>
      </c>
      <c r="R150" s="161">
        <v>46621</v>
      </c>
      <c r="S150" s="161">
        <v>46622</v>
      </c>
      <c r="T150" s="10">
        <v>2019</v>
      </c>
      <c r="U150" s="30" t="s">
        <v>486</v>
      </c>
      <c r="V150" s="10">
        <v>2023</v>
      </c>
      <c r="W150" s="14" t="s">
        <v>487</v>
      </c>
      <c r="X150" s="31" t="s">
        <v>30</v>
      </c>
      <c r="Y150" s="35" t="s">
        <v>49</v>
      </c>
      <c r="Z150" s="14" t="s">
        <v>2769</v>
      </c>
      <c r="AA150" s="35" t="s">
        <v>1886</v>
      </c>
      <c r="AB150" s="161">
        <v>45677</v>
      </c>
      <c r="AC150" s="161">
        <v>47502</v>
      </c>
      <c r="AD150" s="220">
        <v>9573599855</v>
      </c>
      <c r="AE150" s="224" t="s">
        <v>488</v>
      </c>
      <c r="AF150" s="28" t="s">
        <v>1495</v>
      </c>
      <c r="AG150" s="221" t="s">
        <v>2770</v>
      </c>
      <c r="AH150" s="31" t="s">
        <v>2771</v>
      </c>
      <c r="AI150" s="31" t="s">
        <v>2772</v>
      </c>
      <c r="AJ150" s="221" t="s">
        <v>2773</v>
      </c>
      <c r="AK150" s="30" t="s">
        <v>2774</v>
      </c>
      <c r="AL150" s="210"/>
      <c r="AM150" s="210"/>
      <c r="AN150" s="35"/>
      <c r="AO150" s="35" t="s">
        <v>2775</v>
      </c>
      <c r="AP150" s="10">
        <f t="shared" ca="1" si="5"/>
        <v>30</v>
      </c>
      <c r="AQ150" s="35"/>
      <c r="AR150" s="23"/>
      <c r="AS150" s="210"/>
      <c r="AT150" s="210"/>
      <c r="AU150" s="223">
        <v>35005</v>
      </c>
      <c r="AV150" s="31" t="s">
        <v>1389</v>
      </c>
      <c r="AW150" s="31" t="s">
        <v>68</v>
      </c>
      <c r="AX150" s="10">
        <v>8</v>
      </c>
      <c r="AY150" s="14" t="s">
        <v>1920</v>
      </c>
      <c r="AZ150" s="30" t="s">
        <v>26</v>
      </c>
      <c r="BA150" s="23" t="s">
        <v>151</v>
      </c>
      <c r="BB150" s="30" t="s">
        <v>34</v>
      </c>
      <c r="BC150" s="22"/>
    </row>
    <row r="151" spans="1:55" x14ac:dyDescent="0.25">
      <c r="A151" s="10">
        <f t="shared" si="6"/>
        <v>150</v>
      </c>
      <c r="B151" s="55" t="s">
        <v>2776</v>
      </c>
      <c r="C151" s="594" t="s">
        <v>1407</v>
      </c>
      <c r="D151" s="78">
        <v>400862</v>
      </c>
      <c r="E151" s="54" t="s">
        <v>36</v>
      </c>
      <c r="F151" s="48" t="s">
        <v>2777</v>
      </c>
      <c r="G151" s="55">
        <v>6</v>
      </c>
      <c r="H151" s="77">
        <v>0.70833333333333337</v>
      </c>
      <c r="I151" s="77">
        <v>0.83333333333333337</v>
      </c>
      <c r="J151" s="77">
        <v>0.125</v>
      </c>
      <c r="K151" s="51" t="s">
        <v>587</v>
      </c>
      <c r="L151" s="51" t="s">
        <v>1424</v>
      </c>
      <c r="M151" s="56" t="s">
        <v>2097</v>
      </c>
      <c r="N151" s="52" t="s">
        <v>2098</v>
      </c>
      <c r="O151" s="48" t="s">
        <v>2279</v>
      </c>
      <c r="P151" s="238">
        <v>45215</v>
      </c>
      <c r="Q151" s="238">
        <v>45215</v>
      </c>
      <c r="R151" s="238">
        <v>45945</v>
      </c>
      <c r="S151" s="238">
        <v>45946</v>
      </c>
      <c r="T151" s="55">
        <v>2015</v>
      </c>
      <c r="U151" s="56" t="s">
        <v>141</v>
      </c>
      <c r="V151" s="55">
        <v>2021</v>
      </c>
      <c r="W151" s="48" t="s">
        <v>2778</v>
      </c>
      <c r="X151" s="54" t="s">
        <v>30</v>
      </c>
      <c r="Y151" s="51" t="s">
        <v>2099</v>
      </c>
      <c r="Z151" s="48" t="s">
        <v>2779</v>
      </c>
      <c r="AA151" s="52" t="s">
        <v>1841</v>
      </c>
      <c r="AB151" s="238">
        <v>44928</v>
      </c>
      <c r="AC151" s="238">
        <v>46753</v>
      </c>
      <c r="AD151" s="239">
        <v>8978745545</v>
      </c>
      <c r="AE151" s="240" t="s">
        <v>2780</v>
      </c>
      <c r="AF151" s="56" t="s">
        <v>1640</v>
      </c>
      <c r="AG151" s="198" t="s">
        <v>2781</v>
      </c>
      <c r="AH151" s="54" t="s">
        <v>2782</v>
      </c>
      <c r="AI151" s="54" t="s">
        <v>2783</v>
      </c>
      <c r="AJ151" s="198" t="s">
        <v>2784</v>
      </c>
      <c r="AK151" s="56" t="s">
        <v>2785</v>
      </c>
      <c r="AL151" s="199">
        <v>45945</v>
      </c>
      <c r="AM151" s="199" t="s">
        <v>30</v>
      </c>
      <c r="AN151" s="51" t="s">
        <v>2786</v>
      </c>
      <c r="AO151" s="51" t="s">
        <v>2787</v>
      </c>
      <c r="AP151" s="55">
        <f t="shared" ca="1" si="5"/>
        <v>34</v>
      </c>
      <c r="AQ151" s="51"/>
      <c r="AR151" s="52"/>
      <c r="AS151" s="199"/>
      <c r="AT151" s="199"/>
      <c r="AU151" s="242">
        <v>33321</v>
      </c>
      <c r="AV151" s="54" t="s">
        <v>1389</v>
      </c>
      <c r="AW151" s="54" t="s">
        <v>32</v>
      </c>
      <c r="AX151" s="55">
        <v>3</v>
      </c>
      <c r="AY151" s="48" t="s">
        <v>2053</v>
      </c>
      <c r="AZ151" s="56" t="s">
        <v>1373</v>
      </c>
      <c r="BA151" s="52" t="s">
        <v>151</v>
      </c>
      <c r="BB151" s="56" t="s">
        <v>1407</v>
      </c>
      <c r="BC151" s="53"/>
    </row>
    <row r="152" spans="1:55" x14ac:dyDescent="0.25">
      <c r="A152" s="10">
        <f t="shared" si="6"/>
        <v>151</v>
      </c>
      <c r="B152" s="10" t="s">
        <v>489</v>
      </c>
      <c r="C152" s="30" t="s">
        <v>34</v>
      </c>
      <c r="D152" s="65">
        <v>400864</v>
      </c>
      <c r="E152" s="31" t="s">
        <v>36</v>
      </c>
      <c r="F152" s="14" t="s">
        <v>490</v>
      </c>
      <c r="G152" s="10">
        <v>6</v>
      </c>
      <c r="H152" s="66">
        <v>0.75</v>
      </c>
      <c r="I152" s="66">
        <v>0.875</v>
      </c>
      <c r="J152" s="66">
        <v>0.125</v>
      </c>
      <c r="K152" s="21" t="s">
        <v>207</v>
      </c>
      <c r="L152" s="30" t="s">
        <v>491</v>
      </c>
      <c r="M152" s="30" t="s">
        <v>26</v>
      </c>
      <c r="N152" s="23" t="s">
        <v>38</v>
      </c>
      <c r="O152" s="23" t="s">
        <v>1321</v>
      </c>
      <c r="P152" s="161">
        <v>45215</v>
      </c>
      <c r="Q152" s="161">
        <v>45946</v>
      </c>
      <c r="R152" s="161">
        <v>46675</v>
      </c>
      <c r="S152" s="161">
        <v>46676</v>
      </c>
      <c r="T152" s="10">
        <v>2010</v>
      </c>
      <c r="U152" s="30" t="s">
        <v>492</v>
      </c>
      <c r="V152" s="10">
        <v>2017</v>
      </c>
      <c r="W152" s="14" t="s">
        <v>493</v>
      </c>
      <c r="X152" s="31" t="s">
        <v>30</v>
      </c>
      <c r="Y152" s="35" t="s">
        <v>49</v>
      </c>
      <c r="Z152" s="14">
        <v>67175</v>
      </c>
      <c r="AA152" s="35" t="s">
        <v>1886</v>
      </c>
      <c r="AB152" s="161">
        <v>44949</v>
      </c>
      <c r="AC152" s="161">
        <v>46774</v>
      </c>
      <c r="AD152" s="220">
        <v>8106067386</v>
      </c>
      <c r="AE152" s="224" t="s">
        <v>494</v>
      </c>
      <c r="AF152" s="30" t="s">
        <v>1430</v>
      </c>
      <c r="AG152" s="221" t="s">
        <v>2788</v>
      </c>
      <c r="AH152" s="31" t="s">
        <v>2008</v>
      </c>
      <c r="AI152" s="31" t="s">
        <v>2789</v>
      </c>
      <c r="AJ152" s="221" t="s">
        <v>2790</v>
      </c>
      <c r="AK152" s="30" t="s">
        <v>2791</v>
      </c>
      <c r="AL152" s="210"/>
      <c r="AM152" s="210"/>
      <c r="AN152" s="35"/>
      <c r="AO152" s="35" t="s">
        <v>2792</v>
      </c>
      <c r="AP152" s="10">
        <f t="shared" ca="1" si="5"/>
        <v>39</v>
      </c>
      <c r="AQ152" s="35" t="s">
        <v>1605</v>
      </c>
      <c r="AR152" s="222" t="s">
        <v>2793</v>
      </c>
      <c r="AS152" s="182">
        <v>45865</v>
      </c>
      <c r="AT152" s="182">
        <v>46229</v>
      </c>
      <c r="AU152" s="223">
        <v>31633</v>
      </c>
      <c r="AV152" s="31" t="s">
        <v>1389</v>
      </c>
      <c r="AW152" s="31" t="s">
        <v>32</v>
      </c>
      <c r="AX152" s="10">
        <v>3</v>
      </c>
      <c r="AY152" s="14" t="s">
        <v>1920</v>
      </c>
      <c r="AZ152" s="30" t="s">
        <v>26</v>
      </c>
      <c r="BA152" s="23" t="s">
        <v>151</v>
      </c>
      <c r="BB152" s="30" t="s">
        <v>34</v>
      </c>
      <c r="BC152" s="22"/>
    </row>
    <row r="153" spans="1:55" x14ac:dyDescent="0.25">
      <c r="A153" s="10">
        <f t="shared" si="6"/>
        <v>152</v>
      </c>
      <c r="B153" s="10" t="s">
        <v>495</v>
      </c>
      <c r="C153" s="30" t="s">
        <v>34</v>
      </c>
      <c r="D153" s="65">
        <v>401041</v>
      </c>
      <c r="E153" s="31" t="s">
        <v>36</v>
      </c>
      <c r="F153" s="14" t="s">
        <v>496</v>
      </c>
      <c r="G153" s="64">
        <v>6</v>
      </c>
      <c r="H153" s="66">
        <v>0.33333333333333331</v>
      </c>
      <c r="I153" s="66">
        <v>0.4375</v>
      </c>
      <c r="J153" s="66">
        <v>0.10416666666666667</v>
      </c>
      <c r="K153" s="21" t="s">
        <v>497</v>
      </c>
      <c r="L153" s="30" t="s">
        <v>498</v>
      </c>
      <c r="M153" s="30" t="s">
        <v>26</v>
      </c>
      <c r="N153" s="23" t="s">
        <v>38</v>
      </c>
      <c r="O153" s="23" t="s">
        <v>1321</v>
      </c>
      <c r="P153" s="258" t="s">
        <v>2794</v>
      </c>
      <c r="Q153" s="161">
        <v>45505</v>
      </c>
      <c r="R153" s="161">
        <v>46234</v>
      </c>
      <c r="S153" s="161">
        <v>46235</v>
      </c>
      <c r="T153" s="10">
        <v>2012</v>
      </c>
      <c r="U153" s="30" t="s">
        <v>197</v>
      </c>
      <c r="V153" s="10">
        <v>2016</v>
      </c>
      <c r="W153" s="35" t="s">
        <v>499</v>
      </c>
      <c r="X153" s="31" t="s">
        <v>30</v>
      </c>
      <c r="Y153" s="35" t="s">
        <v>49</v>
      </c>
      <c r="Z153" s="14" t="s">
        <v>2795</v>
      </c>
      <c r="AA153" s="23" t="s">
        <v>1841</v>
      </c>
      <c r="AB153" s="161">
        <v>45130</v>
      </c>
      <c r="AC153" s="161">
        <v>46956</v>
      </c>
      <c r="AD153" s="220">
        <v>9573111663</v>
      </c>
      <c r="AE153" s="224" t="s">
        <v>500</v>
      </c>
      <c r="AF153" s="30" t="s">
        <v>1410</v>
      </c>
      <c r="AG153" s="221" t="s">
        <v>2796</v>
      </c>
      <c r="AH153" s="31" t="s">
        <v>2797</v>
      </c>
      <c r="AI153" s="31" t="s">
        <v>2798</v>
      </c>
      <c r="AJ153" s="221" t="s">
        <v>2799</v>
      </c>
      <c r="AK153" s="30" t="s">
        <v>2800</v>
      </c>
      <c r="AL153" s="210"/>
      <c r="AM153" s="210"/>
      <c r="AN153" s="35"/>
      <c r="AO153" s="35" t="s">
        <v>2801</v>
      </c>
      <c r="AP153" s="10">
        <f t="shared" ca="1" si="5"/>
        <v>36</v>
      </c>
      <c r="AQ153" s="30" t="s">
        <v>1605</v>
      </c>
      <c r="AR153" s="14" t="s">
        <v>2802</v>
      </c>
      <c r="AS153" s="210">
        <v>45836</v>
      </c>
      <c r="AT153" s="210">
        <v>46931</v>
      </c>
      <c r="AU153" s="223">
        <v>32662</v>
      </c>
      <c r="AV153" s="31" t="s">
        <v>1352</v>
      </c>
      <c r="AW153" s="31" t="s">
        <v>32</v>
      </c>
      <c r="AX153" s="10">
        <v>2.5</v>
      </c>
      <c r="AY153" s="14" t="s">
        <v>2068</v>
      </c>
      <c r="AZ153" s="30" t="s">
        <v>26</v>
      </c>
      <c r="BA153" s="23" t="s">
        <v>151</v>
      </c>
      <c r="BB153" s="30" t="s">
        <v>34</v>
      </c>
      <c r="BC153" s="22"/>
    </row>
    <row r="154" spans="1:55" x14ac:dyDescent="0.25">
      <c r="A154" s="10">
        <f t="shared" si="6"/>
        <v>153</v>
      </c>
      <c r="B154" s="10" t="s">
        <v>2803</v>
      </c>
      <c r="C154" s="30" t="s">
        <v>34</v>
      </c>
      <c r="D154" s="65">
        <v>400877</v>
      </c>
      <c r="E154" s="31" t="s">
        <v>36</v>
      </c>
      <c r="F154" s="14" t="s">
        <v>2804</v>
      </c>
      <c r="G154" s="10">
        <v>6</v>
      </c>
      <c r="H154" s="66">
        <v>0.33333333333333331</v>
      </c>
      <c r="I154" s="66">
        <v>0.875</v>
      </c>
      <c r="J154" s="68">
        <v>8.3333333333333329E-2</v>
      </c>
      <c r="K154" s="21" t="s">
        <v>314</v>
      </c>
      <c r="L154" s="30" t="s">
        <v>1424</v>
      </c>
      <c r="M154" s="30" t="s">
        <v>1544</v>
      </c>
      <c r="N154" s="23" t="s">
        <v>2712</v>
      </c>
      <c r="O154" s="14" t="s">
        <v>2805</v>
      </c>
      <c r="P154" s="161">
        <v>45246</v>
      </c>
      <c r="Q154" s="161">
        <v>45246</v>
      </c>
      <c r="R154" s="161">
        <v>45976</v>
      </c>
      <c r="S154" s="161">
        <v>45977</v>
      </c>
      <c r="T154" s="10">
        <v>2011</v>
      </c>
      <c r="U154" s="30" t="s">
        <v>223</v>
      </c>
      <c r="V154" s="10">
        <v>2017</v>
      </c>
      <c r="W154" s="14" t="s">
        <v>223</v>
      </c>
      <c r="X154" s="31" t="s">
        <v>30</v>
      </c>
      <c r="Y154" s="35" t="s">
        <v>1549</v>
      </c>
      <c r="Z154" s="14">
        <v>96151</v>
      </c>
      <c r="AA154" s="35" t="s">
        <v>1560</v>
      </c>
      <c r="AB154" s="161">
        <v>44943</v>
      </c>
      <c r="AC154" s="161">
        <v>46769</v>
      </c>
      <c r="AD154" s="220">
        <v>9880024606</v>
      </c>
      <c r="AE154" s="224" t="s">
        <v>2806</v>
      </c>
      <c r="AF154" s="28" t="s">
        <v>1495</v>
      </c>
      <c r="AG154" s="221" t="s">
        <v>2807</v>
      </c>
      <c r="AH154" s="31" t="s">
        <v>2808</v>
      </c>
      <c r="AI154" s="31" t="s">
        <v>2809</v>
      </c>
      <c r="AJ154" s="221" t="s">
        <v>2810</v>
      </c>
      <c r="AK154" s="30" t="s">
        <v>2811</v>
      </c>
      <c r="AL154" s="210"/>
      <c r="AM154" s="210"/>
      <c r="AN154" s="35"/>
      <c r="AO154" s="35" t="s">
        <v>2812</v>
      </c>
      <c r="AP154" s="10">
        <f t="shared" ca="1" si="5"/>
        <v>37</v>
      </c>
      <c r="AQ154" s="35"/>
      <c r="AR154" s="23"/>
      <c r="AS154" s="210"/>
      <c r="AT154" s="210"/>
      <c r="AU154" s="223">
        <v>32438</v>
      </c>
      <c r="AV154" s="31" t="s">
        <v>1389</v>
      </c>
      <c r="AW154" s="31" t="s">
        <v>32</v>
      </c>
      <c r="AX154" s="10">
        <v>2</v>
      </c>
      <c r="AY154" s="14" t="s">
        <v>2270</v>
      </c>
      <c r="AZ154" s="30" t="s">
        <v>1373</v>
      </c>
      <c r="BA154" s="23" t="s">
        <v>151</v>
      </c>
      <c r="BB154" s="30" t="s">
        <v>34</v>
      </c>
      <c r="BC154" s="22"/>
    </row>
    <row r="155" spans="1:55" x14ac:dyDescent="0.25">
      <c r="A155" s="10">
        <f t="shared" si="6"/>
        <v>154</v>
      </c>
      <c r="B155" s="55" t="s">
        <v>2813</v>
      </c>
      <c r="C155" s="56" t="s">
        <v>34</v>
      </c>
      <c r="D155" s="78">
        <v>400878</v>
      </c>
      <c r="E155" s="54" t="s">
        <v>36</v>
      </c>
      <c r="F155" s="48" t="s">
        <v>2814</v>
      </c>
      <c r="G155" s="55">
        <v>6</v>
      </c>
      <c r="H155" s="77">
        <v>0.33333333333333331</v>
      </c>
      <c r="I155" s="77">
        <v>0.875</v>
      </c>
      <c r="J155" s="90">
        <v>0.125</v>
      </c>
      <c r="K155" s="51" t="s">
        <v>314</v>
      </c>
      <c r="L155" s="51" t="s">
        <v>1424</v>
      </c>
      <c r="M155" s="56" t="s">
        <v>2097</v>
      </c>
      <c r="N155" s="52" t="s">
        <v>2098</v>
      </c>
      <c r="O155" s="48" t="s">
        <v>2805</v>
      </c>
      <c r="P155" s="238">
        <v>45251</v>
      </c>
      <c r="Q155" s="238">
        <v>45251</v>
      </c>
      <c r="R155" s="238">
        <v>45981</v>
      </c>
      <c r="S155" s="238">
        <v>45982</v>
      </c>
      <c r="T155" s="55">
        <v>1998</v>
      </c>
      <c r="U155" s="56" t="s">
        <v>2815</v>
      </c>
      <c r="V155" s="55">
        <v>2004</v>
      </c>
      <c r="W155" s="48" t="s">
        <v>2816</v>
      </c>
      <c r="X155" s="54" t="s">
        <v>30</v>
      </c>
      <c r="Y155" s="51" t="s">
        <v>2099</v>
      </c>
      <c r="Z155" s="48">
        <v>49661</v>
      </c>
      <c r="AA155" s="51" t="s">
        <v>1560</v>
      </c>
      <c r="AB155" s="238">
        <v>44617</v>
      </c>
      <c r="AC155" s="238">
        <v>46442</v>
      </c>
      <c r="AD155" s="239">
        <v>8197694005</v>
      </c>
      <c r="AE155" s="240" t="s">
        <v>2817</v>
      </c>
      <c r="AF155" s="56" t="s">
        <v>2284</v>
      </c>
      <c r="AG155" s="198" t="s">
        <v>2818</v>
      </c>
      <c r="AH155" s="54" t="s">
        <v>2819</v>
      </c>
      <c r="AI155" s="54" t="s">
        <v>2820</v>
      </c>
      <c r="AJ155" s="198" t="s">
        <v>2821</v>
      </c>
      <c r="AK155" s="56" t="s">
        <v>2822</v>
      </c>
      <c r="AL155" s="199">
        <v>45981</v>
      </c>
      <c r="AM155" s="199" t="s">
        <v>30</v>
      </c>
      <c r="AN155" s="51" t="s">
        <v>2786</v>
      </c>
      <c r="AO155" s="51" t="s">
        <v>2823</v>
      </c>
      <c r="AP155" s="55">
        <f t="shared" ca="1" si="5"/>
        <v>53</v>
      </c>
      <c r="AQ155" s="202" t="s">
        <v>1677</v>
      </c>
      <c r="AR155" s="241" t="s">
        <v>2824</v>
      </c>
      <c r="AS155" s="196">
        <v>45943</v>
      </c>
      <c r="AT155" s="196">
        <v>46307</v>
      </c>
      <c r="AU155" s="242">
        <v>26394</v>
      </c>
      <c r="AV155" s="54" t="s">
        <v>1352</v>
      </c>
      <c r="AW155" s="54" t="s">
        <v>32</v>
      </c>
      <c r="AX155" s="55">
        <v>3</v>
      </c>
      <c r="AY155" s="48" t="s">
        <v>2270</v>
      </c>
      <c r="AZ155" s="56" t="s">
        <v>1373</v>
      </c>
      <c r="BA155" s="52" t="s">
        <v>151</v>
      </c>
      <c r="BB155" s="56" t="s">
        <v>34</v>
      </c>
      <c r="BC155" s="53"/>
    </row>
    <row r="156" spans="1:55" x14ac:dyDescent="0.25">
      <c r="A156" s="10">
        <f t="shared" si="6"/>
        <v>155</v>
      </c>
      <c r="B156" s="10" t="s">
        <v>2825</v>
      </c>
      <c r="C156" s="30" t="s">
        <v>34</v>
      </c>
      <c r="D156" s="65">
        <v>400886</v>
      </c>
      <c r="E156" s="31" t="s">
        <v>36</v>
      </c>
      <c r="F156" s="14" t="s">
        <v>2826</v>
      </c>
      <c r="G156" s="10">
        <v>6</v>
      </c>
      <c r="H156" s="66">
        <v>0.75</v>
      </c>
      <c r="I156" s="66">
        <v>0.875</v>
      </c>
      <c r="J156" s="66">
        <v>0.125</v>
      </c>
      <c r="K156" s="21" t="s">
        <v>314</v>
      </c>
      <c r="L156" s="30" t="s">
        <v>1424</v>
      </c>
      <c r="M156" s="30" t="s">
        <v>1355</v>
      </c>
      <c r="N156" s="23" t="s">
        <v>1520</v>
      </c>
      <c r="O156" s="14" t="s">
        <v>2805</v>
      </c>
      <c r="P156" s="161">
        <v>45257</v>
      </c>
      <c r="Q156" s="161">
        <v>45257</v>
      </c>
      <c r="R156" s="161">
        <v>45987</v>
      </c>
      <c r="S156" s="161">
        <v>45988</v>
      </c>
      <c r="T156" s="10">
        <v>2011</v>
      </c>
      <c r="U156" s="30" t="s">
        <v>2827</v>
      </c>
      <c r="V156" s="10">
        <v>2017</v>
      </c>
      <c r="W156" s="14" t="s">
        <v>175</v>
      </c>
      <c r="X156" s="31" t="s">
        <v>30</v>
      </c>
      <c r="Y156" s="23" t="s">
        <v>1360</v>
      </c>
      <c r="Z156" s="14">
        <v>97220</v>
      </c>
      <c r="AA156" s="35" t="s">
        <v>1560</v>
      </c>
      <c r="AB156" s="161">
        <v>44804</v>
      </c>
      <c r="AC156" s="161">
        <v>46630</v>
      </c>
      <c r="AD156" s="220">
        <v>9620159390</v>
      </c>
      <c r="AE156" s="224" t="s">
        <v>2828</v>
      </c>
      <c r="AF156" s="30" t="s">
        <v>2284</v>
      </c>
      <c r="AG156" s="221" t="s">
        <v>2829</v>
      </c>
      <c r="AH156" s="31" t="s">
        <v>2819</v>
      </c>
      <c r="AI156" s="31" t="s">
        <v>2830</v>
      </c>
      <c r="AJ156" s="221" t="s">
        <v>2831</v>
      </c>
      <c r="AK156" s="30" t="e">
        <f>VLOOKUP(D156,[1]Sheet1!#REF!,6,0)</f>
        <v>#REF!</v>
      </c>
      <c r="AL156" s="210"/>
      <c r="AM156" s="210"/>
      <c r="AN156" s="35"/>
      <c r="AO156" s="35" t="s">
        <v>2832</v>
      </c>
      <c r="AP156" s="10">
        <f t="shared" ca="1" si="5"/>
        <v>36</v>
      </c>
      <c r="AQ156" s="35"/>
      <c r="AR156" s="23"/>
      <c r="AS156" s="210"/>
      <c r="AT156" s="210"/>
      <c r="AU156" s="223">
        <v>32473</v>
      </c>
      <c r="AV156" s="31" t="s">
        <v>1352</v>
      </c>
      <c r="AW156" s="31" t="s">
        <v>32</v>
      </c>
      <c r="AX156" s="10">
        <v>3</v>
      </c>
      <c r="AY156" s="14" t="s">
        <v>2270</v>
      </c>
      <c r="AZ156" s="30" t="s">
        <v>1373</v>
      </c>
      <c r="BA156" s="23" t="s">
        <v>151</v>
      </c>
      <c r="BB156" s="30" t="s">
        <v>34</v>
      </c>
      <c r="BC156" s="22"/>
    </row>
    <row r="157" spans="1:55" x14ac:dyDescent="0.25">
      <c r="A157" s="10">
        <f t="shared" si="6"/>
        <v>156</v>
      </c>
      <c r="B157" s="10" t="s">
        <v>501</v>
      </c>
      <c r="C157" s="30" t="s">
        <v>34</v>
      </c>
      <c r="D157" s="65">
        <v>400889</v>
      </c>
      <c r="E157" s="31" t="s">
        <v>42</v>
      </c>
      <c r="F157" s="14" t="s">
        <v>502</v>
      </c>
      <c r="G157" s="10">
        <v>6</v>
      </c>
      <c r="H157" s="66">
        <v>0.45833333333333331</v>
      </c>
      <c r="I157" s="66">
        <v>0.79166666666666663</v>
      </c>
      <c r="J157" s="66">
        <v>0.33333333333333331</v>
      </c>
      <c r="K157" s="21" t="s">
        <v>147</v>
      </c>
      <c r="L157" s="30" t="s">
        <v>503</v>
      </c>
      <c r="M157" s="30" t="s">
        <v>26</v>
      </c>
      <c r="N157" s="23" t="s">
        <v>38</v>
      </c>
      <c r="O157" s="23" t="s">
        <v>1321</v>
      </c>
      <c r="P157" s="161">
        <v>45261</v>
      </c>
      <c r="Q157" s="161">
        <v>45261</v>
      </c>
      <c r="R157" s="161">
        <v>45991</v>
      </c>
      <c r="S157" s="161">
        <v>45992</v>
      </c>
      <c r="T157" s="10">
        <v>2007</v>
      </c>
      <c r="U157" s="30" t="s">
        <v>209</v>
      </c>
      <c r="V157" s="10">
        <v>2011</v>
      </c>
      <c r="W157" s="14" t="s">
        <v>504</v>
      </c>
      <c r="X157" s="31" t="s">
        <v>30</v>
      </c>
      <c r="Y157" s="35" t="s">
        <v>49</v>
      </c>
      <c r="Z157" s="14">
        <v>57889</v>
      </c>
      <c r="AA157" s="23" t="s">
        <v>1841</v>
      </c>
      <c r="AB157" s="161">
        <v>44694</v>
      </c>
      <c r="AC157" s="161">
        <v>46519</v>
      </c>
      <c r="AD157" s="220">
        <v>9963419422</v>
      </c>
      <c r="AE157" s="224" t="s">
        <v>505</v>
      </c>
      <c r="AF157" s="30" t="s">
        <v>1430</v>
      </c>
      <c r="AG157" s="221" t="s">
        <v>2833</v>
      </c>
      <c r="AH157" s="31" t="s">
        <v>2834</v>
      </c>
      <c r="AI157" s="31" t="s">
        <v>2835</v>
      </c>
      <c r="AJ157" s="221" t="s">
        <v>2836</v>
      </c>
      <c r="AK157" s="30" t="e">
        <f>VLOOKUP(D157,[1]Sheet1!#REF!,6,0)</f>
        <v>#REF!</v>
      </c>
      <c r="AL157" s="210"/>
      <c r="AM157" s="210"/>
      <c r="AN157" s="35"/>
      <c r="AO157" s="35" t="s">
        <v>2837</v>
      </c>
      <c r="AP157" s="10">
        <f t="shared" ca="1" si="5"/>
        <v>42</v>
      </c>
      <c r="AQ157" s="35" t="s">
        <v>1605</v>
      </c>
      <c r="AR157" s="23" t="s">
        <v>2838</v>
      </c>
      <c r="AS157" s="210">
        <v>45628</v>
      </c>
      <c r="AT157" s="210">
        <v>45992</v>
      </c>
      <c r="AU157" s="223">
        <v>30497</v>
      </c>
      <c r="AV157" s="31" t="s">
        <v>1352</v>
      </c>
      <c r="AW157" s="31" t="s">
        <v>68</v>
      </c>
      <c r="AX157" s="10">
        <v>8</v>
      </c>
      <c r="AY157" s="14" t="s">
        <v>1849</v>
      </c>
      <c r="AZ157" s="30" t="s">
        <v>26</v>
      </c>
      <c r="BA157" s="23" t="s">
        <v>151</v>
      </c>
      <c r="BB157" s="30" t="s">
        <v>34</v>
      </c>
      <c r="BC157" s="22"/>
    </row>
    <row r="158" spans="1:55" x14ac:dyDescent="0.25">
      <c r="A158" s="10">
        <f t="shared" si="6"/>
        <v>157</v>
      </c>
      <c r="B158" s="10" t="s">
        <v>506</v>
      </c>
      <c r="C158" s="30" t="s">
        <v>34</v>
      </c>
      <c r="D158" s="65">
        <v>400918</v>
      </c>
      <c r="E158" s="31" t="s">
        <v>42</v>
      </c>
      <c r="F158" s="14" t="s">
        <v>507</v>
      </c>
      <c r="G158" s="10">
        <v>6</v>
      </c>
      <c r="H158" s="66">
        <v>0.39583333333333331</v>
      </c>
      <c r="I158" s="66">
        <v>0.5625</v>
      </c>
      <c r="J158" s="66">
        <v>0.16666666666666666</v>
      </c>
      <c r="K158" s="21" t="s">
        <v>508</v>
      </c>
      <c r="L158" s="30" t="s">
        <v>509</v>
      </c>
      <c r="M158" s="30" t="s">
        <v>26</v>
      </c>
      <c r="N158" s="23" t="s">
        <v>38</v>
      </c>
      <c r="O158" s="23" t="s">
        <v>1321</v>
      </c>
      <c r="P158" s="161">
        <v>45303</v>
      </c>
      <c r="Q158" s="161">
        <v>45303</v>
      </c>
      <c r="R158" s="161">
        <v>46033</v>
      </c>
      <c r="S158" s="161">
        <v>46034</v>
      </c>
      <c r="T158" s="10">
        <v>2016</v>
      </c>
      <c r="U158" s="30" t="s">
        <v>351</v>
      </c>
      <c r="V158" s="10">
        <v>2023</v>
      </c>
      <c r="W158" s="30" t="s">
        <v>351</v>
      </c>
      <c r="X158" s="31" t="s">
        <v>30</v>
      </c>
      <c r="Y158" s="35" t="s">
        <v>49</v>
      </c>
      <c r="Z158" s="14" t="s">
        <v>2839</v>
      </c>
      <c r="AA158" s="23" t="s">
        <v>1841</v>
      </c>
      <c r="AB158" s="161">
        <v>45302</v>
      </c>
      <c r="AC158" s="161">
        <v>47128</v>
      </c>
      <c r="AD158" s="220">
        <v>9989652168</v>
      </c>
      <c r="AE158" s="224" t="s">
        <v>510</v>
      </c>
      <c r="AF158" s="30" t="s">
        <v>2840</v>
      </c>
      <c r="AG158" s="221" t="s">
        <v>2841</v>
      </c>
      <c r="AH158" s="31" t="s">
        <v>2842</v>
      </c>
      <c r="AI158" s="31" t="s">
        <v>2843</v>
      </c>
      <c r="AJ158" s="221" t="s">
        <v>2844</v>
      </c>
      <c r="AK158" s="30" t="e">
        <f>VLOOKUP(D158,[1]Sheet1!#REF!,6,0)</f>
        <v>#REF!</v>
      </c>
      <c r="AL158" s="210"/>
      <c r="AM158" s="210"/>
      <c r="AN158" s="35"/>
      <c r="AO158" s="35" t="s">
        <v>2845</v>
      </c>
      <c r="AP158" s="10">
        <f t="shared" ca="1" si="5"/>
        <v>32</v>
      </c>
      <c r="AQ158" s="35"/>
      <c r="AR158" s="23"/>
      <c r="AS158" s="210"/>
      <c r="AT158" s="210"/>
      <c r="AU158" s="223">
        <v>34259</v>
      </c>
      <c r="AV158" s="31" t="s">
        <v>1389</v>
      </c>
      <c r="AW158" s="31" t="s">
        <v>32</v>
      </c>
      <c r="AX158" s="10">
        <v>4</v>
      </c>
      <c r="AY158" s="14" t="s">
        <v>1881</v>
      </c>
      <c r="AZ158" s="30" t="s">
        <v>26</v>
      </c>
      <c r="BA158" s="23" t="s">
        <v>151</v>
      </c>
      <c r="BB158" s="30" t="s">
        <v>34</v>
      </c>
      <c r="BC158" s="22"/>
    </row>
    <row r="159" spans="1:55" x14ac:dyDescent="0.25">
      <c r="A159" s="10">
        <f t="shared" si="6"/>
        <v>158</v>
      </c>
      <c r="B159" s="10" t="s">
        <v>511</v>
      </c>
      <c r="C159" s="30" t="s">
        <v>34</v>
      </c>
      <c r="D159" s="65">
        <v>400919</v>
      </c>
      <c r="E159" s="31" t="s">
        <v>192</v>
      </c>
      <c r="F159" s="14" t="s">
        <v>512</v>
      </c>
      <c r="G159" s="10">
        <v>6</v>
      </c>
      <c r="H159" s="66">
        <v>0.3125</v>
      </c>
      <c r="I159" s="66">
        <v>0.4375</v>
      </c>
      <c r="J159" s="66">
        <v>0.125</v>
      </c>
      <c r="K159" s="21" t="s">
        <v>513</v>
      </c>
      <c r="L159" s="30" t="s">
        <v>514</v>
      </c>
      <c r="M159" s="30" t="s">
        <v>26</v>
      </c>
      <c r="N159" s="23" t="s">
        <v>38</v>
      </c>
      <c r="O159" s="23" t="s">
        <v>1321</v>
      </c>
      <c r="P159" s="161">
        <v>45303</v>
      </c>
      <c r="Q159" s="183">
        <v>45383</v>
      </c>
      <c r="R159" s="183">
        <v>46112</v>
      </c>
      <c r="S159" s="183">
        <v>46113</v>
      </c>
      <c r="T159" s="10">
        <v>2007</v>
      </c>
      <c r="U159" s="30" t="s">
        <v>515</v>
      </c>
      <c r="V159" s="10">
        <v>2012</v>
      </c>
      <c r="W159" s="30" t="s">
        <v>516</v>
      </c>
      <c r="X159" s="31" t="s">
        <v>30</v>
      </c>
      <c r="Y159" s="23" t="s">
        <v>66</v>
      </c>
      <c r="Z159" s="14">
        <v>58122</v>
      </c>
      <c r="AA159" s="23" t="s">
        <v>1841</v>
      </c>
      <c r="AB159" s="161">
        <v>45230</v>
      </c>
      <c r="AC159" s="161">
        <v>47056</v>
      </c>
      <c r="AD159" s="220" t="s">
        <v>517</v>
      </c>
      <c r="AE159" s="224" t="s">
        <v>518</v>
      </c>
      <c r="AF159" s="30" t="s">
        <v>1805</v>
      </c>
      <c r="AG159" s="221" t="s">
        <v>2846</v>
      </c>
      <c r="AH159" s="31" t="s">
        <v>2847</v>
      </c>
      <c r="AI159" s="31" t="s">
        <v>2848</v>
      </c>
      <c r="AJ159" s="221" t="s">
        <v>2849</v>
      </c>
      <c r="AK159" s="30" t="e">
        <f>VLOOKUP(D159,[1]Sheet1!#REF!,6,0)</f>
        <v>#REF!</v>
      </c>
      <c r="AL159" s="210"/>
      <c r="AM159" s="210"/>
      <c r="AN159" s="35"/>
      <c r="AO159" s="35" t="s">
        <v>2850</v>
      </c>
      <c r="AP159" s="10">
        <f t="shared" ca="1" si="5"/>
        <v>41</v>
      </c>
      <c r="AQ159" s="35" t="s">
        <v>1605</v>
      </c>
      <c r="AR159" s="222" t="s">
        <v>2851</v>
      </c>
      <c r="AS159" s="182">
        <v>45844</v>
      </c>
      <c r="AT159" s="182">
        <v>46208</v>
      </c>
      <c r="AU159" s="223">
        <v>30938</v>
      </c>
      <c r="AV159" s="31" t="s">
        <v>1352</v>
      </c>
      <c r="AW159" s="31" t="s">
        <v>32</v>
      </c>
      <c r="AX159" s="10">
        <v>3</v>
      </c>
      <c r="AY159" s="14" t="s">
        <v>1959</v>
      </c>
      <c r="AZ159" s="30" t="s">
        <v>26</v>
      </c>
      <c r="BA159" s="23" t="s">
        <v>151</v>
      </c>
      <c r="BB159" s="30" t="s">
        <v>34</v>
      </c>
      <c r="BC159" s="22"/>
    </row>
    <row r="160" spans="1:55" x14ac:dyDescent="0.25">
      <c r="A160" s="10">
        <f t="shared" si="6"/>
        <v>159</v>
      </c>
      <c r="B160" s="10" t="s">
        <v>2852</v>
      </c>
      <c r="C160" s="30" t="s">
        <v>34</v>
      </c>
      <c r="D160" s="65">
        <v>400922</v>
      </c>
      <c r="E160" s="31" t="s">
        <v>36</v>
      </c>
      <c r="F160" s="14" t="s">
        <v>2338</v>
      </c>
      <c r="G160" s="10">
        <v>6</v>
      </c>
      <c r="H160" s="66">
        <v>0.33333333333333331</v>
      </c>
      <c r="I160" s="66">
        <v>0.66666666666666663</v>
      </c>
      <c r="J160" s="66">
        <v>0.33333333333333331</v>
      </c>
      <c r="K160" s="21" t="s">
        <v>411</v>
      </c>
      <c r="L160" s="30" t="s">
        <v>1424</v>
      </c>
      <c r="M160" s="30" t="s">
        <v>1355</v>
      </c>
      <c r="N160" s="23" t="s">
        <v>1520</v>
      </c>
      <c r="O160" s="14" t="s">
        <v>2338</v>
      </c>
      <c r="P160" s="161">
        <v>45308</v>
      </c>
      <c r="Q160" s="161">
        <v>45308</v>
      </c>
      <c r="R160" s="161">
        <v>46038</v>
      </c>
      <c r="S160" s="161">
        <v>46039</v>
      </c>
      <c r="T160" s="10">
        <v>2010</v>
      </c>
      <c r="U160" s="30" t="s">
        <v>2853</v>
      </c>
      <c r="V160" s="10">
        <v>2019</v>
      </c>
      <c r="W160" s="30" t="s">
        <v>970</v>
      </c>
      <c r="X160" s="31" t="s">
        <v>30</v>
      </c>
      <c r="Y160" s="23" t="s">
        <v>1360</v>
      </c>
      <c r="Z160" s="14" t="s">
        <v>2854</v>
      </c>
      <c r="AA160" s="35" t="s">
        <v>1886</v>
      </c>
      <c r="AB160" s="161">
        <v>45384</v>
      </c>
      <c r="AC160" s="161">
        <v>47209</v>
      </c>
      <c r="AD160" s="220">
        <v>9155899899</v>
      </c>
      <c r="AE160" s="224" t="s">
        <v>2855</v>
      </c>
      <c r="AF160" s="30" t="s">
        <v>1345</v>
      </c>
      <c r="AG160" s="221" t="s">
        <v>2856</v>
      </c>
      <c r="AH160" s="31" t="s">
        <v>2857</v>
      </c>
      <c r="AI160" s="31" t="s">
        <v>2858</v>
      </c>
      <c r="AJ160" s="221" t="s">
        <v>2859</v>
      </c>
      <c r="AK160" s="30" t="e">
        <f>VLOOKUP(D160,[1]Sheet1!#REF!,6,0)</f>
        <v>#REF!</v>
      </c>
      <c r="AL160" s="210"/>
      <c r="AM160" s="210"/>
      <c r="AN160" s="35"/>
      <c r="AO160" s="35" t="s">
        <v>2860</v>
      </c>
      <c r="AP160" s="10">
        <f t="shared" ca="1" si="5"/>
        <v>36</v>
      </c>
      <c r="AQ160" s="35"/>
      <c r="AR160" s="23"/>
      <c r="AS160" s="210"/>
      <c r="AT160" s="210"/>
      <c r="AU160" s="223">
        <v>32550</v>
      </c>
      <c r="AV160" s="31" t="s">
        <v>1389</v>
      </c>
      <c r="AW160" s="31" t="s">
        <v>68</v>
      </c>
      <c r="AX160" s="10">
        <v>8</v>
      </c>
      <c r="AY160" s="14" t="s">
        <v>1920</v>
      </c>
      <c r="AZ160" s="30" t="s">
        <v>1373</v>
      </c>
      <c r="BA160" s="23" t="s">
        <v>151</v>
      </c>
      <c r="BB160" s="30" t="s">
        <v>34</v>
      </c>
      <c r="BC160" s="22"/>
    </row>
    <row r="161" spans="1:55" x14ac:dyDescent="0.25">
      <c r="A161" s="10">
        <f t="shared" si="6"/>
        <v>160</v>
      </c>
      <c r="B161" s="10" t="s">
        <v>2861</v>
      </c>
      <c r="C161" s="30" t="s">
        <v>34</v>
      </c>
      <c r="D161" s="65">
        <v>400923</v>
      </c>
      <c r="E161" s="31" t="s">
        <v>36</v>
      </c>
      <c r="F161" s="14" t="s">
        <v>2862</v>
      </c>
      <c r="G161" s="10">
        <v>6</v>
      </c>
      <c r="H161" s="66">
        <v>0.33333333333333331</v>
      </c>
      <c r="I161" s="66">
        <v>0.66666666666666663</v>
      </c>
      <c r="J161" s="66">
        <v>0.33333333333333331</v>
      </c>
      <c r="K161" s="21" t="s">
        <v>154</v>
      </c>
      <c r="L161" s="30" t="s">
        <v>1424</v>
      </c>
      <c r="M161" s="30" t="s">
        <v>1355</v>
      </c>
      <c r="N161" s="23" t="s">
        <v>1520</v>
      </c>
      <c r="O161" s="14" t="s">
        <v>2109</v>
      </c>
      <c r="P161" s="161">
        <v>45308</v>
      </c>
      <c r="Q161" s="161">
        <v>45308</v>
      </c>
      <c r="R161" s="161">
        <v>46038</v>
      </c>
      <c r="S161" s="161">
        <v>46039</v>
      </c>
      <c r="T161" s="10">
        <v>2009</v>
      </c>
      <c r="U161" s="30" t="s">
        <v>406</v>
      </c>
      <c r="V161" s="10">
        <v>2013</v>
      </c>
      <c r="W161" s="30" t="s">
        <v>209</v>
      </c>
      <c r="X161" s="31" t="s">
        <v>30</v>
      </c>
      <c r="Y161" s="23" t="s">
        <v>1360</v>
      </c>
      <c r="Z161" s="14">
        <v>65894</v>
      </c>
      <c r="AA161" s="23" t="s">
        <v>1841</v>
      </c>
      <c r="AB161" s="161">
        <v>44316</v>
      </c>
      <c r="AC161" s="161">
        <v>46141</v>
      </c>
      <c r="AD161" s="220">
        <v>9849654797</v>
      </c>
      <c r="AE161" s="224" t="s">
        <v>2863</v>
      </c>
      <c r="AF161" s="30" t="s">
        <v>1430</v>
      </c>
      <c r="AG161" s="221" t="s">
        <v>2864</v>
      </c>
      <c r="AH161" s="31" t="s">
        <v>2865</v>
      </c>
      <c r="AI161" s="31" t="s">
        <v>2866</v>
      </c>
      <c r="AJ161" s="221" t="s">
        <v>2867</v>
      </c>
      <c r="AK161" s="30" t="e">
        <f>VLOOKUP(D161,[1]Sheet1!#REF!,6,0)</f>
        <v>#REF!</v>
      </c>
      <c r="AL161" s="210"/>
      <c r="AM161" s="210"/>
      <c r="AN161" s="35"/>
      <c r="AO161" s="35" t="s">
        <v>2868</v>
      </c>
      <c r="AP161" s="10">
        <f t="shared" ca="1" si="5"/>
        <v>40</v>
      </c>
      <c r="AQ161" s="35"/>
      <c r="AR161" s="23"/>
      <c r="AS161" s="210"/>
      <c r="AT161" s="210"/>
      <c r="AU161" s="223">
        <v>31243</v>
      </c>
      <c r="AV161" s="31" t="s">
        <v>1389</v>
      </c>
      <c r="AW161" s="31" t="s">
        <v>68</v>
      </c>
      <c r="AX161" s="10">
        <v>8</v>
      </c>
      <c r="AY161" s="14" t="s">
        <v>1904</v>
      </c>
      <c r="AZ161" s="30" t="s">
        <v>1373</v>
      </c>
      <c r="BA161" s="23" t="s">
        <v>151</v>
      </c>
      <c r="BB161" s="30" t="s">
        <v>34</v>
      </c>
      <c r="BC161" s="22"/>
    </row>
    <row r="162" spans="1:55" x14ac:dyDescent="0.25">
      <c r="A162" s="10">
        <f t="shared" si="6"/>
        <v>161</v>
      </c>
      <c r="B162" s="10" t="s">
        <v>2869</v>
      </c>
      <c r="C162" s="30" t="s">
        <v>34</v>
      </c>
      <c r="D162" s="65">
        <v>400924</v>
      </c>
      <c r="E162" s="31" t="s">
        <v>36</v>
      </c>
      <c r="F162" s="14" t="s">
        <v>2870</v>
      </c>
      <c r="G162" s="10">
        <v>6</v>
      </c>
      <c r="H162" s="66">
        <v>0.77083333333333337</v>
      </c>
      <c r="I162" s="66">
        <v>0.85416666666666663</v>
      </c>
      <c r="J162" s="66">
        <v>8.3333333333333329E-2</v>
      </c>
      <c r="K162" s="21" t="s">
        <v>713</v>
      </c>
      <c r="L162" s="30" t="s">
        <v>1424</v>
      </c>
      <c r="M162" s="30" t="s">
        <v>1544</v>
      </c>
      <c r="N162" s="23" t="s">
        <v>2712</v>
      </c>
      <c r="O162" s="14" t="s">
        <v>2673</v>
      </c>
      <c r="P162" s="161">
        <v>45308</v>
      </c>
      <c r="Q162" s="161">
        <v>45308</v>
      </c>
      <c r="R162" s="161">
        <v>46038</v>
      </c>
      <c r="S162" s="161">
        <v>46039</v>
      </c>
      <c r="T162" s="10">
        <v>1999</v>
      </c>
      <c r="U162" s="30" t="s">
        <v>2871</v>
      </c>
      <c r="V162" s="10">
        <v>2005</v>
      </c>
      <c r="W162" s="30" t="s">
        <v>2871</v>
      </c>
      <c r="X162" s="31" t="s">
        <v>30</v>
      </c>
      <c r="Y162" s="35" t="s">
        <v>1549</v>
      </c>
      <c r="Z162" s="14">
        <v>45243</v>
      </c>
      <c r="AA162" s="35" t="s">
        <v>1886</v>
      </c>
      <c r="AB162" s="161">
        <v>45642</v>
      </c>
      <c r="AC162" s="161">
        <v>47467</v>
      </c>
      <c r="AD162" s="220" t="s">
        <v>2872</v>
      </c>
      <c r="AE162" s="224" t="s">
        <v>2873</v>
      </c>
      <c r="AF162" s="30" t="s">
        <v>1410</v>
      </c>
      <c r="AG162" s="221" t="s">
        <v>2874</v>
      </c>
      <c r="AH162" s="31" t="s">
        <v>2678</v>
      </c>
      <c r="AI162" s="31" t="s">
        <v>2875</v>
      </c>
      <c r="AJ162" s="221" t="s">
        <v>2876</v>
      </c>
      <c r="AK162" s="30" t="e">
        <f>VLOOKUP(D162,[1]Sheet1!#REF!,6,0)</f>
        <v>#REF!</v>
      </c>
      <c r="AL162" s="210"/>
      <c r="AM162" s="210"/>
      <c r="AN162" s="35"/>
      <c r="AO162" s="35" t="s">
        <v>2877</v>
      </c>
      <c r="AP162" s="10">
        <f t="shared" ca="1" si="5"/>
        <v>49</v>
      </c>
      <c r="AQ162" s="35"/>
      <c r="AR162" s="23"/>
      <c r="AS162" s="210"/>
      <c r="AT162" s="210"/>
      <c r="AU162" s="223">
        <v>27823</v>
      </c>
      <c r="AV162" s="31" t="s">
        <v>1352</v>
      </c>
      <c r="AW162" s="31" t="s">
        <v>32</v>
      </c>
      <c r="AX162" s="10">
        <v>2</v>
      </c>
      <c r="AY162" s="14" t="s">
        <v>2262</v>
      </c>
      <c r="AZ162" s="30" t="s">
        <v>1373</v>
      </c>
      <c r="BA162" s="23" t="s">
        <v>151</v>
      </c>
      <c r="BB162" s="30" t="s">
        <v>34</v>
      </c>
      <c r="BC162" s="22"/>
    </row>
    <row r="163" spans="1:55" x14ac:dyDescent="0.25">
      <c r="A163" s="10">
        <f t="shared" si="6"/>
        <v>162</v>
      </c>
      <c r="B163" s="10" t="s">
        <v>519</v>
      </c>
      <c r="C163" s="30" t="s">
        <v>34</v>
      </c>
      <c r="D163" s="65">
        <v>400936</v>
      </c>
      <c r="E163" s="31" t="s">
        <v>42</v>
      </c>
      <c r="F163" s="14" t="s">
        <v>520</v>
      </c>
      <c r="G163" s="10">
        <v>6</v>
      </c>
      <c r="H163" s="66">
        <v>0.375</v>
      </c>
      <c r="I163" s="66">
        <v>0.70833333333333337</v>
      </c>
      <c r="J163" s="66">
        <v>0.33333333333333331</v>
      </c>
      <c r="K163" s="21" t="s">
        <v>466</v>
      </c>
      <c r="L163" s="30" t="s">
        <v>521</v>
      </c>
      <c r="M163" s="30" t="s">
        <v>26</v>
      </c>
      <c r="N163" s="23" t="s">
        <v>38</v>
      </c>
      <c r="O163" s="23" t="s">
        <v>1321</v>
      </c>
      <c r="P163" s="161">
        <v>45331</v>
      </c>
      <c r="Q163" s="161">
        <v>45331</v>
      </c>
      <c r="R163" s="161">
        <v>46061</v>
      </c>
      <c r="S163" s="161">
        <v>46062</v>
      </c>
      <c r="T163" s="10">
        <v>2010</v>
      </c>
      <c r="U163" s="30" t="s">
        <v>522</v>
      </c>
      <c r="V163" s="10">
        <v>2018</v>
      </c>
      <c r="W163" s="30" t="s">
        <v>523</v>
      </c>
      <c r="X163" s="31" t="s">
        <v>30</v>
      </c>
      <c r="Y163" s="35" t="s">
        <v>49</v>
      </c>
      <c r="Z163" s="14">
        <v>80035</v>
      </c>
      <c r="AA163" s="35" t="s">
        <v>2695</v>
      </c>
      <c r="AB163" s="161">
        <v>44161</v>
      </c>
      <c r="AC163" s="161">
        <v>45986</v>
      </c>
      <c r="AD163" s="220">
        <v>9830133997</v>
      </c>
      <c r="AE163" s="224" t="s">
        <v>524</v>
      </c>
      <c r="AF163" s="30" t="s">
        <v>1410</v>
      </c>
      <c r="AG163" s="221" t="s">
        <v>2878</v>
      </c>
      <c r="AH163" s="31" t="s">
        <v>2879</v>
      </c>
      <c r="AI163" s="31" t="s">
        <v>2880</v>
      </c>
      <c r="AJ163" s="221" t="s">
        <v>2881</v>
      </c>
      <c r="AK163" s="30" t="e">
        <f>VLOOKUP(D163,[1]Sheet1!#REF!,6,0)</f>
        <v>#REF!</v>
      </c>
      <c r="AL163" s="210"/>
      <c r="AM163" s="210"/>
      <c r="AN163" s="35"/>
      <c r="AO163" s="35" t="s">
        <v>2882</v>
      </c>
      <c r="AP163" s="10">
        <f t="shared" ca="1" si="5"/>
        <v>42</v>
      </c>
      <c r="AQ163" s="35"/>
      <c r="AR163" s="23"/>
      <c r="AS163" s="210"/>
      <c r="AT163" s="210"/>
      <c r="AU163" s="223">
        <v>30632</v>
      </c>
      <c r="AV163" s="31" t="s">
        <v>1352</v>
      </c>
      <c r="AW163" s="31" t="s">
        <v>68</v>
      </c>
      <c r="AX163" s="10">
        <v>8</v>
      </c>
      <c r="AY163" s="14" t="s">
        <v>2703</v>
      </c>
      <c r="AZ163" s="30" t="s">
        <v>26</v>
      </c>
      <c r="BA163" s="23" t="s">
        <v>151</v>
      </c>
      <c r="BB163" s="30" t="s">
        <v>34</v>
      </c>
      <c r="BC163" s="22"/>
    </row>
    <row r="164" spans="1:55" x14ac:dyDescent="0.25">
      <c r="A164" s="10">
        <f t="shared" si="6"/>
        <v>163</v>
      </c>
      <c r="B164" s="10" t="s">
        <v>525</v>
      </c>
      <c r="C164" s="30" t="s">
        <v>34</v>
      </c>
      <c r="D164" s="65">
        <v>400940</v>
      </c>
      <c r="E164" s="31" t="s">
        <v>36</v>
      </c>
      <c r="F164" s="14" t="s">
        <v>526</v>
      </c>
      <c r="G164" s="10">
        <v>6</v>
      </c>
      <c r="H164" s="66">
        <v>0.35416666666666669</v>
      </c>
      <c r="I164" s="66">
        <v>0.6875</v>
      </c>
      <c r="J164" s="66">
        <v>0.33333333333333331</v>
      </c>
      <c r="K164" s="21" t="s">
        <v>446</v>
      </c>
      <c r="L164" s="30" t="s">
        <v>527</v>
      </c>
      <c r="M164" s="30" t="s">
        <v>26</v>
      </c>
      <c r="N164" s="23" t="s">
        <v>38</v>
      </c>
      <c r="O164" s="23" t="s">
        <v>1321</v>
      </c>
      <c r="P164" s="161">
        <v>45337</v>
      </c>
      <c r="Q164" s="161">
        <v>45337</v>
      </c>
      <c r="R164" s="161">
        <v>46067</v>
      </c>
      <c r="S164" s="161">
        <v>46068</v>
      </c>
      <c r="T164" s="10">
        <v>2018</v>
      </c>
      <c r="U164" s="30" t="s">
        <v>141</v>
      </c>
      <c r="V164" s="10">
        <v>2023</v>
      </c>
      <c r="W164" s="30" t="s">
        <v>528</v>
      </c>
      <c r="X164" s="31" t="s">
        <v>30</v>
      </c>
      <c r="Y164" s="35" t="s">
        <v>49</v>
      </c>
      <c r="Z164" s="14" t="s">
        <v>2883</v>
      </c>
      <c r="AA164" s="23" t="s">
        <v>1841</v>
      </c>
      <c r="AB164" s="161">
        <v>45153</v>
      </c>
      <c r="AC164" s="161">
        <v>46979</v>
      </c>
      <c r="AD164" s="220">
        <v>8099319559</v>
      </c>
      <c r="AE164" s="224" t="s">
        <v>529</v>
      </c>
      <c r="AF164" s="30" t="s">
        <v>1759</v>
      </c>
      <c r="AG164" s="221" t="s">
        <v>2884</v>
      </c>
      <c r="AH164" s="31" t="s">
        <v>2885</v>
      </c>
      <c r="AI164" s="31" t="s">
        <v>2886</v>
      </c>
      <c r="AJ164" s="221" t="s">
        <v>2887</v>
      </c>
      <c r="AK164" s="30" t="e">
        <f>VLOOKUP(D164,[1]Sheet1!#REF!,6,0)</f>
        <v>#REF!</v>
      </c>
      <c r="AL164" s="267"/>
      <c r="AM164" s="35"/>
      <c r="AN164" s="35"/>
      <c r="AO164" s="35" t="s">
        <v>2888</v>
      </c>
      <c r="AP164" s="10">
        <f t="shared" ca="1" si="5"/>
        <v>30</v>
      </c>
      <c r="AQ164" s="35" t="s">
        <v>1605</v>
      </c>
      <c r="AR164" s="222" t="s">
        <v>2889</v>
      </c>
      <c r="AS164" s="234">
        <v>45424</v>
      </c>
      <c r="AT164" s="234">
        <v>45788</v>
      </c>
      <c r="AU164" s="223">
        <v>34833</v>
      </c>
      <c r="AV164" s="31" t="s">
        <v>1352</v>
      </c>
      <c r="AW164" s="31" t="s">
        <v>68</v>
      </c>
      <c r="AX164" s="10">
        <v>8</v>
      </c>
      <c r="AY164" s="14" t="s">
        <v>1849</v>
      </c>
      <c r="AZ164" s="30" t="s">
        <v>26</v>
      </c>
      <c r="BA164" s="23" t="s">
        <v>151</v>
      </c>
      <c r="BB164" s="30" t="s">
        <v>34</v>
      </c>
      <c r="BC164" s="22"/>
    </row>
    <row r="165" spans="1:55" x14ac:dyDescent="0.25">
      <c r="A165" s="10">
        <f t="shared" si="6"/>
        <v>164</v>
      </c>
      <c r="B165" s="10" t="s">
        <v>530</v>
      </c>
      <c r="C165" s="30" t="s">
        <v>34</v>
      </c>
      <c r="D165" s="65">
        <v>401018</v>
      </c>
      <c r="E165" s="10" t="s">
        <v>36</v>
      </c>
      <c r="F165" s="14" t="s">
        <v>531</v>
      </c>
      <c r="G165" s="10">
        <v>6</v>
      </c>
      <c r="H165" s="66">
        <v>0.35416666666666669</v>
      </c>
      <c r="I165" s="66">
        <v>0.6875</v>
      </c>
      <c r="J165" s="66">
        <v>0.33333333333333331</v>
      </c>
      <c r="K165" s="21" t="s">
        <v>532</v>
      </c>
      <c r="L165" s="30" t="s">
        <v>533</v>
      </c>
      <c r="M165" s="30" t="s">
        <v>26</v>
      </c>
      <c r="N165" s="23" t="s">
        <v>38</v>
      </c>
      <c r="O165" s="23" t="s">
        <v>1321</v>
      </c>
      <c r="P165" s="161">
        <v>45469</v>
      </c>
      <c r="Q165" s="161">
        <v>45469</v>
      </c>
      <c r="R165" s="161">
        <v>46198</v>
      </c>
      <c r="S165" s="161">
        <v>46199</v>
      </c>
      <c r="T165" s="10">
        <v>2002</v>
      </c>
      <c r="U165" s="30" t="s">
        <v>534</v>
      </c>
      <c r="V165" s="10">
        <v>2008</v>
      </c>
      <c r="W165" s="30" t="s">
        <v>534</v>
      </c>
      <c r="X165" s="31" t="s">
        <v>1424</v>
      </c>
      <c r="Y165" s="23" t="s">
        <v>66</v>
      </c>
      <c r="Z165" s="14">
        <v>48101</v>
      </c>
      <c r="AA165" s="23" t="s">
        <v>1841</v>
      </c>
      <c r="AB165" s="161">
        <v>44225</v>
      </c>
      <c r="AC165" s="161">
        <v>46050</v>
      </c>
      <c r="AD165" s="220">
        <v>9963027099</v>
      </c>
      <c r="AE165" s="224" t="s">
        <v>535</v>
      </c>
      <c r="AF165" s="28" t="s">
        <v>1495</v>
      </c>
      <c r="AG165" s="221" t="s">
        <v>2890</v>
      </c>
      <c r="AH165" s="31" t="s">
        <v>2891</v>
      </c>
      <c r="AI165" s="31" t="s">
        <v>2892</v>
      </c>
      <c r="AJ165" s="221" t="s">
        <v>2893</v>
      </c>
      <c r="AK165" s="30" t="s">
        <v>2894</v>
      </c>
      <c r="AL165" s="210"/>
      <c r="AM165" s="210"/>
      <c r="AN165" s="35"/>
      <c r="AO165" s="35" t="s">
        <v>2895</v>
      </c>
      <c r="AP165" s="10">
        <f t="shared" ca="1" si="5"/>
        <v>46</v>
      </c>
      <c r="AQ165" s="30" t="s">
        <v>1605</v>
      </c>
      <c r="AR165" s="232" t="s">
        <v>2896</v>
      </c>
      <c r="AS165" s="166">
        <v>45838</v>
      </c>
      <c r="AT165" s="166">
        <v>46202</v>
      </c>
      <c r="AU165" s="161">
        <v>29051</v>
      </c>
      <c r="AV165" s="10" t="s">
        <v>1389</v>
      </c>
      <c r="AW165" s="10" t="s">
        <v>68</v>
      </c>
      <c r="AX165" s="10">
        <v>8</v>
      </c>
      <c r="AY165" s="14" t="s">
        <v>1849</v>
      </c>
      <c r="AZ165" s="30" t="s">
        <v>26</v>
      </c>
      <c r="BA165" s="23" t="s">
        <v>151</v>
      </c>
      <c r="BB165" s="30" t="s">
        <v>34</v>
      </c>
      <c r="BC165" s="22"/>
    </row>
    <row r="166" spans="1:55" x14ac:dyDescent="0.25">
      <c r="A166" s="10">
        <f t="shared" si="6"/>
        <v>165</v>
      </c>
      <c r="B166" s="10" t="s">
        <v>536</v>
      </c>
      <c r="C166" s="30" t="s">
        <v>34</v>
      </c>
      <c r="D166" s="65">
        <v>400953</v>
      </c>
      <c r="E166" s="31" t="s">
        <v>268</v>
      </c>
      <c r="F166" s="14" t="s">
        <v>537</v>
      </c>
      <c r="G166" s="10">
        <v>6</v>
      </c>
      <c r="H166" s="66">
        <v>0.33333333333333331</v>
      </c>
      <c r="I166" s="66">
        <v>0.58333333333333337</v>
      </c>
      <c r="J166" s="66">
        <v>0.25</v>
      </c>
      <c r="K166" s="21" t="s">
        <v>538</v>
      </c>
      <c r="L166" s="30" t="s">
        <v>539</v>
      </c>
      <c r="M166" s="30" t="s">
        <v>26</v>
      </c>
      <c r="N166" s="23" t="s">
        <v>38</v>
      </c>
      <c r="O166" s="23" t="s">
        <v>1321</v>
      </c>
      <c r="P166" s="161">
        <v>45348</v>
      </c>
      <c r="Q166" s="183">
        <v>45537</v>
      </c>
      <c r="R166" s="161">
        <v>46078</v>
      </c>
      <c r="S166" s="161">
        <v>46079</v>
      </c>
      <c r="T166" s="10">
        <v>2015</v>
      </c>
      <c r="U166" s="30" t="s">
        <v>540</v>
      </c>
      <c r="V166" s="10">
        <v>2019</v>
      </c>
      <c r="W166" s="14" t="s">
        <v>541</v>
      </c>
      <c r="X166" s="31" t="s">
        <v>30</v>
      </c>
      <c r="Y166" s="35" t="s">
        <v>49</v>
      </c>
      <c r="Z166" s="14" t="s">
        <v>2897</v>
      </c>
      <c r="AA166" s="23" t="s">
        <v>1841</v>
      </c>
      <c r="AB166" s="161">
        <v>44395</v>
      </c>
      <c r="AC166" s="161">
        <v>46282</v>
      </c>
      <c r="AD166" s="220">
        <v>8179352520</v>
      </c>
      <c r="AE166" s="224" t="s">
        <v>542</v>
      </c>
      <c r="AF166" s="28" t="s">
        <v>1495</v>
      </c>
      <c r="AG166" s="221" t="s">
        <v>2898</v>
      </c>
      <c r="AH166" s="31" t="s">
        <v>2899</v>
      </c>
      <c r="AI166" s="31" t="s">
        <v>2900</v>
      </c>
      <c r="AJ166" s="221" t="s">
        <v>2901</v>
      </c>
      <c r="AK166" s="30" t="s">
        <v>2902</v>
      </c>
      <c r="AL166" s="210"/>
      <c r="AM166" s="210"/>
      <c r="AN166" s="35"/>
      <c r="AO166" s="35" t="s">
        <v>2903</v>
      </c>
      <c r="AP166" s="10">
        <f t="shared" ca="1" si="5"/>
        <v>33</v>
      </c>
      <c r="AQ166" s="67" t="s">
        <v>1957</v>
      </c>
      <c r="AR166" s="222" t="s">
        <v>2904</v>
      </c>
      <c r="AS166" s="187">
        <v>45772</v>
      </c>
      <c r="AT166" s="187">
        <v>46136</v>
      </c>
      <c r="AU166" s="223">
        <v>33834</v>
      </c>
      <c r="AV166" s="31" t="s">
        <v>1389</v>
      </c>
      <c r="AW166" s="31" t="s">
        <v>32</v>
      </c>
      <c r="AX166" s="10">
        <v>6</v>
      </c>
      <c r="AY166" s="14" t="s">
        <v>1904</v>
      </c>
      <c r="AZ166" s="30" t="s">
        <v>26</v>
      </c>
      <c r="BA166" s="23" t="s">
        <v>151</v>
      </c>
      <c r="BB166" s="30" t="s">
        <v>34</v>
      </c>
      <c r="BC166" s="22"/>
    </row>
    <row r="167" spans="1:55" x14ac:dyDescent="0.25">
      <c r="A167" s="10">
        <f t="shared" si="6"/>
        <v>166</v>
      </c>
      <c r="B167" s="10" t="s">
        <v>2905</v>
      </c>
      <c r="C167" s="30" t="s">
        <v>34</v>
      </c>
      <c r="D167" s="65">
        <v>400954</v>
      </c>
      <c r="E167" s="31" t="s">
        <v>36</v>
      </c>
      <c r="F167" s="14" t="s">
        <v>2906</v>
      </c>
      <c r="G167" s="10">
        <v>6</v>
      </c>
      <c r="H167" s="66">
        <v>0.75</v>
      </c>
      <c r="I167" s="66">
        <v>0.83333333333333337</v>
      </c>
      <c r="J167" s="66">
        <v>8.3333333333333329E-2</v>
      </c>
      <c r="K167" s="21" t="s">
        <v>826</v>
      </c>
      <c r="L167" s="30" t="s">
        <v>1424</v>
      </c>
      <c r="M167" s="30" t="s">
        <v>1355</v>
      </c>
      <c r="N167" s="23" t="s">
        <v>1520</v>
      </c>
      <c r="O167" s="14" t="s">
        <v>2239</v>
      </c>
      <c r="P167" s="161">
        <v>45824</v>
      </c>
      <c r="Q167" s="161">
        <v>45824</v>
      </c>
      <c r="R167" s="161">
        <v>46553</v>
      </c>
      <c r="S167" s="161">
        <v>46554</v>
      </c>
      <c r="T167" s="10">
        <v>2001</v>
      </c>
      <c r="U167" s="30" t="s">
        <v>2907</v>
      </c>
      <c r="V167" s="10">
        <v>2020</v>
      </c>
      <c r="W167" s="14" t="s">
        <v>2908</v>
      </c>
      <c r="X167" s="31" t="s">
        <v>30</v>
      </c>
      <c r="Y167" s="23" t="s">
        <v>1360</v>
      </c>
      <c r="Z167" s="14" t="s">
        <v>2909</v>
      </c>
      <c r="AA167" s="35" t="s">
        <v>2910</v>
      </c>
      <c r="AB167" s="161">
        <v>44186</v>
      </c>
      <c r="AC167" s="161">
        <v>46011</v>
      </c>
      <c r="AD167" s="220">
        <v>9650180810</v>
      </c>
      <c r="AE167" s="224" t="s">
        <v>2911</v>
      </c>
      <c r="AF167" s="28" t="s">
        <v>1495</v>
      </c>
      <c r="AG167" s="221" t="s">
        <v>2912</v>
      </c>
      <c r="AH167" s="31" t="s">
        <v>2913</v>
      </c>
      <c r="AI167" s="31" t="s">
        <v>2914</v>
      </c>
      <c r="AJ167" s="221" t="s">
        <v>2915</v>
      </c>
      <c r="AK167" s="30" t="e">
        <f>VLOOKUP(D167,[1]Sheet1!#REF!,6,0)</f>
        <v>#REF!</v>
      </c>
      <c r="AL167" s="210"/>
      <c r="AM167" s="210"/>
      <c r="AN167" s="35"/>
      <c r="AO167" s="35" t="s">
        <v>2916</v>
      </c>
      <c r="AP167" s="10">
        <f t="shared" ca="1" si="5"/>
        <v>48</v>
      </c>
      <c r="AQ167" s="233" t="s">
        <v>1416</v>
      </c>
      <c r="AR167" s="222" t="s">
        <v>2917</v>
      </c>
      <c r="AS167" s="268" t="s">
        <v>2918</v>
      </c>
      <c r="AT167" s="268" t="s">
        <v>2919</v>
      </c>
      <c r="AU167" s="223">
        <v>28371</v>
      </c>
      <c r="AV167" s="31" t="s">
        <v>1352</v>
      </c>
      <c r="AW167" s="31" t="s">
        <v>32</v>
      </c>
      <c r="AX167" s="10">
        <v>2</v>
      </c>
      <c r="AY167" s="14" t="s">
        <v>2251</v>
      </c>
      <c r="AZ167" s="30" t="s">
        <v>1373</v>
      </c>
      <c r="BA167" s="23" t="s">
        <v>151</v>
      </c>
      <c r="BB167" s="30" t="s">
        <v>34</v>
      </c>
      <c r="BC167" s="22"/>
    </row>
    <row r="168" spans="1:55" x14ac:dyDescent="0.25">
      <c r="A168" s="10">
        <f t="shared" si="6"/>
        <v>167</v>
      </c>
      <c r="B168" s="10" t="s">
        <v>543</v>
      </c>
      <c r="C168" s="30" t="s">
        <v>34</v>
      </c>
      <c r="D168" s="65">
        <v>400621</v>
      </c>
      <c r="E168" s="31" t="s">
        <v>42</v>
      </c>
      <c r="F168" s="14" t="s">
        <v>544</v>
      </c>
      <c r="G168" s="10">
        <v>6</v>
      </c>
      <c r="H168" s="66">
        <v>0.35416666666666669</v>
      </c>
      <c r="I168" s="66">
        <v>0.6875</v>
      </c>
      <c r="J168" s="66">
        <v>0.33333333333333331</v>
      </c>
      <c r="K168" s="21" t="s">
        <v>341</v>
      </c>
      <c r="L168" s="30" t="s">
        <v>545</v>
      </c>
      <c r="M168" s="30" t="s">
        <v>26</v>
      </c>
      <c r="N168" s="23" t="s">
        <v>38</v>
      </c>
      <c r="O168" s="23" t="s">
        <v>1321</v>
      </c>
      <c r="P168" s="161">
        <v>44935</v>
      </c>
      <c r="Q168" s="183">
        <v>45658</v>
      </c>
      <c r="R168" s="183">
        <v>46387</v>
      </c>
      <c r="S168" s="183">
        <v>46388</v>
      </c>
      <c r="T168" s="10">
        <v>2012</v>
      </c>
      <c r="U168" s="30" t="s">
        <v>380</v>
      </c>
      <c r="V168" s="10">
        <v>2020</v>
      </c>
      <c r="W168" s="14" t="s">
        <v>546</v>
      </c>
      <c r="X168" s="31" t="s">
        <v>30</v>
      </c>
      <c r="Y168" s="35" t="s">
        <v>49</v>
      </c>
      <c r="Z168" s="14" t="s">
        <v>2920</v>
      </c>
      <c r="AA168" s="23" t="s">
        <v>1841</v>
      </c>
      <c r="AB168" s="161">
        <v>45093</v>
      </c>
      <c r="AC168" s="161">
        <v>46919</v>
      </c>
      <c r="AD168" s="220">
        <v>9441500794</v>
      </c>
      <c r="AE168" s="224" t="s">
        <v>547</v>
      </c>
      <c r="AF168" s="31" t="s">
        <v>1364</v>
      </c>
      <c r="AG168" s="230" t="s">
        <v>2921</v>
      </c>
      <c r="AH168" s="31" t="s">
        <v>2350</v>
      </c>
      <c r="AI168" s="31" t="s">
        <v>2922</v>
      </c>
      <c r="AJ168" s="221" t="s">
        <v>2923</v>
      </c>
      <c r="AK168" s="30" t="s">
        <v>2924</v>
      </c>
      <c r="AL168" s="210"/>
      <c r="AM168" s="210"/>
      <c r="AN168" s="35"/>
      <c r="AO168" s="35" t="s">
        <v>2925</v>
      </c>
      <c r="AP168" s="10">
        <f t="shared" ca="1" si="5"/>
        <v>37</v>
      </c>
      <c r="AQ168" s="67" t="s">
        <v>1677</v>
      </c>
      <c r="AR168" s="232" t="s">
        <v>2926</v>
      </c>
      <c r="AS168" s="187">
        <v>45896</v>
      </c>
      <c r="AT168" s="187">
        <v>46260</v>
      </c>
      <c r="AU168" s="223">
        <v>32366</v>
      </c>
      <c r="AV168" s="31" t="s">
        <v>1352</v>
      </c>
      <c r="AW168" s="31" t="s">
        <v>68</v>
      </c>
      <c r="AX168" s="10">
        <v>8</v>
      </c>
      <c r="AY168" s="14" t="s">
        <v>1881</v>
      </c>
      <c r="AZ168" s="30" t="s">
        <v>26</v>
      </c>
      <c r="BA168" s="23" t="s">
        <v>151</v>
      </c>
      <c r="BB168" s="30" t="s">
        <v>34</v>
      </c>
      <c r="BC168" s="22"/>
    </row>
    <row r="169" spans="1:55" x14ac:dyDescent="0.25">
      <c r="A169" s="10">
        <f t="shared" si="6"/>
        <v>168</v>
      </c>
      <c r="B169" s="10" t="s">
        <v>2927</v>
      </c>
      <c r="C169" s="30" t="s">
        <v>34</v>
      </c>
      <c r="D169" s="65">
        <v>400966</v>
      </c>
      <c r="E169" s="31" t="s">
        <v>36</v>
      </c>
      <c r="F169" s="14" t="s">
        <v>2928</v>
      </c>
      <c r="G169" s="10">
        <v>6</v>
      </c>
      <c r="H169" s="66">
        <v>0.33333333333333331</v>
      </c>
      <c r="I169" s="66">
        <v>0.875</v>
      </c>
      <c r="J169" s="68">
        <v>0.33333333333333331</v>
      </c>
      <c r="K169" s="21" t="s">
        <v>513</v>
      </c>
      <c r="L169" s="30" t="s">
        <v>1424</v>
      </c>
      <c r="M169" s="30" t="s">
        <v>1355</v>
      </c>
      <c r="N169" s="23" t="s">
        <v>2929</v>
      </c>
      <c r="O169" s="35" t="s">
        <v>1357</v>
      </c>
      <c r="P169" s="161">
        <v>45427</v>
      </c>
      <c r="Q169" s="161">
        <v>45427</v>
      </c>
      <c r="R169" s="161">
        <v>46156</v>
      </c>
      <c r="S169" s="161">
        <v>46157</v>
      </c>
      <c r="T169" s="10">
        <v>2010</v>
      </c>
      <c r="U169" s="30" t="s">
        <v>2930</v>
      </c>
      <c r="V169" s="10">
        <v>2014</v>
      </c>
      <c r="W169" s="30" t="s">
        <v>856</v>
      </c>
      <c r="X169" s="31" t="s">
        <v>30</v>
      </c>
      <c r="Y169" s="23" t="s">
        <v>1360</v>
      </c>
      <c r="Z169" s="14" t="s">
        <v>2931</v>
      </c>
      <c r="AA169" s="23" t="s">
        <v>1841</v>
      </c>
      <c r="AB169" s="161">
        <v>45351</v>
      </c>
      <c r="AC169" s="161">
        <v>47177</v>
      </c>
      <c r="AD169" s="220">
        <v>9404215297</v>
      </c>
      <c r="AE169" s="224" t="s">
        <v>2932</v>
      </c>
      <c r="AF169" s="30" t="s">
        <v>2933</v>
      </c>
      <c r="AG169" s="230" t="s">
        <v>2934</v>
      </c>
      <c r="AH169" s="31" t="s">
        <v>2935</v>
      </c>
      <c r="AI169" s="31" t="s">
        <v>2936</v>
      </c>
      <c r="AJ169" s="221" t="s">
        <v>2937</v>
      </c>
      <c r="AK169" s="30" t="e">
        <f>VLOOKUP(D169,[1]Sheet1!#REF!,6,0)</f>
        <v>#REF!</v>
      </c>
      <c r="AL169" s="210"/>
      <c r="AM169" s="210"/>
      <c r="AN169" s="35"/>
      <c r="AO169" s="35" t="s">
        <v>2938</v>
      </c>
      <c r="AP169" s="10">
        <f t="shared" ca="1" si="5"/>
        <v>39</v>
      </c>
      <c r="AQ169" s="35"/>
      <c r="AR169" s="23"/>
      <c r="AS169" s="210"/>
      <c r="AT169" s="210"/>
      <c r="AU169" s="223">
        <v>31579</v>
      </c>
      <c r="AV169" s="31" t="s">
        <v>1389</v>
      </c>
      <c r="AW169" s="31" t="s">
        <v>68</v>
      </c>
      <c r="AX169" s="10">
        <v>8</v>
      </c>
      <c r="AY169" s="14" t="s">
        <v>1959</v>
      </c>
      <c r="AZ169" s="30" t="s">
        <v>1373</v>
      </c>
      <c r="BA169" s="23" t="s">
        <v>151</v>
      </c>
      <c r="BB169" s="30" t="s">
        <v>34</v>
      </c>
      <c r="BC169" s="22"/>
    </row>
    <row r="170" spans="1:55" x14ac:dyDescent="0.25">
      <c r="A170" s="10">
        <f t="shared" si="6"/>
        <v>169</v>
      </c>
      <c r="B170" s="10" t="s">
        <v>548</v>
      </c>
      <c r="C170" s="30" t="s">
        <v>34</v>
      </c>
      <c r="D170" s="65">
        <v>400968</v>
      </c>
      <c r="E170" s="31" t="s">
        <v>268</v>
      </c>
      <c r="F170" s="14" t="s">
        <v>549</v>
      </c>
      <c r="G170" s="10">
        <v>6</v>
      </c>
      <c r="H170" s="66">
        <v>0.375</v>
      </c>
      <c r="I170" s="66">
        <v>0.70833333333333337</v>
      </c>
      <c r="J170" s="66">
        <v>0.33333333333333331</v>
      </c>
      <c r="K170" s="21" t="s">
        <v>194</v>
      </c>
      <c r="L170" s="30" t="s">
        <v>550</v>
      </c>
      <c r="M170" s="30" t="s">
        <v>26</v>
      </c>
      <c r="N170" s="23" t="s">
        <v>38</v>
      </c>
      <c r="O170" s="23" t="s">
        <v>1321</v>
      </c>
      <c r="P170" s="161">
        <v>45369</v>
      </c>
      <c r="Q170" s="161">
        <v>45369</v>
      </c>
      <c r="R170" s="161">
        <v>46098</v>
      </c>
      <c r="S170" s="161">
        <v>46099</v>
      </c>
      <c r="T170" s="10">
        <v>2012</v>
      </c>
      <c r="U170" s="30" t="s">
        <v>326</v>
      </c>
      <c r="V170" s="10">
        <v>2018</v>
      </c>
      <c r="W170" s="30" t="s">
        <v>380</v>
      </c>
      <c r="X170" s="31" t="s">
        <v>30</v>
      </c>
      <c r="Y170" s="23" t="s">
        <v>66</v>
      </c>
      <c r="Z170" s="14" t="s">
        <v>2939</v>
      </c>
      <c r="AA170" s="23" t="s">
        <v>1841</v>
      </c>
      <c r="AB170" s="161">
        <v>45371</v>
      </c>
      <c r="AC170" s="161">
        <v>47196</v>
      </c>
      <c r="AD170" s="220">
        <v>9121546107</v>
      </c>
      <c r="AE170" s="224" t="s">
        <v>551</v>
      </c>
      <c r="AF170" s="30" t="s">
        <v>1364</v>
      </c>
      <c r="AG170" s="221" t="s">
        <v>2940</v>
      </c>
      <c r="AH170" s="31" t="s">
        <v>2941</v>
      </c>
      <c r="AI170" s="31" t="s">
        <v>2942</v>
      </c>
      <c r="AJ170" s="221" t="s">
        <v>2943</v>
      </c>
      <c r="AK170" s="30" t="s">
        <v>2944</v>
      </c>
      <c r="AL170" s="210"/>
      <c r="AM170" s="210"/>
      <c r="AN170" s="35"/>
      <c r="AO170" s="35" t="s">
        <v>2945</v>
      </c>
      <c r="AP170" s="10">
        <f t="shared" ca="1" si="5"/>
        <v>37</v>
      </c>
      <c r="AQ170" s="35" t="s">
        <v>1605</v>
      </c>
      <c r="AR170" s="222" t="s">
        <v>2946</v>
      </c>
      <c r="AS170" s="234">
        <v>45793</v>
      </c>
      <c r="AT170" s="234">
        <v>46888</v>
      </c>
      <c r="AU170" s="223">
        <v>32266</v>
      </c>
      <c r="AV170" s="31" t="s">
        <v>1389</v>
      </c>
      <c r="AW170" s="31" t="s">
        <v>68</v>
      </c>
      <c r="AX170" s="10">
        <v>8</v>
      </c>
      <c r="AY170" s="14" t="s">
        <v>1968</v>
      </c>
      <c r="AZ170" s="30" t="s">
        <v>26</v>
      </c>
      <c r="BA170" s="23" t="s">
        <v>151</v>
      </c>
      <c r="BB170" s="30" t="s">
        <v>34</v>
      </c>
      <c r="BC170" s="22"/>
    </row>
    <row r="171" spans="1:55" x14ac:dyDescent="0.25">
      <c r="A171" s="10">
        <f t="shared" si="6"/>
        <v>170</v>
      </c>
      <c r="B171" s="10" t="s">
        <v>2947</v>
      </c>
      <c r="C171" s="30" t="s">
        <v>34</v>
      </c>
      <c r="D171" s="65">
        <v>400970</v>
      </c>
      <c r="E171" s="31" t="s">
        <v>36</v>
      </c>
      <c r="F171" s="14" t="s">
        <v>2948</v>
      </c>
      <c r="G171" s="10">
        <v>6</v>
      </c>
      <c r="H171" s="66">
        <v>0.375</v>
      </c>
      <c r="I171" s="66">
        <v>0.625</v>
      </c>
      <c r="J171" s="66">
        <v>0.25</v>
      </c>
      <c r="K171" s="21" t="s">
        <v>713</v>
      </c>
      <c r="L171" s="30" t="s">
        <v>1424</v>
      </c>
      <c r="M171" s="30" t="s">
        <v>1355</v>
      </c>
      <c r="N171" s="23" t="s">
        <v>1520</v>
      </c>
      <c r="O171" s="14" t="s">
        <v>2673</v>
      </c>
      <c r="P171" s="161">
        <v>45383</v>
      </c>
      <c r="Q171" s="161">
        <v>45383</v>
      </c>
      <c r="R171" s="161">
        <v>46112</v>
      </c>
      <c r="S171" s="161">
        <v>46113</v>
      </c>
      <c r="T171" s="10">
        <v>2016</v>
      </c>
      <c r="U171" s="30" t="s">
        <v>2949</v>
      </c>
      <c r="V171" s="10">
        <v>2020</v>
      </c>
      <c r="W171" s="30" t="s">
        <v>2950</v>
      </c>
      <c r="X171" s="31" t="s">
        <v>30</v>
      </c>
      <c r="Y171" s="23" t="s">
        <v>1360</v>
      </c>
      <c r="Z171" s="14" t="s">
        <v>2951</v>
      </c>
      <c r="AA171" s="35" t="s">
        <v>1886</v>
      </c>
      <c r="AB171" s="161">
        <v>44865</v>
      </c>
      <c r="AC171" s="161">
        <v>46690</v>
      </c>
      <c r="AD171" s="220">
        <v>9676418241</v>
      </c>
      <c r="AE171" s="224" t="s">
        <v>2952</v>
      </c>
      <c r="AF171" s="30" t="s">
        <v>1410</v>
      </c>
      <c r="AG171" s="221" t="s">
        <v>2953</v>
      </c>
      <c r="AH171" s="31" t="s">
        <v>2678</v>
      </c>
      <c r="AI171" s="31" t="s">
        <v>2954</v>
      </c>
      <c r="AJ171" s="221" t="s">
        <v>2955</v>
      </c>
      <c r="AK171" s="30" t="e">
        <f>VLOOKUP(D171,[1]Sheet1!#REF!,6,0)</f>
        <v>#REF!</v>
      </c>
      <c r="AL171" s="210"/>
      <c r="AM171" s="210"/>
      <c r="AN171" s="35"/>
      <c r="AO171" s="35" t="s">
        <v>2956</v>
      </c>
      <c r="AP171" s="10">
        <f t="shared" ref="AP171:AP234" ca="1" si="7">ROUNDDOWN((TODAY() -AU171)/365.25,0)</f>
        <v>34</v>
      </c>
      <c r="AQ171" s="35" t="s">
        <v>1605</v>
      </c>
      <c r="AR171" s="222" t="s">
        <v>2957</v>
      </c>
      <c r="AS171" s="234">
        <v>45955</v>
      </c>
      <c r="AT171" s="234">
        <v>46319</v>
      </c>
      <c r="AU171" s="223">
        <v>33396</v>
      </c>
      <c r="AV171" s="31" t="s">
        <v>1389</v>
      </c>
      <c r="AW171" s="31" t="s">
        <v>32</v>
      </c>
      <c r="AX171" s="10">
        <v>6</v>
      </c>
      <c r="AY171" s="14" t="s">
        <v>2262</v>
      </c>
      <c r="AZ171" s="30" t="s">
        <v>1373</v>
      </c>
      <c r="BA171" s="23" t="s">
        <v>151</v>
      </c>
      <c r="BB171" s="30" t="s">
        <v>34</v>
      </c>
      <c r="BC171" s="22"/>
    </row>
    <row r="172" spans="1:55" x14ac:dyDescent="0.25">
      <c r="A172" s="10">
        <f t="shared" si="6"/>
        <v>171</v>
      </c>
      <c r="B172" s="55" t="s">
        <v>2958</v>
      </c>
      <c r="C172" s="594" t="s">
        <v>1407</v>
      </c>
      <c r="D172" s="78">
        <v>400981</v>
      </c>
      <c r="E172" s="54" t="s">
        <v>36</v>
      </c>
      <c r="F172" s="48" t="s">
        <v>2959</v>
      </c>
      <c r="G172" s="270">
        <v>6</v>
      </c>
      <c r="H172" s="77">
        <v>0.72916666666666663</v>
      </c>
      <c r="I172" s="77">
        <v>0.85416666666666663</v>
      </c>
      <c r="J172" s="77">
        <v>0.125</v>
      </c>
      <c r="K172" s="51" t="s">
        <v>411</v>
      </c>
      <c r="L172" s="51" t="s">
        <v>2960</v>
      </c>
      <c r="M172" s="56" t="s">
        <v>26</v>
      </c>
      <c r="N172" s="269" t="s">
        <v>38</v>
      </c>
      <c r="O172" s="269" t="s">
        <v>1321</v>
      </c>
      <c r="P172" s="238">
        <v>45394</v>
      </c>
      <c r="Q172" s="238">
        <v>45394</v>
      </c>
      <c r="R172" s="238">
        <v>46123</v>
      </c>
      <c r="S172" s="238">
        <v>46124</v>
      </c>
      <c r="T172" s="55">
        <v>1981</v>
      </c>
      <c r="U172" s="56" t="s">
        <v>552</v>
      </c>
      <c r="V172" s="55">
        <v>2012</v>
      </c>
      <c r="W172" s="56" t="s">
        <v>2961</v>
      </c>
      <c r="X172" s="54" t="s">
        <v>30</v>
      </c>
      <c r="Y172" s="51" t="s">
        <v>158</v>
      </c>
      <c r="Z172" s="48" t="s">
        <v>2962</v>
      </c>
      <c r="AA172" s="51" t="s">
        <v>1886</v>
      </c>
      <c r="AB172" s="238">
        <v>44677</v>
      </c>
      <c r="AC172" s="238">
        <v>46502</v>
      </c>
      <c r="AD172" s="239">
        <v>9848377450</v>
      </c>
      <c r="AE172" s="240" t="s">
        <v>2963</v>
      </c>
      <c r="AF172" s="56" t="s">
        <v>1430</v>
      </c>
      <c r="AG172" s="198" t="s">
        <v>2964</v>
      </c>
      <c r="AH172" s="54" t="s">
        <v>2965</v>
      </c>
      <c r="AI172" s="54" t="s">
        <v>2966</v>
      </c>
      <c r="AJ172" s="198" t="s">
        <v>2967</v>
      </c>
      <c r="AK172" s="56" t="e">
        <f>VLOOKUP(D172,[1]Sheet1!#REF!,6,0)</f>
        <v>#REF!</v>
      </c>
      <c r="AL172" s="199">
        <v>45961</v>
      </c>
      <c r="AM172" s="199">
        <v>45941</v>
      </c>
      <c r="AN172" s="56" t="s">
        <v>2968</v>
      </c>
      <c r="AO172" s="51" t="s">
        <v>2969</v>
      </c>
      <c r="AP172" s="55">
        <f t="shared" ca="1" si="7"/>
        <v>69</v>
      </c>
      <c r="AQ172" s="51"/>
      <c r="AR172" s="52"/>
      <c r="AS172" s="199"/>
      <c r="AT172" s="199"/>
      <c r="AU172" s="242">
        <v>20748</v>
      </c>
      <c r="AV172" s="54" t="s">
        <v>1352</v>
      </c>
      <c r="AW172" s="54" t="s">
        <v>32</v>
      </c>
      <c r="AX172" s="55">
        <v>3</v>
      </c>
      <c r="AY172" s="48" t="s">
        <v>1920</v>
      </c>
      <c r="AZ172" s="56" t="s">
        <v>26</v>
      </c>
      <c r="BA172" s="52" t="s">
        <v>151</v>
      </c>
      <c r="BB172" s="56" t="s">
        <v>1407</v>
      </c>
      <c r="BC172" s="53"/>
    </row>
    <row r="173" spans="1:55" x14ac:dyDescent="0.25">
      <c r="A173" s="10">
        <f t="shared" si="6"/>
        <v>172</v>
      </c>
      <c r="B173" s="10" t="s">
        <v>2970</v>
      </c>
      <c r="C173" s="30" t="s">
        <v>34</v>
      </c>
      <c r="D173" s="65">
        <v>400988</v>
      </c>
      <c r="E173" s="31" t="s">
        <v>36</v>
      </c>
      <c r="F173" s="14" t="s">
        <v>2971</v>
      </c>
      <c r="G173" s="10">
        <v>6</v>
      </c>
      <c r="H173" s="66">
        <v>0.70833333333333337</v>
      </c>
      <c r="I173" s="66">
        <v>0.875</v>
      </c>
      <c r="J173" s="66">
        <v>0.16666666666666666</v>
      </c>
      <c r="K173" s="21" t="s">
        <v>513</v>
      </c>
      <c r="L173" s="30" t="s">
        <v>1424</v>
      </c>
      <c r="M173" s="30" t="s">
        <v>2097</v>
      </c>
      <c r="N173" s="23" t="s">
        <v>2098</v>
      </c>
      <c r="O173" s="14" t="s">
        <v>2928</v>
      </c>
      <c r="P173" s="161">
        <v>45413</v>
      </c>
      <c r="Q173" s="161">
        <v>45413</v>
      </c>
      <c r="R173" s="161">
        <v>46142</v>
      </c>
      <c r="S173" s="161">
        <v>46143</v>
      </c>
      <c r="T173" s="10">
        <v>2014</v>
      </c>
      <c r="U173" s="30" t="s">
        <v>2972</v>
      </c>
      <c r="V173" s="10">
        <v>2021</v>
      </c>
      <c r="W173" s="14" t="s">
        <v>906</v>
      </c>
      <c r="X173" s="31" t="s">
        <v>30</v>
      </c>
      <c r="Y173" s="35" t="s">
        <v>2099</v>
      </c>
      <c r="Z173" s="14" t="s">
        <v>2973</v>
      </c>
      <c r="AA173" s="23" t="s">
        <v>1841</v>
      </c>
      <c r="AB173" s="161">
        <v>44326</v>
      </c>
      <c r="AC173" s="161">
        <v>46151</v>
      </c>
      <c r="AD173" s="220">
        <v>8790879400</v>
      </c>
      <c r="AE173" s="224" t="s">
        <v>2974</v>
      </c>
      <c r="AF173" s="30" t="s">
        <v>2284</v>
      </c>
      <c r="AG173" s="221" t="s">
        <v>2975</v>
      </c>
      <c r="AH173" s="31" t="s">
        <v>2976</v>
      </c>
      <c r="AI173" s="31" t="s">
        <v>2977</v>
      </c>
      <c r="AJ173" s="221" t="s">
        <v>2978</v>
      </c>
      <c r="AK173" s="30" t="s">
        <v>2979</v>
      </c>
      <c r="AL173" s="210"/>
      <c r="AM173" s="210"/>
      <c r="AN173" s="35"/>
      <c r="AO173" s="35" t="s">
        <v>2980</v>
      </c>
      <c r="AP173" s="10">
        <f t="shared" ca="1" si="7"/>
        <v>37</v>
      </c>
      <c r="AQ173" s="35"/>
      <c r="AR173" s="23"/>
      <c r="AS173" s="210"/>
      <c r="AT173" s="210"/>
      <c r="AU173" s="223">
        <v>32245</v>
      </c>
      <c r="AV173" s="31" t="s">
        <v>1389</v>
      </c>
      <c r="AW173" s="31" t="s">
        <v>32</v>
      </c>
      <c r="AX173" s="10">
        <v>4</v>
      </c>
      <c r="AY173" s="14" t="s">
        <v>1959</v>
      </c>
      <c r="AZ173" s="30" t="s">
        <v>1373</v>
      </c>
      <c r="BA173" s="23" t="s">
        <v>151</v>
      </c>
      <c r="BB173" s="30" t="s">
        <v>34</v>
      </c>
      <c r="BC173" s="22"/>
    </row>
    <row r="174" spans="1:55" x14ac:dyDescent="0.25">
      <c r="A174" s="10">
        <f t="shared" si="6"/>
        <v>173</v>
      </c>
      <c r="B174" s="10" t="s">
        <v>553</v>
      </c>
      <c r="C174" s="30" t="s">
        <v>34</v>
      </c>
      <c r="D174" s="65">
        <v>400992</v>
      </c>
      <c r="E174" s="181" t="s">
        <v>9124</v>
      </c>
      <c r="F174" s="14" t="s">
        <v>554</v>
      </c>
      <c r="G174" s="10">
        <v>6</v>
      </c>
      <c r="H174" s="66" t="s">
        <v>555</v>
      </c>
      <c r="I174" s="66" t="s">
        <v>556</v>
      </c>
      <c r="J174" s="66">
        <v>0.20833333333333334</v>
      </c>
      <c r="K174" s="21" t="s">
        <v>557</v>
      </c>
      <c r="L174" s="30" t="s">
        <v>558</v>
      </c>
      <c r="M174" s="30" t="s">
        <v>26</v>
      </c>
      <c r="N174" s="23" t="s">
        <v>38</v>
      </c>
      <c r="O174" s="23" t="s">
        <v>1321</v>
      </c>
      <c r="P174" s="161">
        <v>45422</v>
      </c>
      <c r="Q174" s="183">
        <v>45588</v>
      </c>
      <c r="R174" s="161">
        <v>46151</v>
      </c>
      <c r="S174" s="161">
        <v>46152</v>
      </c>
      <c r="T174" s="10">
        <v>2018</v>
      </c>
      <c r="U174" s="30" t="s">
        <v>559</v>
      </c>
      <c r="V174" s="10">
        <v>2022</v>
      </c>
      <c r="W174" s="30" t="s">
        <v>559</v>
      </c>
      <c r="X174" s="31" t="s">
        <v>30</v>
      </c>
      <c r="Y174" s="35" t="s">
        <v>49</v>
      </c>
      <c r="Z174" s="14" t="s">
        <v>2981</v>
      </c>
      <c r="AA174" s="23" t="s">
        <v>1841</v>
      </c>
      <c r="AB174" s="161">
        <v>45234</v>
      </c>
      <c r="AC174" s="161">
        <v>47060</v>
      </c>
      <c r="AD174" s="220">
        <v>9100699956</v>
      </c>
      <c r="AE174" s="224" t="s">
        <v>560</v>
      </c>
      <c r="AF174" s="30" t="s">
        <v>1410</v>
      </c>
      <c r="AG174" s="221" t="s">
        <v>2982</v>
      </c>
      <c r="AH174" s="31" t="s">
        <v>2983</v>
      </c>
      <c r="AI174" s="31" t="s">
        <v>2984</v>
      </c>
      <c r="AJ174" s="221" t="s">
        <v>2985</v>
      </c>
      <c r="AK174" s="30"/>
      <c r="AL174" s="210"/>
      <c r="AM174" s="210"/>
      <c r="AN174" s="35"/>
      <c r="AO174" s="35" t="s">
        <v>2986</v>
      </c>
      <c r="AP174" s="10">
        <f t="shared" ca="1" si="7"/>
        <v>30</v>
      </c>
      <c r="AQ174" s="35" t="s">
        <v>1605</v>
      </c>
      <c r="AR174" s="23" t="s">
        <v>2987</v>
      </c>
      <c r="AS174" s="166">
        <v>45925</v>
      </c>
      <c r="AT174" s="166">
        <v>46289</v>
      </c>
      <c r="AU174" s="223">
        <v>34954</v>
      </c>
      <c r="AV174" s="31" t="s">
        <v>1389</v>
      </c>
      <c r="AW174" s="31" t="s">
        <v>32</v>
      </c>
      <c r="AX174" s="10">
        <v>5</v>
      </c>
      <c r="AY174" s="14" t="s">
        <v>1959</v>
      </c>
      <c r="AZ174" s="30" t="s">
        <v>26</v>
      </c>
      <c r="BA174" s="23" t="s">
        <v>151</v>
      </c>
      <c r="BB174" s="30" t="s">
        <v>34</v>
      </c>
      <c r="BC174" s="22"/>
    </row>
    <row r="175" spans="1:55" x14ac:dyDescent="0.25">
      <c r="A175" s="10">
        <f t="shared" si="6"/>
        <v>174</v>
      </c>
      <c r="B175" s="10" t="s">
        <v>561</v>
      </c>
      <c r="C175" s="30" t="s">
        <v>34</v>
      </c>
      <c r="D175" s="65">
        <v>400995</v>
      </c>
      <c r="E175" s="31" t="s">
        <v>36</v>
      </c>
      <c r="F175" s="14" t="s">
        <v>562</v>
      </c>
      <c r="G175" s="10">
        <v>6</v>
      </c>
      <c r="H175" s="66">
        <v>0.72916666666666663</v>
      </c>
      <c r="I175" s="66">
        <v>0.8125</v>
      </c>
      <c r="J175" s="66">
        <v>8.3333333333333329E-2</v>
      </c>
      <c r="K175" s="21" t="s">
        <v>563</v>
      </c>
      <c r="L175" s="30" t="s">
        <v>564</v>
      </c>
      <c r="M175" s="30" t="s">
        <v>26</v>
      </c>
      <c r="N175" s="23" t="s">
        <v>38</v>
      </c>
      <c r="O175" s="23" t="s">
        <v>1321</v>
      </c>
      <c r="P175" s="161">
        <v>45425</v>
      </c>
      <c r="Q175" s="161">
        <v>45425</v>
      </c>
      <c r="R175" s="161">
        <v>46154</v>
      </c>
      <c r="S175" s="161">
        <v>46155</v>
      </c>
      <c r="T175" s="10">
        <v>2013</v>
      </c>
      <c r="U175" s="30" t="s">
        <v>565</v>
      </c>
      <c r="V175" s="10">
        <v>2019</v>
      </c>
      <c r="W175" s="30" t="s">
        <v>516</v>
      </c>
      <c r="X175" s="31" t="s">
        <v>30</v>
      </c>
      <c r="Y175" s="35" t="s">
        <v>49</v>
      </c>
      <c r="Z175" s="14" t="s">
        <v>2988</v>
      </c>
      <c r="AA175" s="35" t="s">
        <v>1886</v>
      </c>
      <c r="AB175" s="161">
        <v>45516</v>
      </c>
      <c r="AC175" s="161">
        <v>47341</v>
      </c>
      <c r="AD175" s="220">
        <v>7673979472</v>
      </c>
      <c r="AE175" s="224" t="s">
        <v>566</v>
      </c>
      <c r="AF175" s="28" t="s">
        <v>1495</v>
      </c>
      <c r="AG175" s="221" t="s">
        <v>2989</v>
      </c>
      <c r="AH175" s="31" t="s">
        <v>2990</v>
      </c>
      <c r="AI175" s="31" t="s">
        <v>2991</v>
      </c>
      <c r="AJ175" s="221" t="s">
        <v>2992</v>
      </c>
      <c r="AK175" s="30"/>
      <c r="AL175" s="210"/>
      <c r="AM175" s="210"/>
      <c r="AN175" s="35"/>
      <c r="AO175" s="35" t="s">
        <v>2993</v>
      </c>
      <c r="AP175" s="10">
        <f t="shared" ca="1" si="7"/>
        <v>35</v>
      </c>
      <c r="AQ175" s="35" t="s">
        <v>1605</v>
      </c>
      <c r="AR175" s="222" t="s">
        <v>2994</v>
      </c>
      <c r="AS175" s="166">
        <v>45811</v>
      </c>
      <c r="AT175" s="166">
        <v>46175</v>
      </c>
      <c r="AU175" s="223">
        <v>32908</v>
      </c>
      <c r="AV175" s="31" t="s">
        <v>1352</v>
      </c>
      <c r="AW175" s="31" t="s">
        <v>32</v>
      </c>
      <c r="AX175" s="10">
        <v>2</v>
      </c>
      <c r="AY175" s="14" t="s">
        <v>1895</v>
      </c>
      <c r="AZ175" s="30" t="s">
        <v>26</v>
      </c>
      <c r="BA175" s="23" t="s">
        <v>151</v>
      </c>
      <c r="BB175" s="30" t="s">
        <v>34</v>
      </c>
      <c r="BC175" s="22"/>
    </row>
    <row r="176" spans="1:55" x14ac:dyDescent="0.25">
      <c r="A176" s="10">
        <f t="shared" si="6"/>
        <v>175</v>
      </c>
      <c r="B176" s="10" t="s">
        <v>2995</v>
      </c>
      <c r="C176" s="30" t="s">
        <v>34</v>
      </c>
      <c r="D176" s="65">
        <v>400997</v>
      </c>
      <c r="E176" s="31" t="s">
        <v>36</v>
      </c>
      <c r="F176" s="14" t="s">
        <v>2996</v>
      </c>
      <c r="G176" s="10">
        <v>6</v>
      </c>
      <c r="H176" s="66">
        <v>0.33333333333333331</v>
      </c>
      <c r="I176" s="66">
        <v>0.875</v>
      </c>
      <c r="J176" s="68">
        <v>0.33333333333333331</v>
      </c>
      <c r="K176" s="21" t="s">
        <v>147</v>
      </c>
      <c r="L176" s="30" t="s">
        <v>1424</v>
      </c>
      <c r="M176" s="30" t="s">
        <v>2097</v>
      </c>
      <c r="N176" s="23" t="s">
        <v>2098</v>
      </c>
      <c r="O176" s="35" t="s">
        <v>1357</v>
      </c>
      <c r="P176" s="161">
        <v>45427</v>
      </c>
      <c r="Q176" s="161">
        <v>45427</v>
      </c>
      <c r="R176" s="161">
        <v>46156</v>
      </c>
      <c r="S176" s="161">
        <v>46157</v>
      </c>
      <c r="T176" s="10">
        <v>2011</v>
      </c>
      <c r="U176" s="30" t="s">
        <v>350</v>
      </c>
      <c r="V176" s="10">
        <v>2023</v>
      </c>
      <c r="W176" s="30" t="s">
        <v>2997</v>
      </c>
      <c r="X176" s="31" t="s">
        <v>30</v>
      </c>
      <c r="Y176" s="35" t="s">
        <v>2099</v>
      </c>
      <c r="Z176" s="14" t="s">
        <v>2998</v>
      </c>
      <c r="AA176" s="35" t="s">
        <v>1841</v>
      </c>
      <c r="AB176" s="161">
        <v>45422</v>
      </c>
      <c r="AC176" s="161">
        <v>47247</v>
      </c>
      <c r="AD176" s="220">
        <v>9676282898</v>
      </c>
      <c r="AE176" s="224" t="s">
        <v>2999</v>
      </c>
      <c r="AF176" s="28" t="s">
        <v>1495</v>
      </c>
      <c r="AG176" s="221" t="s">
        <v>3000</v>
      </c>
      <c r="AH176" s="31" t="s">
        <v>3001</v>
      </c>
      <c r="AI176" s="31" t="s">
        <v>3002</v>
      </c>
      <c r="AJ176" s="221" t="s">
        <v>3003</v>
      </c>
      <c r="AK176" s="30" t="s">
        <v>3004</v>
      </c>
      <c r="AL176" s="210"/>
      <c r="AM176" s="210"/>
      <c r="AN176" s="35"/>
      <c r="AO176" s="35" t="s">
        <v>3005</v>
      </c>
      <c r="AP176" s="10">
        <f t="shared" ca="1" si="7"/>
        <v>33</v>
      </c>
      <c r="AQ176" s="35"/>
      <c r="AR176" s="23"/>
      <c r="AS176" s="210"/>
      <c r="AT176" s="210"/>
      <c r="AU176" s="223">
        <v>33638</v>
      </c>
      <c r="AV176" s="31" t="s">
        <v>1389</v>
      </c>
      <c r="AW176" s="31" t="s">
        <v>68</v>
      </c>
      <c r="AX176" s="10">
        <v>8</v>
      </c>
      <c r="AY176" s="14" t="s">
        <v>1849</v>
      </c>
      <c r="AZ176" s="30" t="s">
        <v>1373</v>
      </c>
      <c r="BA176" s="23" t="s">
        <v>151</v>
      </c>
      <c r="BB176" s="30" t="s">
        <v>34</v>
      </c>
      <c r="BC176" s="22"/>
    </row>
    <row r="177" spans="1:55" x14ac:dyDescent="0.25">
      <c r="A177" s="10">
        <f t="shared" si="6"/>
        <v>176</v>
      </c>
      <c r="B177" s="10" t="s">
        <v>567</v>
      </c>
      <c r="C177" s="30" t="s">
        <v>34</v>
      </c>
      <c r="D177" s="65">
        <v>401009</v>
      </c>
      <c r="E177" s="31" t="s">
        <v>36</v>
      </c>
      <c r="F177" s="14" t="s">
        <v>568</v>
      </c>
      <c r="G177" s="10">
        <v>6</v>
      </c>
      <c r="H177" s="66">
        <v>0.45833333333333331</v>
      </c>
      <c r="I177" s="66">
        <v>0.79166666666666663</v>
      </c>
      <c r="J177" s="66">
        <v>0.33333333333333331</v>
      </c>
      <c r="K177" s="21" t="s">
        <v>513</v>
      </c>
      <c r="L177" s="30" t="s">
        <v>569</v>
      </c>
      <c r="M177" s="30" t="s">
        <v>26</v>
      </c>
      <c r="N177" s="23" t="s">
        <v>38</v>
      </c>
      <c r="O177" s="23" t="s">
        <v>1321</v>
      </c>
      <c r="P177" s="161">
        <v>45448</v>
      </c>
      <c r="Q177" s="161">
        <v>45448</v>
      </c>
      <c r="R177" s="161">
        <v>46177</v>
      </c>
      <c r="S177" s="161">
        <v>46178</v>
      </c>
      <c r="T177" s="10">
        <v>2014</v>
      </c>
      <c r="U177" s="30" t="s">
        <v>570</v>
      </c>
      <c r="V177" s="10">
        <v>2023</v>
      </c>
      <c r="W177" s="30" t="s">
        <v>571</v>
      </c>
      <c r="X177" s="31" t="s">
        <v>30</v>
      </c>
      <c r="Y177" s="35" t="s">
        <v>49</v>
      </c>
      <c r="Z177" s="14" t="s">
        <v>3006</v>
      </c>
      <c r="AA177" s="35" t="s">
        <v>1841</v>
      </c>
      <c r="AB177" s="161">
        <v>45936</v>
      </c>
      <c r="AC177" s="161">
        <v>47763</v>
      </c>
      <c r="AD177" s="220">
        <v>8977683053</v>
      </c>
      <c r="AE177" s="224" t="s">
        <v>572</v>
      </c>
      <c r="AF177" s="28" t="s">
        <v>1495</v>
      </c>
      <c r="AG177" s="221" t="s">
        <v>3007</v>
      </c>
      <c r="AH177" s="31" t="s">
        <v>3008</v>
      </c>
      <c r="AI177" s="31" t="s">
        <v>3009</v>
      </c>
      <c r="AJ177" s="221" t="s">
        <v>3010</v>
      </c>
      <c r="AK177" s="30" t="s">
        <v>3011</v>
      </c>
      <c r="AL177" s="210"/>
      <c r="AM177" s="210"/>
      <c r="AN177" s="35"/>
      <c r="AO177" s="35" t="s">
        <v>3012</v>
      </c>
      <c r="AP177" s="10">
        <f t="shared" ca="1" si="7"/>
        <v>35</v>
      </c>
      <c r="AQ177" s="35" t="s">
        <v>1605</v>
      </c>
      <c r="AR177" s="222" t="s">
        <v>3013</v>
      </c>
      <c r="AS177" s="234">
        <v>45680</v>
      </c>
      <c r="AT177" s="234">
        <v>46044</v>
      </c>
      <c r="AU177" s="223">
        <v>33093</v>
      </c>
      <c r="AV177" s="31" t="s">
        <v>1352</v>
      </c>
      <c r="AW177" s="31" t="s">
        <v>68</v>
      </c>
      <c r="AX177" s="10">
        <v>8</v>
      </c>
      <c r="AY177" s="14" t="s">
        <v>1959</v>
      </c>
      <c r="AZ177" s="30" t="s">
        <v>26</v>
      </c>
      <c r="BA177" s="23" t="s">
        <v>151</v>
      </c>
      <c r="BB177" s="30" t="s">
        <v>34</v>
      </c>
      <c r="BC177" s="22"/>
    </row>
    <row r="178" spans="1:55" x14ac:dyDescent="0.25">
      <c r="A178" s="10">
        <f t="shared" si="6"/>
        <v>177</v>
      </c>
      <c r="B178" s="10" t="s">
        <v>573</v>
      </c>
      <c r="C178" s="30" t="s">
        <v>34</v>
      </c>
      <c r="D178" s="65">
        <v>401014</v>
      </c>
      <c r="E178" s="10" t="s">
        <v>192</v>
      </c>
      <c r="F178" s="14" t="s">
        <v>574</v>
      </c>
      <c r="G178" s="44"/>
      <c r="H178" s="66"/>
      <c r="I178" s="66"/>
      <c r="J178" s="66"/>
      <c r="K178" s="21" t="s">
        <v>334</v>
      </c>
      <c r="L178" s="30" t="s">
        <v>575</v>
      </c>
      <c r="M178" s="30" t="s">
        <v>26</v>
      </c>
      <c r="N178" s="23" t="s">
        <v>38</v>
      </c>
      <c r="O178" s="23" t="s">
        <v>1321</v>
      </c>
      <c r="P178" s="161">
        <v>45731</v>
      </c>
      <c r="Q178" s="161">
        <v>45731</v>
      </c>
      <c r="R178" s="161">
        <v>46460</v>
      </c>
      <c r="S178" s="161">
        <v>46461</v>
      </c>
      <c r="T178" s="10">
        <v>2016</v>
      </c>
      <c r="U178" s="30" t="s">
        <v>576</v>
      </c>
      <c r="V178" s="10">
        <v>2020</v>
      </c>
      <c r="W178" s="30" t="s">
        <v>577</v>
      </c>
      <c r="X178" s="31" t="s">
        <v>30</v>
      </c>
      <c r="Y178" s="35" t="s">
        <v>97</v>
      </c>
      <c r="Z178" s="14" t="s">
        <v>3014</v>
      </c>
      <c r="AA178" s="35" t="s">
        <v>1886</v>
      </c>
      <c r="AB178" s="161">
        <v>44137</v>
      </c>
      <c r="AC178" s="161">
        <v>45962</v>
      </c>
      <c r="AD178" s="220">
        <v>9488852324</v>
      </c>
      <c r="AE178" s="224" t="s">
        <v>578</v>
      </c>
      <c r="AF178" s="28" t="s">
        <v>1495</v>
      </c>
      <c r="AG178" s="221" t="s">
        <v>3015</v>
      </c>
      <c r="AH178" s="31" t="s">
        <v>3016</v>
      </c>
      <c r="AI178" s="31" t="s">
        <v>3017</v>
      </c>
      <c r="AJ178" s="221" t="s">
        <v>3018</v>
      </c>
      <c r="AK178" s="30" t="s">
        <v>3019</v>
      </c>
      <c r="AL178" s="210"/>
      <c r="AM178" s="210"/>
      <c r="AN178" s="35"/>
      <c r="AO178" s="35" t="s">
        <v>3020</v>
      </c>
      <c r="AP178" s="10">
        <f t="shared" ca="1" si="7"/>
        <v>32</v>
      </c>
      <c r="AQ178" s="35" t="s">
        <v>1605</v>
      </c>
      <c r="AR178" s="222" t="s">
        <v>3021</v>
      </c>
      <c r="AS178" s="166">
        <v>45816</v>
      </c>
      <c r="AT178" s="166">
        <v>46180</v>
      </c>
      <c r="AU178" s="161">
        <v>33932</v>
      </c>
      <c r="AV178" s="10" t="s">
        <v>1352</v>
      </c>
      <c r="AW178" s="31" t="s">
        <v>32</v>
      </c>
      <c r="AX178" s="10" t="s">
        <v>30</v>
      </c>
      <c r="AY178" s="14" t="s">
        <v>30</v>
      </c>
      <c r="AZ178" s="30" t="s">
        <v>26</v>
      </c>
      <c r="BA178" s="23" t="s">
        <v>151</v>
      </c>
      <c r="BB178" s="30" t="s">
        <v>34</v>
      </c>
      <c r="BC178" s="22"/>
    </row>
    <row r="179" spans="1:55" x14ac:dyDescent="0.25">
      <c r="A179" s="10">
        <f t="shared" si="6"/>
        <v>178</v>
      </c>
      <c r="B179" s="10" t="s">
        <v>579</v>
      </c>
      <c r="C179" s="30" t="s">
        <v>34</v>
      </c>
      <c r="D179" s="65">
        <v>401017</v>
      </c>
      <c r="E179" s="181" t="s">
        <v>9124</v>
      </c>
      <c r="F179" s="14" t="s">
        <v>580</v>
      </c>
      <c r="G179" s="10">
        <v>6</v>
      </c>
      <c r="H179" s="66" t="s">
        <v>218</v>
      </c>
      <c r="I179" s="66" t="s">
        <v>581</v>
      </c>
      <c r="J179" s="66">
        <v>0.25</v>
      </c>
      <c r="K179" s="21" t="s">
        <v>582</v>
      </c>
      <c r="L179" s="30" t="s">
        <v>583</v>
      </c>
      <c r="M179" s="30" t="s">
        <v>26</v>
      </c>
      <c r="N179" s="23" t="s">
        <v>38</v>
      </c>
      <c r="O179" s="23" t="s">
        <v>1321</v>
      </c>
      <c r="P179" s="161">
        <v>45469</v>
      </c>
      <c r="Q179" s="161">
        <v>45761</v>
      </c>
      <c r="R179" s="161">
        <v>46125</v>
      </c>
      <c r="S179" s="161">
        <v>46126</v>
      </c>
      <c r="T179" s="10">
        <v>2006</v>
      </c>
      <c r="U179" s="30" t="s">
        <v>534</v>
      </c>
      <c r="V179" s="10">
        <v>2016</v>
      </c>
      <c r="W179" s="30" t="s">
        <v>534</v>
      </c>
      <c r="X179" s="31" t="s">
        <v>1424</v>
      </c>
      <c r="Y179" s="23" t="s">
        <v>66</v>
      </c>
      <c r="Z179" s="14">
        <v>54095</v>
      </c>
      <c r="AA179" s="23" t="s">
        <v>1841</v>
      </c>
      <c r="AB179" s="161">
        <v>45383</v>
      </c>
      <c r="AC179" s="161">
        <v>47208</v>
      </c>
      <c r="AD179" s="220">
        <v>9573891566</v>
      </c>
      <c r="AE179" s="224" t="s">
        <v>584</v>
      </c>
      <c r="AF179" s="75" t="s">
        <v>1640</v>
      </c>
      <c r="AG179" s="221" t="s">
        <v>3022</v>
      </c>
      <c r="AH179" s="31" t="s">
        <v>3023</v>
      </c>
      <c r="AI179" s="31" t="s">
        <v>3024</v>
      </c>
      <c r="AJ179" s="221" t="s">
        <v>3025</v>
      </c>
      <c r="AK179" s="30" t="s">
        <v>3026</v>
      </c>
      <c r="AL179" s="210"/>
      <c r="AM179" s="210"/>
      <c r="AN179" s="35"/>
      <c r="AO179" s="35" t="s">
        <v>3027</v>
      </c>
      <c r="AP179" s="10">
        <f t="shared" ca="1" si="7"/>
        <v>45</v>
      </c>
      <c r="AQ179" s="35"/>
      <c r="AR179" s="23"/>
      <c r="AS179" s="210"/>
      <c r="AT179" s="210"/>
      <c r="AU179" s="161">
        <v>29530</v>
      </c>
      <c r="AV179" s="10" t="s">
        <v>1352</v>
      </c>
      <c r="AW179" s="10" t="s">
        <v>32</v>
      </c>
      <c r="AX179" s="10">
        <v>6</v>
      </c>
      <c r="AY179" s="14" t="s">
        <v>1904</v>
      </c>
      <c r="AZ179" s="30" t="s">
        <v>26</v>
      </c>
      <c r="BA179" s="23" t="s">
        <v>151</v>
      </c>
      <c r="BB179" s="30" t="s">
        <v>34</v>
      </c>
      <c r="BC179" s="22"/>
    </row>
    <row r="180" spans="1:55" x14ac:dyDescent="0.25">
      <c r="A180" s="10">
        <f t="shared" si="6"/>
        <v>179</v>
      </c>
      <c r="B180" s="10" t="s">
        <v>585</v>
      </c>
      <c r="C180" s="30" t="s">
        <v>34</v>
      </c>
      <c r="D180" s="65">
        <v>400795</v>
      </c>
      <c r="E180" s="31" t="s">
        <v>36</v>
      </c>
      <c r="F180" s="14" t="s">
        <v>586</v>
      </c>
      <c r="G180" s="10">
        <v>6</v>
      </c>
      <c r="H180" s="66">
        <v>0.47916666666666669</v>
      </c>
      <c r="I180" s="66">
        <v>0.72916666666666663</v>
      </c>
      <c r="J180" s="66">
        <v>0.25</v>
      </c>
      <c r="K180" s="21" t="s">
        <v>587</v>
      </c>
      <c r="L180" s="30" t="s">
        <v>588</v>
      </c>
      <c r="M180" s="30" t="s">
        <v>26</v>
      </c>
      <c r="N180" s="23" t="s">
        <v>38</v>
      </c>
      <c r="O180" s="23" t="s">
        <v>1321</v>
      </c>
      <c r="P180" s="161">
        <v>45114</v>
      </c>
      <c r="Q180" s="161">
        <v>45845</v>
      </c>
      <c r="R180" s="161">
        <v>46574</v>
      </c>
      <c r="S180" s="161">
        <v>46575</v>
      </c>
      <c r="T180" s="10">
        <v>2014</v>
      </c>
      <c r="U180" s="30" t="s">
        <v>230</v>
      </c>
      <c r="V180" s="10">
        <v>2019</v>
      </c>
      <c r="W180" s="14" t="s">
        <v>589</v>
      </c>
      <c r="X180" s="10" t="s">
        <v>1424</v>
      </c>
      <c r="Y180" s="35" t="s">
        <v>49</v>
      </c>
      <c r="Z180" s="14" t="s">
        <v>3028</v>
      </c>
      <c r="AA180" s="23" t="s">
        <v>1841</v>
      </c>
      <c r="AB180" s="161">
        <v>44909</v>
      </c>
      <c r="AC180" s="161">
        <v>46734</v>
      </c>
      <c r="AD180" s="220">
        <v>8331837147</v>
      </c>
      <c r="AE180" s="224" t="s">
        <v>590</v>
      </c>
      <c r="AF180" s="75" t="s">
        <v>3029</v>
      </c>
      <c r="AG180" s="221" t="s">
        <v>3030</v>
      </c>
      <c r="AH180" s="31" t="s">
        <v>3031</v>
      </c>
      <c r="AI180" s="31" t="s">
        <v>3032</v>
      </c>
      <c r="AJ180" s="221" t="s">
        <v>3033</v>
      </c>
      <c r="AK180" s="30" t="s">
        <v>3034</v>
      </c>
      <c r="AL180" s="210"/>
      <c r="AM180" s="210"/>
      <c r="AN180" s="35"/>
      <c r="AO180" s="35" t="s">
        <v>3035</v>
      </c>
      <c r="AP180" s="10">
        <f t="shared" ca="1" si="7"/>
        <v>35</v>
      </c>
      <c r="AQ180" s="30" t="s">
        <v>1605</v>
      </c>
      <c r="AR180" s="232" t="s">
        <v>3036</v>
      </c>
      <c r="AS180" s="166">
        <v>45895</v>
      </c>
      <c r="AT180" s="166">
        <v>46259</v>
      </c>
      <c r="AU180" s="223">
        <v>32833</v>
      </c>
      <c r="AV180" s="31" t="s">
        <v>1352</v>
      </c>
      <c r="AW180" s="31" t="s">
        <v>32</v>
      </c>
      <c r="AX180" s="10">
        <v>6</v>
      </c>
      <c r="AY180" s="14" t="s">
        <v>2053</v>
      </c>
      <c r="AZ180" s="30" t="s">
        <v>26</v>
      </c>
      <c r="BA180" s="23" t="s">
        <v>151</v>
      </c>
      <c r="BB180" s="30" t="s">
        <v>34</v>
      </c>
      <c r="BC180" s="22"/>
    </row>
    <row r="181" spans="1:55" x14ac:dyDescent="0.25">
      <c r="A181" s="10">
        <f t="shared" si="6"/>
        <v>180</v>
      </c>
      <c r="B181" s="10" t="s">
        <v>591</v>
      </c>
      <c r="C181" s="30" t="s">
        <v>34</v>
      </c>
      <c r="D181" s="65">
        <v>401020</v>
      </c>
      <c r="E181" s="31" t="s">
        <v>36</v>
      </c>
      <c r="F181" s="14" t="s">
        <v>592</v>
      </c>
      <c r="G181" s="10">
        <v>6</v>
      </c>
      <c r="H181" s="66">
        <v>0.375</v>
      </c>
      <c r="I181" s="66">
        <v>0.70833333333333337</v>
      </c>
      <c r="J181" s="66">
        <v>0.33333333333333331</v>
      </c>
      <c r="K181" s="21" t="s">
        <v>593</v>
      </c>
      <c r="L181" s="14" t="s">
        <v>594</v>
      </c>
      <c r="M181" s="30" t="s">
        <v>26</v>
      </c>
      <c r="N181" s="23" t="s">
        <v>38</v>
      </c>
      <c r="O181" s="23" t="s">
        <v>1321</v>
      </c>
      <c r="P181" s="161">
        <v>45474</v>
      </c>
      <c r="Q181" s="161">
        <v>45474</v>
      </c>
      <c r="R181" s="161">
        <v>46203</v>
      </c>
      <c r="S181" s="161">
        <v>46204</v>
      </c>
      <c r="T181" s="10">
        <v>2016</v>
      </c>
      <c r="U181" s="30" t="s">
        <v>350</v>
      </c>
      <c r="V181" s="10">
        <v>2023</v>
      </c>
      <c r="W181" s="30" t="s">
        <v>595</v>
      </c>
      <c r="X181" s="31" t="s">
        <v>30</v>
      </c>
      <c r="Y181" s="35" t="s">
        <v>49</v>
      </c>
      <c r="Z181" s="14" t="s">
        <v>3037</v>
      </c>
      <c r="AA181" s="35" t="s">
        <v>1886</v>
      </c>
      <c r="AB181" s="161">
        <v>45296</v>
      </c>
      <c r="AC181" s="161">
        <v>47122</v>
      </c>
      <c r="AD181" s="220">
        <v>7386737555</v>
      </c>
      <c r="AE181" s="224" t="s">
        <v>596</v>
      </c>
      <c r="AF181" s="28" t="s">
        <v>1495</v>
      </c>
      <c r="AG181" s="221" t="s">
        <v>3038</v>
      </c>
      <c r="AH181" s="31" t="s">
        <v>3039</v>
      </c>
      <c r="AI181" s="31" t="s">
        <v>3040</v>
      </c>
      <c r="AJ181" s="221" t="s">
        <v>3041</v>
      </c>
      <c r="AK181" s="30" t="s">
        <v>3042</v>
      </c>
      <c r="AL181" s="210"/>
      <c r="AM181" s="210"/>
      <c r="AN181" s="35"/>
      <c r="AO181" s="35" t="s">
        <v>3043</v>
      </c>
      <c r="AP181" s="10">
        <f t="shared" ca="1" si="7"/>
        <v>32</v>
      </c>
      <c r="AQ181" s="35" t="s">
        <v>1605</v>
      </c>
      <c r="AR181" s="222" t="s">
        <v>3044</v>
      </c>
      <c r="AS181" s="166">
        <v>45901</v>
      </c>
      <c r="AT181" s="166">
        <v>46996</v>
      </c>
      <c r="AU181" s="223">
        <v>34189</v>
      </c>
      <c r="AV181" s="10" t="s">
        <v>1389</v>
      </c>
      <c r="AW181" s="10" t="s">
        <v>68</v>
      </c>
      <c r="AX181" s="10">
        <v>8</v>
      </c>
      <c r="AY181" s="14" t="s">
        <v>1920</v>
      </c>
      <c r="AZ181" s="30" t="s">
        <v>26</v>
      </c>
      <c r="BA181" s="23" t="s">
        <v>151</v>
      </c>
      <c r="BB181" s="30" t="s">
        <v>34</v>
      </c>
      <c r="BC181" s="22"/>
    </row>
    <row r="182" spans="1:55" x14ac:dyDescent="0.25">
      <c r="A182" s="10">
        <f t="shared" si="6"/>
        <v>181</v>
      </c>
      <c r="B182" s="10" t="s">
        <v>3045</v>
      </c>
      <c r="C182" s="30" t="s">
        <v>34</v>
      </c>
      <c r="D182" s="65">
        <v>401021</v>
      </c>
      <c r="E182" s="31" t="s">
        <v>36</v>
      </c>
      <c r="F182" s="14" t="s">
        <v>3046</v>
      </c>
      <c r="G182" s="10">
        <v>6</v>
      </c>
      <c r="H182" s="66">
        <v>0.33333333333333331</v>
      </c>
      <c r="I182" s="66">
        <v>0.875</v>
      </c>
      <c r="J182" s="68">
        <v>0.33333333333333331</v>
      </c>
      <c r="K182" s="21" t="s">
        <v>593</v>
      </c>
      <c r="L182" s="30" t="s">
        <v>30</v>
      </c>
      <c r="M182" s="30" t="s">
        <v>1355</v>
      </c>
      <c r="N182" s="23" t="s">
        <v>3047</v>
      </c>
      <c r="O182" s="35" t="s">
        <v>2016</v>
      </c>
      <c r="P182" s="161">
        <v>45474</v>
      </c>
      <c r="Q182" s="161">
        <v>45474</v>
      </c>
      <c r="R182" s="161">
        <v>46203</v>
      </c>
      <c r="S182" s="161">
        <v>46204</v>
      </c>
      <c r="T182" s="10">
        <v>2010</v>
      </c>
      <c r="U182" s="30" t="s">
        <v>534</v>
      </c>
      <c r="V182" s="10">
        <v>2015</v>
      </c>
      <c r="W182" s="30" t="s">
        <v>3048</v>
      </c>
      <c r="X182" s="31" t="s">
        <v>30</v>
      </c>
      <c r="Y182" s="23" t="s">
        <v>1360</v>
      </c>
      <c r="Z182" s="14">
        <v>71383</v>
      </c>
      <c r="AA182" s="35" t="s">
        <v>1886</v>
      </c>
      <c r="AB182" s="161">
        <v>44796</v>
      </c>
      <c r="AC182" s="161">
        <v>46621</v>
      </c>
      <c r="AD182" s="220">
        <v>8985307353</v>
      </c>
      <c r="AE182" s="224" t="s">
        <v>3049</v>
      </c>
      <c r="AF182" s="30" t="s">
        <v>3050</v>
      </c>
      <c r="AG182" s="221" t="s">
        <v>3051</v>
      </c>
      <c r="AH182" s="31" t="s">
        <v>3052</v>
      </c>
      <c r="AI182" s="31" t="s">
        <v>3053</v>
      </c>
      <c r="AJ182" s="221" t="s">
        <v>3054</v>
      </c>
      <c r="AK182" s="30" t="s">
        <v>3055</v>
      </c>
      <c r="AL182" s="210"/>
      <c r="AM182" s="210"/>
      <c r="AN182" s="35"/>
      <c r="AO182" s="35" t="s">
        <v>3056</v>
      </c>
      <c r="AP182" s="10">
        <f t="shared" ca="1" si="7"/>
        <v>38</v>
      </c>
      <c r="AQ182" s="35" t="s">
        <v>3057</v>
      </c>
      <c r="AR182" s="222" t="s">
        <v>3058</v>
      </c>
      <c r="AS182" s="187">
        <v>45792</v>
      </c>
      <c r="AT182" s="187">
        <v>46156</v>
      </c>
      <c r="AU182" s="223">
        <v>31816</v>
      </c>
      <c r="AV182" s="31" t="s">
        <v>1352</v>
      </c>
      <c r="AW182" s="31" t="s">
        <v>68</v>
      </c>
      <c r="AX182" s="10">
        <v>8</v>
      </c>
      <c r="AY182" s="14" t="s">
        <v>1920</v>
      </c>
      <c r="AZ182" s="30" t="s">
        <v>1373</v>
      </c>
      <c r="BA182" s="23" t="s">
        <v>151</v>
      </c>
      <c r="BB182" s="30" t="s">
        <v>34</v>
      </c>
      <c r="BC182" s="22"/>
    </row>
    <row r="183" spans="1:55" x14ac:dyDescent="0.25">
      <c r="A183" s="10">
        <f t="shared" si="6"/>
        <v>182</v>
      </c>
      <c r="B183" s="55" t="s">
        <v>3059</v>
      </c>
      <c r="C183" s="56" t="s">
        <v>34</v>
      </c>
      <c r="D183" s="78">
        <v>401024</v>
      </c>
      <c r="E183" s="54" t="s">
        <v>36</v>
      </c>
      <c r="F183" s="48" t="s">
        <v>3060</v>
      </c>
      <c r="G183" s="55">
        <v>6</v>
      </c>
      <c r="H183" s="77">
        <v>0.33333333333333331</v>
      </c>
      <c r="I183" s="77">
        <v>0.875</v>
      </c>
      <c r="J183" s="90">
        <v>0.33333333333333331</v>
      </c>
      <c r="K183" s="51" t="s">
        <v>154</v>
      </c>
      <c r="L183" s="51" t="s">
        <v>30</v>
      </c>
      <c r="M183" s="56" t="s">
        <v>2097</v>
      </c>
      <c r="N183" s="52" t="s">
        <v>2098</v>
      </c>
      <c r="O183" s="48" t="s">
        <v>2109</v>
      </c>
      <c r="P183" s="238">
        <v>45474</v>
      </c>
      <c r="Q183" s="238">
        <v>45474</v>
      </c>
      <c r="R183" s="238">
        <v>46203</v>
      </c>
      <c r="S183" s="238">
        <v>46204</v>
      </c>
      <c r="T183" s="55">
        <v>2010</v>
      </c>
      <c r="U183" s="56" t="s">
        <v>534</v>
      </c>
      <c r="V183" s="55">
        <v>2016</v>
      </c>
      <c r="W183" s="51" t="s">
        <v>1268</v>
      </c>
      <c r="X183" s="54" t="s">
        <v>30</v>
      </c>
      <c r="Y183" s="51" t="s">
        <v>2099</v>
      </c>
      <c r="Z183" s="48">
        <v>69554</v>
      </c>
      <c r="AA183" s="52" t="s">
        <v>1841</v>
      </c>
      <c r="AB183" s="238">
        <v>44464</v>
      </c>
      <c r="AC183" s="238">
        <v>46289</v>
      </c>
      <c r="AD183" s="239">
        <v>9989602534</v>
      </c>
      <c r="AE183" s="240" t="s">
        <v>3061</v>
      </c>
      <c r="AF183" s="56" t="s">
        <v>1364</v>
      </c>
      <c r="AG183" s="198" t="s">
        <v>3062</v>
      </c>
      <c r="AH183" s="54" t="s">
        <v>3063</v>
      </c>
      <c r="AI183" s="54" t="s">
        <v>3064</v>
      </c>
      <c r="AJ183" s="198" t="s">
        <v>3065</v>
      </c>
      <c r="AK183" s="56" t="s">
        <v>3066</v>
      </c>
      <c r="AL183" s="199">
        <v>45985</v>
      </c>
      <c r="AM183" s="199">
        <v>45925</v>
      </c>
      <c r="AN183" s="51" t="s">
        <v>1592</v>
      </c>
      <c r="AO183" s="51" t="s">
        <v>3067</v>
      </c>
      <c r="AP183" s="55">
        <f t="shared" ca="1" si="7"/>
        <v>39</v>
      </c>
      <c r="AQ183" s="51"/>
      <c r="AR183" s="52"/>
      <c r="AS183" s="199"/>
      <c r="AT183" s="199"/>
      <c r="AU183" s="242">
        <v>31379</v>
      </c>
      <c r="AV183" s="55" t="s">
        <v>1389</v>
      </c>
      <c r="AW183" s="55" t="s">
        <v>68</v>
      </c>
      <c r="AX183" s="55">
        <v>8</v>
      </c>
      <c r="AY183" s="48" t="s">
        <v>1904</v>
      </c>
      <c r="AZ183" s="56" t="s">
        <v>1373</v>
      </c>
      <c r="BA183" s="52" t="s">
        <v>151</v>
      </c>
      <c r="BB183" s="56" t="s">
        <v>34</v>
      </c>
      <c r="BC183" s="53"/>
    </row>
    <row r="184" spans="1:55" x14ac:dyDescent="0.25">
      <c r="A184" s="10">
        <f t="shared" si="6"/>
        <v>183</v>
      </c>
      <c r="B184" s="10" t="s">
        <v>597</v>
      </c>
      <c r="C184" s="30" t="s">
        <v>34</v>
      </c>
      <c r="D184" s="65">
        <v>401027</v>
      </c>
      <c r="E184" s="31" t="s">
        <v>36</v>
      </c>
      <c r="F184" s="14" t="s">
        <v>598</v>
      </c>
      <c r="G184" s="10">
        <v>6</v>
      </c>
      <c r="H184" s="66">
        <v>0.70833333333333337</v>
      </c>
      <c r="I184" s="66">
        <v>0.875</v>
      </c>
      <c r="J184" s="66">
        <v>0.16666666666666666</v>
      </c>
      <c r="K184" s="35" t="s">
        <v>477</v>
      </c>
      <c r="L184" s="14" t="s">
        <v>599</v>
      </c>
      <c r="M184" s="30" t="s">
        <v>26</v>
      </c>
      <c r="N184" s="23" t="s">
        <v>38</v>
      </c>
      <c r="O184" s="23" t="s">
        <v>1321</v>
      </c>
      <c r="P184" s="161">
        <v>45484</v>
      </c>
      <c r="Q184" s="161">
        <v>45484</v>
      </c>
      <c r="R184" s="161">
        <v>46215</v>
      </c>
      <c r="S184" s="161">
        <v>46216</v>
      </c>
      <c r="T184" s="10">
        <v>1991</v>
      </c>
      <c r="U184" s="30" t="s">
        <v>600</v>
      </c>
      <c r="V184" s="10">
        <v>2008</v>
      </c>
      <c r="W184" s="23" t="s">
        <v>534</v>
      </c>
      <c r="X184" s="31" t="s">
        <v>30</v>
      </c>
      <c r="Y184" s="23" t="s">
        <v>66</v>
      </c>
      <c r="Z184" s="14">
        <v>35404</v>
      </c>
      <c r="AA184" s="23" t="s">
        <v>1841</v>
      </c>
      <c r="AB184" s="161">
        <v>44937</v>
      </c>
      <c r="AC184" s="161">
        <v>46762</v>
      </c>
      <c r="AD184" s="220">
        <v>9704115979</v>
      </c>
      <c r="AE184" s="224" t="s">
        <v>601</v>
      </c>
      <c r="AF184" s="39" t="s">
        <v>1495</v>
      </c>
      <c r="AG184" s="221" t="s">
        <v>3068</v>
      </c>
      <c r="AH184" s="31" t="s">
        <v>3069</v>
      </c>
      <c r="AI184" s="31" t="s">
        <v>3070</v>
      </c>
      <c r="AJ184" s="221" t="s">
        <v>3071</v>
      </c>
      <c r="AK184" s="30" t="s">
        <v>3072</v>
      </c>
      <c r="AL184" s="210"/>
      <c r="AM184" s="210"/>
      <c r="AN184" s="35"/>
      <c r="AO184" s="35" t="s">
        <v>3073</v>
      </c>
      <c r="AP184" s="10">
        <f t="shared" ca="1" si="7"/>
        <v>60</v>
      </c>
      <c r="AQ184" s="35"/>
      <c r="AR184" s="23"/>
      <c r="AS184" s="210"/>
      <c r="AT184" s="210"/>
      <c r="AU184" s="223">
        <v>24037</v>
      </c>
      <c r="AV184" s="10" t="s">
        <v>1352</v>
      </c>
      <c r="AW184" s="31" t="s">
        <v>32</v>
      </c>
      <c r="AX184" s="10">
        <v>4</v>
      </c>
      <c r="AY184" s="14" t="s">
        <v>2053</v>
      </c>
      <c r="AZ184" s="30" t="s">
        <v>26</v>
      </c>
      <c r="BA184" s="23" t="s">
        <v>151</v>
      </c>
      <c r="BB184" s="30" t="s">
        <v>34</v>
      </c>
      <c r="BC184" s="43"/>
    </row>
    <row r="185" spans="1:55" x14ac:dyDescent="0.25">
      <c r="A185" s="10">
        <f t="shared" si="6"/>
        <v>184</v>
      </c>
      <c r="B185" s="10" t="s">
        <v>602</v>
      </c>
      <c r="C185" s="30" t="s">
        <v>34</v>
      </c>
      <c r="D185" s="81">
        <v>401028</v>
      </c>
      <c r="E185" s="31" t="s">
        <v>192</v>
      </c>
      <c r="F185" s="14" t="s">
        <v>603</v>
      </c>
      <c r="G185" s="64">
        <v>2</v>
      </c>
      <c r="H185" s="66">
        <v>0.70833333333333337</v>
      </c>
      <c r="I185" s="66">
        <v>0.79166666666666663</v>
      </c>
      <c r="J185" s="66">
        <v>8.3333333333333329E-2</v>
      </c>
      <c r="K185" s="21" t="s">
        <v>466</v>
      </c>
      <c r="L185" s="59" t="s">
        <v>604</v>
      </c>
      <c r="M185" s="59" t="s">
        <v>26</v>
      </c>
      <c r="N185" s="23" t="s">
        <v>38</v>
      </c>
      <c r="O185" s="23" t="s">
        <v>1321</v>
      </c>
      <c r="P185" s="258">
        <v>45490</v>
      </c>
      <c r="Q185" s="161">
        <v>45490</v>
      </c>
      <c r="R185" s="161">
        <v>46219</v>
      </c>
      <c r="S185" s="161">
        <v>46220</v>
      </c>
      <c r="T185" s="79">
        <v>2011</v>
      </c>
      <c r="U185" s="59" t="s">
        <v>605</v>
      </c>
      <c r="V185" s="64">
        <v>2016</v>
      </c>
      <c r="W185" s="59" t="s">
        <v>606</v>
      </c>
      <c r="X185" s="64" t="s">
        <v>30</v>
      </c>
      <c r="Y185" s="35" t="s">
        <v>49</v>
      </c>
      <c r="Z185" s="59">
        <v>67037</v>
      </c>
      <c r="AA185" s="271" t="s">
        <v>1323</v>
      </c>
      <c r="AB185" s="161">
        <v>43266</v>
      </c>
      <c r="AC185" s="161" t="s">
        <v>30</v>
      </c>
      <c r="AD185" s="64">
        <v>7980603112</v>
      </c>
      <c r="AE185" s="272" t="s">
        <v>607</v>
      </c>
      <c r="AF185" s="28" t="s">
        <v>1495</v>
      </c>
      <c r="AG185" s="221" t="s">
        <v>3074</v>
      </c>
      <c r="AH185" s="31" t="s">
        <v>3075</v>
      </c>
      <c r="AI185" s="31" t="s">
        <v>3076</v>
      </c>
      <c r="AJ185" s="221" t="s">
        <v>3077</v>
      </c>
      <c r="AK185" s="30" t="s">
        <v>3078</v>
      </c>
      <c r="AL185" s="210"/>
      <c r="AM185" s="210"/>
      <c r="AN185" s="35"/>
      <c r="AO185" s="35" t="s">
        <v>3079</v>
      </c>
      <c r="AP185" s="10">
        <f t="shared" ca="1" si="7"/>
        <v>39</v>
      </c>
      <c r="AQ185" s="35" t="s">
        <v>1879</v>
      </c>
      <c r="AR185" s="222" t="s">
        <v>2087</v>
      </c>
      <c r="AS185" s="210">
        <v>45834</v>
      </c>
      <c r="AT185" s="210">
        <v>46198</v>
      </c>
      <c r="AU185" s="273">
        <v>31665</v>
      </c>
      <c r="AV185" s="64" t="s">
        <v>1352</v>
      </c>
      <c r="AW185" s="64" t="s">
        <v>32</v>
      </c>
      <c r="AX185" s="64">
        <v>2</v>
      </c>
      <c r="AY185" s="14" t="s">
        <v>2703</v>
      </c>
      <c r="AZ185" s="30" t="s">
        <v>26</v>
      </c>
      <c r="BA185" s="23" t="s">
        <v>151</v>
      </c>
      <c r="BB185" s="30" t="s">
        <v>34</v>
      </c>
      <c r="BC185" s="22"/>
    </row>
    <row r="186" spans="1:55" x14ac:dyDescent="0.25">
      <c r="A186" s="10">
        <f t="shared" si="6"/>
        <v>185</v>
      </c>
      <c r="B186" s="10" t="s">
        <v>3080</v>
      </c>
      <c r="C186" s="30" t="s">
        <v>34</v>
      </c>
      <c r="D186" s="81">
        <v>401029</v>
      </c>
      <c r="E186" s="31" t="s">
        <v>36</v>
      </c>
      <c r="F186" s="14" t="s">
        <v>3081</v>
      </c>
      <c r="G186" s="64">
        <v>6</v>
      </c>
      <c r="H186" s="66">
        <v>0.33333333333333331</v>
      </c>
      <c r="I186" s="66">
        <v>0.875</v>
      </c>
      <c r="J186" s="68">
        <v>0.33333333333333331</v>
      </c>
      <c r="K186" s="21" t="s">
        <v>513</v>
      </c>
      <c r="L186" s="30" t="s">
        <v>30</v>
      </c>
      <c r="M186" s="30" t="s">
        <v>1355</v>
      </c>
      <c r="N186" s="23" t="s">
        <v>3047</v>
      </c>
      <c r="O186" s="14" t="s">
        <v>2928</v>
      </c>
      <c r="P186" s="258">
        <v>45486</v>
      </c>
      <c r="Q186" s="161">
        <v>45486</v>
      </c>
      <c r="R186" s="161">
        <v>46215</v>
      </c>
      <c r="S186" s="161">
        <v>46216</v>
      </c>
      <c r="T186" s="79">
        <v>2007</v>
      </c>
      <c r="U186" s="30" t="s">
        <v>3082</v>
      </c>
      <c r="V186" s="10">
        <v>2011</v>
      </c>
      <c r="W186" s="23" t="s">
        <v>3083</v>
      </c>
      <c r="X186" s="64" t="s">
        <v>30</v>
      </c>
      <c r="Y186" s="23" t="s">
        <v>1360</v>
      </c>
      <c r="Z186" s="14">
        <v>58885</v>
      </c>
      <c r="AA186" s="23" t="s">
        <v>1841</v>
      </c>
      <c r="AB186" s="161">
        <v>44882</v>
      </c>
      <c r="AC186" s="161">
        <v>46707</v>
      </c>
      <c r="AD186" s="220">
        <v>8500555978</v>
      </c>
      <c r="AE186" s="224" t="s">
        <v>3084</v>
      </c>
      <c r="AF186" s="30" t="s">
        <v>2545</v>
      </c>
      <c r="AG186" s="221" t="s">
        <v>3085</v>
      </c>
      <c r="AH186" s="31" t="s">
        <v>3086</v>
      </c>
      <c r="AI186" s="31" t="s">
        <v>3087</v>
      </c>
      <c r="AJ186" s="221" t="s">
        <v>3088</v>
      </c>
      <c r="AK186" s="30" t="s">
        <v>3089</v>
      </c>
      <c r="AL186" s="210"/>
      <c r="AM186" s="210"/>
      <c r="AN186" s="35"/>
      <c r="AO186" s="35" t="s">
        <v>3090</v>
      </c>
      <c r="AP186" s="10">
        <f t="shared" ca="1" si="7"/>
        <v>41</v>
      </c>
      <c r="AQ186" s="35" t="s">
        <v>3091</v>
      </c>
      <c r="AR186" s="274" t="s">
        <v>3092</v>
      </c>
      <c r="AS186" s="234">
        <v>45626</v>
      </c>
      <c r="AT186" s="234">
        <v>45990</v>
      </c>
      <c r="AU186" s="223">
        <v>30782</v>
      </c>
      <c r="AV186" s="10" t="s">
        <v>1389</v>
      </c>
      <c r="AW186" s="31" t="s">
        <v>68</v>
      </c>
      <c r="AX186" s="10">
        <v>8</v>
      </c>
      <c r="AY186" s="14" t="s">
        <v>1959</v>
      </c>
      <c r="AZ186" s="30" t="s">
        <v>1373</v>
      </c>
      <c r="BA186" s="23" t="s">
        <v>151</v>
      </c>
      <c r="BB186" s="30" t="s">
        <v>34</v>
      </c>
      <c r="BC186" s="22"/>
    </row>
    <row r="187" spans="1:55" x14ac:dyDescent="0.25">
      <c r="A187" s="10">
        <f t="shared" si="6"/>
        <v>186</v>
      </c>
      <c r="B187" s="10" t="s">
        <v>608</v>
      </c>
      <c r="C187" s="30" t="s">
        <v>34</v>
      </c>
      <c r="D187" s="65">
        <v>401034</v>
      </c>
      <c r="E187" s="31" t="s">
        <v>268</v>
      </c>
      <c r="F187" s="14" t="s">
        <v>609</v>
      </c>
      <c r="G187" s="40" t="s">
        <v>610</v>
      </c>
      <c r="H187" s="82">
        <v>0.66666666666666663</v>
      </c>
      <c r="I187" s="66">
        <v>0.75</v>
      </c>
      <c r="J187" s="66">
        <v>8.3333333333333329E-2</v>
      </c>
      <c r="K187" s="21" t="s">
        <v>466</v>
      </c>
      <c r="L187" s="30" t="s">
        <v>611</v>
      </c>
      <c r="M187" s="30" t="s">
        <v>26</v>
      </c>
      <c r="N187" s="23" t="s">
        <v>38</v>
      </c>
      <c r="O187" s="23" t="s">
        <v>1321</v>
      </c>
      <c r="P187" s="161">
        <v>45505</v>
      </c>
      <c r="Q187" s="183">
        <v>45689</v>
      </c>
      <c r="R187" s="161">
        <v>46234</v>
      </c>
      <c r="S187" s="161">
        <v>46235</v>
      </c>
      <c r="T187" s="10">
        <v>2002</v>
      </c>
      <c r="U187" s="14" t="s">
        <v>612</v>
      </c>
      <c r="V187" s="10">
        <v>2009</v>
      </c>
      <c r="W187" s="30" t="s">
        <v>613</v>
      </c>
      <c r="X187" s="31" t="s">
        <v>30</v>
      </c>
      <c r="Y187" s="35" t="s">
        <v>49</v>
      </c>
      <c r="Z187" s="14">
        <v>59111</v>
      </c>
      <c r="AA187" s="275" t="s">
        <v>2695</v>
      </c>
      <c r="AB187" s="161">
        <v>44562</v>
      </c>
      <c r="AC187" s="161">
        <v>46387</v>
      </c>
      <c r="AD187" s="276">
        <v>9836762119</v>
      </c>
      <c r="AE187" s="227" t="s">
        <v>614</v>
      </c>
      <c r="AF187" s="30" t="s">
        <v>1410</v>
      </c>
      <c r="AG187" s="221" t="s">
        <v>3093</v>
      </c>
      <c r="AH187" s="31" t="s">
        <v>3094</v>
      </c>
      <c r="AI187" s="31" t="s">
        <v>3095</v>
      </c>
      <c r="AJ187" s="221" t="s">
        <v>3096</v>
      </c>
      <c r="AK187" s="30" t="s">
        <v>3097</v>
      </c>
      <c r="AL187" s="210"/>
      <c r="AM187" s="210"/>
      <c r="AN187" s="35"/>
      <c r="AO187" s="35" t="s">
        <v>3098</v>
      </c>
      <c r="AP187" s="10">
        <f t="shared" ca="1" si="7"/>
        <v>46</v>
      </c>
      <c r="AQ187" s="277" t="s">
        <v>3057</v>
      </c>
      <c r="AR187" s="222" t="s">
        <v>3099</v>
      </c>
      <c r="AS187" s="166">
        <v>45679</v>
      </c>
      <c r="AT187" s="166">
        <v>46043</v>
      </c>
      <c r="AU187" s="210">
        <v>28882</v>
      </c>
      <c r="AV187" s="31" t="s">
        <v>1389</v>
      </c>
      <c r="AW187" s="31" t="s">
        <v>32</v>
      </c>
      <c r="AX187" s="10">
        <v>2</v>
      </c>
      <c r="AY187" s="14" t="s">
        <v>2703</v>
      </c>
      <c r="AZ187" s="30" t="s">
        <v>26</v>
      </c>
      <c r="BA187" s="23" t="s">
        <v>151</v>
      </c>
      <c r="BB187" s="30" t="s">
        <v>34</v>
      </c>
      <c r="BC187" s="22"/>
    </row>
    <row r="188" spans="1:55" x14ac:dyDescent="0.25">
      <c r="A188" s="10">
        <f t="shared" si="6"/>
        <v>187</v>
      </c>
      <c r="B188" s="10" t="s">
        <v>615</v>
      </c>
      <c r="C188" s="30" t="s">
        <v>34</v>
      </c>
      <c r="D188" s="65">
        <v>400566</v>
      </c>
      <c r="E188" s="31" t="s">
        <v>192</v>
      </c>
      <c r="F188" s="14" t="s">
        <v>616</v>
      </c>
      <c r="G188" s="10"/>
      <c r="H188" s="68"/>
      <c r="I188" s="68"/>
      <c r="J188" s="66"/>
      <c r="K188" s="21" t="s">
        <v>334</v>
      </c>
      <c r="L188" s="30" t="s">
        <v>617</v>
      </c>
      <c r="M188" s="30" t="s">
        <v>26</v>
      </c>
      <c r="N188" s="23" t="s">
        <v>38</v>
      </c>
      <c r="O188" s="23" t="s">
        <v>1321</v>
      </c>
      <c r="P188" s="161">
        <v>44846</v>
      </c>
      <c r="Q188" s="161">
        <v>45211</v>
      </c>
      <c r="R188" s="161">
        <v>45941</v>
      </c>
      <c r="S188" s="161">
        <v>45942</v>
      </c>
      <c r="T188" s="10">
        <v>2001</v>
      </c>
      <c r="U188" s="30" t="s">
        <v>618</v>
      </c>
      <c r="V188" s="10">
        <v>2005</v>
      </c>
      <c r="W188" s="14" t="s">
        <v>619</v>
      </c>
      <c r="X188" s="31" t="s">
        <v>3100</v>
      </c>
      <c r="Y188" s="35" t="s">
        <v>158</v>
      </c>
      <c r="Z188" s="14" t="s">
        <v>3101</v>
      </c>
      <c r="AA188" s="23" t="s">
        <v>1841</v>
      </c>
      <c r="AB188" s="161">
        <v>45587</v>
      </c>
      <c r="AC188" s="161">
        <v>47412</v>
      </c>
      <c r="AD188" s="220">
        <v>9704274970</v>
      </c>
      <c r="AE188" s="224" t="s">
        <v>620</v>
      </c>
      <c r="AF188" s="28" t="s">
        <v>1495</v>
      </c>
      <c r="AG188" s="221" t="s">
        <v>3102</v>
      </c>
      <c r="AH188" s="31" t="s">
        <v>3103</v>
      </c>
      <c r="AI188" s="31" t="s">
        <v>3104</v>
      </c>
      <c r="AJ188" s="221" t="s">
        <v>3105</v>
      </c>
      <c r="AK188" s="30" t="s">
        <v>3106</v>
      </c>
      <c r="AL188" s="210"/>
      <c r="AM188" s="210"/>
      <c r="AN188" s="35"/>
      <c r="AO188" s="35" t="s">
        <v>3107</v>
      </c>
      <c r="AP188" s="10">
        <f t="shared" ca="1" si="7"/>
        <v>46</v>
      </c>
      <c r="AQ188" s="30" t="s">
        <v>1605</v>
      </c>
      <c r="AR188" s="278" t="s">
        <v>3108</v>
      </c>
      <c r="AS188" s="166">
        <v>45897</v>
      </c>
      <c r="AT188" s="166">
        <v>46992</v>
      </c>
      <c r="AU188" s="223">
        <v>28871</v>
      </c>
      <c r="AV188" s="31" t="s">
        <v>1389</v>
      </c>
      <c r="AW188" s="31" t="s">
        <v>32</v>
      </c>
      <c r="AX188" s="10" t="s">
        <v>30</v>
      </c>
      <c r="AY188" s="14" t="s">
        <v>30</v>
      </c>
      <c r="AZ188" s="30" t="s">
        <v>26</v>
      </c>
      <c r="BA188" s="23" t="s">
        <v>151</v>
      </c>
      <c r="BB188" s="30" t="s">
        <v>34</v>
      </c>
      <c r="BC188" s="22"/>
    </row>
    <row r="189" spans="1:55" x14ac:dyDescent="0.25">
      <c r="A189" s="10">
        <f t="shared" si="6"/>
        <v>188</v>
      </c>
      <c r="B189" s="10" t="s">
        <v>3109</v>
      </c>
      <c r="C189" s="30" t="s">
        <v>34</v>
      </c>
      <c r="D189" s="65">
        <v>401038</v>
      </c>
      <c r="E189" s="31" t="s">
        <v>36</v>
      </c>
      <c r="F189" s="14" t="s">
        <v>3110</v>
      </c>
      <c r="G189" s="64">
        <v>6</v>
      </c>
      <c r="H189" s="66">
        <v>0.33333333333333331</v>
      </c>
      <c r="I189" s="66">
        <v>0.875</v>
      </c>
      <c r="J189" s="68">
        <v>0.33333333333333331</v>
      </c>
      <c r="K189" s="21" t="s">
        <v>513</v>
      </c>
      <c r="L189" s="30" t="s">
        <v>30</v>
      </c>
      <c r="M189" s="30" t="s">
        <v>2097</v>
      </c>
      <c r="N189" s="23" t="s">
        <v>2098</v>
      </c>
      <c r="O189" s="14" t="s">
        <v>2928</v>
      </c>
      <c r="P189" s="258">
        <v>45505</v>
      </c>
      <c r="Q189" s="161">
        <v>45505</v>
      </c>
      <c r="R189" s="161">
        <v>46234</v>
      </c>
      <c r="S189" s="161">
        <v>46235</v>
      </c>
      <c r="T189" s="10">
        <v>2010</v>
      </c>
      <c r="U189" s="30" t="s">
        <v>250</v>
      </c>
      <c r="V189" s="10">
        <v>2021</v>
      </c>
      <c r="W189" s="23" t="s">
        <v>209</v>
      </c>
      <c r="X189" s="31" t="s">
        <v>30</v>
      </c>
      <c r="Y189" s="35" t="s">
        <v>2099</v>
      </c>
      <c r="Z189" s="14">
        <v>70314</v>
      </c>
      <c r="AA189" s="23" t="s">
        <v>1841</v>
      </c>
      <c r="AB189" s="161">
        <v>45005</v>
      </c>
      <c r="AC189" s="161">
        <v>46831</v>
      </c>
      <c r="AD189" s="220">
        <v>9030428843</v>
      </c>
      <c r="AE189" s="224" t="s">
        <v>3111</v>
      </c>
      <c r="AF189" s="30" t="s">
        <v>1410</v>
      </c>
      <c r="AG189" s="221" t="s">
        <v>3112</v>
      </c>
      <c r="AH189" s="31" t="s">
        <v>3113</v>
      </c>
      <c r="AI189" s="31" t="s">
        <v>3114</v>
      </c>
      <c r="AJ189" s="221" t="s">
        <v>3115</v>
      </c>
      <c r="AK189" s="30" t="s">
        <v>3116</v>
      </c>
      <c r="AL189" s="210"/>
      <c r="AM189" s="210"/>
      <c r="AN189" s="35"/>
      <c r="AO189" s="35" t="s">
        <v>3117</v>
      </c>
      <c r="AP189" s="10">
        <f t="shared" ca="1" si="7"/>
        <v>39</v>
      </c>
      <c r="AQ189" s="35"/>
      <c r="AR189" s="23"/>
      <c r="AS189" s="210"/>
      <c r="AT189" s="210"/>
      <c r="AU189" s="223">
        <v>31699</v>
      </c>
      <c r="AV189" s="31" t="s">
        <v>1352</v>
      </c>
      <c r="AW189" s="31" t="s">
        <v>68</v>
      </c>
      <c r="AX189" s="10">
        <v>8</v>
      </c>
      <c r="AY189" s="14" t="s">
        <v>1959</v>
      </c>
      <c r="AZ189" s="30" t="s">
        <v>1373</v>
      </c>
      <c r="BA189" s="23" t="s">
        <v>151</v>
      </c>
      <c r="BB189" s="30" t="s">
        <v>34</v>
      </c>
      <c r="BC189" s="22"/>
    </row>
    <row r="190" spans="1:55" x14ac:dyDescent="0.25">
      <c r="A190" s="10">
        <f t="shared" si="6"/>
        <v>189</v>
      </c>
      <c r="B190" s="10" t="s">
        <v>3118</v>
      </c>
      <c r="C190" s="30" t="s">
        <v>34</v>
      </c>
      <c r="D190" s="65">
        <v>401039</v>
      </c>
      <c r="E190" s="31" t="s">
        <v>36</v>
      </c>
      <c r="F190" s="14" t="s">
        <v>3119</v>
      </c>
      <c r="G190" s="64">
        <v>6</v>
      </c>
      <c r="H190" s="66">
        <v>0.33333333333333331</v>
      </c>
      <c r="I190" s="66">
        <v>0.875</v>
      </c>
      <c r="J190" s="68">
        <v>0.33333333333333331</v>
      </c>
      <c r="K190" s="21" t="s">
        <v>287</v>
      </c>
      <c r="L190" s="30" t="s">
        <v>30</v>
      </c>
      <c r="M190" s="30" t="s">
        <v>1355</v>
      </c>
      <c r="N190" s="23" t="s">
        <v>1520</v>
      </c>
      <c r="O190" s="35" t="s">
        <v>1357</v>
      </c>
      <c r="P190" s="258">
        <v>45505</v>
      </c>
      <c r="Q190" s="161">
        <v>45505</v>
      </c>
      <c r="R190" s="161">
        <v>46234</v>
      </c>
      <c r="S190" s="161">
        <v>46235</v>
      </c>
      <c r="T190" s="10">
        <v>2011</v>
      </c>
      <c r="U190" s="30" t="s">
        <v>3120</v>
      </c>
      <c r="V190" s="10">
        <v>2017</v>
      </c>
      <c r="W190" s="35" t="s">
        <v>250</v>
      </c>
      <c r="X190" s="31" t="s">
        <v>30</v>
      </c>
      <c r="Y190" s="23" t="s">
        <v>1360</v>
      </c>
      <c r="Z190" s="14" t="s">
        <v>3121</v>
      </c>
      <c r="AA190" s="23" t="s">
        <v>1841</v>
      </c>
      <c r="AB190" s="161">
        <v>45028</v>
      </c>
      <c r="AC190" s="161">
        <v>46854</v>
      </c>
      <c r="AD190" s="220">
        <v>9963375637</v>
      </c>
      <c r="AE190" s="224" t="s">
        <v>3122</v>
      </c>
      <c r="AF190" s="28" t="s">
        <v>1495</v>
      </c>
      <c r="AG190" s="221" t="s">
        <v>3123</v>
      </c>
      <c r="AH190" s="31" t="s">
        <v>3124</v>
      </c>
      <c r="AI190" s="31" t="s">
        <v>3125</v>
      </c>
      <c r="AJ190" s="221" t="s">
        <v>3126</v>
      </c>
      <c r="AK190" s="30" t="s">
        <v>3127</v>
      </c>
      <c r="AL190" s="210"/>
      <c r="AM190" s="210"/>
      <c r="AN190" s="35"/>
      <c r="AO190" s="35" t="s">
        <v>3128</v>
      </c>
      <c r="AP190" s="10">
        <f t="shared" ca="1" si="7"/>
        <v>38</v>
      </c>
      <c r="AQ190" s="35"/>
      <c r="AR190" s="23"/>
      <c r="AS190" s="210"/>
      <c r="AT190" s="210"/>
      <c r="AU190" s="223">
        <v>32030</v>
      </c>
      <c r="AV190" s="31" t="s">
        <v>1389</v>
      </c>
      <c r="AW190" s="31" t="s">
        <v>68</v>
      </c>
      <c r="AX190" s="10">
        <v>8</v>
      </c>
      <c r="AY190" s="14" t="s">
        <v>1881</v>
      </c>
      <c r="AZ190" s="30" t="s">
        <v>1373</v>
      </c>
      <c r="BA190" s="23" t="s">
        <v>151</v>
      </c>
      <c r="BB190" s="30" t="s">
        <v>34</v>
      </c>
      <c r="BC190" s="22"/>
    </row>
    <row r="191" spans="1:55" x14ac:dyDescent="0.25">
      <c r="A191" s="10">
        <f t="shared" si="6"/>
        <v>190</v>
      </c>
      <c r="B191" s="25" t="s">
        <v>621</v>
      </c>
      <c r="C191" s="30" t="s">
        <v>34</v>
      </c>
      <c r="D191" s="71">
        <v>401135</v>
      </c>
      <c r="E191" s="72" t="s">
        <v>192</v>
      </c>
      <c r="F191" s="14" t="s">
        <v>622</v>
      </c>
      <c r="G191" s="25"/>
      <c r="H191" s="74"/>
      <c r="I191" s="74"/>
      <c r="J191" s="74"/>
      <c r="K191" s="21" t="s">
        <v>334</v>
      </c>
      <c r="L191" s="75" t="s">
        <v>623</v>
      </c>
      <c r="M191" s="75" t="s">
        <v>26</v>
      </c>
      <c r="N191" s="23" t="s">
        <v>38</v>
      </c>
      <c r="O191" s="23" t="s">
        <v>1321</v>
      </c>
      <c r="P191" s="246">
        <v>45619</v>
      </c>
      <c r="Q191" s="247">
        <v>45619</v>
      </c>
      <c r="R191" s="247">
        <v>46348</v>
      </c>
      <c r="S191" s="247">
        <v>46349</v>
      </c>
      <c r="T191" s="25">
        <v>2015</v>
      </c>
      <c r="U191" s="75" t="s">
        <v>624</v>
      </c>
      <c r="V191" s="25">
        <v>2021</v>
      </c>
      <c r="W191" s="73" t="s">
        <v>625</v>
      </c>
      <c r="X191" s="72" t="s">
        <v>30</v>
      </c>
      <c r="Y191" s="38" t="s">
        <v>183</v>
      </c>
      <c r="Z191" s="76">
        <v>89032</v>
      </c>
      <c r="AA191" s="38" t="s">
        <v>1323</v>
      </c>
      <c r="AB191" s="161">
        <v>44943</v>
      </c>
      <c r="AC191" s="161" t="s">
        <v>30</v>
      </c>
      <c r="AD191" s="279">
        <v>8527116364</v>
      </c>
      <c r="AE191" s="255" t="s">
        <v>626</v>
      </c>
      <c r="AF191" s="30" t="s">
        <v>1410</v>
      </c>
      <c r="AG191" s="249" t="s">
        <v>3129</v>
      </c>
      <c r="AH191" s="72" t="s">
        <v>3130</v>
      </c>
      <c r="AI191" s="72" t="s">
        <v>3131</v>
      </c>
      <c r="AJ191" s="249" t="s">
        <v>3132</v>
      </c>
      <c r="AK191" s="75" t="s">
        <v>3133</v>
      </c>
      <c r="AL191" s="250"/>
      <c r="AM191" s="250"/>
      <c r="AN191" s="38"/>
      <c r="AO191" s="38" t="s">
        <v>3134</v>
      </c>
      <c r="AP191" s="25">
        <f t="shared" ca="1" si="7"/>
        <v>36</v>
      </c>
      <c r="AQ191" s="75" t="s">
        <v>3057</v>
      </c>
      <c r="AR191" s="280" t="s">
        <v>3135</v>
      </c>
      <c r="AS191" s="166">
        <v>45923</v>
      </c>
      <c r="AT191" s="166">
        <v>46287</v>
      </c>
      <c r="AU191" s="252">
        <v>32684</v>
      </c>
      <c r="AV191" s="72" t="s">
        <v>1352</v>
      </c>
      <c r="AW191" s="31" t="s">
        <v>32</v>
      </c>
      <c r="AX191" s="10" t="s">
        <v>30</v>
      </c>
      <c r="AY191" s="76" t="s">
        <v>30</v>
      </c>
      <c r="AZ191" s="30" t="s">
        <v>26</v>
      </c>
      <c r="BA191" s="23" t="s">
        <v>151</v>
      </c>
      <c r="BB191" s="30" t="s">
        <v>34</v>
      </c>
      <c r="BC191" s="22"/>
    </row>
    <row r="192" spans="1:55" x14ac:dyDescent="0.25">
      <c r="A192" s="10">
        <f t="shared" si="6"/>
        <v>191</v>
      </c>
      <c r="B192" s="10" t="s">
        <v>627</v>
      </c>
      <c r="C192" s="30" t="s">
        <v>34</v>
      </c>
      <c r="D192" s="65">
        <v>401043</v>
      </c>
      <c r="E192" s="31" t="s">
        <v>42</v>
      </c>
      <c r="F192" s="14" t="s">
        <v>628</v>
      </c>
      <c r="G192" s="64">
        <v>6</v>
      </c>
      <c r="H192" s="66">
        <v>0.35416666666666669</v>
      </c>
      <c r="I192" s="66">
        <v>0.6875</v>
      </c>
      <c r="J192" s="66">
        <v>0.33333333333333331</v>
      </c>
      <c r="K192" s="21" t="s">
        <v>147</v>
      </c>
      <c r="L192" s="30" t="s">
        <v>629</v>
      </c>
      <c r="M192" s="30" t="s">
        <v>26</v>
      </c>
      <c r="N192" s="23" t="s">
        <v>38</v>
      </c>
      <c r="O192" s="23" t="s">
        <v>1321</v>
      </c>
      <c r="P192" s="258">
        <v>45505</v>
      </c>
      <c r="Q192" s="161">
        <v>45870</v>
      </c>
      <c r="R192" s="161">
        <v>46599</v>
      </c>
      <c r="S192" s="161">
        <v>46600</v>
      </c>
      <c r="T192" s="10">
        <v>2014</v>
      </c>
      <c r="U192" s="30" t="s">
        <v>630</v>
      </c>
      <c r="V192" s="10">
        <v>2020</v>
      </c>
      <c r="W192" s="35" t="s">
        <v>631</v>
      </c>
      <c r="X192" s="31" t="s">
        <v>30</v>
      </c>
      <c r="Y192" s="35" t="s">
        <v>49</v>
      </c>
      <c r="Z192" s="14" t="s">
        <v>3136</v>
      </c>
      <c r="AA192" s="23" t="s">
        <v>1841</v>
      </c>
      <c r="AB192" s="161">
        <v>45504</v>
      </c>
      <c r="AC192" s="161">
        <v>47329</v>
      </c>
      <c r="AD192" s="220">
        <v>9980272988</v>
      </c>
      <c r="AE192" s="224" t="s">
        <v>632</v>
      </c>
      <c r="AF192" s="30" t="s">
        <v>1430</v>
      </c>
      <c r="AG192" s="221" t="s">
        <v>3137</v>
      </c>
      <c r="AH192" s="31" t="s">
        <v>3138</v>
      </c>
      <c r="AI192" s="31" t="s">
        <v>3139</v>
      </c>
      <c r="AJ192" s="221" t="s">
        <v>3140</v>
      </c>
      <c r="AK192" s="30" t="s">
        <v>3141</v>
      </c>
      <c r="AL192" s="210"/>
      <c r="AM192" s="210"/>
      <c r="AN192" s="35"/>
      <c r="AO192" s="35" t="s">
        <v>3142</v>
      </c>
      <c r="AP192" s="10">
        <f t="shared" ca="1" si="7"/>
        <v>33</v>
      </c>
      <c r="AQ192" s="35"/>
      <c r="AR192" s="23"/>
      <c r="AS192" s="210"/>
      <c r="AT192" s="210"/>
      <c r="AU192" s="223">
        <v>33780</v>
      </c>
      <c r="AV192" s="31" t="s">
        <v>1352</v>
      </c>
      <c r="AW192" s="31" t="s">
        <v>68</v>
      </c>
      <c r="AX192" s="10">
        <v>8</v>
      </c>
      <c r="AY192" s="14" t="s">
        <v>1849</v>
      </c>
      <c r="AZ192" s="30" t="s">
        <v>26</v>
      </c>
      <c r="BA192" s="23" t="s">
        <v>151</v>
      </c>
      <c r="BB192" s="30" t="s">
        <v>34</v>
      </c>
      <c r="BC192" s="22"/>
    </row>
    <row r="193" spans="1:55" x14ac:dyDescent="0.25">
      <c r="A193" s="10">
        <f t="shared" si="6"/>
        <v>192</v>
      </c>
      <c r="B193" s="10" t="s">
        <v>3143</v>
      </c>
      <c r="C193" s="30" t="s">
        <v>34</v>
      </c>
      <c r="D193" s="65">
        <v>401045</v>
      </c>
      <c r="E193" s="31" t="s">
        <v>36</v>
      </c>
      <c r="F193" s="14" t="s">
        <v>3144</v>
      </c>
      <c r="G193" s="64">
        <v>6</v>
      </c>
      <c r="H193" s="66">
        <v>0.33333333333333331</v>
      </c>
      <c r="I193" s="66">
        <v>0.875</v>
      </c>
      <c r="J193" s="68">
        <v>0.33333333333333331</v>
      </c>
      <c r="K193" s="21" t="s">
        <v>635</v>
      </c>
      <c r="L193" s="30" t="s">
        <v>30</v>
      </c>
      <c r="M193" s="30" t="s">
        <v>1355</v>
      </c>
      <c r="N193" s="23" t="s">
        <v>1356</v>
      </c>
      <c r="O193" s="35" t="s">
        <v>1357</v>
      </c>
      <c r="P193" s="258">
        <v>45512</v>
      </c>
      <c r="Q193" s="161">
        <v>45512</v>
      </c>
      <c r="R193" s="161">
        <v>46241</v>
      </c>
      <c r="S193" s="161">
        <v>46242</v>
      </c>
      <c r="T193" s="10">
        <v>2017</v>
      </c>
      <c r="U193" s="30" t="s">
        <v>283</v>
      </c>
      <c r="V193" s="10">
        <v>2022</v>
      </c>
      <c r="W193" s="35" t="s">
        <v>306</v>
      </c>
      <c r="X193" s="31" t="s">
        <v>30</v>
      </c>
      <c r="Y193" s="23" t="s">
        <v>1360</v>
      </c>
      <c r="Z193" s="14" t="s">
        <v>3145</v>
      </c>
      <c r="AA193" s="35" t="s">
        <v>1886</v>
      </c>
      <c r="AB193" s="161">
        <v>45268</v>
      </c>
      <c r="AC193" s="161">
        <v>47094</v>
      </c>
      <c r="AD193" s="220">
        <v>9985993872</v>
      </c>
      <c r="AE193" s="224" t="s">
        <v>3146</v>
      </c>
      <c r="AF193" s="28" t="s">
        <v>1495</v>
      </c>
      <c r="AG193" s="221" t="s">
        <v>3147</v>
      </c>
      <c r="AH193" s="31" t="s">
        <v>3148</v>
      </c>
      <c r="AI193" s="31" t="s">
        <v>3149</v>
      </c>
      <c r="AJ193" s="221" t="s">
        <v>3150</v>
      </c>
      <c r="AK193" s="30" t="s">
        <v>3151</v>
      </c>
      <c r="AL193" s="210"/>
      <c r="AM193" s="210"/>
      <c r="AN193" s="35"/>
      <c r="AO193" s="35" t="s">
        <v>3152</v>
      </c>
      <c r="AP193" s="10">
        <f t="shared" ca="1" si="7"/>
        <v>31</v>
      </c>
      <c r="AQ193" s="35" t="s">
        <v>1605</v>
      </c>
      <c r="AR193" s="23"/>
      <c r="AS193" s="210"/>
      <c r="AT193" s="210"/>
      <c r="AU193" s="223">
        <v>34421</v>
      </c>
      <c r="AV193" s="31" t="s">
        <v>1352</v>
      </c>
      <c r="AW193" s="31" t="s">
        <v>68</v>
      </c>
      <c r="AX193" s="10">
        <v>8</v>
      </c>
      <c r="AY193" s="14" t="s">
        <v>2262</v>
      </c>
      <c r="AZ193" s="30" t="s">
        <v>1373</v>
      </c>
      <c r="BA193" s="23" t="s">
        <v>151</v>
      </c>
      <c r="BB193" s="30" t="s">
        <v>34</v>
      </c>
      <c r="BC193" s="22"/>
    </row>
    <row r="194" spans="1:55" x14ac:dyDescent="0.25">
      <c r="A194" s="10">
        <f t="shared" si="6"/>
        <v>193</v>
      </c>
      <c r="B194" s="10" t="s">
        <v>3153</v>
      </c>
      <c r="C194" s="30" t="s">
        <v>34</v>
      </c>
      <c r="D194" s="65">
        <v>401046</v>
      </c>
      <c r="E194" s="31" t="s">
        <v>36</v>
      </c>
      <c r="F194" s="14" t="s">
        <v>3154</v>
      </c>
      <c r="G194" s="64">
        <v>6</v>
      </c>
      <c r="H194" s="66">
        <v>0.6875</v>
      </c>
      <c r="I194" s="66">
        <v>0.8125</v>
      </c>
      <c r="J194" s="66">
        <v>0.125</v>
      </c>
      <c r="K194" s="21" t="s">
        <v>635</v>
      </c>
      <c r="L194" s="30" t="s">
        <v>30</v>
      </c>
      <c r="M194" s="30" t="s">
        <v>2097</v>
      </c>
      <c r="N194" s="23" t="s">
        <v>2098</v>
      </c>
      <c r="O194" s="14" t="s">
        <v>3144</v>
      </c>
      <c r="P194" s="258">
        <v>45512</v>
      </c>
      <c r="Q194" s="161">
        <v>45512</v>
      </c>
      <c r="R194" s="161">
        <v>46241</v>
      </c>
      <c r="S194" s="161">
        <v>46242</v>
      </c>
      <c r="T194" s="10">
        <v>2005</v>
      </c>
      <c r="U194" s="30" t="s">
        <v>1100</v>
      </c>
      <c r="V194" s="10">
        <v>2014</v>
      </c>
      <c r="W194" s="35" t="s">
        <v>1100</v>
      </c>
      <c r="X194" s="31" t="s">
        <v>30</v>
      </c>
      <c r="Y194" s="35" t="s">
        <v>2099</v>
      </c>
      <c r="Z194" s="14">
        <v>56279</v>
      </c>
      <c r="AA194" s="35" t="s">
        <v>1886</v>
      </c>
      <c r="AB194" s="161">
        <v>45777</v>
      </c>
      <c r="AC194" s="161">
        <v>47602</v>
      </c>
      <c r="AD194" s="220">
        <v>9989248065</v>
      </c>
      <c r="AE194" s="224" t="s">
        <v>3155</v>
      </c>
      <c r="AF194" s="30" t="s">
        <v>1805</v>
      </c>
      <c r="AG194" s="221" t="s">
        <v>3156</v>
      </c>
      <c r="AH194" s="31" t="s">
        <v>3157</v>
      </c>
      <c r="AI194" s="31" t="s">
        <v>3158</v>
      </c>
      <c r="AJ194" s="221" t="s">
        <v>3159</v>
      </c>
      <c r="AK194" s="30" t="s">
        <v>3160</v>
      </c>
      <c r="AL194" s="210"/>
      <c r="AM194" s="210"/>
      <c r="AN194" s="35"/>
      <c r="AO194" s="35" t="s">
        <v>3161</v>
      </c>
      <c r="AP194" s="10">
        <f t="shared" ca="1" si="7"/>
        <v>44</v>
      </c>
      <c r="AQ194" s="35"/>
      <c r="AR194" s="23"/>
      <c r="AS194" s="210"/>
      <c r="AT194" s="210"/>
      <c r="AU194" s="223">
        <v>29596</v>
      </c>
      <c r="AV194" s="31" t="s">
        <v>1389</v>
      </c>
      <c r="AW194" s="31" t="s">
        <v>32</v>
      </c>
      <c r="AX194" s="10">
        <v>3</v>
      </c>
      <c r="AY194" s="14" t="s">
        <v>2262</v>
      </c>
      <c r="AZ194" s="30" t="s">
        <v>1373</v>
      </c>
      <c r="BA194" s="23" t="s">
        <v>151</v>
      </c>
      <c r="BB194" s="30" t="s">
        <v>34</v>
      </c>
      <c r="BC194" s="22"/>
    </row>
    <row r="195" spans="1:55" x14ac:dyDescent="0.25">
      <c r="A195" s="10">
        <f t="shared" si="6"/>
        <v>194</v>
      </c>
      <c r="B195" s="10" t="s">
        <v>633</v>
      </c>
      <c r="C195" s="30" t="s">
        <v>34</v>
      </c>
      <c r="D195" s="65">
        <v>401047</v>
      </c>
      <c r="E195" s="31" t="s">
        <v>36</v>
      </c>
      <c r="F195" s="14" t="s">
        <v>634</v>
      </c>
      <c r="G195" s="64">
        <v>6</v>
      </c>
      <c r="H195" s="66">
        <v>0.375</v>
      </c>
      <c r="I195" s="66">
        <v>0.70833333333333337</v>
      </c>
      <c r="J195" s="66">
        <v>0.33333333333333331</v>
      </c>
      <c r="K195" s="21" t="s">
        <v>635</v>
      </c>
      <c r="L195" s="30" t="s">
        <v>636</v>
      </c>
      <c r="M195" s="30" t="s">
        <v>26</v>
      </c>
      <c r="N195" s="23" t="s">
        <v>38</v>
      </c>
      <c r="O195" s="23" t="s">
        <v>1321</v>
      </c>
      <c r="P195" s="258">
        <v>45512</v>
      </c>
      <c r="Q195" s="161">
        <v>45512</v>
      </c>
      <c r="R195" s="161">
        <v>46241</v>
      </c>
      <c r="S195" s="161">
        <v>46242</v>
      </c>
      <c r="T195" s="10">
        <v>2017</v>
      </c>
      <c r="U195" s="30" t="s">
        <v>534</v>
      </c>
      <c r="V195" s="10">
        <v>2022</v>
      </c>
      <c r="W195" s="35" t="s">
        <v>534</v>
      </c>
      <c r="X195" s="31" t="s">
        <v>30</v>
      </c>
      <c r="Y195" s="35" t="s">
        <v>49</v>
      </c>
      <c r="Z195" s="14" t="s">
        <v>3162</v>
      </c>
      <c r="AA195" s="35" t="s">
        <v>1886</v>
      </c>
      <c r="AB195" s="161">
        <v>45261</v>
      </c>
      <c r="AC195" s="161">
        <v>47087</v>
      </c>
      <c r="AD195" s="220">
        <v>8985381920</v>
      </c>
      <c r="AE195" s="224" t="s">
        <v>637</v>
      </c>
      <c r="AF195" s="28" t="s">
        <v>1495</v>
      </c>
      <c r="AG195" s="221" t="s">
        <v>3163</v>
      </c>
      <c r="AH195" s="31" t="s">
        <v>3164</v>
      </c>
      <c r="AI195" s="31" t="s">
        <v>3165</v>
      </c>
      <c r="AJ195" s="221" t="s">
        <v>3166</v>
      </c>
      <c r="AK195" s="30" t="s">
        <v>3167</v>
      </c>
      <c r="AL195" s="210"/>
      <c r="AM195" s="210"/>
      <c r="AN195" s="35"/>
      <c r="AO195" s="35" t="s">
        <v>3168</v>
      </c>
      <c r="AP195" s="10">
        <f t="shared" ca="1" si="7"/>
        <v>30</v>
      </c>
      <c r="AQ195" s="35" t="s">
        <v>1605</v>
      </c>
      <c r="AR195" s="222" t="s">
        <v>3169</v>
      </c>
      <c r="AS195" s="166">
        <v>45861</v>
      </c>
      <c r="AT195" s="166">
        <v>46225</v>
      </c>
      <c r="AU195" s="223">
        <v>34792</v>
      </c>
      <c r="AV195" s="31" t="s">
        <v>1389</v>
      </c>
      <c r="AW195" s="31" t="s">
        <v>68</v>
      </c>
      <c r="AX195" s="10">
        <v>8</v>
      </c>
      <c r="AY195" s="14" t="s">
        <v>2262</v>
      </c>
      <c r="AZ195" s="30" t="s">
        <v>26</v>
      </c>
      <c r="BA195" s="23" t="s">
        <v>151</v>
      </c>
      <c r="BB195" s="30" t="s">
        <v>34</v>
      </c>
      <c r="BC195" s="22"/>
    </row>
    <row r="196" spans="1:55" x14ac:dyDescent="0.25">
      <c r="A196" s="10">
        <f t="shared" ref="A196:A259" si="8">A195+1</f>
        <v>195</v>
      </c>
      <c r="B196" s="10" t="s">
        <v>3170</v>
      </c>
      <c r="C196" s="30" t="s">
        <v>34</v>
      </c>
      <c r="D196" s="65">
        <v>401048</v>
      </c>
      <c r="E196" s="31" t="s">
        <v>36</v>
      </c>
      <c r="F196" s="14" t="s">
        <v>3171</v>
      </c>
      <c r="G196" s="64">
        <v>6</v>
      </c>
      <c r="H196" s="66">
        <v>0.70833333333333337</v>
      </c>
      <c r="I196" s="66">
        <v>0.79166666666666663</v>
      </c>
      <c r="J196" s="66">
        <v>8.3333333333333329E-2</v>
      </c>
      <c r="K196" s="21" t="s">
        <v>635</v>
      </c>
      <c r="L196" s="30" t="s">
        <v>30</v>
      </c>
      <c r="M196" s="30" t="s">
        <v>1544</v>
      </c>
      <c r="N196" s="23" t="s">
        <v>1992</v>
      </c>
      <c r="O196" s="14" t="s">
        <v>3144</v>
      </c>
      <c r="P196" s="258">
        <v>45512</v>
      </c>
      <c r="Q196" s="161">
        <v>45512</v>
      </c>
      <c r="R196" s="161">
        <v>46241</v>
      </c>
      <c r="S196" s="161">
        <v>46242</v>
      </c>
      <c r="T196" s="10">
        <v>2010</v>
      </c>
      <c r="U196" s="30" t="s">
        <v>534</v>
      </c>
      <c r="V196" s="10">
        <v>2017</v>
      </c>
      <c r="W196" s="35" t="s">
        <v>230</v>
      </c>
      <c r="X196" s="31" t="s">
        <v>30</v>
      </c>
      <c r="Y196" s="35" t="s">
        <v>1549</v>
      </c>
      <c r="Z196" s="14">
        <v>71905</v>
      </c>
      <c r="AA196" s="35" t="s">
        <v>1886</v>
      </c>
      <c r="AB196" s="161">
        <v>45107</v>
      </c>
      <c r="AC196" s="161">
        <v>46933</v>
      </c>
      <c r="AD196" s="220">
        <v>9966466089</v>
      </c>
      <c r="AE196" s="224" t="s">
        <v>3172</v>
      </c>
      <c r="AF196" s="30" t="s">
        <v>1805</v>
      </c>
      <c r="AG196" s="221" t="s">
        <v>3173</v>
      </c>
      <c r="AH196" s="31" t="s">
        <v>3174</v>
      </c>
      <c r="AI196" s="31" t="s">
        <v>3175</v>
      </c>
      <c r="AJ196" s="221" t="s">
        <v>3176</v>
      </c>
      <c r="AK196" s="30" t="s">
        <v>3177</v>
      </c>
      <c r="AL196" s="210"/>
      <c r="AM196" s="210"/>
      <c r="AN196" s="35"/>
      <c r="AO196" s="35" t="s">
        <v>3178</v>
      </c>
      <c r="AP196" s="10">
        <f t="shared" ca="1" si="7"/>
        <v>38</v>
      </c>
      <c r="AQ196" s="35"/>
      <c r="AR196" s="23"/>
      <c r="AS196" s="210"/>
      <c r="AT196" s="210"/>
      <c r="AU196" s="223">
        <v>31894</v>
      </c>
      <c r="AV196" s="31" t="s">
        <v>1389</v>
      </c>
      <c r="AW196" s="31" t="s">
        <v>32</v>
      </c>
      <c r="AX196" s="10">
        <v>2</v>
      </c>
      <c r="AY196" s="14" t="s">
        <v>2262</v>
      </c>
      <c r="AZ196" s="30" t="s">
        <v>1373</v>
      </c>
      <c r="BA196" s="23" t="s">
        <v>151</v>
      </c>
      <c r="BB196" s="30" t="s">
        <v>34</v>
      </c>
      <c r="BC196" s="22"/>
    </row>
    <row r="197" spans="1:55" x14ac:dyDescent="0.25">
      <c r="A197" s="10">
        <f t="shared" si="8"/>
        <v>196</v>
      </c>
      <c r="B197" s="10" t="s">
        <v>3179</v>
      </c>
      <c r="C197" s="30" t="s">
        <v>34</v>
      </c>
      <c r="D197" s="65">
        <v>401049</v>
      </c>
      <c r="E197" s="31" t="s">
        <v>36</v>
      </c>
      <c r="F197" s="14" t="s">
        <v>3180</v>
      </c>
      <c r="G197" s="64">
        <v>6</v>
      </c>
      <c r="H197" s="66">
        <v>0.75</v>
      </c>
      <c r="I197" s="66">
        <v>0.79166666666666663</v>
      </c>
      <c r="J197" s="66">
        <v>4.1666666666666664E-2</v>
      </c>
      <c r="K197" s="21" t="s">
        <v>411</v>
      </c>
      <c r="L197" s="30" t="s">
        <v>30</v>
      </c>
      <c r="M197" s="30" t="s">
        <v>1376</v>
      </c>
      <c r="N197" s="23" t="s">
        <v>1393</v>
      </c>
      <c r="O197" s="35" t="s">
        <v>30</v>
      </c>
      <c r="P197" s="258">
        <v>45513</v>
      </c>
      <c r="Q197" s="161">
        <v>45513</v>
      </c>
      <c r="R197" s="161">
        <v>46242</v>
      </c>
      <c r="S197" s="161">
        <v>46243</v>
      </c>
      <c r="T197" s="10">
        <v>2016</v>
      </c>
      <c r="U197" s="30" t="s">
        <v>595</v>
      </c>
      <c r="V197" s="10" t="s">
        <v>30</v>
      </c>
      <c r="W197" s="35" t="s">
        <v>30</v>
      </c>
      <c r="X197" s="31" t="s">
        <v>30</v>
      </c>
      <c r="Y197" s="35" t="s">
        <v>226</v>
      </c>
      <c r="Z197" s="14" t="s">
        <v>3181</v>
      </c>
      <c r="AA197" s="35" t="s">
        <v>1886</v>
      </c>
      <c r="AB197" s="161">
        <v>44935</v>
      </c>
      <c r="AC197" s="161">
        <v>46760</v>
      </c>
      <c r="AD197" s="220">
        <v>9989676664</v>
      </c>
      <c r="AE197" s="224" t="s">
        <v>3182</v>
      </c>
      <c r="AF197" s="28" t="s">
        <v>1495</v>
      </c>
      <c r="AG197" s="221" t="s">
        <v>3183</v>
      </c>
      <c r="AH197" s="31" t="s">
        <v>3184</v>
      </c>
      <c r="AI197" s="31" t="s">
        <v>3185</v>
      </c>
      <c r="AJ197" s="221" t="s">
        <v>3186</v>
      </c>
      <c r="AK197" s="30" t="s">
        <v>3187</v>
      </c>
      <c r="AL197" s="210"/>
      <c r="AM197" s="210"/>
      <c r="AN197" s="35"/>
      <c r="AO197" s="35" t="s">
        <v>3188</v>
      </c>
      <c r="AP197" s="10">
        <f t="shared" ca="1" si="7"/>
        <v>31</v>
      </c>
      <c r="AQ197" s="35"/>
      <c r="AR197" s="23"/>
      <c r="AS197" s="210"/>
      <c r="AT197" s="210"/>
      <c r="AU197" s="223">
        <v>34478</v>
      </c>
      <c r="AV197" s="31" t="s">
        <v>1352</v>
      </c>
      <c r="AW197" s="31" t="s">
        <v>32</v>
      </c>
      <c r="AX197" s="10">
        <v>1</v>
      </c>
      <c r="AY197" s="14" t="s">
        <v>1920</v>
      </c>
      <c r="AZ197" s="30" t="s">
        <v>1390</v>
      </c>
      <c r="BA197" s="23" t="s">
        <v>151</v>
      </c>
      <c r="BB197" s="30" t="s">
        <v>34</v>
      </c>
      <c r="BC197" s="22"/>
    </row>
    <row r="198" spans="1:55" x14ac:dyDescent="0.25">
      <c r="A198" s="10">
        <f t="shared" si="8"/>
        <v>197</v>
      </c>
      <c r="B198" s="10" t="s">
        <v>638</v>
      </c>
      <c r="C198" s="30" t="s">
        <v>34</v>
      </c>
      <c r="D198" s="65">
        <v>401064</v>
      </c>
      <c r="E198" s="31" t="s">
        <v>36</v>
      </c>
      <c r="F198" s="14" t="s">
        <v>639</v>
      </c>
      <c r="G198" s="10">
        <v>6</v>
      </c>
      <c r="H198" s="66">
        <v>0.39583333333333331</v>
      </c>
      <c r="I198" s="66">
        <v>0.60416666666666663</v>
      </c>
      <c r="J198" s="66">
        <v>0.20833333333333334</v>
      </c>
      <c r="K198" s="21" t="s">
        <v>640</v>
      </c>
      <c r="L198" s="30" t="s">
        <v>641</v>
      </c>
      <c r="M198" s="30" t="s">
        <v>26</v>
      </c>
      <c r="N198" s="23" t="s">
        <v>38</v>
      </c>
      <c r="O198" s="23" t="s">
        <v>1321</v>
      </c>
      <c r="P198" s="258">
        <v>45539</v>
      </c>
      <c r="Q198" s="161">
        <v>45882</v>
      </c>
      <c r="R198" s="161">
        <v>46268</v>
      </c>
      <c r="S198" s="161">
        <v>46269</v>
      </c>
      <c r="T198" s="79">
        <v>2012</v>
      </c>
      <c r="U198" s="30" t="s">
        <v>642</v>
      </c>
      <c r="V198" s="10">
        <v>2016</v>
      </c>
      <c r="W198" s="35" t="s">
        <v>643</v>
      </c>
      <c r="X198" s="31" t="s">
        <v>30</v>
      </c>
      <c r="Y198" s="35" t="s">
        <v>49</v>
      </c>
      <c r="Z198" s="14" t="s">
        <v>3189</v>
      </c>
      <c r="AA198" s="23" t="s">
        <v>1841</v>
      </c>
      <c r="AB198" s="161">
        <v>45495</v>
      </c>
      <c r="AC198" s="161">
        <v>47320</v>
      </c>
      <c r="AD198" s="220">
        <v>9985666644</v>
      </c>
      <c r="AE198" s="227" t="s">
        <v>644</v>
      </c>
      <c r="AF198" s="30" t="s">
        <v>1430</v>
      </c>
      <c r="AG198" s="221" t="s">
        <v>3190</v>
      </c>
      <c r="AH198" s="31" t="s">
        <v>3191</v>
      </c>
      <c r="AI198" s="31" t="s">
        <v>3192</v>
      </c>
      <c r="AJ198" s="221" t="s">
        <v>3193</v>
      </c>
      <c r="AK198" s="30" t="s">
        <v>3194</v>
      </c>
      <c r="AL198" s="210"/>
      <c r="AM198" s="210"/>
      <c r="AN198" s="35"/>
      <c r="AO198" s="35" t="s">
        <v>3195</v>
      </c>
      <c r="AP198" s="10">
        <f t="shared" ca="1" si="7"/>
        <v>38</v>
      </c>
      <c r="AQ198" s="35"/>
      <c r="AR198" s="23"/>
      <c r="AS198" s="210"/>
      <c r="AT198" s="210"/>
      <c r="AU198" s="223">
        <v>32047</v>
      </c>
      <c r="AV198" s="31" t="s">
        <v>1352</v>
      </c>
      <c r="AW198" s="31" t="s">
        <v>32</v>
      </c>
      <c r="AX198" s="10">
        <v>5</v>
      </c>
      <c r="AY198" s="14" t="s">
        <v>2068</v>
      </c>
      <c r="AZ198" s="30" t="s">
        <v>26</v>
      </c>
      <c r="BA198" s="23" t="s">
        <v>151</v>
      </c>
      <c r="BB198" s="30" t="s">
        <v>34</v>
      </c>
      <c r="BC198" s="22"/>
    </row>
    <row r="199" spans="1:55" x14ac:dyDescent="0.25">
      <c r="A199" s="10">
        <f t="shared" si="8"/>
        <v>198</v>
      </c>
      <c r="B199" s="10" t="s">
        <v>3196</v>
      </c>
      <c r="C199" s="30" t="s">
        <v>34</v>
      </c>
      <c r="D199" s="65">
        <v>401065</v>
      </c>
      <c r="E199" s="31" t="s">
        <v>36</v>
      </c>
      <c r="F199" s="14" t="s">
        <v>3197</v>
      </c>
      <c r="G199" s="10">
        <v>6</v>
      </c>
      <c r="H199" s="66">
        <v>0.375</v>
      </c>
      <c r="I199" s="66">
        <v>0.41666666666666669</v>
      </c>
      <c r="J199" s="66">
        <v>4.1666666666666664E-2</v>
      </c>
      <c r="K199" s="21" t="s">
        <v>404</v>
      </c>
      <c r="L199" s="30" t="s">
        <v>30</v>
      </c>
      <c r="M199" s="30" t="s">
        <v>1376</v>
      </c>
      <c r="N199" s="23" t="s">
        <v>1393</v>
      </c>
      <c r="O199" s="35" t="s">
        <v>30</v>
      </c>
      <c r="P199" s="258">
        <v>45540</v>
      </c>
      <c r="Q199" s="161">
        <v>45540</v>
      </c>
      <c r="R199" s="161">
        <v>46269</v>
      </c>
      <c r="S199" s="161">
        <v>46270</v>
      </c>
      <c r="T199" s="79">
        <v>2016</v>
      </c>
      <c r="U199" s="30" t="s">
        <v>3198</v>
      </c>
      <c r="V199" s="10" t="s">
        <v>30</v>
      </c>
      <c r="W199" s="35" t="s">
        <v>30</v>
      </c>
      <c r="X199" s="31" t="s">
        <v>30</v>
      </c>
      <c r="Y199" s="35" t="s">
        <v>226</v>
      </c>
      <c r="Z199" s="14" t="s">
        <v>3199</v>
      </c>
      <c r="AA199" s="23" t="s">
        <v>1841</v>
      </c>
      <c r="AB199" s="161">
        <v>44832</v>
      </c>
      <c r="AC199" s="161">
        <v>46657</v>
      </c>
      <c r="AD199" s="220">
        <v>6300384429</v>
      </c>
      <c r="AE199" s="227" t="s">
        <v>3200</v>
      </c>
      <c r="AF199" s="30" t="s">
        <v>2284</v>
      </c>
      <c r="AG199" s="221" t="s">
        <v>3201</v>
      </c>
      <c r="AH199" s="31" t="s">
        <v>3202</v>
      </c>
      <c r="AI199" s="31" t="s">
        <v>3203</v>
      </c>
      <c r="AJ199" s="221" t="s">
        <v>3204</v>
      </c>
      <c r="AK199" s="30" t="s">
        <v>3205</v>
      </c>
      <c r="AL199" s="210"/>
      <c r="AM199" s="210"/>
      <c r="AN199" s="35"/>
      <c r="AO199" s="35" t="s">
        <v>3206</v>
      </c>
      <c r="AP199" s="10">
        <f t="shared" ca="1" si="7"/>
        <v>28</v>
      </c>
      <c r="AQ199" s="35"/>
      <c r="AR199" s="23"/>
      <c r="AS199" s="210"/>
      <c r="AT199" s="210"/>
      <c r="AU199" s="223">
        <v>35417</v>
      </c>
      <c r="AV199" s="31" t="s">
        <v>1389</v>
      </c>
      <c r="AW199" s="31" t="s">
        <v>32</v>
      </c>
      <c r="AX199" s="10">
        <v>1</v>
      </c>
      <c r="AY199" s="14" t="s">
        <v>2469</v>
      </c>
      <c r="AZ199" s="30" t="s">
        <v>1390</v>
      </c>
      <c r="BA199" s="23" t="s">
        <v>151</v>
      </c>
      <c r="BB199" s="30" t="s">
        <v>34</v>
      </c>
      <c r="BC199" s="22"/>
    </row>
    <row r="200" spans="1:55" x14ac:dyDescent="0.25">
      <c r="A200" s="10">
        <f t="shared" si="8"/>
        <v>199</v>
      </c>
      <c r="B200" s="25" t="s">
        <v>645</v>
      </c>
      <c r="C200" s="30" t="s">
        <v>34</v>
      </c>
      <c r="D200" s="71">
        <v>401136</v>
      </c>
      <c r="E200" s="72" t="s">
        <v>192</v>
      </c>
      <c r="F200" s="14" t="s">
        <v>646</v>
      </c>
      <c r="G200" s="25"/>
      <c r="H200" s="74"/>
      <c r="I200" s="74"/>
      <c r="J200" s="74"/>
      <c r="K200" s="21" t="s">
        <v>334</v>
      </c>
      <c r="L200" s="75" t="s">
        <v>623</v>
      </c>
      <c r="M200" s="75" t="s">
        <v>26</v>
      </c>
      <c r="N200" s="23" t="s">
        <v>38</v>
      </c>
      <c r="O200" s="23" t="s">
        <v>1321</v>
      </c>
      <c r="P200" s="246">
        <v>45619</v>
      </c>
      <c r="Q200" s="247">
        <v>45619</v>
      </c>
      <c r="R200" s="247">
        <v>46348</v>
      </c>
      <c r="S200" s="247">
        <v>46349</v>
      </c>
      <c r="T200" s="25">
        <v>2009</v>
      </c>
      <c r="U200" s="75" t="s">
        <v>647</v>
      </c>
      <c r="V200" s="25">
        <v>2017</v>
      </c>
      <c r="W200" s="73" t="s">
        <v>648</v>
      </c>
      <c r="X200" s="72" t="s">
        <v>3207</v>
      </c>
      <c r="Y200" s="38" t="s">
        <v>158</v>
      </c>
      <c r="Z200" s="76">
        <v>89031</v>
      </c>
      <c r="AA200" s="38" t="s">
        <v>1323</v>
      </c>
      <c r="AB200" s="161" t="s">
        <v>30</v>
      </c>
      <c r="AC200" s="161" t="s">
        <v>30</v>
      </c>
      <c r="AD200" s="279">
        <v>6296918495</v>
      </c>
      <c r="AE200" s="255" t="s">
        <v>649</v>
      </c>
      <c r="AF200" s="30" t="s">
        <v>1410</v>
      </c>
      <c r="AG200" s="249" t="s">
        <v>3208</v>
      </c>
      <c r="AH200" s="72" t="s">
        <v>3130</v>
      </c>
      <c r="AI200" s="72" t="s">
        <v>3209</v>
      </c>
      <c r="AJ200" s="249" t="s">
        <v>3210</v>
      </c>
      <c r="AK200" s="75" t="s">
        <v>3211</v>
      </c>
      <c r="AL200" s="250"/>
      <c r="AM200" s="250"/>
      <c r="AN200" s="38"/>
      <c r="AO200" s="38" t="s">
        <v>3212</v>
      </c>
      <c r="AP200" s="25">
        <f t="shared" ca="1" si="7"/>
        <v>41</v>
      </c>
      <c r="AQ200" s="30" t="s">
        <v>3213</v>
      </c>
      <c r="AR200" s="280" t="s">
        <v>3214</v>
      </c>
      <c r="AS200" s="166">
        <v>45923</v>
      </c>
      <c r="AT200" s="166">
        <v>46287</v>
      </c>
      <c r="AU200" s="252">
        <v>30741</v>
      </c>
      <c r="AV200" s="72" t="s">
        <v>1389</v>
      </c>
      <c r="AW200" s="31" t="s">
        <v>32</v>
      </c>
      <c r="AX200" s="10" t="s">
        <v>30</v>
      </c>
      <c r="AY200" s="76" t="s">
        <v>30</v>
      </c>
      <c r="AZ200" s="30" t="s">
        <v>26</v>
      </c>
      <c r="BA200" s="23" t="s">
        <v>151</v>
      </c>
      <c r="BB200" s="30" t="s">
        <v>34</v>
      </c>
      <c r="BC200" s="22"/>
    </row>
    <row r="201" spans="1:55" x14ac:dyDescent="0.25">
      <c r="A201" s="10">
        <f t="shared" si="8"/>
        <v>200</v>
      </c>
      <c r="B201" s="10" t="s">
        <v>650</v>
      </c>
      <c r="C201" s="30" t="s">
        <v>34</v>
      </c>
      <c r="D201" s="65">
        <v>401067</v>
      </c>
      <c r="E201" s="31" t="s">
        <v>42</v>
      </c>
      <c r="F201" s="14" t="s">
        <v>651</v>
      </c>
      <c r="G201" s="10">
        <v>6</v>
      </c>
      <c r="H201" s="66">
        <v>0.375</v>
      </c>
      <c r="I201" s="66">
        <v>0.70833333333333337</v>
      </c>
      <c r="J201" s="66">
        <v>0.33333333333333331</v>
      </c>
      <c r="K201" s="21" t="s">
        <v>652</v>
      </c>
      <c r="L201" s="30" t="s">
        <v>202</v>
      </c>
      <c r="M201" s="30" t="s">
        <v>26</v>
      </c>
      <c r="N201" s="23" t="s">
        <v>38</v>
      </c>
      <c r="O201" s="23" t="s">
        <v>1321</v>
      </c>
      <c r="P201" s="258">
        <v>45520</v>
      </c>
      <c r="Q201" s="161">
        <v>45520</v>
      </c>
      <c r="R201" s="161">
        <v>46249</v>
      </c>
      <c r="S201" s="161">
        <v>46250</v>
      </c>
      <c r="T201" s="79">
        <v>1993</v>
      </c>
      <c r="U201" s="30" t="s">
        <v>653</v>
      </c>
      <c r="V201" s="10">
        <v>1997</v>
      </c>
      <c r="W201" s="35" t="s">
        <v>654</v>
      </c>
      <c r="X201" s="31" t="s">
        <v>30</v>
      </c>
      <c r="Y201" s="23" t="s">
        <v>66</v>
      </c>
      <c r="Z201" s="14">
        <v>38883</v>
      </c>
      <c r="AA201" s="35" t="s">
        <v>1560</v>
      </c>
      <c r="AB201" s="161">
        <v>45643</v>
      </c>
      <c r="AC201" s="161">
        <v>47468</v>
      </c>
      <c r="AD201" s="220">
        <v>9448135683</v>
      </c>
      <c r="AE201" s="224" t="s">
        <v>655</v>
      </c>
      <c r="AF201" s="30" t="s">
        <v>1466</v>
      </c>
      <c r="AG201" s="221" t="s">
        <v>3215</v>
      </c>
      <c r="AH201" s="31" t="s">
        <v>3216</v>
      </c>
      <c r="AI201" s="31" t="s">
        <v>3217</v>
      </c>
      <c r="AJ201" s="221" t="s">
        <v>3218</v>
      </c>
      <c r="AK201" s="30" t="s">
        <v>3219</v>
      </c>
      <c r="AL201" s="210"/>
      <c r="AM201" s="210"/>
      <c r="AN201" s="35"/>
      <c r="AO201" s="35" t="s">
        <v>3220</v>
      </c>
      <c r="AP201" s="10">
        <f t="shared" ca="1" si="7"/>
        <v>55</v>
      </c>
      <c r="AQ201" s="67" t="s">
        <v>3221</v>
      </c>
      <c r="AR201" s="222" t="s">
        <v>3222</v>
      </c>
      <c r="AS201" s="281" t="s">
        <v>3223</v>
      </c>
      <c r="AT201" s="281" t="s">
        <v>3224</v>
      </c>
      <c r="AU201" s="223">
        <v>25586</v>
      </c>
      <c r="AV201" s="31" t="s">
        <v>1352</v>
      </c>
      <c r="AW201" s="31" t="s">
        <v>68</v>
      </c>
      <c r="AX201" s="10">
        <v>8</v>
      </c>
      <c r="AY201" s="14" t="s">
        <v>3225</v>
      </c>
      <c r="AZ201" s="30" t="s">
        <v>26</v>
      </c>
      <c r="BA201" s="23" t="s">
        <v>151</v>
      </c>
      <c r="BB201" s="30" t="s">
        <v>34</v>
      </c>
      <c r="BC201" s="22"/>
    </row>
    <row r="202" spans="1:55" x14ac:dyDescent="0.25">
      <c r="A202" s="10">
        <f t="shared" si="8"/>
        <v>201</v>
      </c>
      <c r="B202" s="10" t="s">
        <v>656</v>
      </c>
      <c r="C202" s="30" t="s">
        <v>34</v>
      </c>
      <c r="D202" s="65">
        <v>401075</v>
      </c>
      <c r="E202" s="31" t="s">
        <v>36</v>
      </c>
      <c r="F202" s="14" t="s">
        <v>657</v>
      </c>
      <c r="G202" s="10">
        <v>6</v>
      </c>
      <c r="H202" s="66">
        <v>0.54166666666666663</v>
      </c>
      <c r="I202" s="66">
        <v>0.875</v>
      </c>
      <c r="J202" s="66">
        <v>0.33333333333333331</v>
      </c>
      <c r="K202" s="21" t="s">
        <v>287</v>
      </c>
      <c r="L202" s="30" t="s">
        <v>658</v>
      </c>
      <c r="M202" s="30" t="s">
        <v>26</v>
      </c>
      <c r="N202" s="23" t="s">
        <v>38</v>
      </c>
      <c r="O202" s="23" t="s">
        <v>1321</v>
      </c>
      <c r="P202" s="258">
        <v>45551</v>
      </c>
      <c r="Q202" s="161">
        <v>45551</v>
      </c>
      <c r="R202" s="161">
        <v>46280</v>
      </c>
      <c r="S202" s="161">
        <v>46281</v>
      </c>
      <c r="T202" s="10">
        <v>2017</v>
      </c>
      <c r="U202" s="14" t="s">
        <v>659</v>
      </c>
      <c r="V202" s="10">
        <v>2023</v>
      </c>
      <c r="W202" s="14" t="s">
        <v>163</v>
      </c>
      <c r="X202" s="31" t="s">
        <v>30</v>
      </c>
      <c r="Y202" s="35" t="s">
        <v>49</v>
      </c>
      <c r="Z202" s="14" t="s">
        <v>3226</v>
      </c>
      <c r="AA202" s="23" t="s">
        <v>1841</v>
      </c>
      <c r="AB202" s="161">
        <v>45266</v>
      </c>
      <c r="AC202" s="161">
        <v>47092</v>
      </c>
      <c r="AD202" s="10">
        <v>7981149795</v>
      </c>
      <c r="AE202" s="272" t="s">
        <v>660</v>
      </c>
      <c r="AF202" s="30" t="s">
        <v>2284</v>
      </c>
      <c r="AG202" s="221" t="s">
        <v>3227</v>
      </c>
      <c r="AH202" s="31" t="s">
        <v>3228</v>
      </c>
      <c r="AI202" s="31" t="s">
        <v>3229</v>
      </c>
      <c r="AJ202" s="221" t="s">
        <v>3230</v>
      </c>
      <c r="AK202" s="30" t="s">
        <v>3231</v>
      </c>
      <c r="AL202" s="210"/>
      <c r="AM202" s="210"/>
      <c r="AN202" s="35"/>
      <c r="AO202" s="35" t="s">
        <v>3232</v>
      </c>
      <c r="AP202" s="10">
        <f t="shared" ca="1" si="7"/>
        <v>31</v>
      </c>
      <c r="AQ202" s="29" t="s">
        <v>1605</v>
      </c>
      <c r="AR202" s="222" t="s">
        <v>3233</v>
      </c>
      <c r="AS202" s="282">
        <v>45591</v>
      </c>
      <c r="AT202" s="282">
        <v>46320</v>
      </c>
      <c r="AU202" s="223">
        <v>34532</v>
      </c>
      <c r="AV202" s="31" t="s">
        <v>1389</v>
      </c>
      <c r="AW202" s="31" t="s">
        <v>68</v>
      </c>
      <c r="AX202" s="10">
        <v>8</v>
      </c>
      <c r="AY202" s="14" t="s">
        <v>1881</v>
      </c>
      <c r="AZ202" s="30" t="s">
        <v>26</v>
      </c>
      <c r="BA202" s="23" t="s">
        <v>151</v>
      </c>
      <c r="BB202" s="30" t="s">
        <v>34</v>
      </c>
      <c r="BC202" s="22"/>
    </row>
    <row r="203" spans="1:55" x14ac:dyDescent="0.25">
      <c r="A203" s="10">
        <f t="shared" si="8"/>
        <v>202</v>
      </c>
      <c r="B203" s="10" t="s">
        <v>661</v>
      </c>
      <c r="C203" s="30" t="s">
        <v>34</v>
      </c>
      <c r="D203" s="65">
        <v>401077</v>
      </c>
      <c r="E203" s="31" t="s">
        <v>36</v>
      </c>
      <c r="F203" s="14" t="s">
        <v>662</v>
      </c>
      <c r="G203" s="10">
        <v>6</v>
      </c>
      <c r="H203" s="66">
        <v>0.375</v>
      </c>
      <c r="I203" s="66">
        <v>0.70833333333333337</v>
      </c>
      <c r="J203" s="66">
        <v>0.33333333333333331</v>
      </c>
      <c r="K203" s="21" t="s">
        <v>663</v>
      </c>
      <c r="L203" s="30" t="s">
        <v>664</v>
      </c>
      <c r="M203" s="30" t="s">
        <v>26</v>
      </c>
      <c r="N203" s="23" t="s">
        <v>38</v>
      </c>
      <c r="O203" s="23" t="s">
        <v>1321</v>
      </c>
      <c r="P203" s="258">
        <v>45553</v>
      </c>
      <c r="Q203" s="161">
        <v>45553</v>
      </c>
      <c r="R203" s="161">
        <v>46282</v>
      </c>
      <c r="S203" s="161">
        <v>46283</v>
      </c>
      <c r="T203" s="10">
        <v>2018</v>
      </c>
      <c r="U203" s="14" t="s">
        <v>665</v>
      </c>
      <c r="V203" s="10">
        <v>2023</v>
      </c>
      <c r="W203" s="14" t="s">
        <v>665</v>
      </c>
      <c r="X203" s="10" t="s">
        <v>30</v>
      </c>
      <c r="Y203" s="35" t="s">
        <v>49</v>
      </c>
      <c r="Z203" s="14" t="s">
        <v>3234</v>
      </c>
      <c r="AA203" s="23" t="s">
        <v>1841</v>
      </c>
      <c r="AB203" s="161">
        <v>45219</v>
      </c>
      <c r="AC203" s="161">
        <v>47045</v>
      </c>
      <c r="AD203" s="10">
        <v>9573012927</v>
      </c>
      <c r="AE203" s="272" t="s">
        <v>666</v>
      </c>
      <c r="AF203" s="28" t="s">
        <v>1495</v>
      </c>
      <c r="AG203" s="221" t="s">
        <v>3235</v>
      </c>
      <c r="AH203" s="31" t="s">
        <v>3236</v>
      </c>
      <c r="AI203" s="31" t="s">
        <v>3237</v>
      </c>
      <c r="AJ203" s="221" t="s">
        <v>3238</v>
      </c>
      <c r="AK203" s="30" t="s">
        <v>3239</v>
      </c>
      <c r="AL203" s="210"/>
      <c r="AM203" s="210"/>
      <c r="AN203" s="35"/>
      <c r="AO203" s="35" t="s">
        <v>3240</v>
      </c>
      <c r="AP203" s="10">
        <f t="shared" ca="1" si="7"/>
        <v>29</v>
      </c>
      <c r="AQ203" s="35"/>
      <c r="AR203" s="23"/>
      <c r="AS203" s="210"/>
      <c r="AT203" s="210"/>
      <c r="AU203" s="223">
        <v>35027</v>
      </c>
      <c r="AV203" s="31" t="s">
        <v>1352</v>
      </c>
      <c r="AW203" s="31" t="s">
        <v>68</v>
      </c>
      <c r="AX203" s="10">
        <v>8</v>
      </c>
      <c r="AY203" s="14" t="s">
        <v>1904</v>
      </c>
      <c r="AZ203" s="30" t="s">
        <v>26</v>
      </c>
      <c r="BA203" s="23" t="s">
        <v>151</v>
      </c>
      <c r="BB203" s="30" t="s">
        <v>34</v>
      </c>
      <c r="BC203" s="22"/>
    </row>
    <row r="204" spans="1:55" x14ac:dyDescent="0.25">
      <c r="A204" s="10">
        <f t="shared" si="8"/>
        <v>203</v>
      </c>
      <c r="B204" s="10" t="s">
        <v>3241</v>
      </c>
      <c r="C204" s="30" t="s">
        <v>34</v>
      </c>
      <c r="D204" s="65">
        <v>401084</v>
      </c>
      <c r="E204" s="31" t="s">
        <v>36</v>
      </c>
      <c r="F204" s="14" t="s">
        <v>3242</v>
      </c>
      <c r="G204" s="10">
        <v>6</v>
      </c>
      <c r="H204" s="66">
        <v>0.77083333333333337</v>
      </c>
      <c r="I204" s="66">
        <v>0.91666666666666663</v>
      </c>
      <c r="J204" s="66">
        <v>0.14583333333333334</v>
      </c>
      <c r="K204" s="21" t="s">
        <v>147</v>
      </c>
      <c r="L204" s="30" t="s">
        <v>30</v>
      </c>
      <c r="M204" s="30" t="s">
        <v>1544</v>
      </c>
      <c r="N204" s="23" t="s">
        <v>1992</v>
      </c>
      <c r="O204" s="35" t="s">
        <v>1357</v>
      </c>
      <c r="P204" s="258">
        <v>45558</v>
      </c>
      <c r="Q204" s="161">
        <v>45558</v>
      </c>
      <c r="R204" s="161">
        <v>46288</v>
      </c>
      <c r="S204" s="161">
        <v>46287</v>
      </c>
      <c r="T204" s="10">
        <v>2012</v>
      </c>
      <c r="U204" s="14" t="s">
        <v>296</v>
      </c>
      <c r="V204" s="10">
        <v>2022</v>
      </c>
      <c r="W204" s="14" t="s">
        <v>196</v>
      </c>
      <c r="X204" s="10" t="s">
        <v>30</v>
      </c>
      <c r="Y204" s="35" t="s">
        <v>1549</v>
      </c>
      <c r="Z204" s="14" t="s">
        <v>3243</v>
      </c>
      <c r="AA204" s="23" t="s">
        <v>1841</v>
      </c>
      <c r="AB204" s="161">
        <v>44980</v>
      </c>
      <c r="AC204" s="161">
        <v>46805</v>
      </c>
      <c r="AD204" s="220">
        <v>7799990950</v>
      </c>
      <c r="AE204" s="224" t="s">
        <v>3244</v>
      </c>
      <c r="AF204" s="30" t="s">
        <v>1430</v>
      </c>
      <c r="AG204" s="221" t="s">
        <v>3245</v>
      </c>
      <c r="AH204" s="31" t="s">
        <v>3246</v>
      </c>
      <c r="AI204" s="31" t="s">
        <v>3247</v>
      </c>
      <c r="AJ204" s="221" t="s">
        <v>3248</v>
      </c>
      <c r="AK204" s="30" t="s">
        <v>3249</v>
      </c>
      <c r="AL204" s="210"/>
      <c r="AM204" s="210"/>
      <c r="AN204" s="35"/>
      <c r="AO204" s="35" t="s">
        <v>3250</v>
      </c>
      <c r="AP204" s="10">
        <f t="shared" ca="1" si="7"/>
        <v>37</v>
      </c>
      <c r="AQ204" s="35"/>
      <c r="AR204" s="23"/>
      <c r="AS204" s="210"/>
      <c r="AT204" s="210"/>
      <c r="AU204" s="223">
        <v>32424</v>
      </c>
      <c r="AV204" s="31" t="s">
        <v>1352</v>
      </c>
      <c r="AW204" s="31" t="s">
        <v>32</v>
      </c>
      <c r="AX204" s="10">
        <v>3.5</v>
      </c>
      <c r="AY204" s="14" t="s">
        <v>1849</v>
      </c>
      <c r="AZ204" s="30" t="s">
        <v>1373</v>
      </c>
      <c r="BA204" s="23" t="s">
        <v>151</v>
      </c>
      <c r="BB204" s="30" t="s">
        <v>34</v>
      </c>
      <c r="BC204" s="22"/>
    </row>
    <row r="205" spans="1:55" x14ac:dyDescent="0.25">
      <c r="A205" s="10">
        <f t="shared" si="8"/>
        <v>204</v>
      </c>
      <c r="B205" s="10" t="s">
        <v>3251</v>
      </c>
      <c r="C205" s="30" t="s">
        <v>34</v>
      </c>
      <c r="D205" s="65">
        <v>401085</v>
      </c>
      <c r="E205" s="31" t="s">
        <v>36</v>
      </c>
      <c r="F205" s="14" t="s">
        <v>3252</v>
      </c>
      <c r="G205" s="10">
        <v>6</v>
      </c>
      <c r="H205" s="66">
        <v>0.75</v>
      </c>
      <c r="I205" s="66">
        <v>0.83333333333333337</v>
      </c>
      <c r="J205" s="66">
        <v>8.3333333333333329E-2</v>
      </c>
      <c r="K205" s="21" t="s">
        <v>826</v>
      </c>
      <c r="L205" s="30" t="s">
        <v>30</v>
      </c>
      <c r="M205" s="30" t="s">
        <v>1544</v>
      </c>
      <c r="N205" s="23" t="s">
        <v>1992</v>
      </c>
      <c r="O205" s="14" t="s">
        <v>2239</v>
      </c>
      <c r="P205" s="258">
        <v>45560</v>
      </c>
      <c r="Q205" s="161">
        <v>45560</v>
      </c>
      <c r="R205" s="161">
        <v>46291</v>
      </c>
      <c r="S205" s="161">
        <v>46290</v>
      </c>
      <c r="T205" s="10">
        <v>1996</v>
      </c>
      <c r="U205" s="14" t="s">
        <v>3253</v>
      </c>
      <c r="V205" s="10">
        <v>2002</v>
      </c>
      <c r="W205" s="14" t="s">
        <v>3253</v>
      </c>
      <c r="X205" s="10" t="s">
        <v>30</v>
      </c>
      <c r="Y205" s="35" t="s">
        <v>1549</v>
      </c>
      <c r="Z205" s="14" t="s">
        <v>3254</v>
      </c>
      <c r="AA205" s="35" t="s">
        <v>2910</v>
      </c>
      <c r="AB205" s="161">
        <v>45649</v>
      </c>
      <c r="AC205" s="161">
        <v>47474</v>
      </c>
      <c r="AD205" s="220">
        <v>9650783757</v>
      </c>
      <c r="AE205" s="224" t="s">
        <v>3255</v>
      </c>
      <c r="AF205" s="28" t="s">
        <v>1495</v>
      </c>
      <c r="AG205" s="221" t="s">
        <v>3256</v>
      </c>
      <c r="AH205" s="31" t="s">
        <v>3257</v>
      </c>
      <c r="AI205" s="31" t="s">
        <v>3258</v>
      </c>
      <c r="AJ205" s="221" t="s">
        <v>3259</v>
      </c>
      <c r="AK205" s="30" t="s">
        <v>3260</v>
      </c>
      <c r="AL205" s="210"/>
      <c r="AM205" s="210"/>
      <c r="AN205" s="35"/>
      <c r="AO205" s="35" t="s">
        <v>3261</v>
      </c>
      <c r="AP205" s="10">
        <f t="shared" ca="1" si="7"/>
        <v>52</v>
      </c>
      <c r="AQ205" s="35" t="s">
        <v>1605</v>
      </c>
      <c r="AR205" s="222" t="s">
        <v>3262</v>
      </c>
      <c r="AS205" s="176">
        <v>45642</v>
      </c>
      <c r="AT205" s="176">
        <v>46006</v>
      </c>
      <c r="AU205" s="223">
        <v>26796</v>
      </c>
      <c r="AV205" s="31" t="s">
        <v>1389</v>
      </c>
      <c r="AW205" s="31" t="s">
        <v>32</v>
      </c>
      <c r="AX205" s="10">
        <v>2</v>
      </c>
      <c r="AY205" s="14" t="s">
        <v>2251</v>
      </c>
      <c r="AZ205" s="30" t="s">
        <v>1373</v>
      </c>
      <c r="BA205" s="23" t="s">
        <v>151</v>
      </c>
      <c r="BB205" s="30" t="s">
        <v>34</v>
      </c>
      <c r="BC205" s="22"/>
    </row>
    <row r="206" spans="1:55" x14ac:dyDescent="0.25">
      <c r="A206" s="10">
        <f t="shared" si="8"/>
        <v>205</v>
      </c>
      <c r="B206" s="10" t="s">
        <v>3263</v>
      </c>
      <c r="C206" s="30" t="s">
        <v>34</v>
      </c>
      <c r="D206" s="65">
        <v>401086</v>
      </c>
      <c r="E206" s="31" t="s">
        <v>36</v>
      </c>
      <c r="F206" s="14" t="s">
        <v>3264</v>
      </c>
      <c r="G206" s="10">
        <v>6</v>
      </c>
      <c r="H206" s="66">
        <v>0.70833333333333337</v>
      </c>
      <c r="I206" s="66">
        <v>0.83333333333333337</v>
      </c>
      <c r="J206" s="66">
        <v>0.125</v>
      </c>
      <c r="K206" s="21" t="s">
        <v>635</v>
      </c>
      <c r="L206" s="30" t="s">
        <v>30</v>
      </c>
      <c r="M206" s="30" t="s">
        <v>1355</v>
      </c>
      <c r="N206" s="23" t="s">
        <v>1520</v>
      </c>
      <c r="O206" s="14" t="s">
        <v>3144</v>
      </c>
      <c r="P206" s="258">
        <v>45562</v>
      </c>
      <c r="Q206" s="161">
        <v>45562</v>
      </c>
      <c r="R206" s="161">
        <v>46291</v>
      </c>
      <c r="S206" s="161">
        <v>46292</v>
      </c>
      <c r="T206" s="10">
        <v>2008</v>
      </c>
      <c r="U206" s="14" t="s">
        <v>306</v>
      </c>
      <c r="V206" s="10">
        <v>2023</v>
      </c>
      <c r="W206" s="23" t="s">
        <v>3265</v>
      </c>
      <c r="X206" s="10" t="s">
        <v>30</v>
      </c>
      <c r="Y206" s="23" t="s">
        <v>1360</v>
      </c>
      <c r="Z206" s="14">
        <v>65343</v>
      </c>
      <c r="AA206" s="35" t="s">
        <v>1886</v>
      </c>
      <c r="AB206" s="161">
        <v>45189</v>
      </c>
      <c r="AC206" s="161">
        <v>47015</v>
      </c>
      <c r="AD206" s="220" t="s">
        <v>3266</v>
      </c>
      <c r="AE206" s="224" t="s">
        <v>3267</v>
      </c>
      <c r="AF206" s="30" t="s">
        <v>2284</v>
      </c>
      <c r="AG206" s="221" t="s">
        <v>3268</v>
      </c>
      <c r="AH206" s="31" t="s">
        <v>3269</v>
      </c>
      <c r="AI206" s="31" t="s">
        <v>3270</v>
      </c>
      <c r="AJ206" s="221" t="s">
        <v>3271</v>
      </c>
      <c r="AK206" s="30" t="s">
        <v>3272</v>
      </c>
      <c r="AL206" s="210"/>
      <c r="AM206" s="210"/>
      <c r="AN206" s="35"/>
      <c r="AO206" s="35" t="s">
        <v>3273</v>
      </c>
      <c r="AP206" s="10">
        <f t="shared" ca="1" si="7"/>
        <v>40</v>
      </c>
      <c r="AQ206" s="35"/>
      <c r="AR206" s="23"/>
      <c r="AS206" s="210"/>
      <c r="AT206" s="210"/>
      <c r="AU206" s="223">
        <v>31289</v>
      </c>
      <c r="AV206" s="31" t="s">
        <v>1389</v>
      </c>
      <c r="AW206" s="31" t="s">
        <v>32</v>
      </c>
      <c r="AX206" s="10">
        <v>3</v>
      </c>
      <c r="AY206" s="14" t="s">
        <v>2262</v>
      </c>
      <c r="AZ206" s="30" t="s">
        <v>1373</v>
      </c>
      <c r="BA206" s="23" t="s">
        <v>151</v>
      </c>
      <c r="BB206" s="30" t="s">
        <v>34</v>
      </c>
      <c r="BC206" s="22"/>
    </row>
    <row r="207" spans="1:55" x14ac:dyDescent="0.25">
      <c r="A207" s="10">
        <f t="shared" si="8"/>
        <v>206</v>
      </c>
      <c r="B207" s="10" t="s">
        <v>3274</v>
      </c>
      <c r="C207" s="30" t="s">
        <v>34</v>
      </c>
      <c r="D207" s="65">
        <v>401087</v>
      </c>
      <c r="E207" s="31" t="s">
        <v>36</v>
      </c>
      <c r="F207" s="14" t="s">
        <v>3275</v>
      </c>
      <c r="G207" s="10">
        <v>6</v>
      </c>
      <c r="H207" s="66">
        <v>0.41666666666666669</v>
      </c>
      <c r="I207" s="66">
        <v>0.66666666666666663</v>
      </c>
      <c r="J207" s="66">
        <v>0.25</v>
      </c>
      <c r="K207" s="21" t="s">
        <v>147</v>
      </c>
      <c r="L207" s="30" t="s">
        <v>30</v>
      </c>
      <c r="M207" s="30" t="s">
        <v>1582</v>
      </c>
      <c r="N207" s="23" t="s">
        <v>3276</v>
      </c>
      <c r="O207" s="35" t="s">
        <v>1357</v>
      </c>
      <c r="P207" s="258">
        <v>45562</v>
      </c>
      <c r="Q207" s="161">
        <v>45562</v>
      </c>
      <c r="R207" s="161">
        <v>46291</v>
      </c>
      <c r="S207" s="161">
        <v>46292</v>
      </c>
      <c r="T207" s="10">
        <v>1978</v>
      </c>
      <c r="U207" s="14" t="s">
        <v>600</v>
      </c>
      <c r="V207" s="10">
        <v>1983</v>
      </c>
      <c r="W207" s="23" t="s">
        <v>3277</v>
      </c>
      <c r="X207" s="10" t="s">
        <v>30</v>
      </c>
      <c r="Y207" s="23" t="s">
        <v>1360</v>
      </c>
      <c r="Z207" s="14" t="s">
        <v>3278</v>
      </c>
      <c r="AA207" s="23" t="s">
        <v>1841</v>
      </c>
      <c r="AB207" s="161">
        <v>45889</v>
      </c>
      <c r="AC207" s="161">
        <v>47714</v>
      </c>
      <c r="AD207" s="220">
        <v>9949252979</v>
      </c>
      <c r="AE207" s="224" t="s">
        <v>3279</v>
      </c>
      <c r="AF207" s="28" t="s">
        <v>1495</v>
      </c>
      <c r="AG207" s="221" t="s">
        <v>3280</v>
      </c>
      <c r="AH207" s="31" t="s">
        <v>3281</v>
      </c>
      <c r="AI207" s="31" t="s">
        <v>3282</v>
      </c>
      <c r="AJ207" s="221" t="s">
        <v>3283</v>
      </c>
      <c r="AK207" s="30" t="s">
        <v>3284</v>
      </c>
      <c r="AL207" s="210"/>
      <c r="AM207" s="210"/>
      <c r="AN207" s="35"/>
      <c r="AO207" s="35" t="s">
        <v>3285</v>
      </c>
      <c r="AP207" s="10">
        <f t="shared" ca="1" si="7"/>
        <v>72</v>
      </c>
      <c r="AQ207" s="67" t="s">
        <v>1677</v>
      </c>
      <c r="AR207" s="222" t="s">
        <v>3286</v>
      </c>
      <c r="AS207" s="187">
        <v>45943</v>
      </c>
      <c r="AT207" s="187">
        <v>46307</v>
      </c>
      <c r="AU207" s="223">
        <v>19504</v>
      </c>
      <c r="AV207" s="31" t="s">
        <v>1352</v>
      </c>
      <c r="AW207" s="31" t="s">
        <v>32</v>
      </c>
      <c r="AX207" s="10">
        <v>6</v>
      </c>
      <c r="AY207" s="14" t="s">
        <v>1849</v>
      </c>
      <c r="AZ207" s="30" t="s">
        <v>1373</v>
      </c>
      <c r="BA207" s="23" t="s">
        <v>151</v>
      </c>
      <c r="BB207" s="30" t="s">
        <v>34</v>
      </c>
      <c r="BC207" s="22"/>
    </row>
    <row r="208" spans="1:55" x14ac:dyDescent="0.25">
      <c r="A208" s="10">
        <f t="shared" si="8"/>
        <v>207</v>
      </c>
      <c r="B208" s="25" t="s">
        <v>3287</v>
      </c>
      <c r="C208" s="30" t="s">
        <v>34</v>
      </c>
      <c r="D208" s="71">
        <v>401088</v>
      </c>
      <c r="E208" s="72" t="s">
        <v>36</v>
      </c>
      <c r="F208" s="14" t="s">
        <v>3288</v>
      </c>
      <c r="G208" s="25">
        <v>6</v>
      </c>
      <c r="H208" s="74">
        <v>0.375</v>
      </c>
      <c r="I208" s="74">
        <v>0.70833333333333337</v>
      </c>
      <c r="J208" s="74">
        <v>0.33333333333333331</v>
      </c>
      <c r="K208" s="21" t="s">
        <v>147</v>
      </c>
      <c r="L208" s="75" t="s">
        <v>30</v>
      </c>
      <c r="M208" s="76" t="s">
        <v>1355</v>
      </c>
      <c r="N208" s="23" t="s">
        <v>3289</v>
      </c>
      <c r="O208" s="73" t="s">
        <v>3290</v>
      </c>
      <c r="P208" s="247">
        <v>45562</v>
      </c>
      <c r="Q208" s="247">
        <v>45562</v>
      </c>
      <c r="R208" s="247">
        <v>46291</v>
      </c>
      <c r="S208" s="247">
        <v>46292</v>
      </c>
      <c r="T208" s="25"/>
      <c r="U208" s="75"/>
      <c r="V208" s="72"/>
      <c r="W208" s="75"/>
      <c r="X208" s="31" t="s">
        <v>30</v>
      </c>
      <c r="Y208" s="73" t="s">
        <v>1360</v>
      </c>
      <c r="Z208" s="76"/>
      <c r="AA208" s="283"/>
      <c r="AB208" s="161" t="s">
        <v>30</v>
      </c>
      <c r="AC208" s="161" t="s">
        <v>30</v>
      </c>
      <c r="AD208" s="279">
        <v>9963495477</v>
      </c>
      <c r="AE208" s="255" t="s">
        <v>3291</v>
      </c>
      <c r="AF208" s="75" t="s">
        <v>1364</v>
      </c>
      <c r="AG208" s="249" t="s">
        <v>3292</v>
      </c>
      <c r="AH208" s="72" t="s">
        <v>3293</v>
      </c>
      <c r="AI208" s="72" t="s">
        <v>3294</v>
      </c>
      <c r="AJ208" s="249" t="s">
        <v>3295</v>
      </c>
      <c r="AK208" s="75" t="s">
        <v>3296</v>
      </c>
      <c r="AL208" s="250"/>
      <c r="AM208" s="250"/>
      <c r="AN208" s="38"/>
      <c r="AO208" s="38" t="s">
        <v>3297</v>
      </c>
      <c r="AP208" s="25">
        <f t="shared" ca="1" si="7"/>
        <v>68</v>
      </c>
      <c r="AQ208" s="38"/>
      <c r="AR208" s="73"/>
      <c r="AS208" s="250"/>
      <c r="AT208" s="250"/>
      <c r="AU208" s="252">
        <v>21057</v>
      </c>
      <c r="AV208" s="72" t="s">
        <v>1389</v>
      </c>
      <c r="AW208" s="72" t="s">
        <v>68</v>
      </c>
      <c r="AX208" s="25">
        <v>8</v>
      </c>
      <c r="AY208" s="76" t="s">
        <v>1849</v>
      </c>
      <c r="AZ208" s="30" t="s">
        <v>1373</v>
      </c>
      <c r="BA208" s="23" t="s">
        <v>151</v>
      </c>
      <c r="BB208" s="30" t="s">
        <v>34</v>
      </c>
      <c r="BC208" s="22"/>
    </row>
    <row r="209" spans="1:55" x14ac:dyDescent="0.25">
      <c r="A209" s="10">
        <f t="shared" si="8"/>
        <v>208</v>
      </c>
      <c r="B209" s="25" t="s">
        <v>667</v>
      </c>
      <c r="C209" s="30" t="s">
        <v>34</v>
      </c>
      <c r="D209" s="71">
        <v>401089</v>
      </c>
      <c r="E209" s="72" t="s">
        <v>36</v>
      </c>
      <c r="F209" s="14" t="s">
        <v>668</v>
      </c>
      <c r="G209" s="25">
        <v>6</v>
      </c>
      <c r="H209" s="74">
        <v>0.33333333333333331</v>
      </c>
      <c r="I209" s="74">
        <v>0.66666666666666663</v>
      </c>
      <c r="J209" s="74">
        <v>0.33333333333333331</v>
      </c>
      <c r="K209" s="21" t="s">
        <v>669</v>
      </c>
      <c r="L209" s="76" t="s">
        <v>670</v>
      </c>
      <c r="M209" s="75" t="s">
        <v>26</v>
      </c>
      <c r="N209" s="23" t="s">
        <v>38</v>
      </c>
      <c r="O209" s="23" t="s">
        <v>1321</v>
      </c>
      <c r="P209" s="246">
        <v>45565</v>
      </c>
      <c r="Q209" s="247">
        <v>45565</v>
      </c>
      <c r="R209" s="247">
        <v>46294</v>
      </c>
      <c r="S209" s="247">
        <v>46295</v>
      </c>
      <c r="T209" s="25">
        <v>2017</v>
      </c>
      <c r="U209" s="76" t="s">
        <v>380</v>
      </c>
      <c r="V209" s="25">
        <v>2023</v>
      </c>
      <c r="W209" s="73" t="s">
        <v>380</v>
      </c>
      <c r="X209" s="25" t="s">
        <v>30</v>
      </c>
      <c r="Y209" s="38" t="s">
        <v>49</v>
      </c>
      <c r="Z209" s="76" t="s">
        <v>3298</v>
      </c>
      <c r="AA209" s="23" t="s">
        <v>1841</v>
      </c>
      <c r="AB209" s="161">
        <v>45413</v>
      </c>
      <c r="AC209" s="161">
        <v>47238</v>
      </c>
      <c r="AD209" s="279">
        <v>9494044244</v>
      </c>
      <c r="AE209" s="255" t="s">
        <v>671</v>
      </c>
      <c r="AF209" s="75" t="s">
        <v>1805</v>
      </c>
      <c r="AG209" s="249" t="s">
        <v>3299</v>
      </c>
      <c r="AH209" s="72" t="s">
        <v>3300</v>
      </c>
      <c r="AI209" s="72" t="s">
        <v>3301</v>
      </c>
      <c r="AJ209" s="249" t="s">
        <v>3302</v>
      </c>
      <c r="AK209" s="75" t="s">
        <v>3303</v>
      </c>
      <c r="AL209" s="250"/>
      <c r="AM209" s="250"/>
      <c r="AN209" s="38"/>
      <c r="AO209" s="38" t="s">
        <v>3304</v>
      </c>
      <c r="AP209" s="25">
        <f t="shared" ca="1" si="7"/>
        <v>30</v>
      </c>
      <c r="AQ209" s="38"/>
      <c r="AR209" s="73"/>
      <c r="AS209" s="250"/>
      <c r="AT209" s="250"/>
      <c r="AU209" s="252">
        <v>34929</v>
      </c>
      <c r="AV209" s="72" t="s">
        <v>1389</v>
      </c>
      <c r="AW209" s="72" t="s">
        <v>68</v>
      </c>
      <c r="AX209" s="25">
        <v>8</v>
      </c>
      <c r="AY209" s="76" t="s">
        <v>2469</v>
      </c>
      <c r="AZ209" s="30" t="s">
        <v>26</v>
      </c>
      <c r="BA209" s="23" t="s">
        <v>151</v>
      </c>
      <c r="BB209" s="30" t="s">
        <v>34</v>
      </c>
      <c r="BC209" s="22"/>
    </row>
    <row r="210" spans="1:55" x14ac:dyDescent="0.25">
      <c r="A210" s="10">
        <f t="shared" si="8"/>
        <v>209</v>
      </c>
      <c r="B210" s="25" t="s">
        <v>672</v>
      </c>
      <c r="C210" s="30" t="s">
        <v>34</v>
      </c>
      <c r="D210" s="71">
        <v>401091</v>
      </c>
      <c r="E210" s="72" t="s">
        <v>36</v>
      </c>
      <c r="F210" s="14" t="s">
        <v>673</v>
      </c>
      <c r="G210" s="25">
        <v>6</v>
      </c>
      <c r="H210" s="74">
        <v>0.375</v>
      </c>
      <c r="I210" s="74">
        <v>0.54166666666666663</v>
      </c>
      <c r="J210" s="74">
        <v>0.16666666666666666</v>
      </c>
      <c r="K210" s="21" t="s">
        <v>378</v>
      </c>
      <c r="L210" s="76" t="s">
        <v>674</v>
      </c>
      <c r="M210" s="75" t="s">
        <v>26</v>
      </c>
      <c r="N210" s="23" t="s">
        <v>38</v>
      </c>
      <c r="O210" s="23" t="s">
        <v>1321</v>
      </c>
      <c r="P210" s="246">
        <v>45566</v>
      </c>
      <c r="Q210" s="247">
        <v>45566</v>
      </c>
      <c r="R210" s="247">
        <v>46295</v>
      </c>
      <c r="S210" s="247">
        <v>46296</v>
      </c>
      <c r="T210" s="25">
        <v>2018</v>
      </c>
      <c r="U210" s="76" t="s">
        <v>675</v>
      </c>
      <c r="V210" s="25">
        <v>2023</v>
      </c>
      <c r="W210" s="76" t="s">
        <v>676</v>
      </c>
      <c r="X210" s="25" t="s">
        <v>30</v>
      </c>
      <c r="Y210" s="38" t="s">
        <v>49</v>
      </c>
      <c r="Z210" s="76" t="s">
        <v>3305</v>
      </c>
      <c r="AA210" s="23" t="s">
        <v>1841</v>
      </c>
      <c r="AB210" s="161">
        <v>45525</v>
      </c>
      <c r="AC210" s="161">
        <v>47350</v>
      </c>
      <c r="AD210" s="284">
        <v>9000690023</v>
      </c>
      <c r="AE210" s="272" t="s">
        <v>677</v>
      </c>
      <c r="AF210" s="30" t="s">
        <v>1430</v>
      </c>
      <c r="AG210" s="249" t="s">
        <v>3306</v>
      </c>
      <c r="AH210" s="72" t="s">
        <v>3307</v>
      </c>
      <c r="AI210" s="72" t="s">
        <v>3308</v>
      </c>
      <c r="AJ210" s="249" t="s">
        <v>3309</v>
      </c>
      <c r="AK210" s="75" t="s">
        <v>3310</v>
      </c>
      <c r="AL210" s="250"/>
      <c r="AM210" s="250"/>
      <c r="AN210" s="38" t="s">
        <v>3311</v>
      </c>
      <c r="AO210" s="38" t="s">
        <v>3312</v>
      </c>
      <c r="AP210" s="25">
        <f t="shared" ca="1" si="7"/>
        <v>30</v>
      </c>
      <c r="AQ210" s="38" t="s">
        <v>1605</v>
      </c>
      <c r="AR210" s="285" t="s">
        <v>3313</v>
      </c>
      <c r="AS210" s="234">
        <v>45665</v>
      </c>
      <c r="AT210" s="234">
        <v>46029</v>
      </c>
      <c r="AU210" s="252">
        <v>34950</v>
      </c>
      <c r="AV210" s="72" t="s">
        <v>1389</v>
      </c>
      <c r="AW210" s="72" t="s">
        <v>32</v>
      </c>
      <c r="AX210" s="25">
        <v>4</v>
      </c>
      <c r="AY210" s="76" t="s">
        <v>2469</v>
      </c>
      <c r="AZ210" s="30" t="s">
        <v>26</v>
      </c>
      <c r="BA210" s="23" t="s">
        <v>151</v>
      </c>
      <c r="BB210" s="30" t="s">
        <v>34</v>
      </c>
      <c r="BC210" s="22"/>
    </row>
    <row r="211" spans="1:55" x14ac:dyDescent="0.25">
      <c r="A211" s="10">
        <f t="shared" si="8"/>
        <v>210</v>
      </c>
      <c r="B211" s="25" t="s">
        <v>678</v>
      </c>
      <c r="C211" s="30" t="s">
        <v>34</v>
      </c>
      <c r="D211" s="71">
        <v>401092</v>
      </c>
      <c r="E211" s="72" t="s">
        <v>42</v>
      </c>
      <c r="F211" s="14" t="s">
        <v>679</v>
      </c>
      <c r="G211" s="25">
        <v>6</v>
      </c>
      <c r="H211" s="74">
        <v>0.33333333333333331</v>
      </c>
      <c r="I211" s="74">
        <v>0.66666666666666663</v>
      </c>
      <c r="J211" s="74">
        <v>0.33333333333333331</v>
      </c>
      <c r="K211" s="21" t="s">
        <v>680</v>
      </c>
      <c r="L211" s="76" t="s">
        <v>681</v>
      </c>
      <c r="M211" s="75" t="s">
        <v>26</v>
      </c>
      <c r="N211" s="23" t="s">
        <v>38</v>
      </c>
      <c r="O211" s="23" t="s">
        <v>1321</v>
      </c>
      <c r="P211" s="246">
        <v>45566</v>
      </c>
      <c r="Q211" s="247">
        <v>45748</v>
      </c>
      <c r="R211" s="247">
        <v>46295</v>
      </c>
      <c r="S211" s="247">
        <v>46296</v>
      </c>
      <c r="T211" s="25">
        <v>2007</v>
      </c>
      <c r="U211" s="76" t="s">
        <v>515</v>
      </c>
      <c r="V211" s="25">
        <v>2020</v>
      </c>
      <c r="W211" s="76" t="s">
        <v>682</v>
      </c>
      <c r="X211" s="25" t="s">
        <v>30</v>
      </c>
      <c r="Y211" s="38" t="s">
        <v>49</v>
      </c>
      <c r="Z211" s="76">
        <v>60565</v>
      </c>
      <c r="AA211" s="23" t="s">
        <v>1841</v>
      </c>
      <c r="AB211" s="161">
        <v>44883</v>
      </c>
      <c r="AC211" s="161">
        <v>46708</v>
      </c>
      <c r="AD211" s="284">
        <v>8297145566</v>
      </c>
      <c r="AE211" s="272" t="s">
        <v>683</v>
      </c>
      <c r="AF211" s="30" t="s">
        <v>1410</v>
      </c>
      <c r="AG211" s="249" t="s">
        <v>3314</v>
      </c>
      <c r="AH211" s="72" t="s">
        <v>3315</v>
      </c>
      <c r="AI211" s="72" t="s">
        <v>3316</v>
      </c>
      <c r="AJ211" s="249" t="s">
        <v>3317</v>
      </c>
      <c r="AK211" s="75" t="s">
        <v>3318</v>
      </c>
      <c r="AL211" s="250"/>
      <c r="AM211" s="250"/>
      <c r="AN211" s="38"/>
      <c r="AO211" s="38" t="s">
        <v>3319</v>
      </c>
      <c r="AP211" s="25">
        <f t="shared" ca="1" si="7"/>
        <v>42</v>
      </c>
      <c r="AQ211" s="38"/>
      <c r="AR211" s="73"/>
      <c r="AS211" s="250"/>
      <c r="AT211" s="250"/>
      <c r="AU211" s="252">
        <v>30530</v>
      </c>
      <c r="AV211" s="72" t="s">
        <v>1389</v>
      </c>
      <c r="AW211" s="72" t="s">
        <v>68</v>
      </c>
      <c r="AX211" s="25">
        <v>8</v>
      </c>
      <c r="AY211" s="76" t="s">
        <v>2189</v>
      </c>
      <c r="AZ211" s="30" t="s">
        <v>26</v>
      </c>
      <c r="BA211" s="23" t="s">
        <v>151</v>
      </c>
      <c r="BB211" s="30" t="s">
        <v>34</v>
      </c>
      <c r="BC211" s="22"/>
    </row>
    <row r="212" spans="1:55" x14ac:dyDescent="0.25">
      <c r="A212" s="10">
        <f t="shared" si="8"/>
        <v>211</v>
      </c>
      <c r="B212" s="25" t="s">
        <v>684</v>
      </c>
      <c r="C212" s="30" t="s">
        <v>34</v>
      </c>
      <c r="D212" s="71">
        <v>401093</v>
      </c>
      <c r="E212" s="72" t="s">
        <v>36</v>
      </c>
      <c r="F212" s="14" t="s">
        <v>685</v>
      </c>
      <c r="G212" s="25">
        <v>6</v>
      </c>
      <c r="H212" s="74">
        <v>0.33333333333333331</v>
      </c>
      <c r="I212" s="74">
        <v>0.45833333333333331</v>
      </c>
      <c r="J212" s="74">
        <v>0.125</v>
      </c>
      <c r="K212" s="21" t="s">
        <v>686</v>
      </c>
      <c r="L212" s="76" t="s">
        <v>687</v>
      </c>
      <c r="M212" s="75" t="s">
        <v>26</v>
      </c>
      <c r="N212" s="23" t="s">
        <v>38</v>
      </c>
      <c r="O212" s="23" t="s">
        <v>1321</v>
      </c>
      <c r="P212" s="246">
        <v>45566</v>
      </c>
      <c r="Q212" s="247">
        <v>45566</v>
      </c>
      <c r="R212" s="247">
        <v>46295</v>
      </c>
      <c r="S212" s="247">
        <v>46296</v>
      </c>
      <c r="T212" s="25">
        <v>2012</v>
      </c>
      <c r="U212" s="76" t="s">
        <v>688</v>
      </c>
      <c r="V212" s="25">
        <v>2016</v>
      </c>
      <c r="W212" s="76" t="s">
        <v>689</v>
      </c>
      <c r="X212" s="25" t="s">
        <v>30</v>
      </c>
      <c r="Y212" s="38" t="s">
        <v>183</v>
      </c>
      <c r="Z212" s="76" t="s">
        <v>3320</v>
      </c>
      <c r="AA212" s="23" t="s">
        <v>1841</v>
      </c>
      <c r="AB212" s="161">
        <v>45572</v>
      </c>
      <c r="AC212" s="161">
        <v>47397</v>
      </c>
      <c r="AD212" s="25">
        <v>8885840668</v>
      </c>
      <c r="AE212" s="286" t="s">
        <v>690</v>
      </c>
      <c r="AF212" s="30" t="s">
        <v>1430</v>
      </c>
      <c r="AG212" s="249" t="s">
        <v>3321</v>
      </c>
      <c r="AH212" s="72" t="s">
        <v>3322</v>
      </c>
      <c r="AI212" s="72" t="s">
        <v>3323</v>
      </c>
      <c r="AJ212" s="249" t="s">
        <v>3324</v>
      </c>
      <c r="AK212" s="75" t="s">
        <v>3325</v>
      </c>
      <c r="AL212" s="250"/>
      <c r="AM212" s="250"/>
      <c r="AN212" s="38"/>
      <c r="AO212" s="38" t="s">
        <v>3326</v>
      </c>
      <c r="AP212" s="25">
        <f t="shared" ca="1" si="7"/>
        <v>36</v>
      </c>
      <c r="AQ212" s="38" t="s">
        <v>1605</v>
      </c>
      <c r="AR212" s="285" t="s">
        <v>3327</v>
      </c>
      <c r="AS212" s="234">
        <v>45510</v>
      </c>
      <c r="AT212" s="234">
        <v>46604</v>
      </c>
      <c r="AU212" s="252">
        <v>32558</v>
      </c>
      <c r="AV212" s="72" t="s">
        <v>1352</v>
      </c>
      <c r="AW212" s="72" t="s">
        <v>32</v>
      </c>
      <c r="AX212" s="25">
        <v>3</v>
      </c>
      <c r="AY212" s="76" t="s">
        <v>1904</v>
      </c>
      <c r="AZ212" s="30" t="s">
        <v>26</v>
      </c>
      <c r="BA212" s="23" t="s">
        <v>151</v>
      </c>
      <c r="BB212" s="30" t="s">
        <v>34</v>
      </c>
      <c r="BC212" s="22"/>
    </row>
    <row r="213" spans="1:55" x14ac:dyDescent="0.25">
      <c r="A213" s="10">
        <f t="shared" si="8"/>
        <v>212</v>
      </c>
      <c r="B213" s="25" t="s">
        <v>691</v>
      </c>
      <c r="C213" s="30" t="s">
        <v>34</v>
      </c>
      <c r="D213" s="71">
        <v>401095</v>
      </c>
      <c r="E213" s="72" t="s">
        <v>36</v>
      </c>
      <c r="F213" s="14" t="s">
        <v>692</v>
      </c>
      <c r="G213" s="25">
        <v>6</v>
      </c>
      <c r="H213" s="74">
        <v>0.375</v>
      </c>
      <c r="I213" s="74">
        <v>0.70833333333333337</v>
      </c>
      <c r="J213" s="74">
        <v>0.33333333333333331</v>
      </c>
      <c r="K213" s="21" t="s">
        <v>693</v>
      </c>
      <c r="L213" s="76" t="s">
        <v>694</v>
      </c>
      <c r="M213" s="75" t="s">
        <v>26</v>
      </c>
      <c r="N213" s="23" t="s">
        <v>38</v>
      </c>
      <c r="O213" s="23" t="s">
        <v>1321</v>
      </c>
      <c r="P213" s="246">
        <v>45568</v>
      </c>
      <c r="Q213" s="247">
        <v>45568</v>
      </c>
      <c r="R213" s="247">
        <v>46297</v>
      </c>
      <c r="S213" s="247">
        <v>46298</v>
      </c>
      <c r="T213" s="25">
        <v>2010</v>
      </c>
      <c r="U213" s="76" t="s">
        <v>695</v>
      </c>
      <c r="V213" s="25">
        <v>2023</v>
      </c>
      <c r="W213" s="76" t="s">
        <v>696</v>
      </c>
      <c r="X213" s="25" t="s">
        <v>3328</v>
      </c>
      <c r="Y213" s="38" t="s">
        <v>49</v>
      </c>
      <c r="Z213" s="76">
        <v>72171</v>
      </c>
      <c r="AA213" s="23" t="s">
        <v>1841</v>
      </c>
      <c r="AB213" s="161">
        <v>45204</v>
      </c>
      <c r="AC213" s="161">
        <v>47030</v>
      </c>
      <c r="AD213" s="279">
        <v>9849844494</v>
      </c>
      <c r="AE213" s="255" t="s">
        <v>697</v>
      </c>
      <c r="AF213" s="75" t="s">
        <v>1805</v>
      </c>
      <c r="AG213" s="249" t="s">
        <v>3329</v>
      </c>
      <c r="AH213" s="72" t="s">
        <v>3330</v>
      </c>
      <c r="AI213" s="72" t="s">
        <v>3331</v>
      </c>
      <c r="AJ213" s="249" t="s">
        <v>3332</v>
      </c>
      <c r="AK213" s="75" t="s">
        <v>3333</v>
      </c>
      <c r="AL213" s="250"/>
      <c r="AM213" s="250"/>
      <c r="AN213" s="38"/>
      <c r="AO213" s="38" t="s">
        <v>3334</v>
      </c>
      <c r="AP213" s="25">
        <f t="shared" ca="1" si="7"/>
        <v>37</v>
      </c>
      <c r="AQ213" s="38" t="s">
        <v>1605</v>
      </c>
      <c r="AR213" s="285" t="s">
        <v>3335</v>
      </c>
      <c r="AS213" s="166">
        <v>45910</v>
      </c>
      <c r="AT213" s="166">
        <v>46274</v>
      </c>
      <c r="AU213" s="252">
        <v>32334</v>
      </c>
      <c r="AV213" s="72" t="s">
        <v>1389</v>
      </c>
      <c r="AW213" s="72" t="s">
        <v>68</v>
      </c>
      <c r="AX213" s="25">
        <v>8</v>
      </c>
      <c r="AY213" s="76" t="s">
        <v>2469</v>
      </c>
      <c r="AZ213" s="30" t="s">
        <v>26</v>
      </c>
      <c r="BA213" s="23" t="s">
        <v>151</v>
      </c>
      <c r="BB213" s="30" t="s">
        <v>34</v>
      </c>
      <c r="BC213" s="22"/>
    </row>
    <row r="214" spans="1:55" x14ac:dyDescent="0.25">
      <c r="A214" s="10">
        <f t="shared" si="8"/>
        <v>213</v>
      </c>
      <c r="B214" s="25" t="s">
        <v>698</v>
      </c>
      <c r="C214" s="30" t="s">
        <v>34</v>
      </c>
      <c r="D214" s="71">
        <v>401099</v>
      </c>
      <c r="E214" s="72" t="s">
        <v>36</v>
      </c>
      <c r="F214" s="14" t="s">
        <v>699</v>
      </c>
      <c r="G214" s="25">
        <v>6</v>
      </c>
      <c r="H214" s="74">
        <v>0.375</v>
      </c>
      <c r="I214" s="74">
        <v>0.54166666666666663</v>
      </c>
      <c r="J214" s="74">
        <v>0.16666666666666666</v>
      </c>
      <c r="K214" s="21" t="s">
        <v>700</v>
      </c>
      <c r="L214" s="76" t="s">
        <v>701</v>
      </c>
      <c r="M214" s="75" t="s">
        <v>26</v>
      </c>
      <c r="N214" s="23" t="s">
        <v>38</v>
      </c>
      <c r="O214" s="23" t="s">
        <v>1321</v>
      </c>
      <c r="P214" s="246">
        <v>45579</v>
      </c>
      <c r="Q214" s="247">
        <v>45579</v>
      </c>
      <c r="R214" s="247">
        <v>46308</v>
      </c>
      <c r="S214" s="247">
        <v>46309</v>
      </c>
      <c r="T214" s="25">
        <v>2014</v>
      </c>
      <c r="U214" s="76" t="s">
        <v>702</v>
      </c>
      <c r="V214" s="25">
        <v>2020</v>
      </c>
      <c r="W214" s="76" t="s">
        <v>703</v>
      </c>
      <c r="X214" s="25" t="s">
        <v>30</v>
      </c>
      <c r="Y214" s="38" t="s">
        <v>49</v>
      </c>
      <c r="Z214" s="83" t="s">
        <v>3336</v>
      </c>
      <c r="AA214" s="23" t="s">
        <v>1841</v>
      </c>
      <c r="AB214" s="161">
        <v>44964</v>
      </c>
      <c r="AC214" s="161">
        <v>46789</v>
      </c>
      <c r="AD214" s="284">
        <v>8861826098</v>
      </c>
      <c r="AE214" s="272" t="s">
        <v>704</v>
      </c>
      <c r="AF214" s="28" t="s">
        <v>1495</v>
      </c>
      <c r="AG214" s="249" t="s">
        <v>3337</v>
      </c>
      <c r="AH214" s="72" t="s">
        <v>3338</v>
      </c>
      <c r="AI214" s="72" t="s">
        <v>3339</v>
      </c>
      <c r="AJ214" s="249" t="s">
        <v>3340</v>
      </c>
      <c r="AK214" s="75" t="s">
        <v>3341</v>
      </c>
      <c r="AL214" s="250"/>
      <c r="AM214" s="250"/>
      <c r="AN214" s="38"/>
      <c r="AO214" s="38" t="s">
        <v>3342</v>
      </c>
      <c r="AP214" s="25">
        <f t="shared" ca="1" si="7"/>
        <v>34</v>
      </c>
      <c r="AQ214" s="38" t="s">
        <v>1605</v>
      </c>
      <c r="AR214" s="285" t="s">
        <v>3343</v>
      </c>
      <c r="AS214" s="234">
        <v>45660</v>
      </c>
      <c r="AT214" s="234">
        <v>46024</v>
      </c>
      <c r="AU214" s="252">
        <v>33457</v>
      </c>
      <c r="AV214" s="72" t="s">
        <v>1389</v>
      </c>
      <c r="AW214" s="72" t="s">
        <v>32</v>
      </c>
      <c r="AX214" s="25">
        <v>4</v>
      </c>
      <c r="AY214" s="76" t="s">
        <v>2469</v>
      </c>
      <c r="AZ214" s="30" t="s">
        <v>26</v>
      </c>
      <c r="BA214" s="23" t="s">
        <v>151</v>
      </c>
      <c r="BB214" s="30" t="s">
        <v>34</v>
      </c>
      <c r="BC214" s="22"/>
    </row>
    <row r="215" spans="1:55" x14ac:dyDescent="0.25">
      <c r="A215" s="10">
        <f t="shared" si="8"/>
        <v>214</v>
      </c>
      <c r="B215" s="25" t="s">
        <v>705</v>
      </c>
      <c r="C215" s="30" t="s">
        <v>34</v>
      </c>
      <c r="D215" s="71">
        <v>401101</v>
      </c>
      <c r="E215" s="72" t="s">
        <v>192</v>
      </c>
      <c r="F215" s="14" t="s">
        <v>706</v>
      </c>
      <c r="G215" s="25"/>
      <c r="H215" s="74"/>
      <c r="I215" s="74"/>
      <c r="J215" s="74"/>
      <c r="K215" s="21" t="s">
        <v>334</v>
      </c>
      <c r="L215" s="75" t="s">
        <v>623</v>
      </c>
      <c r="M215" s="75" t="s">
        <v>26</v>
      </c>
      <c r="N215" s="23" t="s">
        <v>38</v>
      </c>
      <c r="O215" s="23" t="s">
        <v>1321</v>
      </c>
      <c r="P215" s="246">
        <v>45597</v>
      </c>
      <c r="Q215" s="247">
        <v>45597</v>
      </c>
      <c r="R215" s="247">
        <v>46326</v>
      </c>
      <c r="S215" s="247">
        <v>46327</v>
      </c>
      <c r="T215" s="25">
        <v>2014</v>
      </c>
      <c r="U215" s="75" t="s">
        <v>707</v>
      </c>
      <c r="V215" s="25">
        <v>2021</v>
      </c>
      <c r="W215" s="73" t="s">
        <v>708</v>
      </c>
      <c r="X215" s="25" t="s">
        <v>30</v>
      </c>
      <c r="Y215" s="38" t="s">
        <v>49</v>
      </c>
      <c r="Z215" s="76">
        <v>114924</v>
      </c>
      <c r="AA215" s="38" t="s">
        <v>3344</v>
      </c>
      <c r="AB215" s="161">
        <v>45152</v>
      </c>
      <c r="AC215" s="161">
        <v>46978</v>
      </c>
      <c r="AD215" s="279" t="s">
        <v>709</v>
      </c>
      <c r="AE215" s="255" t="s">
        <v>710</v>
      </c>
      <c r="AF215" s="28" t="s">
        <v>1495</v>
      </c>
      <c r="AG215" s="249" t="s">
        <v>3345</v>
      </c>
      <c r="AH215" s="72" t="s">
        <v>3346</v>
      </c>
      <c r="AI215" s="72" t="s">
        <v>3347</v>
      </c>
      <c r="AJ215" s="249" t="s">
        <v>3348</v>
      </c>
      <c r="AK215" s="75" t="s">
        <v>3349</v>
      </c>
      <c r="AL215" s="250"/>
      <c r="AM215" s="250"/>
      <c r="AN215" s="38"/>
      <c r="AO215" s="38" t="s">
        <v>3350</v>
      </c>
      <c r="AP215" s="25">
        <f t="shared" ca="1" si="7"/>
        <v>33</v>
      </c>
      <c r="AQ215" s="35" t="s">
        <v>1605</v>
      </c>
      <c r="AR215" s="285" t="s">
        <v>3351</v>
      </c>
      <c r="AS215" s="287">
        <v>45689</v>
      </c>
      <c r="AT215" s="287">
        <v>46053</v>
      </c>
      <c r="AU215" s="252">
        <v>33626</v>
      </c>
      <c r="AV215" s="72" t="s">
        <v>1352</v>
      </c>
      <c r="AW215" s="31" t="s">
        <v>32</v>
      </c>
      <c r="AX215" s="10" t="s">
        <v>30</v>
      </c>
      <c r="AY215" s="76" t="s">
        <v>30</v>
      </c>
      <c r="AZ215" s="30" t="s">
        <v>26</v>
      </c>
      <c r="BA215" s="23" t="s">
        <v>151</v>
      </c>
      <c r="BB215" s="30" t="s">
        <v>34</v>
      </c>
      <c r="BC215" s="22"/>
    </row>
    <row r="216" spans="1:55" x14ac:dyDescent="0.25">
      <c r="A216" s="10">
        <f t="shared" si="8"/>
        <v>215</v>
      </c>
      <c r="B216" s="25" t="s">
        <v>3352</v>
      </c>
      <c r="C216" s="30" t="s">
        <v>34</v>
      </c>
      <c r="D216" s="65">
        <v>401103</v>
      </c>
      <c r="E216" s="72" t="s">
        <v>36</v>
      </c>
      <c r="F216" s="14" t="s">
        <v>3353</v>
      </c>
      <c r="G216" s="25">
        <v>6</v>
      </c>
      <c r="H216" s="74">
        <v>0.33333333333333331</v>
      </c>
      <c r="I216" s="74">
        <v>0.875</v>
      </c>
      <c r="J216" s="95">
        <v>0.33333333333333331</v>
      </c>
      <c r="K216" s="21" t="s">
        <v>154</v>
      </c>
      <c r="L216" s="75" t="s">
        <v>30</v>
      </c>
      <c r="M216" s="75" t="s">
        <v>1355</v>
      </c>
      <c r="N216" s="23" t="s">
        <v>1520</v>
      </c>
      <c r="O216" s="14" t="s">
        <v>2109</v>
      </c>
      <c r="P216" s="246">
        <v>45594</v>
      </c>
      <c r="Q216" s="247">
        <v>45594</v>
      </c>
      <c r="R216" s="247">
        <v>46323</v>
      </c>
      <c r="S216" s="247">
        <v>46324</v>
      </c>
      <c r="T216" s="25">
        <v>2013</v>
      </c>
      <c r="U216" s="75" t="s">
        <v>163</v>
      </c>
      <c r="V216" s="25">
        <v>2023</v>
      </c>
      <c r="W216" s="38" t="s">
        <v>163</v>
      </c>
      <c r="X216" s="72" t="s">
        <v>30</v>
      </c>
      <c r="Y216" s="73" t="s">
        <v>1360</v>
      </c>
      <c r="Z216" s="76" t="s">
        <v>3354</v>
      </c>
      <c r="AA216" s="23" t="s">
        <v>1841</v>
      </c>
      <c r="AB216" s="161">
        <v>45521</v>
      </c>
      <c r="AC216" s="161">
        <v>47346</v>
      </c>
      <c r="AD216" s="279">
        <v>9052734419</v>
      </c>
      <c r="AE216" s="248" t="s">
        <v>3355</v>
      </c>
      <c r="AF216" s="28" t="s">
        <v>1495</v>
      </c>
      <c r="AG216" s="249" t="s">
        <v>3356</v>
      </c>
      <c r="AH216" s="72" t="s">
        <v>3357</v>
      </c>
      <c r="AI216" s="72" t="s">
        <v>3358</v>
      </c>
      <c r="AJ216" s="249" t="s">
        <v>3359</v>
      </c>
      <c r="AK216" s="75" t="s">
        <v>3360</v>
      </c>
      <c r="AL216" s="250"/>
      <c r="AM216" s="250"/>
      <c r="AN216" s="38"/>
      <c r="AO216" s="38" t="s">
        <v>3361</v>
      </c>
      <c r="AP216" s="25">
        <f t="shared" ca="1" si="7"/>
        <v>36</v>
      </c>
      <c r="AQ216" s="38"/>
      <c r="AR216" s="73"/>
      <c r="AS216" s="250"/>
      <c r="AT216" s="250"/>
      <c r="AU216" s="252">
        <v>32570</v>
      </c>
      <c r="AV216" s="72" t="s">
        <v>1389</v>
      </c>
      <c r="AW216" s="72" t="s">
        <v>68</v>
      </c>
      <c r="AX216" s="25">
        <v>8</v>
      </c>
      <c r="AY216" s="76" t="s">
        <v>1904</v>
      </c>
      <c r="AZ216" s="30" t="s">
        <v>1373</v>
      </c>
      <c r="BA216" s="23" t="s">
        <v>151</v>
      </c>
      <c r="BB216" s="30" t="s">
        <v>34</v>
      </c>
      <c r="BC216" s="22"/>
    </row>
    <row r="217" spans="1:55" x14ac:dyDescent="0.25">
      <c r="A217" s="10">
        <f t="shared" si="8"/>
        <v>216</v>
      </c>
      <c r="B217" s="25" t="s">
        <v>711</v>
      </c>
      <c r="C217" s="30" t="s">
        <v>34</v>
      </c>
      <c r="D217" s="71">
        <v>401104</v>
      </c>
      <c r="E217" s="72" t="s">
        <v>36</v>
      </c>
      <c r="F217" s="14" t="s">
        <v>712</v>
      </c>
      <c r="G217" s="25">
        <v>6</v>
      </c>
      <c r="H217" s="74">
        <v>0.41666666666666669</v>
      </c>
      <c r="I217" s="74">
        <v>0.75</v>
      </c>
      <c r="J217" s="74">
        <v>0.33333333333333331</v>
      </c>
      <c r="K217" s="21" t="s">
        <v>713</v>
      </c>
      <c r="L217" s="84" t="s">
        <v>714</v>
      </c>
      <c r="M217" s="75" t="s">
        <v>26</v>
      </c>
      <c r="N217" s="23" t="s">
        <v>38</v>
      </c>
      <c r="O217" s="23" t="s">
        <v>1321</v>
      </c>
      <c r="P217" s="246">
        <v>45595</v>
      </c>
      <c r="Q217" s="247">
        <v>45595</v>
      </c>
      <c r="R217" s="247">
        <v>46324</v>
      </c>
      <c r="S217" s="247">
        <v>46325</v>
      </c>
      <c r="T217" s="25">
        <v>2017</v>
      </c>
      <c r="U217" s="75" t="s">
        <v>715</v>
      </c>
      <c r="V217" s="25">
        <v>2023</v>
      </c>
      <c r="W217" s="73" t="s">
        <v>343</v>
      </c>
      <c r="X217" s="72" t="s">
        <v>30</v>
      </c>
      <c r="Y217" s="38" t="s">
        <v>49</v>
      </c>
      <c r="Z217" s="76" t="s">
        <v>3362</v>
      </c>
      <c r="AA217" s="38" t="s">
        <v>1886</v>
      </c>
      <c r="AB217" s="161">
        <v>45166</v>
      </c>
      <c r="AC217" s="161">
        <v>46992</v>
      </c>
      <c r="AD217" s="279">
        <v>9866529114</v>
      </c>
      <c r="AE217" s="255" t="s">
        <v>716</v>
      </c>
      <c r="AF217" s="28" t="s">
        <v>1495</v>
      </c>
      <c r="AG217" s="249" t="s">
        <v>3363</v>
      </c>
      <c r="AH217" s="72" t="s">
        <v>3364</v>
      </c>
      <c r="AI217" s="72" t="s">
        <v>3365</v>
      </c>
      <c r="AJ217" s="249" t="s">
        <v>3366</v>
      </c>
      <c r="AK217" s="75" t="s">
        <v>3367</v>
      </c>
      <c r="AL217" s="250"/>
      <c r="AM217" s="250"/>
      <c r="AN217" s="38"/>
      <c r="AO217" s="38" t="s">
        <v>3368</v>
      </c>
      <c r="AP217" s="25">
        <f t="shared" ca="1" si="7"/>
        <v>30</v>
      </c>
      <c r="AQ217" s="35" t="s">
        <v>1605</v>
      </c>
      <c r="AR217" s="73" t="s">
        <v>3369</v>
      </c>
      <c r="AS217" s="250">
        <v>45652</v>
      </c>
      <c r="AT217" s="250">
        <v>46016</v>
      </c>
      <c r="AU217" s="252">
        <v>34919</v>
      </c>
      <c r="AV217" s="72" t="s">
        <v>1352</v>
      </c>
      <c r="AW217" s="72" t="s">
        <v>68</v>
      </c>
      <c r="AX217" s="25">
        <v>8</v>
      </c>
      <c r="AY217" s="76" t="s">
        <v>2262</v>
      </c>
      <c r="AZ217" s="30" t="s">
        <v>26</v>
      </c>
      <c r="BA217" s="23" t="s">
        <v>151</v>
      </c>
      <c r="BB217" s="30" t="s">
        <v>34</v>
      </c>
      <c r="BC217" s="22"/>
    </row>
    <row r="218" spans="1:55" x14ac:dyDescent="0.25">
      <c r="A218" s="10">
        <f t="shared" si="8"/>
        <v>217</v>
      </c>
      <c r="B218" s="25" t="s">
        <v>717</v>
      </c>
      <c r="C218" s="30" t="s">
        <v>34</v>
      </c>
      <c r="D218" s="71">
        <v>401107</v>
      </c>
      <c r="E218" s="72" t="s">
        <v>192</v>
      </c>
      <c r="F218" s="14" t="s">
        <v>718</v>
      </c>
      <c r="G218" s="25"/>
      <c r="H218" s="74"/>
      <c r="I218" s="74"/>
      <c r="J218" s="74"/>
      <c r="K218" s="21" t="s">
        <v>334</v>
      </c>
      <c r="L218" s="75" t="s">
        <v>372</v>
      </c>
      <c r="M218" s="75" t="s">
        <v>26</v>
      </c>
      <c r="N218" s="23" t="s">
        <v>38</v>
      </c>
      <c r="O218" s="23" t="s">
        <v>1321</v>
      </c>
      <c r="P218" s="246">
        <v>45601</v>
      </c>
      <c r="Q218" s="247">
        <v>45601</v>
      </c>
      <c r="R218" s="247">
        <v>46330</v>
      </c>
      <c r="S218" s="247">
        <v>46331</v>
      </c>
      <c r="T218" s="25">
        <v>2001</v>
      </c>
      <c r="U218" s="75" t="s">
        <v>719</v>
      </c>
      <c r="V218" s="25">
        <v>2008</v>
      </c>
      <c r="W218" s="73" t="s">
        <v>720</v>
      </c>
      <c r="X218" s="72" t="s">
        <v>30</v>
      </c>
      <c r="Y218" s="38" t="s">
        <v>49</v>
      </c>
      <c r="Z218" s="76">
        <v>58018</v>
      </c>
      <c r="AA218" s="38" t="s">
        <v>1323</v>
      </c>
      <c r="AB218" s="161" t="s">
        <v>30</v>
      </c>
      <c r="AC218" s="161">
        <v>46387</v>
      </c>
      <c r="AD218" s="279">
        <v>9433710499</v>
      </c>
      <c r="AE218" s="255" t="s">
        <v>721</v>
      </c>
      <c r="AF218" s="75" t="s">
        <v>1690</v>
      </c>
      <c r="AG218" s="249" t="s">
        <v>3370</v>
      </c>
      <c r="AH218" s="72" t="s">
        <v>3371</v>
      </c>
      <c r="AI218" s="72" t="s">
        <v>3372</v>
      </c>
      <c r="AJ218" s="249" t="s">
        <v>3373</v>
      </c>
      <c r="AK218" s="75" t="s">
        <v>3374</v>
      </c>
      <c r="AL218" s="250"/>
      <c r="AM218" s="250"/>
      <c r="AN218" s="38"/>
      <c r="AO218" s="38" t="s">
        <v>3375</v>
      </c>
      <c r="AP218" s="25">
        <f t="shared" ca="1" si="7"/>
        <v>47</v>
      </c>
      <c r="AQ218" s="38" t="s">
        <v>3376</v>
      </c>
      <c r="AR218" s="285" t="s">
        <v>3377</v>
      </c>
      <c r="AS218" s="250">
        <v>45665</v>
      </c>
      <c r="AT218" s="250">
        <v>46029</v>
      </c>
      <c r="AU218" s="252">
        <v>28455</v>
      </c>
      <c r="AV218" s="72" t="s">
        <v>1352</v>
      </c>
      <c r="AW218" s="31" t="s">
        <v>32</v>
      </c>
      <c r="AX218" s="10" t="s">
        <v>30</v>
      </c>
      <c r="AY218" s="76" t="s">
        <v>30</v>
      </c>
      <c r="AZ218" s="30" t="s">
        <v>26</v>
      </c>
      <c r="BA218" s="23" t="s">
        <v>151</v>
      </c>
      <c r="BB218" s="30" t="s">
        <v>34</v>
      </c>
      <c r="BC218" s="22"/>
    </row>
    <row r="219" spans="1:55" x14ac:dyDescent="0.25">
      <c r="A219" s="10">
        <f t="shared" si="8"/>
        <v>218</v>
      </c>
      <c r="B219" s="25" t="s">
        <v>3378</v>
      </c>
      <c r="C219" s="30" t="s">
        <v>34</v>
      </c>
      <c r="D219" s="71">
        <v>401109</v>
      </c>
      <c r="E219" s="72" t="s">
        <v>36</v>
      </c>
      <c r="F219" s="14" t="s">
        <v>2203</v>
      </c>
      <c r="G219" s="25">
        <v>6</v>
      </c>
      <c r="H219" s="74">
        <v>0.33333333333333331</v>
      </c>
      <c r="I219" s="74">
        <v>0.875</v>
      </c>
      <c r="J219" s="95">
        <v>0.33333333333333331</v>
      </c>
      <c r="K219" s="21" t="s">
        <v>348</v>
      </c>
      <c r="L219" s="75" t="s">
        <v>30</v>
      </c>
      <c r="M219" s="75" t="s">
        <v>1355</v>
      </c>
      <c r="N219" s="23" t="s">
        <v>1356</v>
      </c>
      <c r="O219" s="35" t="s">
        <v>1357</v>
      </c>
      <c r="P219" s="246">
        <v>45600</v>
      </c>
      <c r="Q219" s="247">
        <v>45600</v>
      </c>
      <c r="R219" s="247">
        <v>46329</v>
      </c>
      <c r="S219" s="247">
        <v>46330</v>
      </c>
      <c r="T219" s="25">
        <v>2011</v>
      </c>
      <c r="U219" s="76" t="s">
        <v>250</v>
      </c>
      <c r="V219" s="25">
        <v>2022</v>
      </c>
      <c r="W219" s="73" t="s">
        <v>196</v>
      </c>
      <c r="X219" s="72" t="s">
        <v>30</v>
      </c>
      <c r="Y219" s="73" t="s">
        <v>1360</v>
      </c>
      <c r="Z219" s="76" t="s">
        <v>3379</v>
      </c>
      <c r="AA219" s="23" t="s">
        <v>1841</v>
      </c>
      <c r="AB219" s="161">
        <v>45094</v>
      </c>
      <c r="AC219" s="161">
        <v>46920</v>
      </c>
      <c r="AD219" s="279">
        <v>9110321703</v>
      </c>
      <c r="AE219" s="255" t="s">
        <v>3380</v>
      </c>
      <c r="AF219" s="75" t="s">
        <v>1805</v>
      </c>
      <c r="AG219" s="249" t="s">
        <v>3381</v>
      </c>
      <c r="AH219" s="72" t="s">
        <v>3382</v>
      </c>
      <c r="AI219" s="72" t="s">
        <v>3383</v>
      </c>
      <c r="AJ219" s="249" t="s">
        <v>3384</v>
      </c>
      <c r="AK219" s="75" t="s">
        <v>3385</v>
      </c>
      <c r="AL219" s="250"/>
      <c r="AM219" s="250"/>
      <c r="AN219" s="38"/>
      <c r="AO219" s="38" t="s">
        <v>3386</v>
      </c>
      <c r="AP219" s="25">
        <f t="shared" ca="1" si="7"/>
        <v>40</v>
      </c>
      <c r="AQ219" s="38"/>
      <c r="AR219" s="73"/>
      <c r="AS219" s="250"/>
      <c r="AT219" s="250"/>
      <c r="AU219" s="252">
        <v>31279</v>
      </c>
      <c r="AV219" s="72" t="s">
        <v>1389</v>
      </c>
      <c r="AW219" s="72" t="s">
        <v>68</v>
      </c>
      <c r="AX219" s="25">
        <v>8</v>
      </c>
      <c r="AY219" s="76" t="s">
        <v>2053</v>
      </c>
      <c r="AZ219" s="30" t="s">
        <v>1373</v>
      </c>
      <c r="BA219" s="23" t="s">
        <v>151</v>
      </c>
      <c r="BB219" s="30" t="s">
        <v>34</v>
      </c>
      <c r="BC219" s="22"/>
    </row>
    <row r="220" spans="1:55" x14ac:dyDescent="0.25">
      <c r="A220" s="10">
        <f t="shared" si="8"/>
        <v>219</v>
      </c>
      <c r="B220" s="25" t="s">
        <v>3387</v>
      </c>
      <c r="C220" s="30" t="s">
        <v>34</v>
      </c>
      <c r="D220" s="71">
        <v>401111</v>
      </c>
      <c r="E220" s="181" t="s">
        <v>9124</v>
      </c>
      <c r="F220" s="14" t="s">
        <v>3388</v>
      </c>
      <c r="G220" s="25">
        <v>6</v>
      </c>
      <c r="H220" s="74" t="s">
        <v>3389</v>
      </c>
      <c r="I220" s="74" t="s">
        <v>3390</v>
      </c>
      <c r="J220" s="74">
        <v>0.125</v>
      </c>
      <c r="K220" s="21" t="s">
        <v>477</v>
      </c>
      <c r="L220" s="75" t="s">
        <v>30</v>
      </c>
      <c r="M220" s="75" t="s">
        <v>1544</v>
      </c>
      <c r="N220" s="23" t="s">
        <v>1992</v>
      </c>
      <c r="O220" s="14" t="s">
        <v>2042</v>
      </c>
      <c r="P220" s="246">
        <v>45600</v>
      </c>
      <c r="Q220" s="247">
        <v>45600</v>
      </c>
      <c r="R220" s="247">
        <v>46329</v>
      </c>
      <c r="S220" s="247">
        <v>46330</v>
      </c>
      <c r="T220" s="25">
        <v>2018</v>
      </c>
      <c r="U220" s="76" t="s">
        <v>250</v>
      </c>
      <c r="V220" s="25">
        <v>2023</v>
      </c>
      <c r="W220" s="73" t="s">
        <v>3391</v>
      </c>
      <c r="X220" s="72" t="s">
        <v>30</v>
      </c>
      <c r="Y220" s="38" t="s">
        <v>1549</v>
      </c>
      <c r="Z220" s="76" t="s">
        <v>3392</v>
      </c>
      <c r="AA220" s="23" t="s">
        <v>1841</v>
      </c>
      <c r="AB220" s="161">
        <v>45402</v>
      </c>
      <c r="AC220" s="161">
        <v>47227</v>
      </c>
      <c r="AD220" s="279">
        <v>9533968182</v>
      </c>
      <c r="AE220" s="255" t="s">
        <v>3393</v>
      </c>
      <c r="AF220" s="28" t="s">
        <v>1495</v>
      </c>
      <c r="AG220" s="249" t="s">
        <v>3394</v>
      </c>
      <c r="AH220" s="72" t="s">
        <v>3395</v>
      </c>
      <c r="AI220" s="72" t="s">
        <v>3396</v>
      </c>
      <c r="AJ220" s="249" t="s">
        <v>3397</v>
      </c>
      <c r="AK220" s="75" t="s">
        <v>3398</v>
      </c>
      <c r="AL220" s="250"/>
      <c r="AM220" s="250"/>
      <c r="AN220" s="38"/>
      <c r="AO220" s="38" t="s">
        <v>3399</v>
      </c>
      <c r="AP220" s="25">
        <f t="shared" ca="1" si="7"/>
        <v>31</v>
      </c>
      <c r="AQ220" s="38"/>
      <c r="AR220" s="73"/>
      <c r="AS220" s="250"/>
      <c r="AT220" s="250"/>
      <c r="AU220" s="252">
        <v>34433</v>
      </c>
      <c r="AV220" s="72" t="s">
        <v>1352</v>
      </c>
      <c r="AW220" s="72" t="s">
        <v>32</v>
      </c>
      <c r="AX220" s="25">
        <v>3</v>
      </c>
      <c r="AY220" s="76" t="s">
        <v>2053</v>
      </c>
      <c r="AZ220" s="30" t="s">
        <v>1373</v>
      </c>
      <c r="BA220" s="23" t="s">
        <v>151</v>
      </c>
      <c r="BB220" s="30" t="s">
        <v>34</v>
      </c>
      <c r="BC220" s="22"/>
    </row>
    <row r="221" spans="1:55" x14ac:dyDescent="0.25">
      <c r="A221" s="10">
        <f t="shared" si="8"/>
        <v>220</v>
      </c>
      <c r="B221" s="25" t="s">
        <v>722</v>
      </c>
      <c r="C221" s="30" t="s">
        <v>34</v>
      </c>
      <c r="D221" s="71">
        <v>401113</v>
      </c>
      <c r="E221" s="72" t="s">
        <v>192</v>
      </c>
      <c r="F221" s="14" t="s">
        <v>723</v>
      </c>
      <c r="G221" s="25"/>
      <c r="H221" s="74"/>
      <c r="I221" s="74"/>
      <c r="J221" s="74"/>
      <c r="K221" s="21" t="s">
        <v>334</v>
      </c>
      <c r="L221" s="75" t="s">
        <v>724</v>
      </c>
      <c r="M221" s="75" t="s">
        <v>26</v>
      </c>
      <c r="N221" s="23" t="s">
        <v>38</v>
      </c>
      <c r="O221" s="23" t="s">
        <v>1321</v>
      </c>
      <c r="P221" s="246">
        <v>45602</v>
      </c>
      <c r="Q221" s="247">
        <v>45602</v>
      </c>
      <c r="R221" s="247">
        <v>46331</v>
      </c>
      <c r="S221" s="247">
        <v>46332</v>
      </c>
      <c r="T221" s="25">
        <v>2004</v>
      </c>
      <c r="U221" s="75" t="s">
        <v>373</v>
      </c>
      <c r="V221" s="25">
        <v>2010</v>
      </c>
      <c r="W221" s="73" t="s">
        <v>725</v>
      </c>
      <c r="X221" s="72" t="s">
        <v>3400</v>
      </c>
      <c r="Y221" s="38" t="s">
        <v>726</v>
      </c>
      <c r="Z221" s="76">
        <v>61660</v>
      </c>
      <c r="AA221" s="38" t="s">
        <v>1323</v>
      </c>
      <c r="AB221" s="161" t="s">
        <v>30</v>
      </c>
      <c r="AC221" s="161" t="s">
        <v>30</v>
      </c>
      <c r="AD221" s="279">
        <v>8727072516</v>
      </c>
      <c r="AE221" s="255" t="s">
        <v>727</v>
      </c>
      <c r="AF221" s="30" t="s">
        <v>1410</v>
      </c>
      <c r="AG221" s="249" t="s">
        <v>3401</v>
      </c>
      <c r="AH221" s="72" t="s">
        <v>2698</v>
      </c>
      <c r="AI221" s="72" t="s">
        <v>3402</v>
      </c>
      <c r="AJ221" s="249" t="s">
        <v>3403</v>
      </c>
      <c r="AK221" s="75" t="s">
        <v>3404</v>
      </c>
      <c r="AL221" s="250"/>
      <c r="AM221" s="250"/>
      <c r="AN221" s="38"/>
      <c r="AO221" s="38" t="s">
        <v>3405</v>
      </c>
      <c r="AP221" s="25">
        <f t="shared" ca="1" si="7"/>
        <v>45</v>
      </c>
      <c r="AQ221" s="38" t="s">
        <v>2156</v>
      </c>
      <c r="AR221" s="285" t="s">
        <v>3406</v>
      </c>
      <c r="AS221" s="287">
        <v>45779</v>
      </c>
      <c r="AT221" s="287">
        <v>46143</v>
      </c>
      <c r="AU221" s="252">
        <v>29281</v>
      </c>
      <c r="AV221" s="72" t="s">
        <v>1352</v>
      </c>
      <c r="AW221" s="31" t="s">
        <v>32</v>
      </c>
      <c r="AX221" s="10" t="s">
        <v>30</v>
      </c>
      <c r="AY221" s="76" t="s">
        <v>30</v>
      </c>
      <c r="AZ221" s="30" t="s">
        <v>26</v>
      </c>
      <c r="BA221" s="23" t="s">
        <v>151</v>
      </c>
      <c r="BB221" s="30" t="s">
        <v>34</v>
      </c>
      <c r="BC221" s="22"/>
    </row>
    <row r="222" spans="1:55" x14ac:dyDescent="0.25">
      <c r="A222" s="10">
        <f t="shared" si="8"/>
        <v>221</v>
      </c>
      <c r="B222" s="25" t="s">
        <v>728</v>
      </c>
      <c r="C222" s="30" t="s">
        <v>34</v>
      </c>
      <c r="D222" s="71">
        <v>401114</v>
      </c>
      <c r="E222" s="72" t="s">
        <v>192</v>
      </c>
      <c r="F222" s="14" t="s">
        <v>729</v>
      </c>
      <c r="G222" s="25"/>
      <c r="H222" s="74"/>
      <c r="I222" s="74"/>
      <c r="J222" s="74"/>
      <c r="K222" s="21" t="s">
        <v>334</v>
      </c>
      <c r="L222" s="75" t="s">
        <v>730</v>
      </c>
      <c r="M222" s="75" t="s">
        <v>26</v>
      </c>
      <c r="N222" s="23" t="s">
        <v>38</v>
      </c>
      <c r="O222" s="23" t="s">
        <v>1321</v>
      </c>
      <c r="P222" s="246">
        <v>45604</v>
      </c>
      <c r="Q222" s="247">
        <v>45604</v>
      </c>
      <c r="R222" s="247">
        <v>46333</v>
      </c>
      <c r="S222" s="247">
        <v>46334</v>
      </c>
      <c r="T222" s="25">
        <v>1995</v>
      </c>
      <c r="U222" s="75" t="s">
        <v>731</v>
      </c>
      <c r="V222" s="25">
        <v>1999</v>
      </c>
      <c r="W222" s="38" t="s">
        <v>731</v>
      </c>
      <c r="X222" s="72" t="s">
        <v>30</v>
      </c>
      <c r="Y222" s="38" t="s">
        <v>49</v>
      </c>
      <c r="Z222" s="76">
        <v>7703</v>
      </c>
      <c r="AA222" s="38" t="s">
        <v>1323</v>
      </c>
      <c r="AB222" s="161" t="s">
        <v>30</v>
      </c>
      <c r="AC222" s="161" t="s">
        <v>30</v>
      </c>
      <c r="AD222" s="279">
        <v>8910153053</v>
      </c>
      <c r="AE222" s="255" t="s">
        <v>732</v>
      </c>
      <c r="AF222" s="30" t="s">
        <v>1430</v>
      </c>
      <c r="AG222" s="249" t="s">
        <v>3407</v>
      </c>
      <c r="AH222" s="72" t="s">
        <v>3408</v>
      </c>
      <c r="AI222" s="72" t="s">
        <v>3409</v>
      </c>
      <c r="AJ222" s="249" t="s">
        <v>3410</v>
      </c>
      <c r="AK222" s="75" t="s">
        <v>3411</v>
      </c>
      <c r="AL222" s="250"/>
      <c r="AM222" s="250"/>
      <c r="AN222" s="38"/>
      <c r="AO222" s="38" t="s">
        <v>3412</v>
      </c>
      <c r="AP222" s="25">
        <f t="shared" ca="1" si="7"/>
        <v>53</v>
      </c>
      <c r="AQ222" s="35" t="s">
        <v>1605</v>
      </c>
      <c r="AR222" s="285" t="s">
        <v>3413</v>
      </c>
      <c r="AS222" s="287">
        <v>45600</v>
      </c>
      <c r="AT222" s="287">
        <v>45964</v>
      </c>
      <c r="AU222" s="252">
        <v>26603</v>
      </c>
      <c r="AV222" s="72" t="s">
        <v>1352</v>
      </c>
      <c r="AW222" s="31" t="s">
        <v>32</v>
      </c>
      <c r="AX222" s="10" t="s">
        <v>30</v>
      </c>
      <c r="AY222" s="76" t="s">
        <v>30</v>
      </c>
      <c r="AZ222" s="30" t="s">
        <v>26</v>
      </c>
      <c r="BA222" s="23" t="s">
        <v>151</v>
      </c>
      <c r="BB222" s="30" t="s">
        <v>34</v>
      </c>
      <c r="BC222" s="22"/>
    </row>
    <row r="223" spans="1:55" x14ac:dyDescent="0.25">
      <c r="A223" s="10">
        <f t="shared" si="8"/>
        <v>222</v>
      </c>
      <c r="B223" s="10" t="s">
        <v>3414</v>
      </c>
      <c r="C223" s="30" t="s">
        <v>34</v>
      </c>
      <c r="D223" s="65">
        <v>401115</v>
      </c>
      <c r="E223" s="31" t="s">
        <v>36</v>
      </c>
      <c r="F223" s="14" t="s">
        <v>3415</v>
      </c>
      <c r="G223" s="10">
        <v>6</v>
      </c>
      <c r="H223" s="66">
        <v>0.33333333333333331</v>
      </c>
      <c r="I223" s="66">
        <v>0.875</v>
      </c>
      <c r="J223" s="68">
        <v>0.33333333333333331</v>
      </c>
      <c r="K223" s="21" t="s">
        <v>1004</v>
      </c>
      <c r="L223" s="30" t="s">
        <v>30</v>
      </c>
      <c r="M223" s="30" t="s">
        <v>1355</v>
      </c>
      <c r="N223" s="23" t="s">
        <v>1356</v>
      </c>
      <c r="O223" s="35" t="s">
        <v>1357</v>
      </c>
      <c r="P223" s="258">
        <v>45604</v>
      </c>
      <c r="Q223" s="161">
        <v>45604</v>
      </c>
      <c r="R223" s="161">
        <v>46333</v>
      </c>
      <c r="S223" s="161">
        <v>46334</v>
      </c>
      <c r="T223" s="10">
        <v>2016</v>
      </c>
      <c r="U223" s="14" t="s">
        <v>3416</v>
      </c>
      <c r="V223" s="10">
        <v>2022</v>
      </c>
      <c r="W223" s="14" t="s">
        <v>3417</v>
      </c>
      <c r="X223" s="31" t="s">
        <v>30</v>
      </c>
      <c r="Y223" s="23" t="s">
        <v>1360</v>
      </c>
      <c r="Z223" s="14" t="s">
        <v>3418</v>
      </c>
      <c r="AA223" s="23" t="s">
        <v>1841</v>
      </c>
      <c r="AB223" s="161">
        <v>44994</v>
      </c>
      <c r="AC223" s="161">
        <v>46820</v>
      </c>
      <c r="AD223" s="10">
        <v>9550697972</v>
      </c>
      <c r="AE223" s="272" t="s">
        <v>3419</v>
      </c>
      <c r="AF223" s="30" t="s">
        <v>1690</v>
      </c>
      <c r="AG223" s="221" t="s">
        <v>3420</v>
      </c>
      <c r="AH223" s="31" t="s">
        <v>3421</v>
      </c>
      <c r="AI223" s="31" t="s">
        <v>3422</v>
      </c>
      <c r="AJ223" s="221" t="s">
        <v>3423</v>
      </c>
      <c r="AK223" s="30" t="s">
        <v>3424</v>
      </c>
      <c r="AL223" s="210"/>
      <c r="AM223" s="210"/>
      <c r="AN223" s="35"/>
      <c r="AO223" s="35" t="s">
        <v>3425</v>
      </c>
      <c r="AP223" s="10">
        <f t="shared" ca="1" si="7"/>
        <v>34</v>
      </c>
      <c r="AQ223" s="35"/>
      <c r="AR223" s="23"/>
      <c r="AS223" s="210"/>
      <c r="AT223" s="210"/>
      <c r="AU223" s="223">
        <v>33222</v>
      </c>
      <c r="AV223" s="31" t="s">
        <v>1352</v>
      </c>
      <c r="AW223" s="31" t="s">
        <v>68</v>
      </c>
      <c r="AX223" s="10">
        <v>8</v>
      </c>
      <c r="AY223" s="14" t="s">
        <v>1849</v>
      </c>
      <c r="AZ223" s="30" t="s">
        <v>1373</v>
      </c>
      <c r="BA223" s="23" t="s">
        <v>151</v>
      </c>
      <c r="BB223" s="30" t="s">
        <v>34</v>
      </c>
      <c r="BC223" s="22"/>
    </row>
    <row r="224" spans="1:55" x14ac:dyDescent="0.25">
      <c r="A224" s="10">
        <f t="shared" si="8"/>
        <v>223</v>
      </c>
      <c r="B224" s="25" t="s">
        <v>3426</v>
      </c>
      <c r="C224" s="30" t="s">
        <v>34</v>
      </c>
      <c r="D224" s="71">
        <v>401116</v>
      </c>
      <c r="E224" s="72" t="s">
        <v>36</v>
      </c>
      <c r="F224" s="14" t="s">
        <v>3427</v>
      </c>
      <c r="G224" s="25">
        <v>6</v>
      </c>
      <c r="H224" s="74">
        <v>0.70833333333333337</v>
      </c>
      <c r="I224" s="74">
        <v>0.875</v>
      </c>
      <c r="J224" s="74">
        <v>0.16666666666666666</v>
      </c>
      <c r="K224" s="21" t="s">
        <v>1004</v>
      </c>
      <c r="L224" s="75" t="s">
        <v>30</v>
      </c>
      <c r="M224" s="75" t="s">
        <v>1355</v>
      </c>
      <c r="N224" s="23" t="s">
        <v>1520</v>
      </c>
      <c r="O224" s="14" t="s">
        <v>3415</v>
      </c>
      <c r="P224" s="246">
        <v>45604</v>
      </c>
      <c r="Q224" s="247">
        <v>45604</v>
      </c>
      <c r="R224" s="247">
        <v>46333</v>
      </c>
      <c r="S224" s="247">
        <v>46334</v>
      </c>
      <c r="T224" s="25">
        <v>2012</v>
      </c>
      <c r="U224" s="76" t="s">
        <v>3428</v>
      </c>
      <c r="V224" s="25">
        <v>2018</v>
      </c>
      <c r="W224" s="76" t="s">
        <v>3417</v>
      </c>
      <c r="X224" s="72" t="s">
        <v>30</v>
      </c>
      <c r="Y224" s="73" t="s">
        <v>1360</v>
      </c>
      <c r="Z224" s="83" t="s">
        <v>3429</v>
      </c>
      <c r="AA224" s="23" t="s">
        <v>1841</v>
      </c>
      <c r="AB224" s="161">
        <v>45329</v>
      </c>
      <c r="AC224" s="161">
        <v>47155</v>
      </c>
      <c r="AD224" s="284">
        <v>9030083284</v>
      </c>
      <c r="AE224" s="272" t="s">
        <v>3430</v>
      </c>
      <c r="AF224" s="75" t="s">
        <v>1690</v>
      </c>
      <c r="AG224" s="249" t="s">
        <v>3431</v>
      </c>
      <c r="AH224" s="72" t="s">
        <v>3432</v>
      </c>
      <c r="AI224" s="72" t="s">
        <v>3433</v>
      </c>
      <c r="AJ224" s="249" t="s">
        <v>3434</v>
      </c>
      <c r="AK224" s="75" t="s">
        <v>3435</v>
      </c>
      <c r="AL224" s="250"/>
      <c r="AM224" s="250"/>
      <c r="AN224" s="38"/>
      <c r="AO224" s="38" t="s">
        <v>3436</v>
      </c>
      <c r="AP224" s="25">
        <f t="shared" ca="1" si="7"/>
        <v>38</v>
      </c>
      <c r="AQ224" s="38"/>
      <c r="AR224" s="73"/>
      <c r="AS224" s="250"/>
      <c r="AT224" s="250"/>
      <c r="AU224" s="252">
        <v>31826</v>
      </c>
      <c r="AV224" s="72" t="s">
        <v>1352</v>
      </c>
      <c r="AW224" s="72" t="s">
        <v>32</v>
      </c>
      <c r="AX224" s="25">
        <v>4</v>
      </c>
      <c r="AY224" s="76" t="s">
        <v>1849</v>
      </c>
      <c r="AZ224" s="30" t="s">
        <v>1373</v>
      </c>
      <c r="BA224" s="23" t="s">
        <v>151</v>
      </c>
      <c r="BB224" s="30" t="s">
        <v>34</v>
      </c>
      <c r="BC224" s="22"/>
    </row>
    <row r="225" spans="1:55" x14ac:dyDescent="0.25">
      <c r="A225" s="10">
        <f t="shared" si="8"/>
        <v>224</v>
      </c>
      <c r="B225" s="25" t="s">
        <v>3437</v>
      </c>
      <c r="C225" s="30" t="s">
        <v>34</v>
      </c>
      <c r="D225" s="71">
        <v>401117</v>
      </c>
      <c r="E225" s="72" t="s">
        <v>36</v>
      </c>
      <c r="F225" s="14" t="s">
        <v>3438</v>
      </c>
      <c r="G225" s="25">
        <v>6</v>
      </c>
      <c r="H225" s="74">
        <v>0.70833333333333337</v>
      </c>
      <c r="I225" s="74">
        <v>0.79166666666666663</v>
      </c>
      <c r="J225" s="74">
        <v>8.3333333333333329E-2</v>
      </c>
      <c r="K225" s="21" t="s">
        <v>1004</v>
      </c>
      <c r="L225" s="75" t="s">
        <v>30</v>
      </c>
      <c r="M225" s="75" t="s">
        <v>2097</v>
      </c>
      <c r="N225" s="23" t="s">
        <v>2098</v>
      </c>
      <c r="O225" s="14" t="s">
        <v>3415</v>
      </c>
      <c r="P225" s="246">
        <v>45604</v>
      </c>
      <c r="Q225" s="247">
        <v>45604</v>
      </c>
      <c r="R225" s="247">
        <v>46333</v>
      </c>
      <c r="S225" s="247">
        <v>46334</v>
      </c>
      <c r="T225" s="25">
        <v>2006</v>
      </c>
      <c r="U225" s="76" t="s">
        <v>196</v>
      </c>
      <c r="V225" s="25">
        <v>2011</v>
      </c>
      <c r="W225" s="76" t="s">
        <v>209</v>
      </c>
      <c r="X225" s="72" t="s">
        <v>30</v>
      </c>
      <c r="Y225" s="35" t="s">
        <v>2099</v>
      </c>
      <c r="Z225" s="83">
        <v>58570</v>
      </c>
      <c r="AA225" s="23" t="s">
        <v>1841</v>
      </c>
      <c r="AB225" s="161">
        <v>44505</v>
      </c>
      <c r="AC225" s="161">
        <v>46330</v>
      </c>
      <c r="AD225" s="284" t="s">
        <v>3439</v>
      </c>
      <c r="AE225" s="272" t="s">
        <v>3440</v>
      </c>
      <c r="AF225" s="28" t="s">
        <v>1495</v>
      </c>
      <c r="AG225" s="249" t="s">
        <v>3441</v>
      </c>
      <c r="AH225" s="72" t="s">
        <v>3442</v>
      </c>
      <c r="AI225" s="72" t="s">
        <v>3443</v>
      </c>
      <c r="AJ225" s="249" t="s">
        <v>3444</v>
      </c>
      <c r="AK225" s="75" t="s">
        <v>3445</v>
      </c>
      <c r="AL225" s="250"/>
      <c r="AM225" s="250"/>
      <c r="AN225" s="38"/>
      <c r="AO225" s="38" t="s">
        <v>3446</v>
      </c>
      <c r="AP225" s="25">
        <f t="shared" ca="1" si="7"/>
        <v>41</v>
      </c>
      <c r="AQ225" s="38"/>
      <c r="AR225" s="73"/>
      <c r="AS225" s="250"/>
      <c r="AT225" s="250"/>
      <c r="AU225" s="252">
        <v>30845</v>
      </c>
      <c r="AV225" s="72" t="s">
        <v>1389</v>
      </c>
      <c r="AW225" s="72" t="s">
        <v>32</v>
      </c>
      <c r="AX225" s="25">
        <v>2</v>
      </c>
      <c r="AY225" s="76" t="s">
        <v>1849</v>
      </c>
      <c r="AZ225" s="30" t="s">
        <v>1373</v>
      </c>
      <c r="BA225" s="23" t="s">
        <v>151</v>
      </c>
      <c r="BB225" s="30" t="s">
        <v>34</v>
      </c>
      <c r="BC225" s="22"/>
    </row>
    <row r="226" spans="1:55" x14ac:dyDescent="0.25">
      <c r="A226" s="10">
        <f t="shared" si="8"/>
        <v>225</v>
      </c>
      <c r="B226" s="25" t="s">
        <v>3447</v>
      </c>
      <c r="C226" s="30" t="s">
        <v>34</v>
      </c>
      <c r="D226" s="71">
        <v>401119</v>
      </c>
      <c r="E226" s="72" t="s">
        <v>36</v>
      </c>
      <c r="F226" s="14" t="s">
        <v>3448</v>
      </c>
      <c r="G226" s="25">
        <v>6</v>
      </c>
      <c r="H226" s="74">
        <v>0.72916666666666663</v>
      </c>
      <c r="I226" s="74">
        <v>0.85416666666666663</v>
      </c>
      <c r="J226" s="74">
        <v>0.125</v>
      </c>
      <c r="K226" s="21" t="s">
        <v>593</v>
      </c>
      <c r="L226" s="75" t="s">
        <v>30</v>
      </c>
      <c r="M226" s="75" t="s">
        <v>1544</v>
      </c>
      <c r="N226" s="23" t="s">
        <v>1992</v>
      </c>
      <c r="O226" s="35" t="s">
        <v>2016</v>
      </c>
      <c r="P226" s="246">
        <v>45607</v>
      </c>
      <c r="Q226" s="247">
        <v>45607</v>
      </c>
      <c r="R226" s="247">
        <v>46336</v>
      </c>
      <c r="S226" s="247">
        <v>46337</v>
      </c>
      <c r="T226" s="25">
        <v>2008</v>
      </c>
      <c r="U226" s="76" t="s">
        <v>703</v>
      </c>
      <c r="V226" s="25">
        <v>2014</v>
      </c>
      <c r="W226" s="76" t="s">
        <v>2370</v>
      </c>
      <c r="X226" s="72" t="s">
        <v>30</v>
      </c>
      <c r="Y226" s="38" t="s">
        <v>1549</v>
      </c>
      <c r="Z226" s="83">
        <v>64709</v>
      </c>
      <c r="AA226" s="38" t="s">
        <v>1886</v>
      </c>
      <c r="AB226" s="161">
        <v>45951</v>
      </c>
      <c r="AC226" s="161">
        <v>47776</v>
      </c>
      <c r="AD226" s="284">
        <v>9052245562</v>
      </c>
      <c r="AE226" s="272" t="s">
        <v>3449</v>
      </c>
      <c r="AF226" s="75" t="s">
        <v>1690</v>
      </c>
      <c r="AG226" s="249" t="s">
        <v>3450</v>
      </c>
      <c r="AH226" s="72" t="s">
        <v>3451</v>
      </c>
      <c r="AI226" s="72" t="s">
        <v>3452</v>
      </c>
      <c r="AJ226" s="249" t="s">
        <v>3453</v>
      </c>
      <c r="AK226" s="75" t="s">
        <v>3454</v>
      </c>
      <c r="AL226" s="250"/>
      <c r="AM226" s="250"/>
      <c r="AN226" s="38"/>
      <c r="AO226" s="38" t="s">
        <v>3455</v>
      </c>
      <c r="AP226" s="25">
        <f t="shared" ca="1" si="7"/>
        <v>42</v>
      </c>
      <c r="AQ226" s="38"/>
      <c r="AR226" s="73"/>
      <c r="AS226" s="250"/>
      <c r="AT226" s="250"/>
      <c r="AU226" s="252">
        <v>30472</v>
      </c>
      <c r="AV226" s="72" t="s">
        <v>1389</v>
      </c>
      <c r="AW226" s="72" t="s">
        <v>32</v>
      </c>
      <c r="AX226" s="25">
        <v>3</v>
      </c>
      <c r="AY226" s="76" t="s">
        <v>1920</v>
      </c>
      <c r="AZ226" s="30" t="s">
        <v>1373</v>
      </c>
      <c r="BA226" s="23" t="s">
        <v>151</v>
      </c>
      <c r="BB226" s="30" t="s">
        <v>34</v>
      </c>
      <c r="BC226" s="22"/>
    </row>
    <row r="227" spans="1:55" x14ac:dyDescent="0.25">
      <c r="A227" s="10">
        <f t="shared" si="8"/>
        <v>226</v>
      </c>
      <c r="B227" s="25" t="s">
        <v>3456</v>
      </c>
      <c r="C227" s="30" t="s">
        <v>34</v>
      </c>
      <c r="D227" s="71">
        <v>401125</v>
      </c>
      <c r="E227" s="72" t="s">
        <v>36</v>
      </c>
      <c r="F227" s="14" t="s">
        <v>3457</v>
      </c>
      <c r="G227" s="25">
        <v>6</v>
      </c>
      <c r="H227" s="74">
        <v>0.41666666666666669</v>
      </c>
      <c r="I227" s="74">
        <v>0.5</v>
      </c>
      <c r="J227" s="74">
        <v>8.3333333333333329E-2</v>
      </c>
      <c r="K227" s="21" t="s">
        <v>194</v>
      </c>
      <c r="L227" s="75" t="s">
        <v>30</v>
      </c>
      <c r="M227" s="30" t="s">
        <v>1376</v>
      </c>
      <c r="N227" s="23" t="s">
        <v>1393</v>
      </c>
      <c r="O227" s="38" t="s">
        <v>30</v>
      </c>
      <c r="P227" s="246">
        <v>45610</v>
      </c>
      <c r="Q227" s="247">
        <v>45610</v>
      </c>
      <c r="R227" s="247">
        <v>46339</v>
      </c>
      <c r="S227" s="247">
        <v>46340</v>
      </c>
      <c r="T227" s="25">
        <v>1980</v>
      </c>
      <c r="U227" s="76" t="s">
        <v>230</v>
      </c>
      <c r="V227" s="25" t="s">
        <v>30</v>
      </c>
      <c r="W227" s="73" t="s">
        <v>30</v>
      </c>
      <c r="X227" s="107" t="s">
        <v>30</v>
      </c>
      <c r="Y227" s="38" t="s">
        <v>226</v>
      </c>
      <c r="Z227" s="83" t="s">
        <v>3458</v>
      </c>
      <c r="AA227" s="23" t="s">
        <v>1841</v>
      </c>
      <c r="AB227" s="161">
        <v>45918</v>
      </c>
      <c r="AC227" s="161">
        <v>47743</v>
      </c>
      <c r="AD227" s="284" t="s">
        <v>3459</v>
      </c>
      <c r="AE227" s="38" t="s">
        <v>3460</v>
      </c>
      <c r="AF227" s="75" t="s">
        <v>1805</v>
      </c>
      <c r="AG227" s="249" t="s">
        <v>3461</v>
      </c>
      <c r="AH227" s="72" t="s">
        <v>3462</v>
      </c>
      <c r="AI227" s="72" t="s">
        <v>3463</v>
      </c>
      <c r="AJ227" s="249" t="s">
        <v>3464</v>
      </c>
      <c r="AK227" s="75" t="s">
        <v>3465</v>
      </c>
      <c r="AL227" s="250"/>
      <c r="AM227" s="250"/>
      <c r="AN227" s="38"/>
      <c r="AO227" s="38" t="s">
        <v>3466</v>
      </c>
      <c r="AP227" s="25">
        <f t="shared" ca="1" si="7"/>
        <v>68</v>
      </c>
      <c r="AQ227" s="38"/>
      <c r="AR227" s="73"/>
      <c r="AS227" s="250"/>
      <c r="AT227" s="250"/>
      <c r="AU227" s="252">
        <v>21032</v>
      </c>
      <c r="AV227" s="72" t="s">
        <v>1389</v>
      </c>
      <c r="AW227" s="72" t="s">
        <v>32</v>
      </c>
      <c r="AX227" s="25">
        <v>2</v>
      </c>
      <c r="AY227" s="76" t="s">
        <v>1968</v>
      </c>
      <c r="AZ227" s="30" t="s">
        <v>1390</v>
      </c>
      <c r="BA227" s="23" t="s">
        <v>151</v>
      </c>
      <c r="BB227" s="30" t="s">
        <v>34</v>
      </c>
      <c r="BC227" s="22"/>
    </row>
    <row r="228" spans="1:55" x14ac:dyDescent="0.25">
      <c r="A228" s="10">
        <f t="shared" si="8"/>
        <v>227</v>
      </c>
      <c r="B228" s="25" t="s">
        <v>733</v>
      </c>
      <c r="C228" s="30" t="s">
        <v>34</v>
      </c>
      <c r="D228" s="71">
        <v>401130</v>
      </c>
      <c r="E228" s="72" t="s">
        <v>192</v>
      </c>
      <c r="F228" s="14" t="s">
        <v>734</v>
      </c>
      <c r="G228" s="25"/>
      <c r="H228" s="74"/>
      <c r="I228" s="74"/>
      <c r="J228" s="74"/>
      <c r="K228" s="21" t="s">
        <v>334</v>
      </c>
      <c r="L228" s="75" t="s">
        <v>623</v>
      </c>
      <c r="M228" s="75" t="s">
        <v>26</v>
      </c>
      <c r="N228" s="23" t="s">
        <v>38</v>
      </c>
      <c r="O228" s="23" t="s">
        <v>1321</v>
      </c>
      <c r="P228" s="246">
        <v>45616</v>
      </c>
      <c r="Q228" s="247">
        <v>45616</v>
      </c>
      <c r="R228" s="247">
        <v>46345</v>
      </c>
      <c r="S228" s="247">
        <v>46346</v>
      </c>
      <c r="T228" s="25">
        <v>1993</v>
      </c>
      <c r="U228" s="75" t="s">
        <v>653</v>
      </c>
      <c r="V228" s="25">
        <v>1998</v>
      </c>
      <c r="W228" s="73" t="s">
        <v>735</v>
      </c>
      <c r="X228" s="72" t="s">
        <v>30</v>
      </c>
      <c r="Y228" s="38" t="s">
        <v>49</v>
      </c>
      <c r="Z228" s="76">
        <v>38602</v>
      </c>
      <c r="AA228" s="35" t="s">
        <v>1560</v>
      </c>
      <c r="AB228" s="161">
        <v>44983</v>
      </c>
      <c r="AC228" s="161">
        <v>46809</v>
      </c>
      <c r="AD228" s="279">
        <v>7349369954</v>
      </c>
      <c r="AE228" s="255" t="s">
        <v>736</v>
      </c>
      <c r="AF228" s="75" t="s">
        <v>3467</v>
      </c>
      <c r="AG228" s="249" t="s">
        <v>3468</v>
      </c>
      <c r="AH228" s="72" t="s">
        <v>3469</v>
      </c>
      <c r="AI228" s="72" t="s">
        <v>3470</v>
      </c>
      <c r="AJ228" s="249" t="s">
        <v>3471</v>
      </c>
      <c r="AK228" s="75" t="s">
        <v>3472</v>
      </c>
      <c r="AL228" s="250"/>
      <c r="AM228" s="250"/>
      <c r="AN228" s="38"/>
      <c r="AO228" s="38" t="s">
        <v>3473</v>
      </c>
      <c r="AP228" s="25">
        <f t="shared" ca="1" si="7"/>
        <v>54</v>
      </c>
      <c r="AQ228" s="35" t="s">
        <v>1605</v>
      </c>
      <c r="AR228" s="73" t="s">
        <v>3474</v>
      </c>
      <c r="AS228" s="250" t="s">
        <v>3475</v>
      </c>
      <c r="AT228" s="250"/>
      <c r="AU228" s="252">
        <v>26108</v>
      </c>
      <c r="AV228" s="72" t="s">
        <v>1352</v>
      </c>
      <c r="AW228" s="31" t="s">
        <v>32</v>
      </c>
      <c r="AX228" s="10" t="s">
        <v>30</v>
      </c>
      <c r="AY228" s="76" t="s">
        <v>30</v>
      </c>
      <c r="AZ228" s="30" t="s">
        <v>26</v>
      </c>
      <c r="BA228" s="23" t="s">
        <v>151</v>
      </c>
      <c r="BB228" s="30" t="s">
        <v>34</v>
      </c>
      <c r="BC228" s="22"/>
    </row>
    <row r="229" spans="1:55" x14ac:dyDescent="0.25">
      <c r="A229" s="10">
        <f t="shared" si="8"/>
        <v>228</v>
      </c>
      <c r="B229" s="25" t="s">
        <v>737</v>
      </c>
      <c r="C229" s="30" t="s">
        <v>34</v>
      </c>
      <c r="D229" s="71">
        <v>401132</v>
      </c>
      <c r="E229" s="72" t="s">
        <v>42</v>
      </c>
      <c r="F229" s="14" t="s">
        <v>738</v>
      </c>
      <c r="G229" s="25">
        <v>6</v>
      </c>
      <c r="H229" s="66">
        <v>0.75</v>
      </c>
      <c r="I229" s="85">
        <v>0.875</v>
      </c>
      <c r="J229" s="74">
        <v>0.125</v>
      </c>
      <c r="K229" s="21" t="s">
        <v>739</v>
      </c>
      <c r="L229" s="83" t="s">
        <v>740</v>
      </c>
      <c r="M229" s="75" t="s">
        <v>26</v>
      </c>
      <c r="N229" s="23" t="s">
        <v>38</v>
      </c>
      <c r="O229" s="23" t="s">
        <v>1321</v>
      </c>
      <c r="P229" s="246">
        <v>45621</v>
      </c>
      <c r="Q229" s="247">
        <v>45931</v>
      </c>
      <c r="R229" s="247">
        <v>46660</v>
      </c>
      <c r="S229" s="247">
        <v>46661</v>
      </c>
      <c r="T229" s="25">
        <v>2020</v>
      </c>
      <c r="U229" s="83" t="s">
        <v>741</v>
      </c>
      <c r="V229" s="25">
        <v>2015</v>
      </c>
      <c r="W229" s="83" t="s">
        <v>742</v>
      </c>
      <c r="X229" s="72" t="s">
        <v>30</v>
      </c>
      <c r="Y229" s="38" t="s">
        <v>49</v>
      </c>
      <c r="Z229" s="76">
        <v>71660</v>
      </c>
      <c r="AA229" s="23" t="s">
        <v>1841</v>
      </c>
      <c r="AB229" s="161">
        <v>44275</v>
      </c>
      <c r="AC229" s="161">
        <v>46100</v>
      </c>
      <c r="AD229" s="284">
        <v>8639242599</v>
      </c>
      <c r="AE229" s="288" t="s">
        <v>743</v>
      </c>
      <c r="AF229" s="30" t="s">
        <v>1430</v>
      </c>
      <c r="AG229" s="249" t="s">
        <v>3476</v>
      </c>
      <c r="AH229" s="72" t="s">
        <v>3477</v>
      </c>
      <c r="AI229" s="72" t="s">
        <v>3478</v>
      </c>
      <c r="AJ229" s="249" t="s">
        <v>3479</v>
      </c>
      <c r="AK229" s="75" t="s">
        <v>3480</v>
      </c>
      <c r="AL229" s="250"/>
      <c r="AM229" s="250"/>
      <c r="AN229" s="38"/>
      <c r="AO229" s="38" t="s">
        <v>3481</v>
      </c>
      <c r="AP229" s="25">
        <f t="shared" ca="1" si="7"/>
        <v>37</v>
      </c>
      <c r="AQ229" s="38" t="s">
        <v>1605</v>
      </c>
      <c r="AR229" s="285" t="s">
        <v>3482</v>
      </c>
      <c r="AS229" s="176">
        <v>45546</v>
      </c>
      <c r="AT229" s="176">
        <v>46640</v>
      </c>
      <c r="AU229" s="252">
        <v>32417</v>
      </c>
      <c r="AV229" s="72" t="s">
        <v>1352</v>
      </c>
      <c r="AW229" s="72" t="s">
        <v>32</v>
      </c>
      <c r="AX229" s="25">
        <v>3</v>
      </c>
      <c r="AY229" s="76" t="s">
        <v>1920</v>
      </c>
      <c r="AZ229" s="30" t="s">
        <v>26</v>
      </c>
      <c r="BA229" s="23" t="s">
        <v>151</v>
      </c>
      <c r="BB229" s="30" t="s">
        <v>34</v>
      </c>
      <c r="BC229" s="22"/>
    </row>
    <row r="230" spans="1:55" x14ac:dyDescent="0.25">
      <c r="A230" s="10">
        <f t="shared" si="8"/>
        <v>229</v>
      </c>
      <c r="B230" s="31" t="s">
        <v>744</v>
      </c>
      <c r="C230" s="30" t="s">
        <v>34</v>
      </c>
      <c r="D230" s="65">
        <v>401275</v>
      </c>
      <c r="E230" s="31" t="s">
        <v>268</v>
      </c>
      <c r="F230" s="14" t="s">
        <v>745</v>
      </c>
      <c r="G230" s="64" t="s">
        <v>746</v>
      </c>
      <c r="H230" s="68" t="s">
        <v>747</v>
      </c>
      <c r="I230" s="66">
        <v>0.75</v>
      </c>
      <c r="J230" s="66">
        <v>0.25</v>
      </c>
      <c r="K230" s="21" t="s">
        <v>748</v>
      </c>
      <c r="L230" s="59" t="s">
        <v>749</v>
      </c>
      <c r="M230" s="30" t="s">
        <v>26</v>
      </c>
      <c r="N230" s="23" t="s">
        <v>38</v>
      </c>
      <c r="O230" s="23" t="s">
        <v>1321</v>
      </c>
      <c r="P230" s="258">
        <v>45846</v>
      </c>
      <c r="Q230" s="258">
        <v>45846</v>
      </c>
      <c r="R230" s="258">
        <v>46575</v>
      </c>
      <c r="S230" s="258">
        <v>46576</v>
      </c>
      <c r="T230" s="79">
        <v>2014</v>
      </c>
      <c r="U230" s="39" t="s">
        <v>750</v>
      </c>
      <c r="V230" s="64">
        <v>2021</v>
      </c>
      <c r="W230" s="43" t="s">
        <v>750</v>
      </c>
      <c r="X230" s="64" t="s">
        <v>30</v>
      </c>
      <c r="Y230" s="35" t="s">
        <v>49</v>
      </c>
      <c r="Z230" s="86">
        <v>72921</v>
      </c>
      <c r="AA230" s="271" t="s">
        <v>1323</v>
      </c>
      <c r="AB230" s="161" t="s">
        <v>30</v>
      </c>
      <c r="AC230" s="161">
        <v>46387</v>
      </c>
      <c r="AD230" s="220">
        <v>8584820586</v>
      </c>
      <c r="AE230" s="264" t="s">
        <v>751</v>
      </c>
      <c r="AF230" s="28" t="s">
        <v>1495</v>
      </c>
      <c r="AG230" s="221" t="s">
        <v>3483</v>
      </c>
      <c r="AH230" s="31" t="s">
        <v>3484</v>
      </c>
      <c r="AI230" s="31" t="s">
        <v>3485</v>
      </c>
      <c r="AJ230" s="221" t="s">
        <v>3486</v>
      </c>
      <c r="AK230" s="30" t="s">
        <v>3487</v>
      </c>
      <c r="AL230" s="210"/>
      <c r="AM230" s="210"/>
      <c r="AN230" s="35"/>
      <c r="AO230" s="35" t="s">
        <v>3488</v>
      </c>
      <c r="AP230" s="10">
        <f t="shared" ca="1" si="7"/>
        <v>34</v>
      </c>
      <c r="AQ230" s="30" t="s">
        <v>3213</v>
      </c>
      <c r="AR230" s="232" t="s">
        <v>3489</v>
      </c>
      <c r="AS230" s="210">
        <v>45563</v>
      </c>
      <c r="AT230" s="210">
        <v>45927</v>
      </c>
      <c r="AU230" s="273">
        <v>33412</v>
      </c>
      <c r="AV230" s="64" t="s">
        <v>1352</v>
      </c>
      <c r="AW230" s="64" t="s">
        <v>32</v>
      </c>
      <c r="AX230" s="64">
        <v>6</v>
      </c>
      <c r="AY230" s="14" t="s">
        <v>2703</v>
      </c>
      <c r="AZ230" s="30" t="s">
        <v>26</v>
      </c>
      <c r="BA230" s="23" t="s">
        <v>151</v>
      </c>
      <c r="BB230" s="30" t="s">
        <v>34</v>
      </c>
      <c r="BC230" s="22"/>
    </row>
    <row r="231" spans="1:55" x14ac:dyDescent="0.25">
      <c r="A231" s="10">
        <f t="shared" si="8"/>
        <v>230</v>
      </c>
      <c r="B231" s="10" t="s">
        <v>752</v>
      </c>
      <c r="C231" s="30" t="s">
        <v>34</v>
      </c>
      <c r="D231" s="65">
        <v>400871</v>
      </c>
      <c r="E231" s="31" t="s">
        <v>36</v>
      </c>
      <c r="F231" s="14" t="s">
        <v>753</v>
      </c>
      <c r="G231" s="10">
        <v>6</v>
      </c>
      <c r="H231" s="66">
        <v>0.35416666666666669</v>
      </c>
      <c r="I231" s="66">
        <v>0.6875</v>
      </c>
      <c r="J231" s="66">
        <v>0.33333333333333331</v>
      </c>
      <c r="K231" s="21" t="s">
        <v>754</v>
      </c>
      <c r="L231" s="30" t="s">
        <v>755</v>
      </c>
      <c r="M231" s="30" t="s">
        <v>26</v>
      </c>
      <c r="N231" s="23" t="s">
        <v>38</v>
      </c>
      <c r="O231" s="23" t="s">
        <v>1321</v>
      </c>
      <c r="P231" s="161">
        <v>45233</v>
      </c>
      <c r="Q231" s="183">
        <v>45659</v>
      </c>
      <c r="R231" s="183">
        <v>46388</v>
      </c>
      <c r="S231" s="183">
        <v>46389</v>
      </c>
      <c r="T231" s="10">
        <v>2009</v>
      </c>
      <c r="U231" s="30" t="s">
        <v>756</v>
      </c>
      <c r="V231" s="10">
        <v>2023</v>
      </c>
      <c r="W231" s="14" t="s">
        <v>430</v>
      </c>
      <c r="X231" s="31" t="s">
        <v>30</v>
      </c>
      <c r="Y231" s="35" t="s">
        <v>49</v>
      </c>
      <c r="Z231" s="14">
        <v>64379</v>
      </c>
      <c r="AA231" s="23" t="s">
        <v>1841</v>
      </c>
      <c r="AB231" s="161">
        <v>45188</v>
      </c>
      <c r="AC231" s="161">
        <v>47014</v>
      </c>
      <c r="AD231" s="220">
        <v>7780437384</v>
      </c>
      <c r="AE231" s="224" t="s">
        <v>757</v>
      </c>
      <c r="AF231" s="30" t="s">
        <v>1410</v>
      </c>
      <c r="AG231" s="221" t="s">
        <v>3490</v>
      </c>
      <c r="AH231" s="31" t="s">
        <v>3491</v>
      </c>
      <c r="AI231" s="31" t="s">
        <v>3492</v>
      </c>
      <c r="AJ231" s="221" t="s">
        <v>3493</v>
      </c>
      <c r="AK231" s="30" t="s">
        <v>3494</v>
      </c>
      <c r="AL231" s="210"/>
      <c r="AM231" s="210"/>
      <c r="AN231" s="35"/>
      <c r="AO231" s="35" t="s">
        <v>3495</v>
      </c>
      <c r="AP231" s="10">
        <f t="shared" ca="1" si="7"/>
        <v>41</v>
      </c>
      <c r="AQ231" s="30" t="s">
        <v>1605</v>
      </c>
      <c r="AR231" s="232" t="s">
        <v>3496</v>
      </c>
      <c r="AS231" s="234">
        <v>45943</v>
      </c>
      <c r="AT231" s="234">
        <v>46672</v>
      </c>
      <c r="AU231" s="223">
        <v>30925</v>
      </c>
      <c r="AV231" s="31" t="s">
        <v>1389</v>
      </c>
      <c r="AW231" s="31" t="s">
        <v>68</v>
      </c>
      <c r="AX231" s="10">
        <v>8</v>
      </c>
      <c r="AY231" s="14" t="s">
        <v>1968</v>
      </c>
      <c r="AZ231" s="30" t="s">
        <v>26</v>
      </c>
      <c r="BA231" s="23" t="s">
        <v>151</v>
      </c>
      <c r="BB231" s="30" t="s">
        <v>34</v>
      </c>
      <c r="BC231" s="22"/>
    </row>
    <row r="232" spans="1:55" x14ac:dyDescent="0.25">
      <c r="A232" s="10">
        <f t="shared" si="8"/>
        <v>231</v>
      </c>
      <c r="B232" s="25" t="s">
        <v>758</v>
      </c>
      <c r="C232" s="30" t="s">
        <v>34</v>
      </c>
      <c r="D232" s="71">
        <v>401137</v>
      </c>
      <c r="E232" s="72" t="s">
        <v>192</v>
      </c>
      <c r="F232" s="14" t="s">
        <v>759</v>
      </c>
      <c r="G232" s="25"/>
      <c r="H232" s="74"/>
      <c r="I232" s="74"/>
      <c r="J232" s="74"/>
      <c r="K232" s="21" t="s">
        <v>334</v>
      </c>
      <c r="L232" s="75" t="s">
        <v>760</v>
      </c>
      <c r="M232" s="75" t="s">
        <v>26</v>
      </c>
      <c r="N232" s="23" t="s">
        <v>38</v>
      </c>
      <c r="O232" s="23" t="s">
        <v>1321</v>
      </c>
      <c r="P232" s="289">
        <v>45627</v>
      </c>
      <c r="Q232" s="289">
        <v>45627</v>
      </c>
      <c r="R232" s="289">
        <v>46356</v>
      </c>
      <c r="S232" s="289">
        <v>46357</v>
      </c>
      <c r="T232" s="25">
        <v>2009</v>
      </c>
      <c r="U232" s="75" t="s">
        <v>761</v>
      </c>
      <c r="V232" s="25">
        <v>2014</v>
      </c>
      <c r="W232" s="73" t="s">
        <v>762</v>
      </c>
      <c r="X232" s="72" t="s">
        <v>30</v>
      </c>
      <c r="Y232" s="73" t="s">
        <v>66</v>
      </c>
      <c r="Z232" s="76">
        <v>56147</v>
      </c>
      <c r="AA232" s="38" t="s">
        <v>2242</v>
      </c>
      <c r="AB232" s="161">
        <v>45079</v>
      </c>
      <c r="AC232" s="161">
        <v>46905</v>
      </c>
      <c r="AD232" s="279">
        <v>8506030851</v>
      </c>
      <c r="AE232" s="255" t="s">
        <v>763</v>
      </c>
      <c r="AF232" s="75" t="s">
        <v>1364</v>
      </c>
      <c r="AG232" s="249" t="s">
        <v>3497</v>
      </c>
      <c r="AH232" s="72" t="s">
        <v>3498</v>
      </c>
      <c r="AI232" s="72" t="s">
        <v>3499</v>
      </c>
      <c r="AJ232" s="249" t="s">
        <v>3500</v>
      </c>
      <c r="AK232" s="75" t="s">
        <v>3501</v>
      </c>
      <c r="AL232" s="250"/>
      <c r="AM232" s="250"/>
      <c r="AN232" s="38"/>
      <c r="AO232" s="38" t="s">
        <v>3502</v>
      </c>
      <c r="AP232" s="25">
        <f t="shared" ca="1" si="7"/>
        <v>37</v>
      </c>
      <c r="AQ232" s="38" t="s">
        <v>3503</v>
      </c>
      <c r="AR232" s="73" t="s">
        <v>3504</v>
      </c>
      <c r="AS232" s="250" t="s">
        <v>3475</v>
      </c>
      <c r="AT232" s="250"/>
      <c r="AU232" s="252">
        <v>32154</v>
      </c>
      <c r="AV232" s="72" t="s">
        <v>1352</v>
      </c>
      <c r="AW232" s="31" t="s">
        <v>32</v>
      </c>
      <c r="AX232" s="10" t="s">
        <v>30</v>
      </c>
      <c r="AY232" s="76" t="s">
        <v>30</v>
      </c>
      <c r="AZ232" s="30" t="s">
        <v>26</v>
      </c>
      <c r="BA232" s="23" t="s">
        <v>151</v>
      </c>
      <c r="BB232" s="30" t="s">
        <v>34</v>
      </c>
      <c r="BC232" s="22"/>
    </row>
    <row r="233" spans="1:55" x14ac:dyDescent="0.25">
      <c r="A233" s="10">
        <f t="shared" si="8"/>
        <v>232</v>
      </c>
      <c r="B233" s="25" t="s">
        <v>3505</v>
      </c>
      <c r="C233" s="30" t="s">
        <v>34</v>
      </c>
      <c r="D233" s="71">
        <v>401140</v>
      </c>
      <c r="E233" s="72" t="s">
        <v>36</v>
      </c>
      <c r="F233" s="14" t="s">
        <v>3506</v>
      </c>
      <c r="G233" s="25">
        <v>6</v>
      </c>
      <c r="H233" s="74">
        <v>0.41666666666666669</v>
      </c>
      <c r="I233" s="74">
        <v>0.75</v>
      </c>
      <c r="J233" s="74">
        <v>0.33333333333333331</v>
      </c>
      <c r="K233" s="21" t="s">
        <v>147</v>
      </c>
      <c r="L233" s="75" t="s">
        <v>30</v>
      </c>
      <c r="M233" s="75" t="s">
        <v>3507</v>
      </c>
      <c r="N233" s="23" t="s">
        <v>3508</v>
      </c>
      <c r="O233" s="35" t="s">
        <v>1357</v>
      </c>
      <c r="P233" s="246">
        <v>45623</v>
      </c>
      <c r="Q233" s="247">
        <v>45623</v>
      </c>
      <c r="R233" s="247">
        <v>46352</v>
      </c>
      <c r="S233" s="247">
        <v>46353</v>
      </c>
      <c r="T233" s="25">
        <v>2013</v>
      </c>
      <c r="U233" s="75" t="s">
        <v>534</v>
      </c>
      <c r="V233" s="25">
        <v>2019</v>
      </c>
      <c r="W233" s="73" t="s">
        <v>209</v>
      </c>
      <c r="X233" s="72" t="s">
        <v>30</v>
      </c>
      <c r="Y233" s="73" t="s">
        <v>1360</v>
      </c>
      <c r="Z233" s="76" t="s">
        <v>3509</v>
      </c>
      <c r="AA233" s="23" t="s">
        <v>1841</v>
      </c>
      <c r="AB233" s="161">
        <v>45537</v>
      </c>
      <c r="AC233" s="161">
        <v>47362</v>
      </c>
      <c r="AD233" s="284">
        <v>8790032022</v>
      </c>
      <c r="AE233" s="272" t="s">
        <v>3510</v>
      </c>
      <c r="AF233" s="30" t="s">
        <v>1430</v>
      </c>
      <c r="AG233" s="249" t="s">
        <v>3511</v>
      </c>
      <c r="AH233" s="72" t="s">
        <v>3512</v>
      </c>
      <c r="AI233" s="72" t="s">
        <v>3513</v>
      </c>
      <c r="AJ233" s="249" t="s">
        <v>3514</v>
      </c>
      <c r="AK233" s="75" t="s">
        <v>3515</v>
      </c>
      <c r="AL233" s="250"/>
      <c r="AM233" s="250"/>
      <c r="AN233" s="38"/>
      <c r="AO233" s="38" t="s">
        <v>3516</v>
      </c>
      <c r="AP233" s="25">
        <f t="shared" ca="1" si="7"/>
        <v>35</v>
      </c>
      <c r="AQ233" s="38"/>
      <c r="AR233" s="73"/>
      <c r="AS233" s="250"/>
      <c r="AT233" s="250"/>
      <c r="AU233" s="252">
        <v>32978</v>
      </c>
      <c r="AV233" s="72" t="s">
        <v>1389</v>
      </c>
      <c r="AW233" s="72" t="s">
        <v>68</v>
      </c>
      <c r="AX233" s="25">
        <v>8</v>
      </c>
      <c r="AY233" s="76" t="s">
        <v>1849</v>
      </c>
      <c r="AZ233" s="30" t="s">
        <v>1373</v>
      </c>
      <c r="BA233" s="23" t="s">
        <v>151</v>
      </c>
      <c r="BB233" s="30" t="s">
        <v>34</v>
      </c>
      <c r="BC233" s="22"/>
    </row>
    <row r="234" spans="1:55" x14ac:dyDescent="0.25">
      <c r="A234" s="10">
        <f t="shared" si="8"/>
        <v>233</v>
      </c>
      <c r="B234" s="25" t="s">
        <v>764</v>
      </c>
      <c r="C234" s="30" t="s">
        <v>34</v>
      </c>
      <c r="D234" s="71">
        <v>401141</v>
      </c>
      <c r="E234" s="72" t="s">
        <v>192</v>
      </c>
      <c r="F234" s="14" t="s">
        <v>765</v>
      </c>
      <c r="G234" s="25"/>
      <c r="H234" s="74"/>
      <c r="I234" s="74"/>
      <c r="J234" s="74"/>
      <c r="K234" s="21" t="s">
        <v>334</v>
      </c>
      <c r="L234" s="75" t="s">
        <v>623</v>
      </c>
      <c r="M234" s="75" t="s">
        <v>26</v>
      </c>
      <c r="N234" s="23" t="s">
        <v>38</v>
      </c>
      <c r="O234" s="23" t="s">
        <v>1321</v>
      </c>
      <c r="P234" s="289">
        <v>45627</v>
      </c>
      <c r="Q234" s="289">
        <v>45627</v>
      </c>
      <c r="R234" s="289">
        <v>46356</v>
      </c>
      <c r="S234" s="289">
        <v>46357</v>
      </c>
      <c r="T234" s="25">
        <v>2010</v>
      </c>
      <c r="U234" s="75" t="s">
        <v>766</v>
      </c>
      <c r="V234" s="25">
        <v>2013</v>
      </c>
      <c r="W234" s="38" t="s">
        <v>766</v>
      </c>
      <c r="X234" s="25" t="s">
        <v>30</v>
      </c>
      <c r="Y234" s="38" t="s">
        <v>394</v>
      </c>
      <c r="Z234" s="76" t="s">
        <v>3517</v>
      </c>
      <c r="AA234" s="38" t="s">
        <v>1344</v>
      </c>
      <c r="AB234" s="161">
        <v>40305</v>
      </c>
      <c r="AC234" s="161">
        <v>47610</v>
      </c>
      <c r="AD234" s="279">
        <v>8368039328</v>
      </c>
      <c r="AE234" s="255" t="s">
        <v>767</v>
      </c>
      <c r="AF234" s="30" t="s">
        <v>1430</v>
      </c>
      <c r="AG234" s="249" t="s">
        <v>3518</v>
      </c>
      <c r="AH234" s="72" t="s">
        <v>3519</v>
      </c>
      <c r="AI234" s="72" t="s">
        <v>3520</v>
      </c>
      <c r="AJ234" s="249" t="s">
        <v>3521</v>
      </c>
      <c r="AK234" s="75" t="s">
        <v>3522</v>
      </c>
      <c r="AL234" s="250"/>
      <c r="AM234" s="250"/>
      <c r="AN234" s="38"/>
      <c r="AO234" s="38" t="s">
        <v>3523</v>
      </c>
      <c r="AP234" s="25">
        <f t="shared" ca="1" si="7"/>
        <v>39</v>
      </c>
      <c r="AQ234" s="35" t="s">
        <v>1605</v>
      </c>
      <c r="AR234" s="73" t="s">
        <v>3524</v>
      </c>
      <c r="AS234" s="250">
        <v>45569</v>
      </c>
      <c r="AT234" s="250">
        <v>46298</v>
      </c>
      <c r="AU234" s="252">
        <v>31564</v>
      </c>
      <c r="AV234" s="72" t="s">
        <v>1389</v>
      </c>
      <c r="AW234" s="31" t="s">
        <v>32</v>
      </c>
      <c r="AX234" s="10" t="s">
        <v>30</v>
      </c>
      <c r="AY234" s="76" t="s">
        <v>30</v>
      </c>
      <c r="AZ234" s="30" t="s">
        <v>26</v>
      </c>
      <c r="BA234" s="23" t="s">
        <v>151</v>
      </c>
      <c r="BB234" s="30" t="s">
        <v>34</v>
      </c>
      <c r="BC234" s="22"/>
    </row>
    <row r="235" spans="1:55" x14ac:dyDescent="0.25">
      <c r="A235" s="10">
        <f t="shared" si="8"/>
        <v>234</v>
      </c>
      <c r="B235" s="25" t="s">
        <v>768</v>
      </c>
      <c r="C235" s="30" t="s">
        <v>34</v>
      </c>
      <c r="D235" s="71">
        <v>401145</v>
      </c>
      <c r="E235" s="72" t="s">
        <v>36</v>
      </c>
      <c r="F235" s="14" t="s">
        <v>769</v>
      </c>
      <c r="G235" s="25">
        <v>6</v>
      </c>
      <c r="H235" s="74">
        <v>0.375</v>
      </c>
      <c r="I235" s="74">
        <v>0.58333333333333337</v>
      </c>
      <c r="J235" s="74">
        <v>0.20833333333333334</v>
      </c>
      <c r="K235" s="21" t="s">
        <v>770</v>
      </c>
      <c r="L235" s="75" t="s">
        <v>771</v>
      </c>
      <c r="M235" s="75" t="s">
        <v>26</v>
      </c>
      <c r="N235" s="23" t="s">
        <v>38</v>
      </c>
      <c r="O235" s="23" t="s">
        <v>1321</v>
      </c>
      <c r="P235" s="246">
        <v>45630</v>
      </c>
      <c r="Q235" s="247">
        <v>45630</v>
      </c>
      <c r="R235" s="247">
        <v>46359</v>
      </c>
      <c r="S235" s="247">
        <v>46360</v>
      </c>
      <c r="T235" s="25">
        <v>1967</v>
      </c>
      <c r="U235" s="76" t="s">
        <v>552</v>
      </c>
      <c r="V235" s="25">
        <v>1983</v>
      </c>
      <c r="W235" s="76" t="s">
        <v>135</v>
      </c>
      <c r="X235" s="72" t="s">
        <v>30</v>
      </c>
      <c r="Y235" s="38" t="s">
        <v>49</v>
      </c>
      <c r="Z235" s="76" t="s">
        <v>3525</v>
      </c>
      <c r="AA235" s="23" t="s">
        <v>1841</v>
      </c>
      <c r="AB235" s="161">
        <v>44937</v>
      </c>
      <c r="AC235" s="161">
        <v>46762</v>
      </c>
      <c r="AD235" s="279">
        <v>9440223797</v>
      </c>
      <c r="AE235" s="255" t="s">
        <v>772</v>
      </c>
      <c r="AF235" s="75" t="s">
        <v>1690</v>
      </c>
      <c r="AG235" s="249" t="s">
        <v>3526</v>
      </c>
      <c r="AH235" s="72" t="s">
        <v>3527</v>
      </c>
      <c r="AI235" s="72" t="s">
        <v>3528</v>
      </c>
      <c r="AJ235" s="249" t="s">
        <v>3529</v>
      </c>
      <c r="AK235" s="75" t="s">
        <v>3530</v>
      </c>
      <c r="AL235" s="250"/>
      <c r="AM235" s="250"/>
      <c r="AN235" s="38"/>
      <c r="AO235" s="38" t="s">
        <v>3531</v>
      </c>
      <c r="AP235" s="25">
        <f t="shared" ref="AP235:AP275" ca="1" si="9">ROUNDDOWN((TODAY() -AU235)/365.25,0)</f>
        <v>83</v>
      </c>
      <c r="AQ235" s="38" t="s">
        <v>1605</v>
      </c>
      <c r="AR235" s="285" t="s">
        <v>3532</v>
      </c>
      <c r="AS235" s="250">
        <v>45641</v>
      </c>
      <c r="AT235" s="250">
        <v>46006</v>
      </c>
      <c r="AU235" s="252">
        <v>15533</v>
      </c>
      <c r="AV235" s="72" t="s">
        <v>1352</v>
      </c>
      <c r="AW235" s="72" t="s">
        <v>32</v>
      </c>
      <c r="AX235" s="25">
        <v>5</v>
      </c>
      <c r="AY235" s="76" t="s">
        <v>2006</v>
      </c>
      <c r="AZ235" s="30" t="s">
        <v>26</v>
      </c>
      <c r="BA235" s="23" t="s">
        <v>151</v>
      </c>
      <c r="BB235" s="30" t="s">
        <v>34</v>
      </c>
      <c r="BC235" s="22"/>
    </row>
    <row r="236" spans="1:55" x14ac:dyDescent="0.25">
      <c r="A236" s="10">
        <f t="shared" si="8"/>
        <v>235</v>
      </c>
      <c r="B236" s="25" t="s">
        <v>773</v>
      </c>
      <c r="C236" s="30" t="s">
        <v>34</v>
      </c>
      <c r="D236" s="71">
        <v>401147</v>
      </c>
      <c r="E236" s="72" t="s">
        <v>268</v>
      </c>
      <c r="F236" s="14" t="s">
        <v>774</v>
      </c>
      <c r="G236" s="25">
        <v>6</v>
      </c>
      <c r="H236" s="74">
        <v>0.47916666666666669</v>
      </c>
      <c r="I236" s="74">
        <v>0.8125</v>
      </c>
      <c r="J236" s="74">
        <v>0.33333333333333331</v>
      </c>
      <c r="K236" s="21" t="s">
        <v>411</v>
      </c>
      <c r="L236" s="75" t="s">
        <v>315</v>
      </c>
      <c r="M236" s="75" t="s">
        <v>26</v>
      </c>
      <c r="N236" s="23" t="s">
        <v>38</v>
      </c>
      <c r="O236" s="23" t="s">
        <v>1321</v>
      </c>
      <c r="P236" s="246">
        <v>45637</v>
      </c>
      <c r="Q236" s="247">
        <v>45637</v>
      </c>
      <c r="R236" s="247">
        <v>46366</v>
      </c>
      <c r="S236" s="247">
        <v>46367</v>
      </c>
      <c r="T236" s="25">
        <v>2016</v>
      </c>
      <c r="U236" s="76" t="s">
        <v>306</v>
      </c>
      <c r="V236" s="25">
        <v>2021</v>
      </c>
      <c r="W236" s="76" t="s">
        <v>775</v>
      </c>
      <c r="X236" s="72" t="s">
        <v>30</v>
      </c>
      <c r="Y236" s="38" t="s">
        <v>49</v>
      </c>
      <c r="Z236" s="76" t="s">
        <v>3533</v>
      </c>
      <c r="AA236" s="38" t="s">
        <v>1886</v>
      </c>
      <c r="AB236" s="161">
        <v>44846</v>
      </c>
      <c r="AC236" s="161">
        <v>46671</v>
      </c>
      <c r="AD236" s="25">
        <v>9542321333</v>
      </c>
      <c r="AE236" s="248" t="s">
        <v>776</v>
      </c>
      <c r="AF236" s="30" t="s">
        <v>1430</v>
      </c>
      <c r="AG236" s="249" t="s">
        <v>3534</v>
      </c>
      <c r="AH236" s="72" t="s">
        <v>2965</v>
      </c>
      <c r="AI236" s="72" t="s">
        <v>3535</v>
      </c>
      <c r="AJ236" s="249" t="s">
        <v>3536</v>
      </c>
      <c r="AK236" s="75" t="s">
        <v>3537</v>
      </c>
      <c r="AL236" s="250"/>
      <c r="AM236" s="250"/>
      <c r="AN236" s="38"/>
      <c r="AO236" s="38" t="s">
        <v>3538</v>
      </c>
      <c r="AP236" s="25">
        <f t="shared" ca="1" si="9"/>
        <v>32</v>
      </c>
      <c r="AQ236" s="192" t="s">
        <v>1677</v>
      </c>
      <c r="AR236" s="285" t="s">
        <v>3539</v>
      </c>
      <c r="AS236" s="166">
        <v>45903</v>
      </c>
      <c r="AT236" s="166">
        <v>46267</v>
      </c>
      <c r="AU236" s="252">
        <v>33938</v>
      </c>
      <c r="AV236" s="72" t="s">
        <v>1389</v>
      </c>
      <c r="AW236" s="72" t="s">
        <v>68</v>
      </c>
      <c r="AX236" s="25">
        <v>8</v>
      </c>
      <c r="AY236" s="76" t="s">
        <v>1920</v>
      </c>
      <c r="AZ236" s="30" t="s">
        <v>26</v>
      </c>
      <c r="BA236" s="23" t="s">
        <v>151</v>
      </c>
      <c r="BB236" s="30" t="s">
        <v>34</v>
      </c>
      <c r="BC236" s="22"/>
    </row>
    <row r="237" spans="1:55" x14ac:dyDescent="0.25">
      <c r="A237" s="10">
        <f t="shared" si="8"/>
        <v>236</v>
      </c>
      <c r="B237" s="31" t="s">
        <v>777</v>
      </c>
      <c r="C237" s="30" t="s">
        <v>34</v>
      </c>
      <c r="D237" s="80">
        <v>401256</v>
      </c>
      <c r="E237" s="40" t="s">
        <v>192</v>
      </c>
      <c r="F237" s="14" t="s">
        <v>778</v>
      </c>
      <c r="G237" s="64"/>
      <c r="H237" s="66"/>
      <c r="I237" s="66"/>
      <c r="J237" s="66"/>
      <c r="K237" s="21" t="s">
        <v>334</v>
      </c>
      <c r="L237" s="59" t="s">
        <v>779</v>
      </c>
      <c r="M237" s="30" t="s">
        <v>26</v>
      </c>
      <c r="N237" s="23" t="s">
        <v>38</v>
      </c>
      <c r="O237" s="23" t="s">
        <v>1321</v>
      </c>
      <c r="P237" s="258">
        <v>45814</v>
      </c>
      <c r="Q237" s="258">
        <v>45814</v>
      </c>
      <c r="R237" s="258">
        <v>46543</v>
      </c>
      <c r="S237" s="258">
        <v>46544</v>
      </c>
      <c r="T237" s="79">
        <v>2019</v>
      </c>
      <c r="U237" s="59" t="s">
        <v>515</v>
      </c>
      <c r="V237" s="64">
        <v>2023</v>
      </c>
      <c r="W237" s="59" t="s">
        <v>780</v>
      </c>
      <c r="X237" s="64" t="s">
        <v>30</v>
      </c>
      <c r="Y237" s="35" t="s">
        <v>49</v>
      </c>
      <c r="Z237" s="59" t="s">
        <v>3540</v>
      </c>
      <c r="AA237" s="23" t="s">
        <v>1841</v>
      </c>
      <c r="AB237" s="161">
        <v>45694</v>
      </c>
      <c r="AC237" s="161">
        <v>47519</v>
      </c>
      <c r="AD237" s="87">
        <v>8977156991</v>
      </c>
      <c r="AE237" s="264" t="s">
        <v>781</v>
      </c>
      <c r="AF237" s="30" t="s">
        <v>1410</v>
      </c>
      <c r="AG237" s="221" t="s">
        <v>3541</v>
      </c>
      <c r="AH237" s="31" t="s">
        <v>3542</v>
      </c>
      <c r="AI237" s="31" t="s">
        <v>3543</v>
      </c>
      <c r="AJ237" s="221" t="s">
        <v>3544</v>
      </c>
      <c r="AK237" s="30" t="s">
        <v>3545</v>
      </c>
      <c r="AL237" s="210"/>
      <c r="AM237" s="210"/>
      <c r="AN237" s="35"/>
      <c r="AO237" s="35" t="s">
        <v>3546</v>
      </c>
      <c r="AP237" s="10">
        <f t="shared" ca="1" si="9"/>
        <v>30</v>
      </c>
      <c r="AQ237" s="30" t="s">
        <v>1605</v>
      </c>
      <c r="AR237" s="232" t="s">
        <v>3547</v>
      </c>
      <c r="AS237" s="166">
        <v>45940</v>
      </c>
      <c r="AT237" s="166">
        <v>46304</v>
      </c>
      <c r="AU237" s="273">
        <v>34967</v>
      </c>
      <c r="AV237" s="64" t="s">
        <v>1389</v>
      </c>
      <c r="AW237" s="31" t="s">
        <v>32</v>
      </c>
      <c r="AX237" s="10" t="s">
        <v>30</v>
      </c>
      <c r="AY237" s="76" t="s">
        <v>30</v>
      </c>
      <c r="AZ237" s="30" t="s">
        <v>26</v>
      </c>
      <c r="BA237" s="23" t="s">
        <v>151</v>
      </c>
      <c r="BB237" s="30" t="s">
        <v>34</v>
      </c>
      <c r="BC237" s="22"/>
    </row>
    <row r="238" spans="1:55" x14ac:dyDescent="0.25">
      <c r="A238" s="10">
        <f t="shared" si="8"/>
        <v>237</v>
      </c>
      <c r="B238" s="25" t="s">
        <v>782</v>
      </c>
      <c r="C238" s="30" t="s">
        <v>34</v>
      </c>
      <c r="D238" s="71">
        <v>401149</v>
      </c>
      <c r="E238" s="72" t="s">
        <v>36</v>
      </c>
      <c r="F238" s="14" t="s">
        <v>783</v>
      </c>
      <c r="G238" s="25">
        <v>6</v>
      </c>
      <c r="H238" s="74">
        <v>0.375</v>
      </c>
      <c r="I238" s="74">
        <v>0.70833333333333337</v>
      </c>
      <c r="J238" s="74">
        <v>0.33333333333333331</v>
      </c>
      <c r="K238" s="21" t="s">
        <v>784</v>
      </c>
      <c r="L238" s="75" t="s">
        <v>785</v>
      </c>
      <c r="M238" s="75" t="s">
        <v>26</v>
      </c>
      <c r="N238" s="23" t="s">
        <v>38</v>
      </c>
      <c r="O238" s="23" t="s">
        <v>1321</v>
      </c>
      <c r="P238" s="246">
        <v>45642</v>
      </c>
      <c r="Q238" s="247">
        <v>45642</v>
      </c>
      <c r="R238" s="247">
        <v>46371</v>
      </c>
      <c r="S238" s="247">
        <v>46372</v>
      </c>
      <c r="T238" s="25">
        <v>2018</v>
      </c>
      <c r="U238" s="76" t="s">
        <v>343</v>
      </c>
      <c r="V238" s="25">
        <v>2023</v>
      </c>
      <c r="W238" s="76" t="s">
        <v>786</v>
      </c>
      <c r="X238" s="72" t="s">
        <v>30</v>
      </c>
      <c r="Y238" s="38" t="s">
        <v>49</v>
      </c>
      <c r="Z238" s="76" t="s">
        <v>3548</v>
      </c>
      <c r="AA238" s="38" t="s">
        <v>1886</v>
      </c>
      <c r="AB238" s="161">
        <v>45623</v>
      </c>
      <c r="AC238" s="161">
        <v>47448</v>
      </c>
      <c r="AD238" s="25" t="s">
        <v>787</v>
      </c>
      <c r="AE238" s="248" t="s">
        <v>788</v>
      </c>
      <c r="AF238" s="28" t="s">
        <v>1495</v>
      </c>
      <c r="AG238" s="249" t="s">
        <v>3549</v>
      </c>
      <c r="AH238" s="72" t="s">
        <v>3550</v>
      </c>
      <c r="AI238" s="72" t="s">
        <v>3551</v>
      </c>
      <c r="AJ238" s="249" t="s">
        <v>3552</v>
      </c>
      <c r="AK238" s="75" t="s">
        <v>3553</v>
      </c>
      <c r="AL238" s="250"/>
      <c r="AM238" s="250"/>
      <c r="AN238" s="38"/>
      <c r="AO238" s="38" t="s">
        <v>3554</v>
      </c>
      <c r="AP238" s="25">
        <f t="shared" ca="1" si="9"/>
        <v>29</v>
      </c>
      <c r="AQ238" s="38"/>
      <c r="AR238" s="73"/>
      <c r="AS238" s="250"/>
      <c r="AT238" s="250"/>
      <c r="AU238" s="252">
        <v>35022</v>
      </c>
      <c r="AV238" s="72" t="s">
        <v>1389</v>
      </c>
      <c r="AW238" s="72" t="s">
        <v>68</v>
      </c>
      <c r="AX238" s="25">
        <v>8</v>
      </c>
      <c r="AY238" s="76" t="s">
        <v>2262</v>
      </c>
      <c r="AZ238" s="30" t="s">
        <v>26</v>
      </c>
      <c r="BA238" s="23" t="s">
        <v>151</v>
      </c>
      <c r="BB238" s="30" t="s">
        <v>34</v>
      </c>
      <c r="BC238" s="22"/>
    </row>
    <row r="239" spans="1:55" x14ac:dyDescent="0.25">
      <c r="A239" s="10">
        <f t="shared" si="8"/>
        <v>238</v>
      </c>
      <c r="B239" s="25" t="s">
        <v>789</v>
      </c>
      <c r="C239" s="30" t="s">
        <v>34</v>
      </c>
      <c r="D239" s="71">
        <v>401151</v>
      </c>
      <c r="E239" s="72" t="s">
        <v>36</v>
      </c>
      <c r="F239" s="14" t="s">
        <v>790</v>
      </c>
      <c r="G239" s="25">
        <v>6</v>
      </c>
      <c r="H239" s="74">
        <v>0.35416666666666669</v>
      </c>
      <c r="I239" s="74">
        <v>0.5625</v>
      </c>
      <c r="J239" s="74">
        <v>0.20833333333333334</v>
      </c>
      <c r="K239" s="21" t="s">
        <v>791</v>
      </c>
      <c r="L239" s="75" t="s">
        <v>792</v>
      </c>
      <c r="M239" s="75" t="s">
        <v>26</v>
      </c>
      <c r="N239" s="23" t="s">
        <v>38</v>
      </c>
      <c r="O239" s="23" t="s">
        <v>1321</v>
      </c>
      <c r="P239" s="246">
        <v>45642</v>
      </c>
      <c r="Q239" s="247">
        <v>45642</v>
      </c>
      <c r="R239" s="247">
        <v>46371</v>
      </c>
      <c r="S239" s="247">
        <v>46372</v>
      </c>
      <c r="T239" s="25">
        <v>2016</v>
      </c>
      <c r="U239" s="76" t="s">
        <v>163</v>
      </c>
      <c r="V239" s="25">
        <v>2021</v>
      </c>
      <c r="W239" s="76" t="s">
        <v>406</v>
      </c>
      <c r="X239" s="72" t="s">
        <v>30</v>
      </c>
      <c r="Y239" s="38" t="s">
        <v>49</v>
      </c>
      <c r="Z239" s="76" t="s">
        <v>3555</v>
      </c>
      <c r="AA239" s="23" t="s">
        <v>1841</v>
      </c>
      <c r="AB239" s="161">
        <v>44855</v>
      </c>
      <c r="AC239" s="161">
        <v>46680</v>
      </c>
      <c r="AD239" s="25">
        <v>9515925307</v>
      </c>
      <c r="AE239" s="248" t="s">
        <v>793</v>
      </c>
      <c r="AF239" s="30" t="s">
        <v>1430</v>
      </c>
      <c r="AG239" s="249" t="s">
        <v>3556</v>
      </c>
      <c r="AH239" s="72" t="s">
        <v>3557</v>
      </c>
      <c r="AI239" s="72" t="s">
        <v>3558</v>
      </c>
      <c r="AJ239" s="249" t="s">
        <v>3559</v>
      </c>
      <c r="AK239" s="75" t="s">
        <v>3560</v>
      </c>
      <c r="AL239" s="250"/>
      <c r="AM239" s="250"/>
      <c r="AN239" s="38"/>
      <c r="AO239" s="38" t="s">
        <v>3561</v>
      </c>
      <c r="AP239" s="25">
        <f t="shared" ca="1" si="9"/>
        <v>32</v>
      </c>
      <c r="AQ239" s="38"/>
      <c r="AR239" s="73"/>
      <c r="AS239" s="250"/>
      <c r="AT239" s="250"/>
      <c r="AU239" s="252">
        <v>34127</v>
      </c>
      <c r="AV239" s="72" t="s">
        <v>1389</v>
      </c>
      <c r="AW239" s="72" t="s">
        <v>32</v>
      </c>
      <c r="AX239" s="25">
        <v>5</v>
      </c>
      <c r="AY239" s="76" t="s">
        <v>1959</v>
      </c>
      <c r="AZ239" s="30" t="s">
        <v>26</v>
      </c>
      <c r="BA239" s="23" t="s">
        <v>151</v>
      </c>
      <c r="BB239" s="30" t="s">
        <v>34</v>
      </c>
      <c r="BC239" s="22"/>
    </row>
    <row r="240" spans="1:55" x14ac:dyDescent="0.25">
      <c r="A240" s="10">
        <f t="shared" si="8"/>
        <v>239</v>
      </c>
      <c r="B240" s="25" t="s">
        <v>789</v>
      </c>
      <c r="C240" s="30" t="s">
        <v>34</v>
      </c>
      <c r="D240" s="71">
        <v>401152</v>
      </c>
      <c r="E240" s="72" t="s">
        <v>36</v>
      </c>
      <c r="F240" s="14" t="s">
        <v>790</v>
      </c>
      <c r="G240" s="25">
        <v>6</v>
      </c>
      <c r="H240" s="74">
        <v>0.66666666666666663</v>
      </c>
      <c r="I240" s="74">
        <v>0.75</v>
      </c>
      <c r="J240" s="74">
        <v>8.3333333333333329E-2</v>
      </c>
      <c r="K240" s="21" t="s">
        <v>275</v>
      </c>
      <c r="L240" s="75" t="s">
        <v>792</v>
      </c>
      <c r="M240" s="75" t="s">
        <v>26</v>
      </c>
      <c r="N240" s="23" t="s">
        <v>38</v>
      </c>
      <c r="O240" s="23" t="s">
        <v>1321</v>
      </c>
      <c r="P240" s="246">
        <v>45642</v>
      </c>
      <c r="Q240" s="247">
        <v>45905</v>
      </c>
      <c r="R240" s="247">
        <v>46371</v>
      </c>
      <c r="S240" s="247">
        <v>46372</v>
      </c>
      <c r="T240" s="25">
        <v>2016</v>
      </c>
      <c r="U240" s="76" t="s">
        <v>163</v>
      </c>
      <c r="V240" s="25">
        <v>2021</v>
      </c>
      <c r="W240" s="76" t="s">
        <v>406</v>
      </c>
      <c r="X240" s="72" t="s">
        <v>30</v>
      </c>
      <c r="Y240" s="38" t="s">
        <v>49</v>
      </c>
      <c r="Z240" s="76" t="s">
        <v>3555</v>
      </c>
      <c r="AA240" s="23" t="s">
        <v>1841</v>
      </c>
      <c r="AB240" s="161">
        <v>44855</v>
      </c>
      <c r="AC240" s="161">
        <v>46680</v>
      </c>
      <c r="AD240" s="25">
        <v>9515925307</v>
      </c>
      <c r="AE240" s="248" t="s">
        <v>793</v>
      </c>
      <c r="AF240" s="30" t="s">
        <v>1430</v>
      </c>
      <c r="AG240" s="249" t="s">
        <v>3556</v>
      </c>
      <c r="AH240" s="72" t="s">
        <v>3557</v>
      </c>
      <c r="AI240" s="72" t="s">
        <v>3558</v>
      </c>
      <c r="AJ240" s="249" t="s">
        <v>3559</v>
      </c>
      <c r="AK240" s="75" t="s">
        <v>3560</v>
      </c>
      <c r="AL240" s="250"/>
      <c r="AM240" s="250"/>
      <c r="AN240" s="38"/>
      <c r="AO240" s="38" t="s">
        <v>3561</v>
      </c>
      <c r="AP240" s="25">
        <f t="shared" ca="1" si="9"/>
        <v>32</v>
      </c>
      <c r="AQ240" s="38"/>
      <c r="AR240" s="73"/>
      <c r="AS240" s="250"/>
      <c r="AT240" s="250"/>
      <c r="AU240" s="252">
        <v>34127</v>
      </c>
      <c r="AV240" s="72" t="s">
        <v>1389</v>
      </c>
      <c r="AW240" s="72" t="s">
        <v>32</v>
      </c>
      <c r="AX240" s="25">
        <v>2</v>
      </c>
      <c r="AY240" s="76" t="s">
        <v>1959</v>
      </c>
      <c r="AZ240" s="30" t="s">
        <v>26</v>
      </c>
      <c r="BA240" s="23" t="s">
        <v>151</v>
      </c>
      <c r="BB240" s="30" t="s">
        <v>34</v>
      </c>
      <c r="BC240" s="22"/>
    </row>
    <row r="241" spans="1:55" x14ac:dyDescent="0.25">
      <c r="A241" s="10">
        <f t="shared" si="8"/>
        <v>240</v>
      </c>
      <c r="B241" s="25" t="s">
        <v>3562</v>
      </c>
      <c r="C241" s="30" t="s">
        <v>34</v>
      </c>
      <c r="D241" s="71">
        <v>401153</v>
      </c>
      <c r="E241" s="72" t="s">
        <v>36</v>
      </c>
      <c r="F241" s="14" t="s">
        <v>2239</v>
      </c>
      <c r="G241" s="25">
        <v>6</v>
      </c>
      <c r="H241" s="74">
        <v>0.33333333333333331</v>
      </c>
      <c r="I241" s="74">
        <v>0.875</v>
      </c>
      <c r="J241" s="95">
        <v>0.33333333333333331</v>
      </c>
      <c r="K241" s="21" t="s">
        <v>826</v>
      </c>
      <c r="L241" s="75" t="s">
        <v>30</v>
      </c>
      <c r="M241" s="75" t="s">
        <v>1355</v>
      </c>
      <c r="N241" s="23" t="s">
        <v>1356</v>
      </c>
      <c r="O241" s="35" t="s">
        <v>1357</v>
      </c>
      <c r="P241" s="246">
        <v>45649</v>
      </c>
      <c r="Q241" s="247">
        <v>45649</v>
      </c>
      <c r="R241" s="247">
        <v>46378</v>
      </c>
      <c r="S241" s="247">
        <v>46379</v>
      </c>
      <c r="T241" s="25">
        <v>2015</v>
      </c>
      <c r="U241" s="76" t="s">
        <v>3563</v>
      </c>
      <c r="V241" s="25">
        <v>2021</v>
      </c>
      <c r="W241" s="76" t="s">
        <v>3564</v>
      </c>
      <c r="X241" s="72" t="s">
        <v>30</v>
      </c>
      <c r="Y241" s="73" t="s">
        <v>1360</v>
      </c>
      <c r="Z241" s="76" t="s">
        <v>3565</v>
      </c>
      <c r="AA241" s="38" t="s">
        <v>2910</v>
      </c>
      <c r="AB241" s="161">
        <v>45672</v>
      </c>
      <c r="AC241" s="161">
        <v>47497</v>
      </c>
      <c r="AD241" s="284">
        <v>9638824893</v>
      </c>
      <c r="AE241" s="272" t="s">
        <v>3566</v>
      </c>
      <c r="AF241" s="30" t="s">
        <v>1410</v>
      </c>
      <c r="AG241" s="249" t="s">
        <v>3567</v>
      </c>
      <c r="AH241" s="72" t="s">
        <v>3568</v>
      </c>
      <c r="AI241" s="72" t="s">
        <v>3569</v>
      </c>
      <c r="AJ241" s="249" t="s">
        <v>3570</v>
      </c>
      <c r="AK241" s="75" t="s">
        <v>3571</v>
      </c>
      <c r="AL241" s="250"/>
      <c r="AM241" s="250"/>
      <c r="AN241" s="38"/>
      <c r="AO241" s="38" t="s">
        <v>3572</v>
      </c>
      <c r="AP241" s="25">
        <f t="shared" ca="1" si="9"/>
        <v>32</v>
      </c>
      <c r="AQ241" s="38"/>
      <c r="AR241" s="73"/>
      <c r="AS241" s="250"/>
      <c r="AT241" s="250"/>
      <c r="AU241" s="252">
        <v>34137</v>
      </c>
      <c r="AV241" s="72" t="s">
        <v>1389</v>
      </c>
      <c r="AW241" s="72" t="s">
        <v>68</v>
      </c>
      <c r="AX241" s="25">
        <v>8</v>
      </c>
      <c r="AY241" s="76" t="s">
        <v>2251</v>
      </c>
      <c r="AZ241" s="30" t="s">
        <v>1373</v>
      </c>
      <c r="BA241" s="23" t="s">
        <v>151</v>
      </c>
      <c r="BB241" s="30" t="s">
        <v>34</v>
      </c>
      <c r="BC241" s="22"/>
    </row>
    <row r="242" spans="1:55" x14ac:dyDescent="0.25">
      <c r="A242" s="10">
        <f t="shared" si="8"/>
        <v>241</v>
      </c>
      <c r="B242" s="25" t="s">
        <v>794</v>
      </c>
      <c r="C242" s="30" t="s">
        <v>34</v>
      </c>
      <c r="D242" s="71">
        <v>401154</v>
      </c>
      <c r="E242" s="72" t="s">
        <v>36</v>
      </c>
      <c r="F242" s="14" t="s">
        <v>795</v>
      </c>
      <c r="G242" s="25">
        <v>6</v>
      </c>
      <c r="H242" s="74">
        <v>0.33333333333333331</v>
      </c>
      <c r="I242" s="74">
        <v>0.4375</v>
      </c>
      <c r="J242" s="74">
        <v>0.10416666666666667</v>
      </c>
      <c r="K242" s="21" t="s">
        <v>796</v>
      </c>
      <c r="L242" s="75" t="s">
        <v>797</v>
      </c>
      <c r="M242" s="75" t="s">
        <v>26</v>
      </c>
      <c r="N242" s="23" t="s">
        <v>38</v>
      </c>
      <c r="O242" s="23" t="s">
        <v>1321</v>
      </c>
      <c r="P242" s="246">
        <v>45649</v>
      </c>
      <c r="Q242" s="247">
        <v>45649</v>
      </c>
      <c r="R242" s="247">
        <v>46378</v>
      </c>
      <c r="S242" s="247">
        <v>46379</v>
      </c>
      <c r="T242" s="25">
        <v>2013</v>
      </c>
      <c r="U242" s="76" t="s">
        <v>223</v>
      </c>
      <c r="V242" s="25">
        <v>2019</v>
      </c>
      <c r="W242" s="76" t="s">
        <v>798</v>
      </c>
      <c r="X242" s="72" t="s">
        <v>30</v>
      </c>
      <c r="Y242" s="38" t="s">
        <v>49</v>
      </c>
      <c r="Z242" s="76" t="s">
        <v>3573</v>
      </c>
      <c r="AA242" s="23" t="s">
        <v>1841</v>
      </c>
      <c r="AB242" s="161">
        <v>45945</v>
      </c>
      <c r="AC242" s="161">
        <v>47772</v>
      </c>
      <c r="AD242" s="25">
        <v>9849384957</v>
      </c>
      <c r="AE242" s="248" t="s">
        <v>799</v>
      </c>
      <c r="AF242" s="30" t="s">
        <v>1410</v>
      </c>
      <c r="AG242" s="249" t="s">
        <v>3574</v>
      </c>
      <c r="AH242" s="72" t="s">
        <v>3575</v>
      </c>
      <c r="AI242" s="72" t="s">
        <v>3576</v>
      </c>
      <c r="AJ242" s="249" t="s">
        <v>3577</v>
      </c>
      <c r="AK242" s="75" t="s">
        <v>3578</v>
      </c>
      <c r="AL242" s="250"/>
      <c r="AM242" s="250"/>
      <c r="AN242" s="38"/>
      <c r="AO242" s="38" t="s">
        <v>3579</v>
      </c>
      <c r="AP242" s="25">
        <f t="shared" ca="1" si="9"/>
        <v>33</v>
      </c>
      <c r="AQ242" s="38" t="s">
        <v>1605</v>
      </c>
      <c r="AR242" s="285" t="s">
        <v>3580</v>
      </c>
      <c r="AS242" s="234">
        <v>45762</v>
      </c>
      <c r="AT242" s="234">
        <v>46126</v>
      </c>
      <c r="AU242" s="252">
        <v>33693</v>
      </c>
      <c r="AV242" s="72" t="s">
        <v>1352</v>
      </c>
      <c r="AW242" s="72" t="s">
        <v>32</v>
      </c>
      <c r="AX242" s="25">
        <v>2.5</v>
      </c>
      <c r="AY242" s="76" t="s">
        <v>1904</v>
      </c>
      <c r="AZ242" s="30" t="s">
        <v>26</v>
      </c>
      <c r="BA242" s="23" t="s">
        <v>151</v>
      </c>
      <c r="BB242" s="30" t="s">
        <v>34</v>
      </c>
      <c r="BC242" s="22"/>
    </row>
    <row r="243" spans="1:55" x14ac:dyDescent="0.25">
      <c r="A243" s="10">
        <f t="shared" si="8"/>
        <v>242</v>
      </c>
      <c r="B243" s="25" t="s">
        <v>3581</v>
      </c>
      <c r="C243" s="30" t="s">
        <v>34</v>
      </c>
      <c r="D243" s="71">
        <v>401155</v>
      </c>
      <c r="E243" s="72" t="s">
        <v>36</v>
      </c>
      <c r="F243" s="14" t="s">
        <v>3582</v>
      </c>
      <c r="G243" s="25">
        <v>6</v>
      </c>
      <c r="H243" s="74">
        <v>0.33333333333333331</v>
      </c>
      <c r="I243" s="74">
        <v>0.79166666666666663</v>
      </c>
      <c r="J243" s="95">
        <v>0.33333333333333331</v>
      </c>
      <c r="K243" s="21" t="s">
        <v>147</v>
      </c>
      <c r="L243" s="75" t="s">
        <v>30</v>
      </c>
      <c r="M243" s="75" t="s">
        <v>1582</v>
      </c>
      <c r="N243" s="23" t="s">
        <v>1583</v>
      </c>
      <c r="O243" s="35" t="s">
        <v>1357</v>
      </c>
      <c r="P243" s="246">
        <v>45652</v>
      </c>
      <c r="Q243" s="247">
        <v>45652</v>
      </c>
      <c r="R243" s="247">
        <v>46381</v>
      </c>
      <c r="S243" s="247">
        <v>46382</v>
      </c>
      <c r="T243" s="25">
        <v>2011</v>
      </c>
      <c r="U243" s="76" t="s">
        <v>169</v>
      </c>
      <c r="V243" s="25">
        <v>2018</v>
      </c>
      <c r="W243" s="76" t="s">
        <v>141</v>
      </c>
      <c r="X243" s="72" t="s">
        <v>30</v>
      </c>
      <c r="Y243" s="73" t="s">
        <v>1360</v>
      </c>
      <c r="Z243" s="76" t="s">
        <v>3583</v>
      </c>
      <c r="AA243" s="23" t="s">
        <v>1841</v>
      </c>
      <c r="AB243" s="161">
        <v>45188</v>
      </c>
      <c r="AC243" s="161">
        <v>47014</v>
      </c>
      <c r="AD243" s="284">
        <v>9912899059</v>
      </c>
      <c r="AE243" s="290" t="s">
        <v>3584</v>
      </c>
      <c r="AF243" s="30" t="s">
        <v>1430</v>
      </c>
      <c r="AG243" s="249" t="s">
        <v>3585</v>
      </c>
      <c r="AH243" s="72" t="s">
        <v>3586</v>
      </c>
      <c r="AI243" s="72" t="s">
        <v>3587</v>
      </c>
      <c r="AJ243" s="249" t="s">
        <v>3588</v>
      </c>
      <c r="AK243" s="75" t="s">
        <v>3589</v>
      </c>
      <c r="AL243" s="250"/>
      <c r="AM243" s="250"/>
      <c r="AN243" s="38"/>
      <c r="AO243" s="38" t="s">
        <v>3590</v>
      </c>
      <c r="AP243" s="25">
        <f t="shared" ca="1" si="9"/>
        <v>38</v>
      </c>
      <c r="AQ243" s="38" t="s">
        <v>3591</v>
      </c>
      <c r="AR243" s="285" t="s">
        <v>3592</v>
      </c>
      <c r="AS243" s="250">
        <v>45745</v>
      </c>
      <c r="AT243" s="250">
        <v>46109</v>
      </c>
      <c r="AU243" s="252">
        <v>31943</v>
      </c>
      <c r="AV243" s="72" t="s">
        <v>1389</v>
      </c>
      <c r="AW243" s="72" t="s">
        <v>68</v>
      </c>
      <c r="AX243" s="25">
        <v>8</v>
      </c>
      <c r="AY243" s="76" t="s">
        <v>1849</v>
      </c>
      <c r="AZ243" s="30" t="s">
        <v>1373</v>
      </c>
      <c r="BA243" s="23" t="s">
        <v>151</v>
      </c>
      <c r="BB243" s="30" t="s">
        <v>34</v>
      </c>
      <c r="BC243" s="22"/>
    </row>
    <row r="244" spans="1:55" x14ac:dyDescent="0.25">
      <c r="A244" s="10">
        <f t="shared" si="8"/>
        <v>243</v>
      </c>
      <c r="B244" s="25" t="s">
        <v>800</v>
      </c>
      <c r="C244" s="30" t="s">
        <v>34</v>
      </c>
      <c r="D244" s="71">
        <v>401160</v>
      </c>
      <c r="E244" s="72" t="s">
        <v>42</v>
      </c>
      <c r="F244" s="14" t="s">
        <v>801</v>
      </c>
      <c r="G244" s="25">
        <v>6</v>
      </c>
      <c r="H244" s="74">
        <v>0.375</v>
      </c>
      <c r="I244" s="74">
        <v>0.70833333333333337</v>
      </c>
      <c r="J244" s="74">
        <v>0.33333333333333331</v>
      </c>
      <c r="K244" s="21" t="s">
        <v>802</v>
      </c>
      <c r="L244" s="76" t="s">
        <v>803</v>
      </c>
      <c r="M244" s="75" t="s">
        <v>26</v>
      </c>
      <c r="N244" s="23" t="s">
        <v>38</v>
      </c>
      <c r="O244" s="23" t="s">
        <v>1321</v>
      </c>
      <c r="P244" s="247">
        <v>45663</v>
      </c>
      <c r="Q244" s="247">
        <v>45748</v>
      </c>
      <c r="R244" s="247">
        <v>46477</v>
      </c>
      <c r="S244" s="247">
        <v>46478</v>
      </c>
      <c r="T244" s="25">
        <v>2018</v>
      </c>
      <c r="U244" s="88" t="s">
        <v>804</v>
      </c>
      <c r="V244" s="25">
        <v>2023</v>
      </c>
      <c r="W244" s="89" t="s">
        <v>805</v>
      </c>
      <c r="X244" s="72" t="s">
        <v>30</v>
      </c>
      <c r="Y244" s="38" t="s">
        <v>49</v>
      </c>
      <c r="Z244" s="88" t="s">
        <v>3593</v>
      </c>
      <c r="AA244" s="23" t="s">
        <v>1841</v>
      </c>
      <c r="AB244" s="161">
        <v>45344</v>
      </c>
      <c r="AC244" s="161">
        <v>47170</v>
      </c>
      <c r="AD244" s="291">
        <v>9900201324</v>
      </c>
      <c r="AE244" s="292" t="s">
        <v>806</v>
      </c>
      <c r="AF244" s="30" t="s">
        <v>1430</v>
      </c>
      <c r="AG244" s="249" t="s">
        <v>3594</v>
      </c>
      <c r="AH244" s="72" t="s">
        <v>3595</v>
      </c>
      <c r="AI244" s="72" t="s">
        <v>3596</v>
      </c>
      <c r="AJ244" s="249" t="s">
        <v>3597</v>
      </c>
      <c r="AK244" s="75" t="s">
        <v>3598</v>
      </c>
      <c r="AL244" s="250"/>
      <c r="AM244" s="250"/>
      <c r="AN244" s="38"/>
      <c r="AO244" s="38" t="s">
        <v>3599</v>
      </c>
      <c r="AP244" s="25">
        <f t="shared" ca="1" si="9"/>
        <v>31</v>
      </c>
      <c r="AQ244" s="38"/>
      <c r="AR244" s="73"/>
      <c r="AS244" s="250"/>
      <c r="AT244" s="250"/>
      <c r="AU244" s="252">
        <v>34389</v>
      </c>
      <c r="AV244" s="72" t="s">
        <v>1389</v>
      </c>
      <c r="AW244" s="72" t="s">
        <v>68</v>
      </c>
      <c r="AX244" s="25">
        <v>8</v>
      </c>
      <c r="AY244" s="76" t="s">
        <v>2469</v>
      </c>
      <c r="AZ244" s="30" t="s">
        <v>26</v>
      </c>
      <c r="BA244" s="23" t="s">
        <v>151</v>
      </c>
      <c r="BB244" s="30" t="s">
        <v>34</v>
      </c>
      <c r="BC244" s="22"/>
    </row>
    <row r="245" spans="1:55" x14ac:dyDescent="0.25">
      <c r="A245" s="10">
        <f t="shared" si="8"/>
        <v>244</v>
      </c>
      <c r="B245" s="25" t="s">
        <v>807</v>
      </c>
      <c r="C245" s="30" t="s">
        <v>34</v>
      </c>
      <c r="D245" s="71">
        <v>401161</v>
      </c>
      <c r="E245" s="72" t="s">
        <v>36</v>
      </c>
      <c r="F245" s="14" t="s">
        <v>808</v>
      </c>
      <c r="G245" s="25">
        <v>6</v>
      </c>
      <c r="H245" s="74">
        <v>0.35416666666666669</v>
      </c>
      <c r="I245" s="74">
        <v>0.5625</v>
      </c>
      <c r="J245" s="74">
        <v>0.20833333333333334</v>
      </c>
      <c r="K245" s="21" t="s">
        <v>809</v>
      </c>
      <c r="L245" s="76" t="s">
        <v>810</v>
      </c>
      <c r="M245" s="75" t="s">
        <v>26</v>
      </c>
      <c r="N245" s="23" t="s">
        <v>38</v>
      </c>
      <c r="O245" s="23" t="s">
        <v>1321</v>
      </c>
      <c r="P245" s="247">
        <v>45663</v>
      </c>
      <c r="Q245" s="247">
        <v>45663</v>
      </c>
      <c r="R245" s="247">
        <v>46392</v>
      </c>
      <c r="S245" s="247">
        <v>46393</v>
      </c>
      <c r="T245" s="25">
        <v>2017</v>
      </c>
      <c r="U245" s="76" t="s">
        <v>741</v>
      </c>
      <c r="V245" s="25">
        <v>2023</v>
      </c>
      <c r="W245" s="75" t="s">
        <v>230</v>
      </c>
      <c r="X245" s="72" t="s">
        <v>30</v>
      </c>
      <c r="Y245" s="38" t="s">
        <v>49</v>
      </c>
      <c r="Z245" s="76" t="s">
        <v>3600</v>
      </c>
      <c r="AA245" s="38" t="s">
        <v>1886</v>
      </c>
      <c r="AB245" s="161">
        <v>45356</v>
      </c>
      <c r="AC245" s="161">
        <v>47181</v>
      </c>
      <c r="AD245" s="284">
        <v>8519958890</v>
      </c>
      <c r="AE245" s="272" t="s">
        <v>811</v>
      </c>
      <c r="AF245" s="28" t="s">
        <v>1495</v>
      </c>
      <c r="AG245" s="249" t="s">
        <v>3601</v>
      </c>
      <c r="AH245" s="72" t="s">
        <v>3602</v>
      </c>
      <c r="AI245" s="72" t="s">
        <v>3603</v>
      </c>
      <c r="AJ245" s="249" t="s">
        <v>3604</v>
      </c>
      <c r="AK245" s="75" t="s">
        <v>3605</v>
      </c>
      <c r="AL245" s="250"/>
      <c r="AM245" s="250"/>
      <c r="AN245" s="38"/>
      <c r="AO245" s="38" t="s">
        <v>3606</v>
      </c>
      <c r="AP245" s="25">
        <f t="shared" ca="1" si="9"/>
        <v>30</v>
      </c>
      <c r="AQ245" s="38"/>
      <c r="AR245" s="73"/>
      <c r="AS245" s="250"/>
      <c r="AT245" s="250"/>
      <c r="AU245" s="252">
        <v>34925</v>
      </c>
      <c r="AV245" s="72" t="s">
        <v>1389</v>
      </c>
      <c r="AW245" s="72" t="s">
        <v>32</v>
      </c>
      <c r="AX245" s="25">
        <v>5</v>
      </c>
      <c r="AY245" s="76" t="s">
        <v>1920</v>
      </c>
      <c r="AZ245" s="30" t="s">
        <v>26</v>
      </c>
      <c r="BA245" s="23" t="s">
        <v>151</v>
      </c>
      <c r="BB245" s="30" t="s">
        <v>34</v>
      </c>
      <c r="BC245" s="22"/>
    </row>
    <row r="246" spans="1:55" x14ac:dyDescent="0.25">
      <c r="A246" s="10">
        <f t="shared" si="8"/>
        <v>245</v>
      </c>
      <c r="B246" s="55" t="s">
        <v>3607</v>
      </c>
      <c r="C246" s="594" t="s">
        <v>1407</v>
      </c>
      <c r="D246" s="78">
        <v>401163</v>
      </c>
      <c r="E246" s="54" t="s">
        <v>36</v>
      </c>
      <c r="F246" s="48" t="s">
        <v>3608</v>
      </c>
      <c r="G246" s="55">
        <v>6</v>
      </c>
      <c r="H246" s="77">
        <v>0.35416666666666669</v>
      </c>
      <c r="I246" s="77">
        <v>0.47916666666666669</v>
      </c>
      <c r="J246" s="90">
        <v>0.125</v>
      </c>
      <c r="K246" s="51" t="s">
        <v>3609</v>
      </c>
      <c r="L246" s="293" t="s">
        <v>3610</v>
      </c>
      <c r="M246" s="56" t="s">
        <v>26</v>
      </c>
      <c r="N246" s="52" t="s">
        <v>38</v>
      </c>
      <c r="O246" s="52" t="s">
        <v>1321</v>
      </c>
      <c r="P246" s="238">
        <v>45672</v>
      </c>
      <c r="Q246" s="238">
        <v>45672</v>
      </c>
      <c r="R246" s="238">
        <v>46401</v>
      </c>
      <c r="S246" s="238">
        <v>46402</v>
      </c>
      <c r="T246" s="55">
        <v>2018</v>
      </c>
      <c r="U246" s="294" t="s">
        <v>812</v>
      </c>
      <c r="V246" s="55">
        <v>2023</v>
      </c>
      <c r="W246" s="49" t="s">
        <v>741</v>
      </c>
      <c r="X246" s="54" t="s">
        <v>30</v>
      </c>
      <c r="Y246" s="51" t="s">
        <v>49</v>
      </c>
      <c r="Z246" s="294" t="s">
        <v>3611</v>
      </c>
      <c r="AA246" s="52" t="s">
        <v>1841</v>
      </c>
      <c r="AB246" s="238">
        <v>45282</v>
      </c>
      <c r="AC246" s="238">
        <v>47108</v>
      </c>
      <c r="AD246" s="197">
        <v>9666994996</v>
      </c>
      <c r="AE246" s="295" t="s">
        <v>3612</v>
      </c>
      <c r="AF246" s="56" t="s">
        <v>2207</v>
      </c>
      <c r="AG246" s="198" t="s">
        <v>3613</v>
      </c>
      <c r="AH246" s="54" t="s">
        <v>3614</v>
      </c>
      <c r="AI246" s="54" t="s">
        <v>3615</v>
      </c>
      <c r="AJ246" s="198" t="s">
        <v>3616</v>
      </c>
      <c r="AK246" s="56" t="s">
        <v>3617</v>
      </c>
      <c r="AL246" s="199">
        <v>45961</v>
      </c>
      <c r="AM246" s="199">
        <v>45936</v>
      </c>
      <c r="AN246" s="56" t="s">
        <v>3618</v>
      </c>
      <c r="AO246" s="51" t="s">
        <v>3619</v>
      </c>
      <c r="AP246" s="55">
        <f t="shared" ca="1" si="9"/>
        <v>30</v>
      </c>
      <c r="AQ246" s="51" t="s">
        <v>1605</v>
      </c>
      <c r="AR246" s="52" t="s">
        <v>3620</v>
      </c>
      <c r="AS246" s="199">
        <v>45665</v>
      </c>
      <c r="AT246" s="199">
        <v>46029</v>
      </c>
      <c r="AU246" s="242">
        <v>34856</v>
      </c>
      <c r="AV246" s="54" t="s">
        <v>1352</v>
      </c>
      <c r="AW246" s="54" t="s">
        <v>32</v>
      </c>
      <c r="AX246" s="55">
        <v>3</v>
      </c>
      <c r="AY246" s="48" t="s">
        <v>1959</v>
      </c>
      <c r="AZ246" s="56" t="s">
        <v>26</v>
      </c>
      <c r="BA246" s="52" t="s">
        <v>151</v>
      </c>
      <c r="BB246" s="56" t="s">
        <v>1407</v>
      </c>
      <c r="BC246" s="53"/>
    </row>
    <row r="247" spans="1:55" x14ac:dyDescent="0.25">
      <c r="A247" s="10">
        <f t="shared" si="8"/>
        <v>246</v>
      </c>
      <c r="B247" s="25" t="s">
        <v>813</v>
      </c>
      <c r="C247" s="30" t="s">
        <v>34</v>
      </c>
      <c r="D247" s="71">
        <v>401166</v>
      </c>
      <c r="E247" s="72" t="s">
        <v>192</v>
      </c>
      <c r="F247" s="14" t="s">
        <v>814</v>
      </c>
      <c r="G247" s="25"/>
      <c r="H247" s="74"/>
      <c r="I247" s="74"/>
      <c r="J247" s="74"/>
      <c r="K247" s="21" t="s">
        <v>466</v>
      </c>
      <c r="L247" s="75" t="s">
        <v>202</v>
      </c>
      <c r="M247" s="75" t="s">
        <v>26</v>
      </c>
      <c r="N247" s="23" t="s">
        <v>38</v>
      </c>
      <c r="O247" s="23" t="s">
        <v>1321</v>
      </c>
      <c r="P247" s="247">
        <v>45680</v>
      </c>
      <c r="Q247" s="247">
        <v>45680</v>
      </c>
      <c r="R247" s="247">
        <v>46409</v>
      </c>
      <c r="S247" s="247">
        <v>46410</v>
      </c>
      <c r="T247" s="25">
        <v>2016</v>
      </c>
      <c r="U247" s="75" t="s">
        <v>815</v>
      </c>
      <c r="V247" s="25">
        <v>2019</v>
      </c>
      <c r="W247" s="73" t="s">
        <v>798</v>
      </c>
      <c r="X247" s="72" t="s">
        <v>30</v>
      </c>
      <c r="Y247" s="38" t="s">
        <v>49</v>
      </c>
      <c r="Z247" s="76">
        <v>82925</v>
      </c>
      <c r="AA247" s="38" t="s">
        <v>1323</v>
      </c>
      <c r="AB247" s="161">
        <v>43819</v>
      </c>
      <c r="AC247" s="161" t="s">
        <v>30</v>
      </c>
      <c r="AD247" s="279">
        <v>9584764192</v>
      </c>
      <c r="AE247" s="255" t="s">
        <v>816</v>
      </c>
      <c r="AF247" s="30" t="s">
        <v>1430</v>
      </c>
      <c r="AG247" s="249" t="s">
        <v>3621</v>
      </c>
      <c r="AH247" s="72" t="s">
        <v>3622</v>
      </c>
      <c r="AI247" s="72" t="s">
        <v>3623</v>
      </c>
      <c r="AJ247" s="249" t="s">
        <v>3624</v>
      </c>
      <c r="AK247" s="75" t="s">
        <v>3625</v>
      </c>
      <c r="AL247" s="250"/>
      <c r="AM247" s="250"/>
      <c r="AN247" s="38"/>
      <c r="AO247" s="38" t="s">
        <v>3626</v>
      </c>
      <c r="AP247" s="25">
        <f t="shared" ca="1" si="9"/>
        <v>35</v>
      </c>
      <c r="AQ247" s="35" t="s">
        <v>1605</v>
      </c>
      <c r="AR247" s="285" t="s">
        <v>3627</v>
      </c>
      <c r="AS247" s="287">
        <v>45853</v>
      </c>
      <c r="AT247" s="287">
        <v>46217</v>
      </c>
      <c r="AU247" s="252">
        <v>33171</v>
      </c>
      <c r="AV247" s="72" t="s">
        <v>1352</v>
      </c>
      <c r="AW247" s="31" t="s">
        <v>32</v>
      </c>
      <c r="AX247" s="10" t="s">
        <v>30</v>
      </c>
      <c r="AY247" s="76" t="s">
        <v>2703</v>
      </c>
      <c r="AZ247" s="30" t="s">
        <v>26</v>
      </c>
      <c r="BA247" s="23" t="s">
        <v>151</v>
      </c>
      <c r="BB247" s="30" t="s">
        <v>34</v>
      </c>
      <c r="BC247" s="22"/>
    </row>
    <row r="248" spans="1:55" x14ac:dyDescent="0.25">
      <c r="A248" s="10">
        <f t="shared" si="8"/>
        <v>247</v>
      </c>
      <c r="B248" s="25" t="s">
        <v>3628</v>
      </c>
      <c r="C248" s="30" t="s">
        <v>34</v>
      </c>
      <c r="D248" s="71">
        <v>401167</v>
      </c>
      <c r="E248" s="181" t="s">
        <v>9124</v>
      </c>
      <c r="F248" s="14" t="s">
        <v>2805</v>
      </c>
      <c r="G248" s="25">
        <v>6</v>
      </c>
      <c r="H248" s="74" t="s">
        <v>3629</v>
      </c>
      <c r="I248" s="74" t="s">
        <v>3630</v>
      </c>
      <c r="J248" s="74">
        <v>0.29166666666666669</v>
      </c>
      <c r="K248" s="21" t="s">
        <v>314</v>
      </c>
      <c r="L248" s="75" t="s">
        <v>30</v>
      </c>
      <c r="M248" s="75" t="s">
        <v>1355</v>
      </c>
      <c r="N248" s="23" t="s">
        <v>1356</v>
      </c>
      <c r="O248" s="35" t="s">
        <v>1357</v>
      </c>
      <c r="P248" s="247">
        <v>45684</v>
      </c>
      <c r="Q248" s="247">
        <v>45684</v>
      </c>
      <c r="R248" s="247">
        <v>46413</v>
      </c>
      <c r="S248" s="247">
        <v>46414</v>
      </c>
      <c r="T248" s="25">
        <v>2012</v>
      </c>
      <c r="U248" s="88" t="s">
        <v>3631</v>
      </c>
      <c r="V248" s="25">
        <v>2016</v>
      </c>
      <c r="W248" s="88" t="s">
        <v>3632</v>
      </c>
      <c r="X248" s="72" t="s">
        <v>30</v>
      </c>
      <c r="Y248" s="73" t="s">
        <v>1360</v>
      </c>
      <c r="Z248" s="76">
        <v>96176</v>
      </c>
      <c r="AA248" s="35" t="s">
        <v>1560</v>
      </c>
      <c r="AB248" s="161">
        <v>44918</v>
      </c>
      <c r="AC248" s="161">
        <v>46740</v>
      </c>
      <c r="AD248" s="291">
        <v>8095282535</v>
      </c>
      <c r="AE248" s="296" t="s">
        <v>3633</v>
      </c>
      <c r="AF248" s="28" t="s">
        <v>1495</v>
      </c>
      <c r="AG248" s="249" t="s">
        <v>3634</v>
      </c>
      <c r="AH248" s="72" t="s">
        <v>3635</v>
      </c>
      <c r="AI248" s="72" t="s">
        <v>3636</v>
      </c>
      <c r="AJ248" s="249" t="s">
        <v>3637</v>
      </c>
      <c r="AK248" s="75" t="s">
        <v>3638</v>
      </c>
      <c r="AL248" s="250"/>
      <c r="AM248" s="250"/>
      <c r="AN248" s="38"/>
      <c r="AO248" s="38" t="s">
        <v>3639</v>
      </c>
      <c r="AP248" s="25">
        <f t="shared" ca="1" si="9"/>
        <v>36</v>
      </c>
      <c r="AQ248" s="38"/>
      <c r="AR248" s="73"/>
      <c r="AS248" s="250"/>
      <c r="AT248" s="250"/>
      <c r="AU248" s="252">
        <v>32532</v>
      </c>
      <c r="AV248" s="72" t="s">
        <v>1389</v>
      </c>
      <c r="AW248" s="72" t="s">
        <v>32</v>
      </c>
      <c r="AX248" s="25">
        <v>7</v>
      </c>
      <c r="AY248" s="76" t="s">
        <v>2270</v>
      </c>
      <c r="AZ248" s="30" t="s">
        <v>1373</v>
      </c>
      <c r="BA248" s="23" t="s">
        <v>151</v>
      </c>
      <c r="BB248" s="30" t="s">
        <v>34</v>
      </c>
      <c r="BC248" s="22"/>
    </row>
    <row r="249" spans="1:55" x14ac:dyDescent="0.25">
      <c r="A249" s="10">
        <f t="shared" si="8"/>
        <v>248</v>
      </c>
      <c r="B249" s="25" t="s">
        <v>807</v>
      </c>
      <c r="C249" s="30" t="s">
        <v>34</v>
      </c>
      <c r="D249" s="71">
        <v>401169</v>
      </c>
      <c r="E249" s="72" t="s">
        <v>192</v>
      </c>
      <c r="F249" s="14" t="s">
        <v>808</v>
      </c>
      <c r="G249" s="25"/>
      <c r="H249" s="74"/>
      <c r="I249" s="74"/>
      <c r="J249" s="74"/>
      <c r="K249" s="21" t="s">
        <v>334</v>
      </c>
      <c r="L249" s="88" t="s">
        <v>810</v>
      </c>
      <c r="M249" s="75" t="s">
        <v>26</v>
      </c>
      <c r="N249" s="23" t="s">
        <v>38</v>
      </c>
      <c r="O249" s="23" t="s">
        <v>1321</v>
      </c>
      <c r="P249" s="289">
        <v>45663</v>
      </c>
      <c r="Q249" s="289">
        <v>45663</v>
      </c>
      <c r="R249" s="289">
        <v>46392</v>
      </c>
      <c r="S249" s="289">
        <v>46393</v>
      </c>
      <c r="T249" s="25">
        <v>2017</v>
      </c>
      <c r="U249" s="88" t="s">
        <v>741</v>
      </c>
      <c r="V249" s="25">
        <v>2023</v>
      </c>
      <c r="W249" s="91" t="s">
        <v>230</v>
      </c>
      <c r="X249" s="72" t="s">
        <v>30</v>
      </c>
      <c r="Y249" s="38" t="s">
        <v>49</v>
      </c>
      <c r="Z249" s="88" t="s">
        <v>3600</v>
      </c>
      <c r="AA249" s="38" t="s">
        <v>1886</v>
      </c>
      <c r="AB249" s="161">
        <v>45356</v>
      </c>
      <c r="AC249" s="161">
        <v>47181</v>
      </c>
      <c r="AD249" s="291">
        <v>8519958890</v>
      </c>
      <c r="AE249" s="292" t="s">
        <v>811</v>
      </c>
      <c r="AF249" s="28" t="s">
        <v>1495</v>
      </c>
      <c r="AG249" s="249" t="s">
        <v>3601</v>
      </c>
      <c r="AH249" s="72" t="s">
        <v>3602</v>
      </c>
      <c r="AI249" s="72" t="s">
        <v>3603</v>
      </c>
      <c r="AJ249" s="249" t="s">
        <v>3604</v>
      </c>
      <c r="AK249" s="75" t="s">
        <v>3605</v>
      </c>
      <c r="AL249" s="250"/>
      <c r="AM249" s="250"/>
      <c r="AN249" s="38"/>
      <c r="AO249" s="38" t="s">
        <v>3606</v>
      </c>
      <c r="AP249" s="25">
        <f t="shared" ca="1" si="9"/>
        <v>30</v>
      </c>
      <c r="AQ249" s="35" t="s">
        <v>1605</v>
      </c>
      <c r="AR249" s="285" t="s">
        <v>3640</v>
      </c>
      <c r="AS249" s="287">
        <v>45649</v>
      </c>
      <c r="AT249" s="287">
        <v>46743</v>
      </c>
      <c r="AU249" s="252">
        <v>34925</v>
      </c>
      <c r="AV249" s="72" t="s">
        <v>1389</v>
      </c>
      <c r="AW249" s="31" t="s">
        <v>32</v>
      </c>
      <c r="AX249" s="10" t="s">
        <v>30</v>
      </c>
      <c r="AY249" s="76" t="s">
        <v>30</v>
      </c>
      <c r="AZ249" s="30" t="s">
        <v>26</v>
      </c>
      <c r="BA249" s="23" t="s">
        <v>151</v>
      </c>
      <c r="BB249" s="30" t="s">
        <v>34</v>
      </c>
      <c r="BC249" s="22"/>
    </row>
    <row r="250" spans="1:55" x14ac:dyDescent="0.25">
      <c r="A250" s="10">
        <f t="shared" si="8"/>
        <v>249</v>
      </c>
      <c r="B250" s="25" t="s">
        <v>3641</v>
      </c>
      <c r="C250" s="30" t="s">
        <v>34</v>
      </c>
      <c r="D250" s="71">
        <v>401171</v>
      </c>
      <c r="E250" s="72" t="s">
        <v>36</v>
      </c>
      <c r="F250" s="14" t="s">
        <v>3642</v>
      </c>
      <c r="G250" s="25">
        <v>6</v>
      </c>
      <c r="H250" s="74">
        <v>0.375</v>
      </c>
      <c r="I250" s="74">
        <v>0.75</v>
      </c>
      <c r="J250" s="74">
        <v>0.25</v>
      </c>
      <c r="K250" s="21" t="s">
        <v>147</v>
      </c>
      <c r="L250" s="75" t="s">
        <v>30</v>
      </c>
      <c r="M250" s="75" t="s">
        <v>3643</v>
      </c>
      <c r="N250" s="23" t="s">
        <v>3644</v>
      </c>
      <c r="O250" s="35" t="s">
        <v>1357</v>
      </c>
      <c r="P250" s="298">
        <v>45691</v>
      </c>
      <c r="Q250" s="298">
        <v>45691</v>
      </c>
      <c r="R250" s="247">
        <v>46420</v>
      </c>
      <c r="S250" s="298">
        <v>46421</v>
      </c>
      <c r="T250" s="25">
        <v>1992</v>
      </c>
      <c r="U250" s="88" t="s">
        <v>3645</v>
      </c>
      <c r="V250" s="25">
        <v>2004</v>
      </c>
      <c r="W250" s="88" t="s">
        <v>209</v>
      </c>
      <c r="X250" s="72" t="s">
        <v>3646</v>
      </c>
      <c r="Y250" s="38" t="s">
        <v>3647</v>
      </c>
      <c r="Z250" s="76">
        <v>37412</v>
      </c>
      <c r="AA250" s="23" t="s">
        <v>1841</v>
      </c>
      <c r="AB250" s="161">
        <v>44249</v>
      </c>
      <c r="AC250" s="161">
        <v>46074</v>
      </c>
      <c r="AD250" s="291">
        <v>9866461245</v>
      </c>
      <c r="AE250" s="296" t="s">
        <v>3648</v>
      </c>
      <c r="AF250" s="75" t="s">
        <v>1364</v>
      </c>
      <c r="AG250" s="256" t="s">
        <v>3649</v>
      </c>
      <c r="AH250" s="72" t="s">
        <v>2035</v>
      </c>
      <c r="AI250" s="72" t="s">
        <v>3650</v>
      </c>
      <c r="AJ250" s="249" t="s">
        <v>3651</v>
      </c>
      <c r="AK250" s="75" t="s">
        <v>3652</v>
      </c>
      <c r="AL250" s="250"/>
      <c r="AM250" s="250"/>
      <c r="AN250" s="38"/>
      <c r="AO250" s="38" t="s">
        <v>3653</v>
      </c>
      <c r="AP250" s="25">
        <f t="shared" ca="1" si="9"/>
        <v>58</v>
      </c>
      <c r="AQ250" s="38" t="s">
        <v>3654</v>
      </c>
      <c r="AR250" s="285" t="s">
        <v>3655</v>
      </c>
      <c r="AS250" s="250">
        <v>45602</v>
      </c>
      <c r="AT250" s="250">
        <v>45966</v>
      </c>
      <c r="AU250" s="252">
        <v>24516</v>
      </c>
      <c r="AV250" s="72" t="s">
        <v>1389</v>
      </c>
      <c r="AW250" s="72" t="s">
        <v>32</v>
      </c>
      <c r="AX250" s="25">
        <v>6</v>
      </c>
      <c r="AY250" s="76" t="s">
        <v>1849</v>
      </c>
      <c r="AZ250" s="30" t="s">
        <v>1373</v>
      </c>
      <c r="BA250" s="23" t="s">
        <v>151</v>
      </c>
      <c r="BB250" s="30" t="s">
        <v>34</v>
      </c>
      <c r="BC250" s="22"/>
    </row>
    <row r="251" spans="1:55" x14ac:dyDescent="0.25">
      <c r="A251" s="10">
        <f t="shared" si="8"/>
        <v>250</v>
      </c>
      <c r="B251" s="25" t="s">
        <v>817</v>
      </c>
      <c r="C251" s="30" t="s">
        <v>34</v>
      </c>
      <c r="D251" s="71">
        <v>401172</v>
      </c>
      <c r="E251" s="92" t="s">
        <v>36</v>
      </c>
      <c r="F251" s="14" t="s">
        <v>818</v>
      </c>
      <c r="G251" s="93">
        <v>6</v>
      </c>
      <c r="H251" s="85">
        <v>0.35416666666666669</v>
      </c>
      <c r="I251" s="85">
        <v>0.47916666666666669</v>
      </c>
      <c r="J251" s="94">
        <v>0.125</v>
      </c>
      <c r="K251" s="21" t="s">
        <v>819</v>
      </c>
      <c r="L251" s="88" t="s">
        <v>820</v>
      </c>
      <c r="M251" s="91" t="s">
        <v>26</v>
      </c>
      <c r="N251" s="23" t="s">
        <v>38</v>
      </c>
      <c r="O251" s="23" t="s">
        <v>1321</v>
      </c>
      <c r="P251" s="298">
        <v>45691</v>
      </c>
      <c r="Q251" s="298">
        <v>45691</v>
      </c>
      <c r="R251" s="247">
        <v>46420</v>
      </c>
      <c r="S251" s="298">
        <v>46421</v>
      </c>
      <c r="T251" s="93">
        <v>2019</v>
      </c>
      <c r="U251" s="88" t="s">
        <v>821</v>
      </c>
      <c r="V251" s="93">
        <v>2023</v>
      </c>
      <c r="W251" s="91" t="s">
        <v>822</v>
      </c>
      <c r="X251" s="93" t="s">
        <v>30</v>
      </c>
      <c r="Y251" s="38" t="s">
        <v>49</v>
      </c>
      <c r="Z251" s="88" t="s">
        <v>3656</v>
      </c>
      <c r="AA251" s="23" t="s">
        <v>1841</v>
      </c>
      <c r="AB251" s="161">
        <v>45484</v>
      </c>
      <c r="AC251" s="161">
        <v>47309</v>
      </c>
      <c r="AD251" s="291">
        <v>9398825719</v>
      </c>
      <c r="AE251" s="296" t="s">
        <v>823</v>
      </c>
      <c r="AF251" s="30" t="s">
        <v>1430</v>
      </c>
      <c r="AG251" s="249" t="s">
        <v>3657</v>
      </c>
      <c r="AH251" s="72" t="s">
        <v>3658</v>
      </c>
      <c r="AI251" s="72" t="s">
        <v>3659</v>
      </c>
      <c r="AJ251" s="249" t="s">
        <v>3660</v>
      </c>
      <c r="AK251" s="75" t="s">
        <v>3661</v>
      </c>
      <c r="AL251" s="250"/>
      <c r="AM251" s="250"/>
      <c r="AN251" s="38"/>
      <c r="AO251" s="38" t="s">
        <v>3662</v>
      </c>
      <c r="AP251" s="25">
        <f t="shared" ca="1" si="9"/>
        <v>28</v>
      </c>
      <c r="AQ251" s="38"/>
      <c r="AR251" s="73"/>
      <c r="AS251" s="250"/>
      <c r="AT251" s="250"/>
      <c r="AU251" s="299">
        <v>35488</v>
      </c>
      <c r="AV251" s="92" t="s">
        <v>1389</v>
      </c>
      <c r="AW251" s="92" t="s">
        <v>32</v>
      </c>
      <c r="AX251" s="93">
        <v>3</v>
      </c>
      <c r="AY251" s="76" t="s">
        <v>2189</v>
      </c>
      <c r="AZ251" s="30" t="s">
        <v>26</v>
      </c>
      <c r="BA251" s="23" t="s">
        <v>151</v>
      </c>
      <c r="BB251" s="30" t="s">
        <v>34</v>
      </c>
      <c r="BC251" s="22"/>
    </row>
    <row r="252" spans="1:55" x14ac:dyDescent="0.25">
      <c r="A252" s="10">
        <f t="shared" si="8"/>
        <v>251</v>
      </c>
      <c r="B252" s="55" t="s">
        <v>3663</v>
      </c>
      <c r="C252" s="594" t="s">
        <v>1407</v>
      </c>
      <c r="D252" s="78">
        <v>401173</v>
      </c>
      <c r="E252" s="54" t="s">
        <v>42</v>
      </c>
      <c r="F252" s="48" t="s">
        <v>3664</v>
      </c>
      <c r="G252" s="55">
        <v>6</v>
      </c>
      <c r="H252" s="77">
        <v>0.375</v>
      </c>
      <c r="I252" s="77">
        <v>0.70833333333333337</v>
      </c>
      <c r="J252" s="77">
        <v>0.33333333333333331</v>
      </c>
      <c r="K252" s="51" t="s">
        <v>255</v>
      </c>
      <c r="L252" s="293" t="s">
        <v>3665</v>
      </c>
      <c r="M252" s="56" t="s">
        <v>26</v>
      </c>
      <c r="N252" s="52" t="s">
        <v>38</v>
      </c>
      <c r="O252" s="52" t="s">
        <v>1321</v>
      </c>
      <c r="P252" s="300">
        <v>45691</v>
      </c>
      <c r="Q252" s="300">
        <v>45817</v>
      </c>
      <c r="R252" s="238">
        <v>46420</v>
      </c>
      <c r="S252" s="300">
        <v>46421</v>
      </c>
      <c r="T252" s="55">
        <v>2018</v>
      </c>
      <c r="U252" s="294" t="s">
        <v>209</v>
      </c>
      <c r="V252" s="55">
        <v>2023</v>
      </c>
      <c r="W252" s="53" t="s">
        <v>317</v>
      </c>
      <c r="X252" s="54" t="s">
        <v>30</v>
      </c>
      <c r="Y252" s="51" t="s">
        <v>49</v>
      </c>
      <c r="Z252" s="294" t="s">
        <v>3666</v>
      </c>
      <c r="AA252" s="52" t="s">
        <v>1841</v>
      </c>
      <c r="AB252" s="238">
        <v>45632</v>
      </c>
      <c r="AC252" s="238">
        <v>47457</v>
      </c>
      <c r="AD252" s="197">
        <v>9676471531</v>
      </c>
      <c r="AE252" s="301" t="s">
        <v>3667</v>
      </c>
      <c r="AF252" s="56" t="s">
        <v>1805</v>
      </c>
      <c r="AG252" s="198" t="s">
        <v>3668</v>
      </c>
      <c r="AH252" s="54" t="s">
        <v>3669</v>
      </c>
      <c r="AI252" s="54" t="s">
        <v>3670</v>
      </c>
      <c r="AJ252" s="198" t="s">
        <v>3671</v>
      </c>
      <c r="AK252" s="51" t="s">
        <v>3672</v>
      </c>
      <c r="AL252" s="199">
        <v>45958</v>
      </c>
      <c r="AM252" s="199">
        <v>45898</v>
      </c>
      <c r="AN252" s="51" t="s">
        <v>3673</v>
      </c>
      <c r="AO252" s="51" t="s">
        <v>3674</v>
      </c>
      <c r="AP252" s="55">
        <f t="shared" ca="1" si="9"/>
        <v>29</v>
      </c>
      <c r="AQ252" s="51" t="s">
        <v>1605</v>
      </c>
      <c r="AR252" s="52" t="s">
        <v>3675</v>
      </c>
      <c r="AS252" s="199">
        <v>45687</v>
      </c>
      <c r="AT252" s="199">
        <v>46781</v>
      </c>
      <c r="AU252" s="242">
        <v>35067</v>
      </c>
      <c r="AV252" s="54" t="s">
        <v>1389</v>
      </c>
      <c r="AW252" s="54" t="s">
        <v>68</v>
      </c>
      <c r="AX252" s="55">
        <v>8</v>
      </c>
      <c r="AY252" s="48" t="s">
        <v>2068</v>
      </c>
      <c r="AZ252" s="56" t="s">
        <v>26</v>
      </c>
      <c r="BA252" s="52" t="s">
        <v>151</v>
      </c>
      <c r="BB252" s="56" t="s">
        <v>1407</v>
      </c>
      <c r="BC252" s="53"/>
    </row>
    <row r="253" spans="1:55" x14ac:dyDescent="0.25">
      <c r="A253" s="10">
        <f t="shared" si="8"/>
        <v>252</v>
      </c>
      <c r="B253" s="25" t="s">
        <v>824</v>
      </c>
      <c r="C253" s="30" t="s">
        <v>34</v>
      </c>
      <c r="D253" s="71">
        <v>401174</v>
      </c>
      <c r="E253" s="72" t="s">
        <v>36</v>
      </c>
      <c r="F253" s="14" t="s">
        <v>825</v>
      </c>
      <c r="G253" s="25">
        <v>6</v>
      </c>
      <c r="H253" s="74">
        <v>0.625</v>
      </c>
      <c r="I253" s="74">
        <v>0.75</v>
      </c>
      <c r="J253" s="95">
        <v>0.125</v>
      </c>
      <c r="K253" s="21" t="s">
        <v>826</v>
      </c>
      <c r="L253" s="76" t="s">
        <v>827</v>
      </c>
      <c r="M253" s="75" t="s">
        <v>26</v>
      </c>
      <c r="N253" s="23" t="s">
        <v>38</v>
      </c>
      <c r="O253" s="23" t="s">
        <v>1321</v>
      </c>
      <c r="P253" s="246">
        <v>45692</v>
      </c>
      <c r="Q253" s="246">
        <v>45692</v>
      </c>
      <c r="R253" s="298">
        <v>46421</v>
      </c>
      <c r="S253" s="246">
        <v>46422</v>
      </c>
      <c r="T253" s="25">
        <v>2014</v>
      </c>
      <c r="U253" s="76" t="s">
        <v>828</v>
      </c>
      <c r="V253" s="25">
        <v>2020</v>
      </c>
      <c r="W253" s="75" t="s">
        <v>829</v>
      </c>
      <c r="X253" s="72" t="s">
        <v>30</v>
      </c>
      <c r="Y253" s="38" t="s">
        <v>49</v>
      </c>
      <c r="Z253" s="76" t="s">
        <v>3676</v>
      </c>
      <c r="AA253" s="38" t="s">
        <v>2910</v>
      </c>
      <c r="AB253" s="161">
        <v>44705</v>
      </c>
      <c r="AC253" s="161">
        <v>46530</v>
      </c>
      <c r="AD253" s="284" t="s">
        <v>830</v>
      </c>
      <c r="AE253" s="302" t="s">
        <v>831</v>
      </c>
      <c r="AF253" s="30" t="s">
        <v>1430</v>
      </c>
      <c r="AG253" s="249" t="s">
        <v>3677</v>
      </c>
      <c r="AH253" s="72" t="s">
        <v>3678</v>
      </c>
      <c r="AI253" s="72" t="s">
        <v>3679</v>
      </c>
      <c r="AJ253" s="249" t="s">
        <v>3680</v>
      </c>
      <c r="AK253" s="75" t="s">
        <v>3681</v>
      </c>
      <c r="AL253" s="250"/>
      <c r="AM253" s="250"/>
      <c r="AN253" s="38"/>
      <c r="AO253" s="38" t="s">
        <v>3682</v>
      </c>
      <c r="AP253" s="25">
        <f t="shared" ca="1" si="9"/>
        <v>34</v>
      </c>
      <c r="AQ253" s="38" t="s">
        <v>1605</v>
      </c>
      <c r="AR253" s="285" t="s">
        <v>3683</v>
      </c>
      <c r="AS253" s="234">
        <v>45815</v>
      </c>
      <c r="AT253" s="234">
        <v>46179</v>
      </c>
      <c r="AU253" s="252">
        <v>33473</v>
      </c>
      <c r="AV253" s="72" t="s">
        <v>1352</v>
      </c>
      <c r="AW253" s="72" t="s">
        <v>32</v>
      </c>
      <c r="AX253" s="25">
        <v>3</v>
      </c>
      <c r="AY253" s="76" t="s">
        <v>2251</v>
      </c>
      <c r="AZ253" s="30" t="s">
        <v>26</v>
      </c>
      <c r="BA253" s="23" t="s">
        <v>151</v>
      </c>
      <c r="BB253" s="30" t="s">
        <v>34</v>
      </c>
      <c r="BC253" s="22"/>
    </row>
    <row r="254" spans="1:55" x14ac:dyDescent="0.25">
      <c r="A254" s="10">
        <f t="shared" si="8"/>
        <v>253</v>
      </c>
      <c r="B254" s="55" t="s">
        <v>3684</v>
      </c>
      <c r="C254" s="56" t="s">
        <v>34</v>
      </c>
      <c r="D254" s="78">
        <v>401175</v>
      </c>
      <c r="E254" s="54" t="s">
        <v>36</v>
      </c>
      <c r="F254" s="48" t="s">
        <v>3685</v>
      </c>
      <c r="G254" s="55">
        <v>6</v>
      </c>
      <c r="H254" s="77">
        <v>0.375</v>
      </c>
      <c r="I254" s="77">
        <v>0.41666666666666669</v>
      </c>
      <c r="J254" s="77">
        <v>4.1666666666666664E-2</v>
      </c>
      <c r="K254" s="51" t="s">
        <v>860</v>
      </c>
      <c r="L254" s="51" t="s">
        <v>30</v>
      </c>
      <c r="M254" s="56" t="s">
        <v>1376</v>
      </c>
      <c r="N254" s="52" t="s">
        <v>1393</v>
      </c>
      <c r="O254" s="51" t="s">
        <v>30</v>
      </c>
      <c r="P254" s="303">
        <v>45698</v>
      </c>
      <c r="Q254" s="303">
        <v>45698</v>
      </c>
      <c r="R254" s="238">
        <v>46427</v>
      </c>
      <c r="S254" s="303">
        <v>46428</v>
      </c>
      <c r="T254" s="55">
        <v>2022</v>
      </c>
      <c r="U254" s="56" t="s">
        <v>3686</v>
      </c>
      <c r="V254" s="55" t="s">
        <v>30</v>
      </c>
      <c r="W254" s="52" t="s">
        <v>30</v>
      </c>
      <c r="X254" s="54" t="s">
        <v>30</v>
      </c>
      <c r="Y254" s="51" t="s">
        <v>226</v>
      </c>
      <c r="Z254" s="294" t="s">
        <v>3687</v>
      </c>
      <c r="AA254" s="52" t="s">
        <v>1841</v>
      </c>
      <c r="AB254" s="238">
        <v>45565</v>
      </c>
      <c r="AC254" s="238">
        <v>47390</v>
      </c>
      <c r="AD254" s="197">
        <v>8801952327</v>
      </c>
      <c r="AE254" s="301" t="s">
        <v>3688</v>
      </c>
      <c r="AF254" s="56" t="s">
        <v>1410</v>
      </c>
      <c r="AG254" s="198" t="s">
        <v>3689</v>
      </c>
      <c r="AH254" s="54" t="s">
        <v>3690</v>
      </c>
      <c r="AI254" s="54" t="s">
        <v>3691</v>
      </c>
      <c r="AJ254" s="198" t="s">
        <v>3692</v>
      </c>
      <c r="AK254" s="51" t="s">
        <v>3693</v>
      </c>
      <c r="AL254" s="199">
        <v>45975</v>
      </c>
      <c r="AM254" s="199">
        <v>45915</v>
      </c>
      <c r="AN254" s="51" t="s">
        <v>1592</v>
      </c>
      <c r="AO254" s="51" t="s">
        <v>3694</v>
      </c>
      <c r="AP254" s="55">
        <f t="shared" ca="1" si="9"/>
        <v>27</v>
      </c>
      <c r="AQ254" s="51"/>
      <c r="AR254" s="52"/>
      <c r="AS254" s="199"/>
      <c r="AT254" s="199"/>
      <c r="AU254" s="242">
        <v>35985</v>
      </c>
      <c r="AV254" s="54" t="s">
        <v>1389</v>
      </c>
      <c r="AW254" s="54" t="s">
        <v>32</v>
      </c>
      <c r="AX254" s="55">
        <v>1</v>
      </c>
      <c r="AY254" s="48" t="s">
        <v>2469</v>
      </c>
      <c r="AZ254" s="56" t="s">
        <v>1390</v>
      </c>
      <c r="BA254" s="52" t="s">
        <v>151</v>
      </c>
      <c r="BB254" s="56" t="s">
        <v>34</v>
      </c>
      <c r="BC254" s="53"/>
    </row>
    <row r="255" spans="1:55" x14ac:dyDescent="0.25">
      <c r="A255" s="10">
        <f t="shared" si="8"/>
        <v>254</v>
      </c>
      <c r="B255" s="25" t="s">
        <v>3695</v>
      </c>
      <c r="C255" s="30" t="s">
        <v>34</v>
      </c>
      <c r="D255" s="71">
        <v>401178</v>
      </c>
      <c r="E255" s="25" t="s">
        <v>36</v>
      </c>
      <c r="F255" s="14" t="s">
        <v>3696</v>
      </c>
      <c r="G255" s="25">
        <v>6</v>
      </c>
      <c r="H255" s="74">
        <v>0.70833333333333337</v>
      </c>
      <c r="I255" s="74">
        <v>0.79166666666666663</v>
      </c>
      <c r="J255" s="102">
        <v>8.3333333333333329E-2</v>
      </c>
      <c r="K255" s="21" t="s">
        <v>513</v>
      </c>
      <c r="L255" s="75" t="s">
        <v>30</v>
      </c>
      <c r="M255" s="30" t="s">
        <v>1376</v>
      </c>
      <c r="N255" s="23" t="s">
        <v>1393</v>
      </c>
      <c r="O255" s="38" t="s">
        <v>30</v>
      </c>
      <c r="P255" s="246">
        <v>45712</v>
      </c>
      <c r="Q255" s="246">
        <v>45712</v>
      </c>
      <c r="R255" s="246">
        <v>46441</v>
      </c>
      <c r="S255" s="246">
        <v>46442</v>
      </c>
      <c r="T255" s="25">
        <v>2023</v>
      </c>
      <c r="U255" s="88" t="s">
        <v>3697</v>
      </c>
      <c r="V255" s="25" t="s">
        <v>30</v>
      </c>
      <c r="W255" s="73" t="s">
        <v>30</v>
      </c>
      <c r="X255" s="72" t="s">
        <v>30</v>
      </c>
      <c r="Y255" s="38" t="s">
        <v>226</v>
      </c>
      <c r="Z255" s="88" t="s">
        <v>3698</v>
      </c>
      <c r="AA255" s="23" t="s">
        <v>1841</v>
      </c>
      <c r="AB255" s="161">
        <v>45320</v>
      </c>
      <c r="AC255" s="161">
        <v>47146</v>
      </c>
      <c r="AD255" s="291">
        <v>8074226609</v>
      </c>
      <c r="AE255" s="296" t="s">
        <v>3699</v>
      </c>
      <c r="AF255" s="28" t="s">
        <v>1495</v>
      </c>
      <c r="AG255" s="249" t="s">
        <v>3700</v>
      </c>
      <c r="AH255" s="72" t="s">
        <v>3701</v>
      </c>
      <c r="AI255" s="72" t="s">
        <v>3702</v>
      </c>
      <c r="AJ255" s="249" t="s">
        <v>3703</v>
      </c>
      <c r="AK255" s="75" t="s">
        <v>3704</v>
      </c>
      <c r="AL255" s="250"/>
      <c r="AM255" s="250"/>
      <c r="AN255" s="38"/>
      <c r="AO255" s="38" t="s">
        <v>3705</v>
      </c>
      <c r="AP255" s="25">
        <f t="shared" ca="1" si="9"/>
        <v>27</v>
      </c>
      <c r="AQ255" s="38"/>
      <c r="AR255" s="73"/>
      <c r="AS255" s="250"/>
      <c r="AT255" s="250"/>
      <c r="AU255" s="252">
        <v>35931</v>
      </c>
      <c r="AV255" s="72" t="s">
        <v>1352</v>
      </c>
      <c r="AW255" s="72" t="s">
        <v>32</v>
      </c>
      <c r="AX255" s="25">
        <v>2</v>
      </c>
      <c r="AY255" s="76" t="s">
        <v>1959</v>
      </c>
      <c r="AZ255" s="30" t="s">
        <v>1390</v>
      </c>
      <c r="BA255" s="23" t="s">
        <v>151</v>
      </c>
      <c r="BB255" s="30" t="s">
        <v>34</v>
      </c>
      <c r="BC255" s="22"/>
    </row>
    <row r="256" spans="1:55" x14ac:dyDescent="0.25">
      <c r="A256" s="10">
        <f t="shared" si="8"/>
        <v>255</v>
      </c>
      <c r="B256" s="25" t="s">
        <v>3706</v>
      </c>
      <c r="C256" s="30" t="s">
        <v>34</v>
      </c>
      <c r="D256" s="71">
        <v>401179</v>
      </c>
      <c r="E256" s="25" t="s">
        <v>36</v>
      </c>
      <c r="F256" s="14" t="s">
        <v>3707</v>
      </c>
      <c r="G256" s="25">
        <v>6</v>
      </c>
      <c r="H256" s="74">
        <v>0.33333333333333331</v>
      </c>
      <c r="I256" s="74">
        <v>0.875</v>
      </c>
      <c r="J256" s="95">
        <v>0.33333333333333331</v>
      </c>
      <c r="K256" s="21" t="s">
        <v>513</v>
      </c>
      <c r="L256" s="75" t="s">
        <v>30</v>
      </c>
      <c r="M256" s="75" t="s">
        <v>1355</v>
      </c>
      <c r="N256" s="23" t="s">
        <v>1520</v>
      </c>
      <c r="O256" s="14" t="s">
        <v>2928</v>
      </c>
      <c r="P256" s="246">
        <v>45714</v>
      </c>
      <c r="Q256" s="246">
        <v>45714</v>
      </c>
      <c r="R256" s="246">
        <v>46078</v>
      </c>
      <c r="S256" s="246">
        <v>46444</v>
      </c>
      <c r="T256" s="25">
        <v>2018</v>
      </c>
      <c r="U256" s="75" t="s">
        <v>3708</v>
      </c>
      <c r="V256" s="25">
        <v>2023</v>
      </c>
      <c r="W256" s="38" t="s">
        <v>3709</v>
      </c>
      <c r="X256" s="72" t="s">
        <v>30</v>
      </c>
      <c r="Y256" s="73" t="s">
        <v>1360</v>
      </c>
      <c r="Z256" s="254" t="s">
        <v>3710</v>
      </c>
      <c r="AA256" s="23" t="s">
        <v>1841</v>
      </c>
      <c r="AB256" s="161">
        <v>45707</v>
      </c>
      <c r="AC256" s="161">
        <v>47532</v>
      </c>
      <c r="AD256" s="25">
        <v>7828419080</v>
      </c>
      <c r="AE256" s="38" t="s">
        <v>3711</v>
      </c>
      <c r="AF256" s="30" t="s">
        <v>1410</v>
      </c>
      <c r="AG256" s="256" t="s">
        <v>3712</v>
      </c>
      <c r="AH256" s="72" t="s">
        <v>3713</v>
      </c>
      <c r="AI256" s="72" t="s">
        <v>3714</v>
      </c>
      <c r="AJ256" s="249" t="s">
        <v>3715</v>
      </c>
      <c r="AK256" s="75" t="s">
        <v>3716</v>
      </c>
      <c r="AL256" s="250"/>
      <c r="AM256" s="250"/>
      <c r="AN256" s="38"/>
      <c r="AO256" s="38" t="s">
        <v>3717</v>
      </c>
      <c r="AP256" s="25">
        <f t="shared" ca="1" si="9"/>
        <v>32</v>
      </c>
      <c r="AQ256" s="38"/>
      <c r="AR256" s="73"/>
      <c r="AS256" s="250"/>
      <c r="AT256" s="250"/>
      <c r="AU256" s="252">
        <v>34177</v>
      </c>
      <c r="AV256" s="72" t="s">
        <v>1389</v>
      </c>
      <c r="AW256" s="72" t="s">
        <v>68</v>
      </c>
      <c r="AX256" s="25">
        <v>8</v>
      </c>
      <c r="AY256" s="76" t="s">
        <v>1959</v>
      </c>
      <c r="AZ256" s="30" t="s">
        <v>1373</v>
      </c>
      <c r="BA256" s="23" t="s">
        <v>151</v>
      </c>
      <c r="BB256" s="30" t="s">
        <v>34</v>
      </c>
      <c r="BC256" s="22"/>
    </row>
    <row r="257" spans="1:55" x14ac:dyDescent="0.25">
      <c r="A257" s="10">
        <f t="shared" si="8"/>
        <v>256</v>
      </c>
      <c r="B257" s="25" t="s">
        <v>3718</v>
      </c>
      <c r="C257" s="30" t="s">
        <v>34</v>
      </c>
      <c r="D257" s="71">
        <v>401180</v>
      </c>
      <c r="E257" s="25" t="s">
        <v>36</v>
      </c>
      <c r="F257" s="14" t="s">
        <v>3719</v>
      </c>
      <c r="G257" s="25">
        <v>6</v>
      </c>
      <c r="H257" s="74">
        <v>0.41666666666666669</v>
      </c>
      <c r="I257" s="74">
        <v>0.66666666666666663</v>
      </c>
      <c r="J257" s="95">
        <v>0.125</v>
      </c>
      <c r="K257" s="21" t="s">
        <v>1151</v>
      </c>
      <c r="L257" s="75" t="s">
        <v>30</v>
      </c>
      <c r="M257" s="75" t="s">
        <v>1355</v>
      </c>
      <c r="N257" s="23" t="s">
        <v>1520</v>
      </c>
      <c r="O257" s="35" t="s">
        <v>1357</v>
      </c>
      <c r="P257" s="246">
        <v>45716</v>
      </c>
      <c r="Q257" s="246">
        <v>45716</v>
      </c>
      <c r="R257" s="246">
        <v>46445</v>
      </c>
      <c r="S257" s="246">
        <v>46446</v>
      </c>
      <c r="T257" s="25">
        <v>2013</v>
      </c>
      <c r="U257" s="75" t="s">
        <v>3720</v>
      </c>
      <c r="V257" s="25">
        <v>2021</v>
      </c>
      <c r="W257" s="38" t="s">
        <v>1100</v>
      </c>
      <c r="X257" s="72" t="s">
        <v>30</v>
      </c>
      <c r="Y257" s="73" t="s">
        <v>1360</v>
      </c>
      <c r="Z257" s="254" t="s">
        <v>3721</v>
      </c>
      <c r="AA257" s="23" t="s">
        <v>1841</v>
      </c>
      <c r="AB257" s="161">
        <v>44736</v>
      </c>
      <c r="AC257" s="161">
        <v>46561</v>
      </c>
      <c r="AD257" s="25">
        <v>7259515690</v>
      </c>
      <c r="AE257" s="255" t="s">
        <v>3722</v>
      </c>
      <c r="AF257" s="75" t="s">
        <v>1805</v>
      </c>
      <c r="AG257" s="256" t="s">
        <v>3723</v>
      </c>
      <c r="AH257" s="72" t="s">
        <v>3724</v>
      </c>
      <c r="AI257" s="72" t="s">
        <v>3725</v>
      </c>
      <c r="AJ257" s="249" t="s">
        <v>3726</v>
      </c>
      <c r="AK257" s="75" t="s">
        <v>3727</v>
      </c>
      <c r="AL257" s="250"/>
      <c r="AM257" s="250"/>
      <c r="AN257" s="38"/>
      <c r="AO257" s="38" t="s">
        <v>3728</v>
      </c>
      <c r="AP257" s="25">
        <f t="shared" ca="1" si="9"/>
        <v>35</v>
      </c>
      <c r="AQ257" s="38" t="s">
        <v>1605</v>
      </c>
      <c r="AR257" s="285" t="s">
        <v>3729</v>
      </c>
      <c r="AS257" s="187">
        <v>45942</v>
      </c>
      <c r="AT257" s="187">
        <v>46306</v>
      </c>
      <c r="AU257" s="252">
        <v>33026</v>
      </c>
      <c r="AV257" s="72" t="s">
        <v>1389</v>
      </c>
      <c r="AW257" s="72" t="s">
        <v>32</v>
      </c>
      <c r="AX257" s="25">
        <v>3</v>
      </c>
      <c r="AY257" s="76" t="s">
        <v>1895</v>
      </c>
      <c r="AZ257" s="30" t="s">
        <v>1373</v>
      </c>
      <c r="BA257" s="23" t="s">
        <v>151</v>
      </c>
      <c r="BB257" s="30" t="s">
        <v>34</v>
      </c>
      <c r="BC257" s="22"/>
    </row>
    <row r="258" spans="1:55" x14ac:dyDescent="0.25">
      <c r="A258" s="10">
        <f t="shared" si="8"/>
        <v>257</v>
      </c>
      <c r="B258" s="55" t="s">
        <v>3730</v>
      </c>
      <c r="C258" s="56" t="s">
        <v>34</v>
      </c>
      <c r="D258" s="78">
        <v>401183</v>
      </c>
      <c r="E258" s="55" t="s">
        <v>36</v>
      </c>
      <c r="F258" s="48" t="s">
        <v>3731</v>
      </c>
      <c r="G258" s="55">
        <v>6</v>
      </c>
      <c r="H258" s="101">
        <v>0.33333333333333331</v>
      </c>
      <c r="I258" s="77">
        <v>0.875</v>
      </c>
      <c r="J258" s="90">
        <v>0.33333333333333331</v>
      </c>
      <c r="K258" s="51" t="s">
        <v>154</v>
      </c>
      <c r="L258" s="51" t="s">
        <v>30</v>
      </c>
      <c r="M258" s="56" t="s">
        <v>1355</v>
      </c>
      <c r="N258" s="52" t="s">
        <v>1520</v>
      </c>
      <c r="O258" s="48" t="s">
        <v>2109</v>
      </c>
      <c r="P258" s="303">
        <v>45722</v>
      </c>
      <c r="Q258" s="303">
        <v>45722</v>
      </c>
      <c r="R258" s="303">
        <v>46451</v>
      </c>
      <c r="S258" s="303">
        <v>46452</v>
      </c>
      <c r="T258" s="55">
        <v>2017</v>
      </c>
      <c r="U258" s="48" t="s">
        <v>3732</v>
      </c>
      <c r="V258" s="55">
        <v>2023</v>
      </c>
      <c r="W258" s="48" t="s">
        <v>326</v>
      </c>
      <c r="X258" s="54" t="s">
        <v>30</v>
      </c>
      <c r="Y258" s="52" t="s">
        <v>1360</v>
      </c>
      <c r="Z258" s="48" t="s">
        <v>3733</v>
      </c>
      <c r="AA258" s="52" t="s">
        <v>1841</v>
      </c>
      <c r="AB258" s="238">
        <v>45227</v>
      </c>
      <c r="AC258" s="238">
        <v>47053</v>
      </c>
      <c r="AD258" s="55">
        <v>9491367287</v>
      </c>
      <c r="AE258" s="259" t="s">
        <v>3734</v>
      </c>
      <c r="AF258" s="56" t="s">
        <v>1364</v>
      </c>
      <c r="AG258" s="198" t="s">
        <v>3735</v>
      </c>
      <c r="AH258" s="54" t="s">
        <v>2731</v>
      </c>
      <c r="AI258" s="54" t="s">
        <v>3736</v>
      </c>
      <c r="AJ258" s="198" t="s">
        <v>3737</v>
      </c>
      <c r="AK258" s="56" t="s">
        <v>3738</v>
      </c>
      <c r="AL258" s="199">
        <v>45980</v>
      </c>
      <c r="AM258" s="199">
        <v>45920</v>
      </c>
      <c r="AN258" s="51" t="s">
        <v>3739</v>
      </c>
      <c r="AO258" s="51" t="s">
        <v>3740</v>
      </c>
      <c r="AP258" s="55">
        <f t="shared" ca="1" si="9"/>
        <v>30</v>
      </c>
      <c r="AQ258" s="51"/>
      <c r="AR258" s="52"/>
      <c r="AS258" s="199"/>
      <c r="AT258" s="199"/>
      <c r="AU258" s="242">
        <v>34945</v>
      </c>
      <c r="AV258" s="54" t="s">
        <v>1389</v>
      </c>
      <c r="AW258" s="54" t="s">
        <v>68</v>
      </c>
      <c r="AX258" s="55">
        <v>8</v>
      </c>
      <c r="AY258" s="48" t="s">
        <v>1904</v>
      </c>
      <c r="AZ258" s="56" t="s">
        <v>1373</v>
      </c>
      <c r="BA258" s="52" t="s">
        <v>151</v>
      </c>
      <c r="BB258" s="56" t="s">
        <v>34</v>
      </c>
      <c r="BC258" s="53"/>
    </row>
    <row r="259" spans="1:55" x14ac:dyDescent="0.25">
      <c r="A259" s="10">
        <f t="shared" si="8"/>
        <v>258</v>
      </c>
      <c r="B259" s="25" t="s">
        <v>3741</v>
      </c>
      <c r="C259" s="30" t="s">
        <v>34</v>
      </c>
      <c r="D259" s="71">
        <v>401184</v>
      </c>
      <c r="E259" s="25" t="s">
        <v>36</v>
      </c>
      <c r="F259" s="14" t="s">
        <v>3742</v>
      </c>
      <c r="G259" s="25">
        <v>6</v>
      </c>
      <c r="H259" s="74">
        <v>0.375</v>
      </c>
      <c r="I259" s="74">
        <v>0.54166666666666663</v>
      </c>
      <c r="J259" s="74">
        <v>0.16666666666666666</v>
      </c>
      <c r="K259" s="21" t="s">
        <v>147</v>
      </c>
      <c r="L259" s="75" t="s">
        <v>30</v>
      </c>
      <c r="M259" s="30" t="s">
        <v>1376</v>
      </c>
      <c r="N259" s="23" t="s">
        <v>1393</v>
      </c>
      <c r="O259" s="38" t="s">
        <v>30</v>
      </c>
      <c r="P259" s="246">
        <v>45722</v>
      </c>
      <c r="Q259" s="246">
        <v>45722</v>
      </c>
      <c r="R259" s="246">
        <v>46451</v>
      </c>
      <c r="S259" s="246">
        <v>46452</v>
      </c>
      <c r="T259" s="25">
        <v>1969</v>
      </c>
      <c r="U259" s="75" t="s">
        <v>3743</v>
      </c>
      <c r="V259" s="25" t="s">
        <v>1424</v>
      </c>
      <c r="W259" s="76" t="s">
        <v>1424</v>
      </c>
      <c r="X259" s="72" t="s">
        <v>30</v>
      </c>
      <c r="Y259" s="38" t="s">
        <v>226</v>
      </c>
      <c r="Z259" s="76" t="s">
        <v>3744</v>
      </c>
      <c r="AA259" s="23" t="s">
        <v>1841</v>
      </c>
      <c r="AB259" s="161">
        <v>44351</v>
      </c>
      <c r="AC259" s="161">
        <v>46176</v>
      </c>
      <c r="AD259" s="304">
        <v>9246345068</v>
      </c>
      <c r="AE259" s="236" t="s">
        <v>3745</v>
      </c>
      <c r="AF259" s="30" t="s">
        <v>1410</v>
      </c>
      <c r="AG259" s="249" t="s">
        <v>3746</v>
      </c>
      <c r="AH259" s="72" t="s">
        <v>3747</v>
      </c>
      <c r="AI259" s="25" t="s">
        <v>3748</v>
      </c>
      <c r="AJ259" s="249" t="s">
        <v>3749</v>
      </c>
      <c r="AK259" s="75" t="s">
        <v>3750</v>
      </c>
      <c r="AL259" s="250"/>
      <c r="AM259" s="250"/>
      <c r="AN259" s="38"/>
      <c r="AO259" s="305" t="s">
        <v>3751</v>
      </c>
      <c r="AP259" s="25">
        <f t="shared" ca="1" si="9"/>
        <v>74</v>
      </c>
      <c r="AQ259" s="38"/>
      <c r="AR259" s="73"/>
      <c r="AS259" s="250"/>
      <c r="AT259" s="250"/>
      <c r="AU259" s="250">
        <v>18872</v>
      </c>
      <c r="AV259" s="72" t="s">
        <v>1352</v>
      </c>
      <c r="AW259" s="72" t="s">
        <v>32</v>
      </c>
      <c r="AX259" s="25">
        <v>4</v>
      </c>
      <c r="AY259" s="76" t="s">
        <v>1849</v>
      </c>
      <c r="AZ259" s="30" t="s">
        <v>1390</v>
      </c>
      <c r="BA259" s="23" t="s">
        <v>151</v>
      </c>
      <c r="BB259" s="30" t="s">
        <v>34</v>
      </c>
      <c r="BC259" s="22"/>
    </row>
    <row r="260" spans="1:55" x14ac:dyDescent="0.25">
      <c r="A260" s="10">
        <f t="shared" ref="A260:A323" si="10">A259+1</f>
        <v>259</v>
      </c>
      <c r="B260" s="10" t="s">
        <v>832</v>
      </c>
      <c r="C260" s="30" t="s">
        <v>34</v>
      </c>
      <c r="D260" s="65">
        <v>400581</v>
      </c>
      <c r="E260" s="31" t="s">
        <v>268</v>
      </c>
      <c r="F260" s="14" t="s">
        <v>833</v>
      </c>
      <c r="G260" s="10">
        <v>6</v>
      </c>
      <c r="H260" s="66">
        <v>0.66666666666666663</v>
      </c>
      <c r="I260" s="66">
        <v>0.875</v>
      </c>
      <c r="J260" s="66">
        <v>0.20833333333333334</v>
      </c>
      <c r="K260" s="21" t="s">
        <v>680</v>
      </c>
      <c r="L260" s="30" t="s">
        <v>834</v>
      </c>
      <c r="M260" s="30" t="s">
        <v>26</v>
      </c>
      <c r="N260" s="23" t="s">
        <v>38</v>
      </c>
      <c r="O260" s="23" t="s">
        <v>1321</v>
      </c>
      <c r="P260" s="161">
        <v>44854</v>
      </c>
      <c r="Q260" s="161">
        <v>45566</v>
      </c>
      <c r="R260" s="161">
        <v>45961</v>
      </c>
      <c r="S260" s="161">
        <v>45962</v>
      </c>
      <c r="T260" s="10">
        <v>2015</v>
      </c>
      <c r="U260" s="30" t="s">
        <v>835</v>
      </c>
      <c r="V260" s="10">
        <v>2019</v>
      </c>
      <c r="W260" s="14" t="s">
        <v>836</v>
      </c>
      <c r="X260" s="31" t="s">
        <v>30</v>
      </c>
      <c r="Y260" s="23" t="s">
        <v>66</v>
      </c>
      <c r="Z260" s="14" t="s">
        <v>3752</v>
      </c>
      <c r="AA260" s="23" t="s">
        <v>1841</v>
      </c>
      <c r="AB260" s="306">
        <v>44163</v>
      </c>
      <c r="AC260" s="306">
        <v>45988</v>
      </c>
      <c r="AD260" s="220">
        <v>9494129058</v>
      </c>
      <c r="AE260" s="224" t="s">
        <v>837</v>
      </c>
      <c r="AF260" s="30" t="s">
        <v>1759</v>
      </c>
      <c r="AG260" s="221" t="s">
        <v>3753</v>
      </c>
      <c r="AH260" s="31" t="s">
        <v>3754</v>
      </c>
      <c r="AI260" s="31" t="s">
        <v>3755</v>
      </c>
      <c r="AJ260" s="221" t="s">
        <v>3756</v>
      </c>
      <c r="AK260" s="30" t="s">
        <v>3757</v>
      </c>
      <c r="AL260" s="210"/>
      <c r="AM260" s="210"/>
      <c r="AN260" s="35"/>
      <c r="AO260" s="35" t="s">
        <v>3758</v>
      </c>
      <c r="AP260" s="10">
        <f t="shared" ca="1" si="9"/>
        <v>34</v>
      </c>
      <c r="AQ260" s="30" t="s">
        <v>1416</v>
      </c>
      <c r="AR260" s="232" t="s">
        <v>3759</v>
      </c>
      <c r="AS260" s="210">
        <v>45581</v>
      </c>
      <c r="AT260" s="210">
        <v>45945</v>
      </c>
      <c r="AU260" s="223">
        <v>33472</v>
      </c>
      <c r="AV260" s="31" t="s">
        <v>1389</v>
      </c>
      <c r="AW260" s="31" t="s">
        <v>32</v>
      </c>
      <c r="AX260" s="10">
        <v>5</v>
      </c>
      <c r="AY260" s="14" t="s">
        <v>2189</v>
      </c>
      <c r="AZ260" s="30" t="s">
        <v>26</v>
      </c>
      <c r="BA260" s="23" t="s">
        <v>151</v>
      </c>
      <c r="BB260" s="30" t="s">
        <v>34</v>
      </c>
      <c r="BC260" s="22"/>
    </row>
    <row r="261" spans="1:55" x14ac:dyDescent="0.25">
      <c r="A261" s="10">
        <f t="shared" si="10"/>
        <v>260</v>
      </c>
      <c r="B261" s="10" t="s">
        <v>838</v>
      </c>
      <c r="C261" s="30" t="s">
        <v>34</v>
      </c>
      <c r="D261" s="65">
        <v>400131</v>
      </c>
      <c r="E261" s="31" t="s">
        <v>42</v>
      </c>
      <c r="F261" s="14" t="s">
        <v>839</v>
      </c>
      <c r="G261" s="10">
        <v>6</v>
      </c>
      <c r="H261" s="66">
        <v>0.33333333333333331</v>
      </c>
      <c r="I261" s="66">
        <v>0.54166666666666663</v>
      </c>
      <c r="J261" s="66">
        <v>0.20833333333333334</v>
      </c>
      <c r="K261" s="21" t="s">
        <v>840</v>
      </c>
      <c r="L261" s="30" t="s">
        <v>841</v>
      </c>
      <c r="M261" s="30" t="s">
        <v>26</v>
      </c>
      <c r="N261" s="23" t="s">
        <v>38</v>
      </c>
      <c r="O261" s="23" t="s">
        <v>1321</v>
      </c>
      <c r="P261" s="161">
        <v>44958</v>
      </c>
      <c r="Q261" s="183">
        <v>45689</v>
      </c>
      <c r="R261" s="183">
        <v>46418</v>
      </c>
      <c r="S261" s="183">
        <v>46419</v>
      </c>
      <c r="T261" s="10">
        <v>2013</v>
      </c>
      <c r="U261" s="30" t="s">
        <v>209</v>
      </c>
      <c r="V261" s="10">
        <v>2018</v>
      </c>
      <c r="W261" s="14" t="s">
        <v>141</v>
      </c>
      <c r="X261" s="31" t="s">
        <v>30</v>
      </c>
      <c r="Y261" s="35" t="s">
        <v>49</v>
      </c>
      <c r="Z261" s="14" t="s">
        <v>3760</v>
      </c>
      <c r="AA261" s="23" t="s">
        <v>1841</v>
      </c>
      <c r="AB261" s="161">
        <v>45703</v>
      </c>
      <c r="AC261" s="161">
        <v>47528</v>
      </c>
      <c r="AD261" s="220">
        <v>9493263867</v>
      </c>
      <c r="AE261" s="224" t="s">
        <v>842</v>
      </c>
      <c r="AF261" s="28" t="s">
        <v>1495</v>
      </c>
      <c r="AG261" s="221" t="s">
        <v>3761</v>
      </c>
      <c r="AH261" s="31" t="s">
        <v>2567</v>
      </c>
      <c r="AI261" s="31" t="s">
        <v>3762</v>
      </c>
      <c r="AJ261" s="221" t="s">
        <v>3763</v>
      </c>
      <c r="AK261" s="30" t="s">
        <v>3764</v>
      </c>
      <c r="AL261" s="210"/>
      <c r="AM261" s="210"/>
      <c r="AN261" s="35"/>
      <c r="AO261" s="35" t="s">
        <v>3765</v>
      </c>
      <c r="AP261" s="10">
        <f t="shared" ca="1" si="9"/>
        <v>35</v>
      </c>
      <c r="AQ261" s="185" t="s">
        <v>1677</v>
      </c>
      <c r="AR261" s="232" t="s">
        <v>3766</v>
      </c>
      <c r="AS261" s="187">
        <v>45583</v>
      </c>
      <c r="AT261" s="187">
        <v>45947</v>
      </c>
      <c r="AU261" s="223">
        <v>33029</v>
      </c>
      <c r="AV261" s="31" t="s">
        <v>1389</v>
      </c>
      <c r="AW261" s="31" t="s">
        <v>32</v>
      </c>
      <c r="AX261" s="87">
        <v>5</v>
      </c>
      <c r="AY261" s="14" t="s">
        <v>2006</v>
      </c>
      <c r="AZ261" s="30" t="s">
        <v>26</v>
      </c>
      <c r="BA261" s="23" t="s">
        <v>151</v>
      </c>
      <c r="BB261" s="30" t="s">
        <v>34</v>
      </c>
      <c r="BC261" s="22"/>
    </row>
    <row r="262" spans="1:55" x14ac:dyDescent="0.25">
      <c r="A262" s="10">
        <f t="shared" si="10"/>
        <v>261</v>
      </c>
      <c r="B262" s="25" t="s">
        <v>843</v>
      </c>
      <c r="C262" s="30" t="s">
        <v>34</v>
      </c>
      <c r="D262" s="71">
        <v>401187</v>
      </c>
      <c r="E262" s="72" t="s">
        <v>36</v>
      </c>
      <c r="F262" s="14" t="s">
        <v>844</v>
      </c>
      <c r="G262" s="25">
        <v>6</v>
      </c>
      <c r="H262" s="74">
        <v>0.75</v>
      </c>
      <c r="I262" s="74">
        <v>0.875</v>
      </c>
      <c r="J262" s="74">
        <v>0.125</v>
      </c>
      <c r="K262" s="21" t="s">
        <v>713</v>
      </c>
      <c r="L262" s="76" t="s">
        <v>845</v>
      </c>
      <c r="M262" s="75" t="s">
        <v>26</v>
      </c>
      <c r="N262" s="23" t="s">
        <v>38</v>
      </c>
      <c r="O262" s="23" t="s">
        <v>1321</v>
      </c>
      <c r="P262" s="246">
        <v>45729</v>
      </c>
      <c r="Q262" s="246">
        <v>45729</v>
      </c>
      <c r="R262" s="246">
        <v>46458</v>
      </c>
      <c r="S262" s="246">
        <v>46459</v>
      </c>
      <c r="T262" s="25">
        <v>2011</v>
      </c>
      <c r="U262" s="75" t="s">
        <v>846</v>
      </c>
      <c r="V262" s="25">
        <v>2021</v>
      </c>
      <c r="W262" s="76" t="s">
        <v>343</v>
      </c>
      <c r="X262" s="72" t="s">
        <v>30</v>
      </c>
      <c r="Y262" s="38" t="s">
        <v>49</v>
      </c>
      <c r="Z262" s="76" t="s">
        <v>3767</v>
      </c>
      <c r="AA262" s="38" t="s">
        <v>1886</v>
      </c>
      <c r="AB262" s="161">
        <v>44629</v>
      </c>
      <c r="AC262" s="161">
        <v>46454</v>
      </c>
      <c r="AD262" s="284">
        <v>6281382019</v>
      </c>
      <c r="AE262" s="302" t="s">
        <v>847</v>
      </c>
      <c r="AF262" s="75" t="s">
        <v>1805</v>
      </c>
      <c r="AG262" s="249" t="s">
        <v>3768</v>
      </c>
      <c r="AH262" s="72" t="s">
        <v>3769</v>
      </c>
      <c r="AI262" s="72" t="s">
        <v>3770</v>
      </c>
      <c r="AJ262" s="249" t="s">
        <v>3771</v>
      </c>
      <c r="AK262" s="75" t="s">
        <v>3772</v>
      </c>
      <c r="AL262" s="250"/>
      <c r="AM262" s="250"/>
      <c r="AN262" s="38"/>
      <c r="AO262" s="38" t="s">
        <v>3773</v>
      </c>
      <c r="AP262" s="25">
        <f t="shared" ca="1" si="9"/>
        <v>37</v>
      </c>
      <c r="AQ262" s="38"/>
      <c r="AR262" s="73"/>
      <c r="AS262" s="250"/>
      <c r="AT262" s="250"/>
      <c r="AU262" s="252">
        <v>32106</v>
      </c>
      <c r="AV262" s="72" t="s">
        <v>1389</v>
      </c>
      <c r="AW262" s="72" t="s">
        <v>32</v>
      </c>
      <c r="AX262" s="25">
        <v>3</v>
      </c>
      <c r="AY262" s="76" t="s">
        <v>2262</v>
      </c>
      <c r="AZ262" s="30" t="s">
        <v>26</v>
      </c>
      <c r="BA262" s="23" t="s">
        <v>151</v>
      </c>
      <c r="BB262" s="30" t="s">
        <v>34</v>
      </c>
      <c r="BC262" s="22"/>
    </row>
    <row r="263" spans="1:55" x14ac:dyDescent="0.25">
      <c r="A263" s="10">
        <f t="shared" si="10"/>
        <v>262</v>
      </c>
      <c r="B263" s="25" t="s">
        <v>3774</v>
      </c>
      <c r="C263" s="30" t="s">
        <v>34</v>
      </c>
      <c r="D263" s="71">
        <v>401188</v>
      </c>
      <c r="E263" s="72" t="s">
        <v>36</v>
      </c>
      <c r="F263" s="14" t="s">
        <v>3775</v>
      </c>
      <c r="G263" s="25">
        <v>6</v>
      </c>
      <c r="H263" s="74">
        <v>0.75</v>
      </c>
      <c r="I263" s="74">
        <v>0.875</v>
      </c>
      <c r="J263" s="74">
        <v>0.125</v>
      </c>
      <c r="K263" s="21" t="s">
        <v>713</v>
      </c>
      <c r="L263" s="75" t="s">
        <v>30</v>
      </c>
      <c r="M263" s="75" t="s">
        <v>1355</v>
      </c>
      <c r="N263" s="23" t="s">
        <v>1520</v>
      </c>
      <c r="O263" s="14" t="s">
        <v>2673</v>
      </c>
      <c r="P263" s="246">
        <v>45733</v>
      </c>
      <c r="Q263" s="246">
        <v>45733</v>
      </c>
      <c r="R263" s="246">
        <v>46462</v>
      </c>
      <c r="S263" s="246">
        <v>46463</v>
      </c>
      <c r="T263" s="25">
        <v>2002</v>
      </c>
      <c r="U263" s="75" t="s">
        <v>3776</v>
      </c>
      <c r="V263" s="25">
        <v>2008</v>
      </c>
      <c r="W263" s="38" t="s">
        <v>317</v>
      </c>
      <c r="X263" s="72" t="s">
        <v>30</v>
      </c>
      <c r="Y263" s="73" t="s">
        <v>1360</v>
      </c>
      <c r="Z263" s="254">
        <v>59993</v>
      </c>
      <c r="AA263" s="38" t="s">
        <v>1886</v>
      </c>
      <c r="AB263" s="161">
        <v>44313</v>
      </c>
      <c r="AC263" s="161">
        <v>46138</v>
      </c>
      <c r="AD263" s="25">
        <v>9494288587</v>
      </c>
      <c r="AE263" s="255" t="s">
        <v>3777</v>
      </c>
      <c r="AF263" s="28" t="s">
        <v>1495</v>
      </c>
      <c r="AG263" s="249" t="s">
        <v>3778</v>
      </c>
      <c r="AH263" s="72" t="s">
        <v>3779</v>
      </c>
      <c r="AI263" s="72" t="s">
        <v>3780</v>
      </c>
      <c r="AJ263" s="249" t="s">
        <v>3781</v>
      </c>
      <c r="AK263" s="75" t="s">
        <v>3782</v>
      </c>
      <c r="AL263" s="250"/>
      <c r="AM263" s="250"/>
      <c r="AN263" s="38"/>
      <c r="AO263" s="38" t="s">
        <v>3783</v>
      </c>
      <c r="AP263" s="25">
        <f t="shared" ca="1" si="9"/>
        <v>47</v>
      </c>
      <c r="AQ263" s="38"/>
      <c r="AR263" s="73"/>
      <c r="AS263" s="250"/>
      <c r="AT263" s="250"/>
      <c r="AU263" s="252">
        <v>28450</v>
      </c>
      <c r="AV263" s="72" t="s">
        <v>1352</v>
      </c>
      <c r="AW263" s="72" t="s">
        <v>32</v>
      </c>
      <c r="AX263" s="25">
        <v>3</v>
      </c>
      <c r="AY263" s="76" t="s">
        <v>2262</v>
      </c>
      <c r="AZ263" s="30" t="s">
        <v>1373</v>
      </c>
      <c r="BA263" s="23" t="s">
        <v>151</v>
      </c>
      <c r="BB263" s="30" t="s">
        <v>34</v>
      </c>
      <c r="BC263" s="22"/>
    </row>
    <row r="264" spans="1:55" x14ac:dyDescent="0.25">
      <c r="A264" s="307">
        <f t="shared" si="10"/>
        <v>263</v>
      </c>
      <c r="B264" s="308" t="s">
        <v>3784</v>
      </c>
      <c r="C264" s="328" t="s">
        <v>34</v>
      </c>
      <c r="D264" s="309">
        <v>401190</v>
      </c>
      <c r="E264" s="310" t="s">
        <v>36</v>
      </c>
      <c r="F264" s="311" t="s">
        <v>3785</v>
      </c>
      <c r="G264" s="308">
        <v>6</v>
      </c>
      <c r="H264" s="313">
        <v>0.33333333333333331</v>
      </c>
      <c r="I264" s="314">
        <v>0.875</v>
      </c>
      <c r="J264" s="315">
        <v>0.33333333333333331</v>
      </c>
      <c r="K264" s="316" t="s">
        <v>911</v>
      </c>
      <c r="L264" s="317" t="s">
        <v>30</v>
      </c>
      <c r="M264" s="317" t="s">
        <v>1355</v>
      </c>
      <c r="N264" s="318" t="s">
        <v>1520</v>
      </c>
      <c r="O264" s="319" t="s">
        <v>1357</v>
      </c>
      <c r="P264" s="320">
        <v>45735</v>
      </c>
      <c r="Q264" s="320">
        <v>45735</v>
      </c>
      <c r="R264" s="320">
        <v>46464</v>
      </c>
      <c r="S264" s="320">
        <v>46465</v>
      </c>
      <c r="T264" s="308">
        <v>2017</v>
      </c>
      <c r="U264" s="317" t="s">
        <v>642</v>
      </c>
      <c r="V264" s="308">
        <v>2025</v>
      </c>
      <c r="W264" s="316" t="s">
        <v>169</v>
      </c>
      <c r="X264" s="310" t="s">
        <v>30</v>
      </c>
      <c r="Y264" s="312" t="s">
        <v>1360</v>
      </c>
      <c r="Z264" s="321" t="s">
        <v>3786</v>
      </c>
      <c r="AA264" s="318" t="s">
        <v>1841</v>
      </c>
      <c r="AB264" s="306">
        <v>45733</v>
      </c>
      <c r="AC264" s="306">
        <v>47558</v>
      </c>
      <c r="AD264" s="308">
        <v>7093535327</v>
      </c>
      <c r="AE264" s="322" t="s">
        <v>3787</v>
      </c>
      <c r="AF264" s="317" t="s">
        <v>3029</v>
      </c>
      <c r="AG264" s="323" t="s">
        <v>3788</v>
      </c>
      <c r="AH264" s="310" t="s">
        <v>3789</v>
      </c>
      <c r="AI264" s="310" t="s">
        <v>3790</v>
      </c>
      <c r="AJ264" s="324" t="s">
        <v>3791</v>
      </c>
      <c r="AK264" s="317" t="s">
        <v>3792</v>
      </c>
      <c r="AL264" s="325"/>
      <c r="AM264" s="325">
        <v>45966</v>
      </c>
      <c r="AN264" s="316" t="s">
        <v>3793</v>
      </c>
      <c r="AO264" s="316" t="s">
        <v>3794</v>
      </c>
      <c r="AP264" s="308">
        <f t="shared" ca="1" si="9"/>
        <v>31</v>
      </c>
      <c r="AQ264" s="316"/>
      <c r="AR264" s="312"/>
      <c r="AS264" s="325"/>
      <c r="AT264" s="325"/>
      <c r="AU264" s="326">
        <v>34630</v>
      </c>
      <c r="AV264" s="310" t="s">
        <v>1389</v>
      </c>
      <c r="AW264" s="310" t="s">
        <v>68</v>
      </c>
      <c r="AX264" s="308">
        <v>8</v>
      </c>
      <c r="AY264" s="327" t="s">
        <v>2469</v>
      </c>
      <c r="AZ264" s="328" t="s">
        <v>1373</v>
      </c>
      <c r="BA264" s="318" t="s">
        <v>151</v>
      </c>
      <c r="BB264" s="328" t="s">
        <v>34</v>
      </c>
      <c r="BC264" s="329"/>
    </row>
    <row r="265" spans="1:55" x14ac:dyDescent="0.25">
      <c r="A265" s="10">
        <f t="shared" si="10"/>
        <v>264</v>
      </c>
      <c r="B265" s="25" t="s">
        <v>848</v>
      </c>
      <c r="C265" s="30" t="s">
        <v>34</v>
      </c>
      <c r="D265" s="71">
        <v>401191</v>
      </c>
      <c r="E265" s="72" t="s">
        <v>36</v>
      </c>
      <c r="F265" s="14" t="s">
        <v>849</v>
      </c>
      <c r="G265" s="25">
        <v>6</v>
      </c>
      <c r="H265" s="74">
        <v>0.375</v>
      </c>
      <c r="I265" s="74">
        <v>0.70833333333333337</v>
      </c>
      <c r="J265" s="95">
        <v>0.33333333333333331</v>
      </c>
      <c r="K265" s="21" t="s">
        <v>850</v>
      </c>
      <c r="L265" s="88" t="s">
        <v>851</v>
      </c>
      <c r="M265" s="75" t="s">
        <v>26</v>
      </c>
      <c r="N265" s="23" t="s">
        <v>38</v>
      </c>
      <c r="O265" s="23" t="s">
        <v>1321</v>
      </c>
      <c r="P265" s="246">
        <v>45738</v>
      </c>
      <c r="Q265" s="246">
        <v>45738</v>
      </c>
      <c r="R265" s="246">
        <v>46467</v>
      </c>
      <c r="S265" s="246">
        <v>46468</v>
      </c>
      <c r="T265" s="25">
        <v>2019</v>
      </c>
      <c r="U265" s="91" t="s">
        <v>169</v>
      </c>
      <c r="V265" s="25">
        <v>2025</v>
      </c>
      <c r="W265" s="91" t="s">
        <v>169</v>
      </c>
      <c r="X265" s="72" t="s">
        <v>30</v>
      </c>
      <c r="Y265" s="38" t="s">
        <v>49</v>
      </c>
      <c r="Z265" s="88" t="s">
        <v>3795</v>
      </c>
      <c r="AA265" s="23" t="s">
        <v>1841</v>
      </c>
      <c r="AB265" s="161">
        <v>45734</v>
      </c>
      <c r="AC265" s="161">
        <v>47559</v>
      </c>
      <c r="AD265" s="93">
        <v>8886666221</v>
      </c>
      <c r="AE265" s="330" t="s">
        <v>852</v>
      </c>
      <c r="AF265" s="30" t="s">
        <v>1410</v>
      </c>
      <c r="AG265" s="249" t="s">
        <v>3796</v>
      </c>
      <c r="AH265" s="72" t="s">
        <v>3797</v>
      </c>
      <c r="AI265" s="72" t="s">
        <v>3798</v>
      </c>
      <c r="AJ265" s="249" t="s">
        <v>3799</v>
      </c>
      <c r="AK265" s="75" t="s">
        <v>3800</v>
      </c>
      <c r="AL265" s="250"/>
      <c r="AM265" s="250"/>
      <c r="AN265" s="38"/>
      <c r="AO265" s="38" t="s">
        <v>3801</v>
      </c>
      <c r="AP265" s="25">
        <f t="shared" ca="1" si="9"/>
        <v>30</v>
      </c>
      <c r="AQ265" s="38" t="s">
        <v>1605</v>
      </c>
      <c r="AR265" s="285" t="s">
        <v>3802</v>
      </c>
      <c r="AS265" s="234">
        <v>45737</v>
      </c>
      <c r="AT265" s="234">
        <v>46101</v>
      </c>
      <c r="AU265" s="252">
        <v>34682</v>
      </c>
      <c r="AV265" s="72" t="s">
        <v>1352</v>
      </c>
      <c r="AW265" s="72" t="s">
        <v>68</v>
      </c>
      <c r="AX265" s="25">
        <v>8</v>
      </c>
      <c r="AY265" s="76" t="s">
        <v>1904</v>
      </c>
      <c r="AZ265" s="30" t="s">
        <v>26</v>
      </c>
      <c r="BA265" s="23" t="s">
        <v>151</v>
      </c>
      <c r="BB265" s="30" t="s">
        <v>34</v>
      </c>
      <c r="BC265" s="22"/>
    </row>
    <row r="266" spans="1:55" x14ac:dyDescent="0.25">
      <c r="A266" s="10">
        <f t="shared" si="10"/>
        <v>265</v>
      </c>
      <c r="B266" s="25" t="s">
        <v>853</v>
      </c>
      <c r="C266" s="30" t="s">
        <v>34</v>
      </c>
      <c r="D266" s="65">
        <v>401244</v>
      </c>
      <c r="E266" s="31" t="s">
        <v>192</v>
      </c>
      <c r="F266" s="14" t="s">
        <v>854</v>
      </c>
      <c r="G266" s="64"/>
      <c r="H266" s="66"/>
      <c r="I266" s="66"/>
      <c r="J266" s="66"/>
      <c r="K266" s="21" t="s">
        <v>334</v>
      </c>
      <c r="L266" s="59" t="s">
        <v>855</v>
      </c>
      <c r="M266" s="30" t="s">
        <v>26</v>
      </c>
      <c r="N266" s="23" t="s">
        <v>38</v>
      </c>
      <c r="O266" s="23" t="s">
        <v>1321</v>
      </c>
      <c r="P266" s="258">
        <v>45798</v>
      </c>
      <c r="Q266" s="258">
        <v>45798</v>
      </c>
      <c r="R266" s="258">
        <v>46527</v>
      </c>
      <c r="S266" s="258">
        <v>46528</v>
      </c>
      <c r="T266" s="79">
        <v>2008</v>
      </c>
      <c r="U266" s="59" t="s">
        <v>141</v>
      </c>
      <c r="V266" s="64">
        <v>2012</v>
      </c>
      <c r="W266" s="59" t="s">
        <v>856</v>
      </c>
      <c r="X266" s="64" t="s">
        <v>3803</v>
      </c>
      <c r="Y266" s="35" t="s">
        <v>39</v>
      </c>
      <c r="Z266" s="59">
        <v>60804</v>
      </c>
      <c r="AA266" s="23" t="s">
        <v>1841</v>
      </c>
      <c r="AB266" s="161">
        <v>44313</v>
      </c>
      <c r="AC266" s="161">
        <v>46138</v>
      </c>
      <c r="AD266" s="87">
        <v>8978112988</v>
      </c>
      <c r="AE266" s="43" t="s">
        <v>857</v>
      </c>
      <c r="AF266" s="30" t="s">
        <v>1430</v>
      </c>
      <c r="AG266" s="221" t="s">
        <v>3804</v>
      </c>
      <c r="AH266" s="31" t="s">
        <v>3805</v>
      </c>
      <c r="AI266" s="31" t="s">
        <v>3806</v>
      </c>
      <c r="AJ266" s="221" t="s">
        <v>3807</v>
      </c>
      <c r="AK266" s="30" t="s">
        <v>3808</v>
      </c>
      <c r="AL266" s="210"/>
      <c r="AM266" s="210"/>
      <c r="AN266" s="35"/>
      <c r="AO266" s="35" t="s">
        <v>3809</v>
      </c>
      <c r="AP266" s="10">
        <f t="shared" ca="1" si="9"/>
        <v>41</v>
      </c>
      <c r="AQ266" s="30" t="s">
        <v>1605</v>
      </c>
      <c r="AR266" s="14" t="s">
        <v>3810</v>
      </c>
      <c r="AS266" s="210">
        <v>45591</v>
      </c>
      <c r="AT266" s="210">
        <v>45955</v>
      </c>
      <c r="AU266" s="273">
        <v>30924</v>
      </c>
      <c r="AV266" s="64" t="s">
        <v>1352</v>
      </c>
      <c r="AW266" s="31" t="s">
        <v>32</v>
      </c>
      <c r="AX266" s="10" t="s">
        <v>30</v>
      </c>
      <c r="AY266" s="76" t="s">
        <v>30</v>
      </c>
      <c r="AZ266" s="30" t="s">
        <v>26</v>
      </c>
      <c r="BA266" s="23" t="s">
        <v>151</v>
      </c>
      <c r="BB266" s="30" t="s">
        <v>34</v>
      </c>
      <c r="BC266" s="22"/>
    </row>
    <row r="267" spans="1:55" x14ac:dyDescent="0.25">
      <c r="A267" s="10">
        <f t="shared" si="10"/>
        <v>266</v>
      </c>
      <c r="B267" s="25" t="s">
        <v>591</v>
      </c>
      <c r="C267" s="30" t="s">
        <v>34</v>
      </c>
      <c r="D267" s="71">
        <v>401193</v>
      </c>
      <c r="E267" s="25" t="s">
        <v>192</v>
      </c>
      <c r="F267" s="14" t="s">
        <v>592</v>
      </c>
      <c r="G267" s="25"/>
      <c r="H267" s="74"/>
      <c r="I267" s="74"/>
      <c r="J267" s="74"/>
      <c r="K267" s="21" t="s">
        <v>334</v>
      </c>
      <c r="L267" s="76" t="s">
        <v>594</v>
      </c>
      <c r="M267" s="75" t="s">
        <v>26</v>
      </c>
      <c r="N267" s="23" t="s">
        <v>38</v>
      </c>
      <c r="O267" s="23" t="s">
        <v>1321</v>
      </c>
      <c r="P267" s="246">
        <v>45738</v>
      </c>
      <c r="Q267" s="246">
        <v>45738</v>
      </c>
      <c r="R267" s="246">
        <v>46467</v>
      </c>
      <c r="S267" s="246">
        <v>46468</v>
      </c>
      <c r="T267" s="25">
        <v>2016</v>
      </c>
      <c r="U267" s="75" t="s">
        <v>350</v>
      </c>
      <c r="V267" s="25">
        <v>2023</v>
      </c>
      <c r="W267" s="75" t="s">
        <v>595</v>
      </c>
      <c r="X267" s="72" t="s">
        <v>30</v>
      </c>
      <c r="Y267" s="38" t="s">
        <v>49</v>
      </c>
      <c r="Z267" s="76" t="s">
        <v>3037</v>
      </c>
      <c r="AA267" s="38" t="s">
        <v>1886</v>
      </c>
      <c r="AB267" s="161">
        <v>45296</v>
      </c>
      <c r="AC267" s="161">
        <v>47122</v>
      </c>
      <c r="AD267" s="220">
        <v>7386737555</v>
      </c>
      <c r="AE267" s="224" t="s">
        <v>596</v>
      </c>
      <c r="AF267" s="28" t="s">
        <v>1495</v>
      </c>
      <c r="AG267" s="249" t="s">
        <v>3038</v>
      </c>
      <c r="AH267" s="72" t="s">
        <v>3039</v>
      </c>
      <c r="AI267" s="72" t="s">
        <v>3040</v>
      </c>
      <c r="AJ267" s="249" t="s">
        <v>3041</v>
      </c>
      <c r="AK267" s="75" t="s">
        <v>3042</v>
      </c>
      <c r="AL267" s="250"/>
      <c r="AM267" s="250"/>
      <c r="AN267" s="38"/>
      <c r="AO267" s="38" t="s">
        <v>3043</v>
      </c>
      <c r="AP267" s="25">
        <f t="shared" ca="1" si="9"/>
        <v>32</v>
      </c>
      <c r="AQ267" s="38" t="s">
        <v>1416</v>
      </c>
      <c r="AR267" s="280" t="s">
        <v>3811</v>
      </c>
      <c r="AS267" s="250">
        <v>45901</v>
      </c>
      <c r="AT267" s="250">
        <v>46996</v>
      </c>
      <c r="AU267" s="252">
        <v>34189</v>
      </c>
      <c r="AV267" s="25" t="s">
        <v>1389</v>
      </c>
      <c r="AW267" s="31" t="s">
        <v>32</v>
      </c>
      <c r="AX267" s="10" t="s">
        <v>30</v>
      </c>
      <c r="AY267" s="76" t="s">
        <v>30</v>
      </c>
      <c r="AZ267" s="30" t="s">
        <v>26</v>
      </c>
      <c r="BA267" s="23" t="s">
        <v>151</v>
      </c>
      <c r="BB267" s="30" t="s">
        <v>34</v>
      </c>
      <c r="BC267" s="22"/>
    </row>
    <row r="268" spans="1:55" x14ac:dyDescent="0.25">
      <c r="A268" s="10">
        <f t="shared" si="10"/>
        <v>267</v>
      </c>
      <c r="B268" s="25" t="s">
        <v>3812</v>
      </c>
      <c r="C268" s="30" t="s">
        <v>34</v>
      </c>
      <c r="D268" s="71">
        <v>401194</v>
      </c>
      <c r="E268" s="72" t="s">
        <v>36</v>
      </c>
      <c r="F268" s="14" t="s">
        <v>3813</v>
      </c>
      <c r="G268" s="25">
        <v>6</v>
      </c>
      <c r="H268" s="102">
        <v>0.33333333333333331</v>
      </c>
      <c r="I268" s="74">
        <v>0.875</v>
      </c>
      <c r="J268" s="95">
        <v>0.33333333333333331</v>
      </c>
      <c r="K268" s="21" t="s">
        <v>287</v>
      </c>
      <c r="L268" s="75" t="s">
        <v>30</v>
      </c>
      <c r="M268" s="75" t="s">
        <v>1355</v>
      </c>
      <c r="N268" s="23" t="s">
        <v>1520</v>
      </c>
      <c r="O268" s="35" t="s">
        <v>1357</v>
      </c>
      <c r="P268" s="246">
        <v>45742</v>
      </c>
      <c r="Q268" s="246">
        <v>45742</v>
      </c>
      <c r="R268" s="246">
        <v>46471</v>
      </c>
      <c r="S268" s="246">
        <v>46472</v>
      </c>
      <c r="T268" s="25">
        <v>2019</v>
      </c>
      <c r="U268" s="91" t="s">
        <v>3814</v>
      </c>
      <c r="V268" s="25">
        <v>2025</v>
      </c>
      <c r="W268" s="91" t="s">
        <v>169</v>
      </c>
      <c r="X268" s="72" t="s">
        <v>30</v>
      </c>
      <c r="Y268" s="73" t="s">
        <v>1360</v>
      </c>
      <c r="Z268" s="88" t="s">
        <v>3815</v>
      </c>
      <c r="AA268" s="23" t="s">
        <v>1841</v>
      </c>
      <c r="AB268" s="161">
        <v>45740</v>
      </c>
      <c r="AC268" s="161">
        <v>47565</v>
      </c>
      <c r="AD268" s="93">
        <v>9908529635</v>
      </c>
      <c r="AE268" s="330" t="s">
        <v>3816</v>
      </c>
      <c r="AF268" s="30" t="s">
        <v>1430</v>
      </c>
      <c r="AG268" s="249" t="s">
        <v>3817</v>
      </c>
      <c r="AH268" s="72" t="s">
        <v>1971</v>
      </c>
      <c r="AI268" s="72" t="s">
        <v>3818</v>
      </c>
      <c r="AJ268" s="249" t="s">
        <v>3819</v>
      </c>
      <c r="AK268" s="75" t="s">
        <v>3820</v>
      </c>
      <c r="AL268" s="250"/>
      <c r="AM268" s="250"/>
      <c r="AN268" s="38"/>
      <c r="AO268" s="38" t="s">
        <v>3821</v>
      </c>
      <c r="AP268" s="25">
        <f t="shared" ca="1" si="9"/>
        <v>30</v>
      </c>
      <c r="AQ268" s="38"/>
      <c r="AR268" s="73"/>
      <c r="AS268" s="250"/>
      <c r="AT268" s="250"/>
      <c r="AU268" s="252">
        <v>34813</v>
      </c>
      <c r="AV268" s="72" t="s">
        <v>1389</v>
      </c>
      <c r="AW268" s="72" t="s">
        <v>68</v>
      </c>
      <c r="AX268" s="25">
        <v>8</v>
      </c>
      <c r="AY268" s="76" t="s">
        <v>1881</v>
      </c>
      <c r="AZ268" s="30" t="s">
        <v>1373</v>
      </c>
      <c r="BA268" s="23" t="s">
        <v>151</v>
      </c>
      <c r="BB268" s="30" t="s">
        <v>34</v>
      </c>
      <c r="BC268" s="22"/>
    </row>
    <row r="269" spans="1:55" x14ac:dyDescent="0.25">
      <c r="A269" s="10">
        <f t="shared" si="10"/>
        <v>268</v>
      </c>
      <c r="B269" s="25" t="s">
        <v>3822</v>
      </c>
      <c r="C269" s="30" t="s">
        <v>34</v>
      </c>
      <c r="D269" s="71">
        <v>401195</v>
      </c>
      <c r="E269" s="72" t="s">
        <v>36</v>
      </c>
      <c r="F269" s="14" t="s">
        <v>3823</v>
      </c>
      <c r="G269" s="25">
        <v>6</v>
      </c>
      <c r="H269" s="74">
        <v>0.41666666666666669</v>
      </c>
      <c r="I269" s="74">
        <v>0.5</v>
      </c>
      <c r="J269" s="74">
        <v>8.3333333333333329E-2</v>
      </c>
      <c r="K269" s="21" t="s">
        <v>990</v>
      </c>
      <c r="L269" s="75" t="s">
        <v>30</v>
      </c>
      <c r="M269" s="75" t="s">
        <v>1355</v>
      </c>
      <c r="N269" s="23" t="s">
        <v>1520</v>
      </c>
      <c r="O269" s="35" t="s">
        <v>1357</v>
      </c>
      <c r="P269" s="246">
        <v>45749</v>
      </c>
      <c r="Q269" s="246">
        <v>45749</v>
      </c>
      <c r="R269" s="246">
        <v>46478</v>
      </c>
      <c r="S269" s="246">
        <v>46479</v>
      </c>
      <c r="T269" s="109">
        <v>2013</v>
      </c>
      <c r="U269" s="76" t="s">
        <v>703</v>
      </c>
      <c r="V269" s="25">
        <v>2019</v>
      </c>
      <c r="W269" s="73" t="s">
        <v>197</v>
      </c>
      <c r="X269" s="72" t="s">
        <v>30</v>
      </c>
      <c r="Y269" s="73" t="s">
        <v>1360</v>
      </c>
      <c r="Z269" s="76">
        <v>183341</v>
      </c>
      <c r="AA269" s="35" t="s">
        <v>1560</v>
      </c>
      <c r="AB269" s="161">
        <v>45740</v>
      </c>
      <c r="AC269" s="161">
        <v>47565</v>
      </c>
      <c r="AD269" s="25">
        <v>9632544229</v>
      </c>
      <c r="AE269" s="331" t="s">
        <v>3824</v>
      </c>
      <c r="AF269" s="30" t="s">
        <v>1410</v>
      </c>
      <c r="AG269" s="249" t="s">
        <v>3825</v>
      </c>
      <c r="AH269" s="72" t="s">
        <v>3826</v>
      </c>
      <c r="AI269" s="72" t="s">
        <v>3827</v>
      </c>
      <c r="AJ269" s="249" t="s">
        <v>3828</v>
      </c>
      <c r="AK269" s="75" t="s">
        <v>3829</v>
      </c>
      <c r="AL269" s="72"/>
      <c r="AM269" s="250"/>
      <c r="AN269" s="250"/>
      <c r="AO269" s="38" t="s">
        <v>3830</v>
      </c>
      <c r="AP269" s="25">
        <f t="shared" ca="1" si="9"/>
        <v>35</v>
      </c>
      <c r="AQ269" s="73"/>
      <c r="AR269" s="332"/>
      <c r="AS269" s="250"/>
      <c r="AT269" s="250"/>
      <c r="AU269" s="252">
        <v>33171</v>
      </c>
      <c r="AV269" s="72" t="s">
        <v>1389</v>
      </c>
      <c r="AW269" s="72" t="s">
        <v>32</v>
      </c>
      <c r="AX269" s="25">
        <v>2</v>
      </c>
      <c r="AY269" s="76" t="s">
        <v>3225</v>
      </c>
      <c r="AZ269" s="30" t="s">
        <v>1373</v>
      </c>
      <c r="BA269" s="23" t="s">
        <v>151</v>
      </c>
      <c r="BB269" s="30" t="s">
        <v>34</v>
      </c>
      <c r="BC269" s="22"/>
    </row>
    <row r="270" spans="1:55" x14ac:dyDescent="0.25">
      <c r="A270" s="10">
        <f t="shared" si="10"/>
        <v>269</v>
      </c>
      <c r="B270" s="25" t="s">
        <v>858</v>
      </c>
      <c r="C270" s="30" t="s">
        <v>34</v>
      </c>
      <c r="D270" s="71">
        <v>401196</v>
      </c>
      <c r="E270" s="72" t="s">
        <v>36</v>
      </c>
      <c r="F270" s="14" t="s">
        <v>859</v>
      </c>
      <c r="G270" s="25">
        <v>6</v>
      </c>
      <c r="H270" s="74">
        <v>0.375</v>
      </c>
      <c r="I270" s="74">
        <v>0.58333333333333337</v>
      </c>
      <c r="J270" s="95">
        <v>0.20833333333333334</v>
      </c>
      <c r="K270" s="21" t="s">
        <v>860</v>
      </c>
      <c r="L270" s="88" t="s">
        <v>861</v>
      </c>
      <c r="M270" s="75" t="s">
        <v>26</v>
      </c>
      <c r="N270" s="23" t="s">
        <v>38</v>
      </c>
      <c r="O270" s="23" t="s">
        <v>1321</v>
      </c>
      <c r="P270" s="246">
        <v>45748</v>
      </c>
      <c r="Q270" s="246">
        <v>45748</v>
      </c>
      <c r="R270" s="246">
        <v>46477</v>
      </c>
      <c r="S270" s="246">
        <v>46478</v>
      </c>
      <c r="T270" s="25">
        <v>2019</v>
      </c>
      <c r="U270" s="88" t="s">
        <v>141</v>
      </c>
      <c r="V270" s="25">
        <v>2023</v>
      </c>
      <c r="W270" s="88" t="s">
        <v>862</v>
      </c>
      <c r="X270" s="72" t="s">
        <v>30</v>
      </c>
      <c r="Y270" s="38" t="s">
        <v>49</v>
      </c>
      <c r="Z270" s="333" t="s">
        <v>3831</v>
      </c>
      <c r="AA270" s="23" t="s">
        <v>1841</v>
      </c>
      <c r="AB270" s="161">
        <v>45177</v>
      </c>
      <c r="AC270" s="161">
        <v>47003</v>
      </c>
      <c r="AD270" s="25">
        <v>9603121027</v>
      </c>
      <c r="AE270" s="224" t="s">
        <v>863</v>
      </c>
      <c r="AF270" s="30" t="s">
        <v>1430</v>
      </c>
      <c r="AG270" s="249" t="s">
        <v>3832</v>
      </c>
      <c r="AH270" s="72" t="s">
        <v>3833</v>
      </c>
      <c r="AI270" s="72" t="s">
        <v>3834</v>
      </c>
      <c r="AJ270" s="249" t="s">
        <v>3835</v>
      </c>
      <c r="AK270" s="75" t="s">
        <v>3836</v>
      </c>
      <c r="AL270" s="250"/>
      <c r="AM270" s="250"/>
      <c r="AN270" s="38"/>
      <c r="AO270" s="38" t="s">
        <v>3837</v>
      </c>
      <c r="AP270" s="25">
        <f t="shared" ca="1" si="9"/>
        <v>30</v>
      </c>
      <c r="AQ270" s="192" t="s">
        <v>1677</v>
      </c>
      <c r="AR270" s="334" t="s">
        <v>3838</v>
      </c>
      <c r="AS270" s="166">
        <v>45940</v>
      </c>
      <c r="AT270" s="166">
        <v>46304</v>
      </c>
      <c r="AU270" s="252">
        <v>34743</v>
      </c>
      <c r="AV270" s="72" t="s">
        <v>1389</v>
      </c>
      <c r="AW270" s="72" t="s">
        <v>32</v>
      </c>
      <c r="AX270" s="25">
        <v>5</v>
      </c>
      <c r="AY270" s="76" t="s">
        <v>2469</v>
      </c>
      <c r="AZ270" s="30" t="s">
        <v>26</v>
      </c>
      <c r="BA270" s="23" t="s">
        <v>151</v>
      </c>
      <c r="BB270" s="30" t="s">
        <v>34</v>
      </c>
      <c r="BC270" s="22"/>
    </row>
    <row r="271" spans="1:55" x14ac:dyDescent="0.25">
      <c r="A271" s="10">
        <f t="shared" si="10"/>
        <v>270</v>
      </c>
      <c r="B271" s="25" t="s">
        <v>864</v>
      </c>
      <c r="C271" s="30" t="s">
        <v>34</v>
      </c>
      <c r="D271" s="71">
        <v>401197</v>
      </c>
      <c r="E271" s="72" t="s">
        <v>36</v>
      </c>
      <c r="F271" s="14" t="s">
        <v>865</v>
      </c>
      <c r="G271" s="25">
        <v>6</v>
      </c>
      <c r="H271" s="74">
        <v>0.375</v>
      </c>
      <c r="I271" s="74">
        <v>0.70833333333333337</v>
      </c>
      <c r="J271" s="95">
        <v>0.33333333333333331</v>
      </c>
      <c r="K271" s="21" t="s">
        <v>866</v>
      </c>
      <c r="L271" s="88" t="s">
        <v>867</v>
      </c>
      <c r="M271" s="75" t="s">
        <v>26</v>
      </c>
      <c r="N271" s="23" t="s">
        <v>38</v>
      </c>
      <c r="O271" s="23" t="s">
        <v>1321</v>
      </c>
      <c r="P271" s="246">
        <v>45748</v>
      </c>
      <c r="Q271" s="246">
        <v>45748</v>
      </c>
      <c r="R271" s="246">
        <v>46477</v>
      </c>
      <c r="S271" s="246">
        <v>46478</v>
      </c>
      <c r="T271" s="25">
        <v>2021</v>
      </c>
      <c r="U271" s="88" t="s">
        <v>868</v>
      </c>
      <c r="V271" s="25">
        <v>2025</v>
      </c>
      <c r="W271" s="88" t="s">
        <v>869</v>
      </c>
      <c r="X271" s="72" t="s">
        <v>30</v>
      </c>
      <c r="Y271" s="38" t="s">
        <v>49</v>
      </c>
      <c r="Z271" s="88" t="s">
        <v>3839</v>
      </c>
      <c r="AA271" s="23" t="s">
        <v>1841</v>
      </c>
      <c r="AB271" s="161">
        <v>45790</v>
      </c>
      <c r="AC271" s="161">
        <v>47615</v>
      </c>
      <c r="AD271" s="291">
        <v>9390255489</v>
      </c>
      <c r="AE271" s="296" t="s">
        <v>870</v>
      </c>
      <c r="AF271" s="75" t="s">
        <v>1805</v>
      </c>
      <c r="AG271" s="256" t="s">
        <v>3840</v>
      </c>
      <c r="AH271" s="72" t="s">
        <v>2191</v>
      </c>
      <c r="AI271" s="72" t="s">
        <v>3841</v>
      </c>
      <c r="AJ271" s="249" t="s">
        <v>3842</v>
      </c>
      <c r="AK271" s="75" t="s">
        <v>3843</v>
      </c>
      <c r="AL271" s="250"/>
      <c r="AM271" s="250"/>
      <c r="AN271" s="38"/>
      <c r="AO271" s="38" t="s">
        <v>3844</v>
      </c>
      <c r="AP271" s="25">
        <f t="shared" ca="1" si="9"/>
        <v>29</v>
      </c>
      <c r="AQ271" s="67" t="s">
        <v>1677</v>
      </c>
      <c r="AR271" s="334" t="s">
        <v>3845</v>
      </c>
      <c r="AS271" s="187">
        <v>45791</v>
      </c>
      <c r="AT271" s="187">
        <v>46155</v>
      </c>
      <c r="AU271" s="252">
        <v>35291</v>
      </c>
      <c r="AV271" s="72" t="s">
        <v>1389</v>
      </c>
      <c r="AW271" s="72" t="s">
        <v>68</v>
      </c>
      <c r="AX271" s="25">
        <v>8</v>
      </c>
      <c r="AY271" s="76" t="s">
        <v>2189</v>
      </c>
      <c r="AZ271" s="30" t="s">
        <v>26</v>
      </c>
      <c r="BA271" s="23" t="s">
        <v>151</v>
      </c>
      <c r="BB271" s="30" t="s">
        <v>34</v>
      </c>
      <c r="BC271" s="22"/>
    </row>
    <row r="272" spans="1:55" x14ac:dyDescent="0.25">
      <c r="A272" s="10">
        <f t="shared" si="10"/>
        <v>271</v>
      </c>
      <c r="B272" s="25" t="s">
        <v>3846</v>
      </c>
      <c r="C272" s="30" t="s">
        <v>34</v>
      </c>
      <c r="D272" s="71">
        <v>401199</v>
      </c>
      <c r="E272" s="72" t="s">
        <v>36</v>
      </c>
      <c r="F272" s="14" t="s">
        <v>3847</v>
      </c>
      <c r="G272" s="25">
        <v>6</v>
      </c>
      <c r="H272" s="74">
        <v>0.70833333333333337</v>
      </c>
      <c r="I272" s="74">
        <v>0.79166666666666663</v>
      </c>
      <c r="J272" s="74">
        <v>8.3333333333333329E-2</v>
      </c>
      <c r="K272" s="21" t="s">
        <v>652</v>
      </c>
      <c r="L272" s="75" t="s">
        <v>30</v>
      </c>
      <c r="M272" s="75" t="s">
        <v>1355</v>
      </c>
      <c r="N272" s="23" t="s">
        <v>1520</v>
      </c>
      <c r="O272" s="35" t="s">
        <v>1357</v>
      </c>
      <c r="P272" s="258">
        <v>45749</v>
      </c>
      <c r="Q272" s="335">
        <v>45749</v>
      </c>
      <c r="R272" s="335">
        <v>46478</v>
      </c>
      <c r="S272" s="335">
        <v>46479</v>
      </c>
      <c r="T272" s="25">
        <v>2000</v>
      </c>
      <c r="U272" s="88" t="s">
        <v>3848</v>
      </c>
      <c r="V272" s="25">
        <v>2019</v>
      </c>
      <c r="W272" s="88" t="s">
        <v>3849</v>
      </c>
      <c r="X272" s="72" t="s">
        <v>30</v>
      </c>
      <c r="Y272" s="38" t="s">
        <v>49</v>
      </c>
      <c r="Z272" s="254">
        <v>54878</v>
      </c>
      <c r="AA272" s="23" t="s">
        <v>1841</v>
      </c>
      <c r="AB272" s="161">
        <v>45748</v>
      </c>
      <c r="AC272" s="161">
        <v>47574</v>
      </c>
      <c r="AD272" s="291">
        <v>9980600922</v>
      </c>
      <c r="AE272" s="296" t="s">
        <v>3850</v>
      </c>
      <c r="AF272" s="30" t="s">
        <v>1430</v>
      </c>
      <c r="AG272" s="256" t="s">
        <v>3851</v>
      </c>
      <c r="AH272" s="72" t="s">
        <v>3852</v>
      </c>
      <c r="AI272" s="72" t="s">
        <v>3853</v>
      </c>
      <c r="AJ272" s="249" t="s">
        <v>3854</v>
      </c>
      <c r="AK272" s="75" t="s">
        <v>3855</v>
      </c>
      <c r="AL272" s="250"/>
      <c r="AM272" s="250"/>
      <c r="AN272" s="38"/>
      <c r="AO272" s="38" t="s">
        <v>3856</v>
      </c>
      <c r="AP272" s="25">
        <f t="shared" ca="1" si="9"/>
        <v>51</v>
      </c>
      <c r="AQ272" s="38"/>
      <c r="AR272" s="332"/>
      <c r="AS272" s="250"/>
      <c r="AT272" s="250"/>
      <c r="AU272" s="252">
        <v>27176</v>
      </c>
      <c r="AV272" s="72" t="s">
        <v>1389</v>
      </c>
      <c r="AW272" s="72" t="s">
        <v>32</v>
      </c>
      <c r="AX272" s="25">
        <v>2</v>
      </c>
      <c r="AY272" s="76" t="s">
        <v>3225</v>
      </c>
      <c r="AZ272" s="30" t="s">
        <v>1373</v>
      </c>
      <c r="BA272" s="23" t="s">
        <v>151</v>
      </c>
      <c r="BB272" s="30" t="s">
        <v>34</v>
      </c>
      <c r="BC272" s="22"/>
    </row>
    <row r="273" spans="1:55" x14ac:dyDescent="0.25">
      <c r="A273" s="10">
        <f t="shared" si="10"/>
        <v>272</v>
      </c>
      <c r="B273" s="25" t="s">
        <v>871</v>
      </c>
      <c r="C273" s="30" t="s">
        <v>34</v>
      </c>
      <c r="D273" s="71">
        <v>401204</v>
      </c>
      <c r="E273" s="72" t="s">
        <v>192</v>
      </c>
      <c r="F273" s="14" t="s">
        <v>872</v>
      </c>
      <c r="G273" s="25"/>
      <c r="H273" s="74"/>
      <c r="I273" s="74"/>
      <c r="J273" s="74"/>
      <c r="K273" s="21" t="s">
        <v>466</v>
      </c>
      <c r="L273" s="75" t="s">
        <v>873</v>
      </c>
      <c r="M273" s="75" t="s">
        <v>26</v>
      </c>
      <c r="N273" s="23" t="s">
        <v>38</v>
      </c>
      <c r="O273" s="23" t="s">
        <v>1321</v>
      </c>
      <c r="P273" s="246">
        <v>45753</v>
      </c>
      <c r="Q273" s="246">
        <v>45753</v>
      </c>
      <c r="R273" s="246">
        <v>46482</v>
      </c>
      <c r="S273" s="246">
        <v>46483</v>
      </c>
      <c r="T273" s="25">
        <v>1995</v>
      </c>
      <c r="U273" s="75" t="s">
        <v>874</v>
      </c>
      <c r="V273" s="25">
        <v>2002</v>
      </c>
      <c r="W273" s="38" t="s">
        <v>875</v>
      </c>
      <c r="X273" s="72" t="s">
        <v>30</v>
      </c>
      <c r="Y273" s="38" t="s">
        <v>97</v>
      </c>
      <c r="Z273" s="254">
        <v>54056</v>
      </c>
      <c r="AA273" s="38" t="s">
        <v>1323</v>
      </c>
      <c r="AB273" s="161">
        <v>44562</v>
      </c>
      <c r="AC273" s="161">
        <v>46387</v>
      </c>
      <c r="AD273" s="25">
        <v>9831051439</v>
      </c>
      <c r="AE273" s="255" t="s">
        <v>876</v>
      </c>
      <c r="AF273" s="30" t="s">
        <v>1430</v>
      </c>
      <c r="AG273" s="256" t="s">
        <v>3857</v>
      </c>
      <c r="AH273" s="72" t="s">
        <v>3858</v>
      </c>
      <c r="AI273" s="72" t="s">
        <v>3859</v>
      </c>
      <c r="AJ273" s="249" t="s">
        <v>3860</v>
      </c>
      <c r="AK273" s="75" t="s">
        <v>3861</v>
      </c>
      <c r="AL273" s="250"/>
      <c r="AM273" s="250"/>
      <c r="AN273" s="38"/>
      <c r="AO273" s="38" t="s">
        <v>3862</v>
      </c>
      <c r="AP273" s="25">
        <f t="shared" ca="1" si="9"/>
        <v>54</v>
      </c>
      <c r="AQ273" s="38" t="s">
        <v>1416</v>
      </c>
      <c r="AR273" s="285" t="s">
        <v>3863</v>
      </c>
      <c r="AS273" s="287">
        <v>45675</v>
      </c>
      <c r="AT273" s="287">
        <v>46039</v>
      </c>
      <c r="AU273" s="252">
        <v>25934</v>
      </c>
      <c r="AV273" s="72" t="s">
        <v>1352</v>
      </c>
      <c r="AW273" s="31" t="s">
        <v>32</v>
      </c>
      <c r="AX273" s="10" t="s">
        <v>30</v>
      </c>
      <c r="AY273" s="76" t="s">
        <v>2703</v>
      </c>
      <c r="AZ273" s="30" t="s">
        <v>26</v>
      </c>
      <c r="BA273" s="23" t="s">
        <v>151</v>
      </c>
      <c r="BB273" s="30" t="s">
        <v>34</v>
      </c>
      <c r="BC273" s="22"/>
    </row>
    <row r="274" spans="1:55" x14ac:dyDescent="0.25">
      <c r="A274" s="10">
        <f t="shared" si="10"/>
        <v>273</v>
      </c>
      <c r="B274" s="25" t="s">
        <v>877</v>
      </c>
      <c r="C274" s="30" t="s">
        <v>34</v>
      </c>
      <c r="D274" s="71">
        <v>401205</v>
      </c>
      <c r="E274" s="72" t="s">
        <v>36</v>
      </c>
      <c r="F274" s="14" t="s">
        <v>878</v>
      </c>
      <c r="G274" s="25">
        <v>6</v>
      </c>
      <c r="H274" s="74">
        <v>0.75</v>
      </c>
      <c r="I274" s="74">
        <v>0.875</v>
      </c>
      <c r="J274" s="74">
        <v>0.125</v>
      </c>
      <c r="K274" s="21" t="s">
        <v>538</v>
      </c>
      <c r="L274" s="76" t="s">
        <v>879</v>
      </c>
      <c r="M274" s="75" t="s">
        <v>26</v>
      </c>
      <c r="N274" s="23" t="s">
        <v>38</v>
      </c>
      <c r="O274" s="23" t="s">
        <v>1321</v>
      </c>
      <c r="P274" s="246">
        <v>45754</v>
      </c>
      <c r="Q274" s="246">
        <v>45754</v>
      </c>
      <c r="R274" s="246">
        <v>46483</v>
      </c>
      <c r="S274" s="246">
        <v>46484</v>
      </c>
      <c r="T274" s="25">
        <v>2019</v>
      </c>
      <c r="U274" s="76" t="s">
        <v>880</v>
      </c>
      <c r="V274" s="25">
        <v>2025</v>
      </c>
      <c r="W274" s="76" t="s">
        <v>880</v>
      </c>
      <c r="X274" s="72" t="s">
        <v>30</v>
      </c>
      <c r="Y274" s="38" t="s">
        <v>97</v>
      </c>
      <c r="Z274" s="254" t="s">
        <v>3864</v>
      </c>
      <c r="AA274" s="23" t="s">
        <v>1841</v>
      </c>
      <c r="AB274" s="161">
        <v>45750</v>
      </c>
      <c r="AC274" s="161">
        <v>47575</v>
      </c>
      <c r="AD274" s="25">
        <v>9505104488</v>
      </c>
      <c r="AE274" s="330" t="s">
        <v>881</v>
      </c>
      <c r="AF274" s="28" t="s">
        <v>1495</v>
      </c>
      <c r="AG274" s="249" t="s">
        <v>3865</v>
      </c>
      <c r="AH274" s="72" t="s">
        <v>3866</v>
      </c>
      <c r="AI274" s="72" t="s">
        <v>3867</v>
      </c>
      <c r="AJ274" s="249" t="s">
        <v>3868</v>
      </c>
      <c r="AK274" s="75" t="s">
        <v>3869</v>
      </c>
      <c r="AL274" s="250"/>
      <c r="AM274" s="250"/>
      <c r="AN274" s="38"/>
      <c r="AO274" s="38" t="s">
        <v>3870</v>
      </c>
      <c r="AP274" s="25">
        <f t="shared" ca="1" si="9"/>
        <v>28</v>
      </c>
      <c r="AQ274" s="38"/>
      <c r="AR274" s="73"/>
      <c r="AS274" s="250"/>
      <c r="AT274" s="250"/>
      <c r="AU274" s="250">
        <v>35662</v>
      </c>
      <c r="AV274" s="72" t="s">
        <v>1389</v>
      </c>
      <c r="AW274" s="72" t="s">
        <v>32</v>
      </c>
      <c r="AX274" s="25">
        <v>3</v>
      </c>
      <c r="AY274" s="76" t="s">
        <v>1904</v>
      </c>
      <c r="AZ274" s="30" t="s">
        <v>26</v>
      </c>
      <c r="BA274" s="23" t="s">
        <v>151</v>
      </c>
      <c r="BB274" s="30" t="s">
        <v>34</v>
      </c>
      <c r="BC274" s="22"/>
    </row>
    <row r="275" spans="1:55" x14ac:dyDescent="0.25">
      <c r="A275" s="10">
        <f t="shared" si="10"/>
        <v>274</v>
      </c>
      <c r="B275" s="61" t="s">
        <v>882</v>
      </c>
      <c r="C275" s="30" t="s">
        <v>34</v>
      </c>
      <c r="D275" s="96">
        <v>401206</v>
      </c>
      <c r="E275" s="62" t="s">
        <v>192</v>
      </c>
      <c r="F275" s="97" t="s">
        <v>883</v>
      </c>
      <c r="G275" s="98"/>
      <c r="H275" s="98"/>
      <c r="I275" s="98"/>
      <c r="J275" s="61"/>
      <c r="K275" s="21" t="s">
        <v>334</v>
      </c>
      <c r="L275" s="99" t="s">
        <v>884</v>
      </c>
      <c r="M275" s="63" t="s">
        <v>26</v>
      </c>
      <c r="N275" s="23" t="s">
        <v>38</v>
      </c>
      <c r="O275" s="23" t="s">
        <v>1321</v>
      </c>
      <c r="P275" s="258">
        <v>45754</v>
      </c>
      <c r="Q275" s="258">
        <v>45754</v>
      </c>
      <c r="R275" s="258">
        <v>46483</v>
      </c>
      <c r="S275" s="258">
        <v>46484</v>
      </c>
      <c r="T275" s="61">
        <v>2018</v>
      </c>
      <c r="U275" s="99" t="s">
        <v>230</v>
      </c>
      <c r="V275" s="61">
        <v>2023</v>
      </c>
      <c r="W275" s="99" t="s">
        <v>230</v>
      </c>
      <c r="X275" s="62" t="s">
        <v>30</v>
      </c>
      <c r="Y275" s="62" t="s">
        <v>97</v>
      </c>
      <c r="Z275" s="333" t="s">
        <v>3871</v>
      </c>
      <c r="AA275" s="63" t="s">
        <v>1886</v>
      </c>
      <c r="AB275" s="161">
        <v>45194</v>
      </c>
      <c r="AC275" s="161">
        <v>47020</v>
      </c>
      <c r="AD275" s="61" t="s">
        <v>885</v>
      </c>
      <c r="AE275" s="336" t="s">
        <v>886</v>
      </c>
      <c r="AF275" s="100" t="s">
        <v>1466</v>
      </c>
      <c r="AG275" s="337" t="s">
        <v>3872</v>
      </c>
      <c r="AH275" s="62" t="s">
        <v>3873</v>
      </c>
      <c r="AI275" s="62" t="s">
        <v>3874</v>
      </c>
      <c r="AJ275" s="337" t="s">
        <v>3875</v>
      </c>
      <c r="AK275" s="63" t="s">
        <v>3876</v>
      </c>
      <c r="AL275" s="338"/>
      <c r="AM275" s="338"/>
      <c r="AN275" s="100"/>
      <c r="AO275" s="100" t="s">
        <v>3877</v>
      </c>
      <c r="AP275" s="61">
        <f t="shared" ca="1" si="9"/>
        <v>29</v>
      </c>
      <c r="AQ275" s="22" t="s">
        <v>1966</v>
      </c>
      <c r="AR275" s="339" t="s">
        <v>3878</v>
      </c>
      <c r="AS275" s="166">
        <v>45923</v>
      </c>
      <c r="AT275" s="166">
        <v>46287</v>
      </c>
      <c r="AU275" s="338">
        <v>35283</v>
      </c>
      <c r="AV275" s="62" t="s">
        <v>1389</v>
      </c>
      <c r="AW275" s="31" t="s">
        <v>32</v>
      </c>
      <c r="AX275" s="10" t="s">
        <v>30</v>
      </c>
      <c r="AY275" s="58" t="s">
        <v>30</v>
      </c>
      <c r="AZ275" s="63" t="s">
        <v>26</v>
      </c>
      <c r="BA275" s="58" t="s">
        <v>151</v>
      </c>
      <c r="BB275" s="30" t="s">
        <v>34</v>
      </c>
      <c r="BC275" s="58"/>
    </row>
    <row r="276" spans="1:55" x14ac:dyDescent="0.25">
      <c r="A276" s="10">
        <f t="shared" si="10"/>
        <v>275</v>
      </c>
      <c r="B276" s="25" t="s">
        <v>3879</v>
      </c>
      <c r="C276" s="30" t="s">
        <v>34</v>
      </c>
      <c r="D276" s="71">
        <v>401208</v>
      </c>
      <c r="E276" s="72" t="s">
        <v>36</v>
      </c>
      <c r="F276" s="14" t="s">
        <v>3880</v>
      </c>
      <c r="G276" s="25">
        <v>6</v>
      </c>
      <c r="H276" s="85">
        <v>0.375</v>
      </c>
      <c r="I276" s="85">
        <v>0.70833333333333337</v>
      </c>
      <c r="J276" s="95">
        <v>0.33333333333333331</v>
      </c>
      <c r="K276" s="21" t="s">
        <v>255</v>
      </c>
      <c r="L276" s="91" t="s">
        <v>30</v>
      </c>
      <c r="M276" s="91" t="s">
        <v>1908</v>
      </c>
      <c r="N276" s="23" t="s">
        <v>1909</v>
      </c>
      <c r="O276" s="30" t="s">
        <v>2482</v>
      </c>
      <c r="P276" s="246">
        <v>45761</v>
      </c>
      <c r="Q276" s="246">
        <v>45761</v>
      </c>
      <c r="R276" s="246">
        <v>46490</v>
      </c>
      <c r="S276" s="246">
        <v>46491</v>
      </c>
      <c r="T276" s="340">
        <v>2018</v>
      </c>
      <c r="U276" s="88" t="s">
        <v>141</v>
      </c>
      <c r="V276" s="93">
        <v>2023</v>
      </c>
      <c r="W276" s="297" t="s">
        <v>3881</v>
      </c>
      <c r="X276" s="92" t="s">
        <v>30</v>
      </c>
      <c r="Y276" s="89" t="s">
        <v>2594</v>
      </c>
      <c r="Z276" s="88" t="s">
        <v>3882</v>
      </c>
      <c r="AA276" s="23" t="s">
        <v>1841</v>
      </c>
      <c r="AB276" s="161">
        <v>45518</v>
      </c>
      <c r="AC276" s="161">
        <v>47343</v>
      </c>
      <c r="AD276" s="341">
        <v>8074607091</v>
      </c>
      <c r="AE276" s="342" t="s">
        <v>3883</v>
      </c>
      <c r="AF276" s="28" t="s">
        <v>1495</v>
      </c>
      <c r="AG276" s="343" t="s">
        <v>3884</v>
      </c>
      <c r="AH276" s="92" t="s">
        <v>3885</v>
      </c>
      <c r="AI276" s="93" t="s">
        <v>3886</v>
      </c>
      <c r="AJ276" s="344" t="s">
        <v>3887</v>
      </c>
      <c r="AK276" s="89" t="s">
        <v>3888</v>
      </c>
      <c r="AL276" s="299"/>
      <c r="AM276" s="299"/>
      <c r="AN276" s="89"/>
      <c r="AO276" s="345" t="s">
        <v>3889</v>
      </c>
      <c r="AP276" s="93">
        <f t="shared" ref="AP276:AP285" ca="1" si="11">ROUNDDOWN((TODAY() - AU276)/365.25,0)</f>
        <v>29</v>
      </c>
      <c r="AQ276" s="89"/>
      <c r="AR276" s="89"/>
      <c r="AS276" s="287"/>
      <c r="AT276" s="287"/>
      <c r="AU276" s="299">
        <v>35274</v>
      </c>
      <c r="AV276" s="92" t="s">
        <v>1352</v>
      </c>
      <c r="AW276" s="92" t="s">
        <v>68</v>
      </c>
      <c r="AX276" s="93">
        <v>8</v>
      </c>
      <c r="AY276" s="76" t="s">
        <v>2068</v>
      </c>
      <c r="AZ276" s="30" t="s">
        <v>1908</v>
      </c>
      <c r="BA276" s="23" t="s">
        <v>151</v>
      </c>
      <c r="BB276" s="30" t="s">
        <v>34</v>
      </c>
      <c r="BC276" s="22"/>
    </row>
    <row r="277" spans="1:55" x14ac:dyDescent="0.25">
      <c r="A277" s="10">
        <f t="shared" si="10"/>
        <v>276</v>
      </c>
      <c r="B277" s="25" t="s">
        <v>887</v>
      </c>
      <c r="C277" s="30" t="s">
        <v>34</v>
      </c>
      <c r="D277" s="71">
        <v>401210</v>
      </c>
      <c r="E277" s="72" t="s">
        <v>42</v>
      </c>
      <c r="F277" s="14" t="s">
        <v>888</v>
      </c>
      <c r="G277" s="25">
        <v>6</v>
      </c>
      <c r="H277" s="74">
        <v>0.375</v>
      </c>
      <c r="I277" s="74">
        <v>0.70833333333333337</v>
      </c>
      <c r="J277" s="95">
        <v>0.33333333333333331</v>
      </c>
      <c r="K277" s="21" t="s">
        <v>314</v>
      </c>
      <c r="L277" s="75" t="s">
        <v>889</v>
      </c>
      <c r="M277" s="75" t="s">
        <v>26</v>
      </c>
      <c r="N277" s="23" t="s">
        <v>38</v>
      </c>
      <c r="O277" s="23" t="s">
        <v>1321</v>
      </c>
      <c r="P277" s="246">
        <v>45763</v>
      </c>
      <c r="Q277" s="246">
        <v>45763</v>
      </c>
      <c r="R277" s="246">
        <v>46492</v>
      </c>
      <c r="S277" s="246">
        <v>46493</v>
      </c>
      <c r="T277" s="25">
        <v>2013</v>
      </c>
      <c r="U277" s="75" t="s">
        <v>890</v>
      </c>
      <c r="V277" s="25">
        <v>2019</v>
      </c>
      <c r="W277" s="75" t="s">
        <v>725</v>
      </c>
      <c r="X277" s="72" t="s">
        <v>30</v>
      </c>
      <c r="Y277" s="38" t="s">
        <v>97</v>
      </c>
      <c r="Z277" s="254">
        <v>111205</v>
      </c>
      <c r="AA277" s="35" t="s">
        <v>1560</v>
      </c>
      <c r="AB277" s="161">
        <v>44345</v>
      </c>
      <c r="AC277" s="161">
        <v>46170</v>
      </c>
      <c r="AD277" s="93">
        <v>9110450581</v>
      </c>
      <c r="AE277" s="342" t="s">
        <v>891</v>
      </c>
      <c r="AF277" s="28" t="s">
        <v>1495</v>
      </c>
      <c r="AG277" s="249" t="s">
        <v>3890</v>
      </c>
      <c r="AH277" s="72" t="s">
        <v>3891</v>
      </c>
      <c r="AI277" s="72" t="s">
        <v>3892</v>
      </c>
      <c r="AJ277" s="249" t="s">
        <v>3893</v>
      </c>
      <c r="AK277" s="75" t="s">
        <v>3894</v>
      </c>
      <c r="AL277" s="250"/>
      <c r="AM277" s="250"/>
      <c r="AN277" s="38"/>
      <c r="AO277" s="38" t="s">
        <v>3895</v>
      </c>
      <c r="AP277" s="25">
        <f t="shared" ca="1" si="11"/>
        <v>35</v>
      </c>
      <c r="AQ277" s="38"/>
      <c r="AR277" s="73"/>
      <c r="AS277" s="250"/>
      <c r="AT277" s="250"/>
      <c r="AU277" s="252">
        <v>33075</v>
      </c>
      <c r="AV277" s="72" t="s">
        <v>1352</v>
      </c>
      <c r="AW277" s="72" t="s">
        <v>68</v>
      </c>
      <c r="AX277" s="25">
        <v>8</v>
      </c>
      <c r="AY277" s="76" t="s">
        <v>2270</v>
      </c>
      <c r="AZ277" s="30" t="s">
        <v>26</v>
      </c>
      <c r="BA277" s="23" t="s">
        <v>151</v>
      </c>
      <c r="BB277" s="30" t="s">
        <v>34</v>
      </c>
      <c r="BC277" s="22"/>
    </row>
    <row r="278" spans="1:55" x14ac:dyDescent="0.25">
      <c r="A278" s="10">
        <f t="shared" si="10"/>
        <v>277</v>
      </c>
      <c r="B278" s="25" t="s">
        <v>892</v>
      </c>
      <c r="C278" s="30" t="s">
        <v>34</v>
      </c>
      <c r="D278" s="71">
        <v>401211</v>
      </c>
      <c r="E278" s="72" t="s">
        <v>36</v>
      </c>
      <c r="F278" s="14" t="s">
        <v>893</v>
      </c>
      <c r="G278" s="25">
        <v>6</v>
      </c>
      <c r="H278" s="85">
        <v>0.375</v>
      </c>
      <c r="I278" s="85">
        <v>0.70833333333333337</v>
      </c>
      <c r="J278" s="95">
        <v>0.33333333333333331</v>
      </c>
      <c r="K278" s="21" t="s">
        <v>147</v>
      </c>
      <c r="L278" s="75" t="s">
        <v>894</v>
      </c>
      <c r="M278" s="75" t="s">
        <v>26</v>
      </c>
      <c r="N278" s="23" t="s">
        <v>895</v>
      </c>
      <c r="O278" s="23" t="s">
        <v>1321</v>
      </c>
      <c r="P278" s="246">
        <v>45763</v>
      </c>
      <c r="Q278" s="246">
        <v>45763</v>
      </c>
      <c r="R278" s="246">
        <v>46492</v>
      </c>
      <c r="S278" s="246">
        <v>46493</v>
      </c>
      <c r="T278" s="25">
        <v>2018</v>
      </c>
      <c r="U278" s="75" t="s">
        <v>380</v>
      </c>
      <c r="V278" s="25">
        <v>2023</v>
      </c>
      <c r="W278" s="38" t="s">
        <v>380</v>
      </c>
      <c r="X278" s="72" t="s">
        <v>30</v>
      </c>
      <c r="Y278" s="38" t="s">
        <v>97</v>
      </c>
      <c r="Z278" s="254" t="s">
        <v>3896</v>
      </c>
      <c r="AA278" s="23" t="s">
        <v>1841</v>
      </c>
      <c r="AB278" s="161">
        <v>45337</v>
      </c>
      <c r="AC278" s="161">
        <v>47163</v>
      </c>
      <c r="AD278" s="93">
        <v>9010918260</v>
      </c>
      <c r="AE278" s="89" t="s">
        <v>896</v>
      </c>
      <c r="AF278" s="28" t="s">
        <v>1495</v>
      </c>
      <c r="AG278" s="249" t="s">
        <v>3897</v>
      </c>
      <c r="AH278" s="72" t="s">
        <v>3898</v>
      </c>
      <c r="AI278" s="72" t="s">
        <v>3899</v>
      </c>
      <c r="AJ278" s="249" t="s">
        <v>3900</v>
      </c>
      <c r="AK278" s="75" t="s">
        <v>3901</v>
      </c>
      <c r="AL278" s="250"/>
      <c r="AM278" s="250"/>
      <c r="AN278" s="38"/>
      <c r="AO278" s="38" t="s">
        <v>3902</v>
      </c>
      <c r="AP278" s="25">
        <f t="shared" ca="1" si="11"/>
        <v>30</v>
      </c>
      <c r="AQ278" s="38"/>
      <c r="AR278" s="73"/>
      <c r="AS278" s="250"/>
      <c r="AT278" s="250"/>
      <c r="AU278" s="252">
        <v>34944</v>
      </c>
      <c r="AV278" s="72" t="s">
        <v>1352</v>
      </c>
      <c r="AW278" s="72" t="s">
        <v>68</v>
      </c>
      <c r="AX278" s="25">
        <v>8</v>
      </c>
      <c r="AY278" s="76" t="s">
        <v>1849</v>
      </c>
      <c r="AZ278" s="30" t="s">
        <v>26</v>
      </c>
      <c r="BA278" s="23" t="s">
        <v>151</v>
      </c>
      <c r="BB278" s="30" t="s">
        <v>34</v>
      </c>
      <c r="BC278" s="22"/>
    </row>
    <row r="279" spans="1:55" x14ac:dyDescent="0.25">
      <c r="A279" s="10">
        <f t="shared" si="10"/>
        <v>278</v>
      </c>
      <c r="B279" s="25" t="s">
        <v>3903</v>
      </c>
      <c r="C279" s="30" t="s">
        <v>34</v>
      </c>
      <c r="D279" s="71">
        <v>401212</v>
      </c>
      <c r="E279" s="72" t="s">
        <v>36</v>
      </c>
      <c r="F279" s="14" t="s">
        <v>3904</v>
      </c>
      <c r="G279" s="25">
        <v>6</v>
      </c>
      <c r="H279" s="85">
        <v>0.375</v>
      </c>
      <c r="I279" s="85">
        <v>0.45833333333333331</v>
      </c>
      <c r="J279" s="95">
        <v>8.3333333333333329E-2</v>
      </c>
      <c r="K279" s="21" t="s">
        <v>341</v>
      </c>
      <c r="L279" s="75" t="s">
        <v>30</v>
      </c>
      <c r="M279" s="30" t="s">
        <v>1376</v>
      </c>
      <c r="N279" s="23" t="s">
        <v>1393</v>
      </c>
      <c r="O279" s="38" t="s">
        <v>30</v>
      </c>
      <c r="P279" s="246">
        <v>45764</v>
      </c>
      <c r="Q279" s="246">
        <v>45764</v>
      </c>
      <c r="R279" s="246">
        <v>46493</v>
      </c>
      <c r="S279" s="246">
        <v>46494</v>
      </c>
      <c r="T279" s="25">
        <v>2015</v>
      </c>
      <c r="U279" s="75" t="s">
        <v>380</v>
      </c>
      <c r="V279" s="25" t="s">
        <v>30</v>
      </c>
      <c r="W279" s="38" t="s">
        <v>30</v>
      </c>
      <c r="X279" s="72" t="s">
        <v>30</v>
      </c>
      <c r="Y279" s="38" t="s">
        <v>226</v>
      </c>
      <c r="Z279" s="254" t="s">
        <v>3905</v>
      </c>
      <c r="AA279" s="23" t="s">
        <v>1841</v>
      </c>
      <c r="AB279" s="161">
        <v>44581</v>
      </c>
      <c r="AC279" s="161">
        <v>46406</v>
      </c>
      <c r="AD279" s="291">
        <v>9966087331</v>
      </c>
      <c r="AE279" s="346" t="s">
        <v>3906</v>
      </c>
      <c r="AF279" s="30" t="s">
        <v>1430</v>
      </c>
      <c r="AG279" s="249" t="s">
        <v>3907</v>
      </c>
      <c r="AH279" s="72" t="s">
        <v>3908</v>
      </c>
      <c r="AI279" s="72" t="s">
        <v>3909</v>
      </c>
      <c r="AJ279" s="249" t="s">
        <v>3910</v>
      </c>
      <c r="AK279" s="75" t="s">
        <v>3911</v>
      </c>
      <c r="AL279" s="250"/>
      <c r="AM279" s="250"/>
      <c r="AN279" s="38"/>
      <c r="AO279" s="38" t="s">
        <v>3912</v>
      </c>
      <c r="AP279" s="25">
        <f t="shared" ca="1" si="11"/>
        <v>32</v>
      </c>
      <c r="AQ279" s="38"/>
      <c r="AR279" s="73"/>
      <c r="AS279" s="250"/>
      <c r="AT279" s="250"/>
      <c r="AU279" s="252">
        <v>33972</v>
      </c>
      <c r="AV279" s="72" t="s">
        <v>1352</v>
      </c>
      <c r="AW279" s="72" t="s">
        <v>32</v>
      </c>
      <c r="AX279" s="25">
        <v>2</v>
      </c>
      <c r="AY279" s="76" t="s">
        <v>1881</v>
      </c>
      <c r="AZ279" s="30" t="s">
        <v>1390</v>
      </c>
      <c r="BA279" s="23" t="s">
        <v>151</v>
      </c>
      <c r="BB279" s="30" t="s">
        <v>34</v>
      </c>
      <c r="BC279" s="22"/>
    </row>
    <row r="280" spans="1:55" x14ac:dyDescent="0.25">
      <c r="A280" s="10">
        <f t="shared" si="10"/>
        <v>279</v>
      </c>
      <c r="B280" s="55" t="s">
        <v>897</v>
      </c>
      <c r="C280" s="56" t="s">
        <v>34</v>
      </c>
      <c r="D280" s="78">
        <v>401213</v>
      </c>
      <c r="E280" s="54" t="s">
        <v>36</v>
      </c>
      <c r="F280" s="48" t="s">
        <v>898</v>
      </c>
      <c r="G280" s="55">
        <v>6</v>
      </c>
      <c r="H280" s="101">
        <v>0.35416666666666669</v>
      </c>
      <c r="I280" s="77">
        <v>0.6875</v>
      </c>
      <c r="J280" s="77">
        <v>0.33333333333333331</v>
      </c>
      <c r="K280" s="51" t="s">
        <v>899</v>
      </c>
      <c r="L280" s="51" t="s">
        <v>900</v>
      </c>
      <c r="M280" s="56" t="s">
        <v>26</v>
      </c>
      <c r="N280" s="52" t="s">
        <v>38</v>
      </c>
      <c r="O280" s="52" t="s">
        <v>1321</v>
      </c>
      <c r="P280" s="303">
        <v>45768</v>
      </c>
      <c r="Q280" s="303">
        <v>45768</v>
      </c>
      <c r="R280" s="303">
        <v>46497</v>
      </c>
      <c r="S280" s="303">
        <v>46498</v>
      </c>
      <c r="T280" s="55">
        <v>2019</v>
      </c>
      <c r="U280" s="56" t="s">
        <v>901</v>
      </c>
      <c r="V280" s="55">
        <v>2025</v>
      </c>
      <c r="W280" s="51" t="s">
        <v>901</v>
      </c>
      <c r="X280" s="54" t="s">
        <v>30</v>
      </c>
      <c r="Y280" s="51" t="s">
        <v>97</v>
      </c>
      <c r="Z280" s="347" t="s">
        <v>3913</v>
      </c>
      <c r="AA280" s="52" t="s">
        <v>1841</v>
      </c>
      <c r="AB280" s="238">
        <v>45731</v>
      </c>
      <c r="AC280" s="238">
        <v>47556</v>
      </c>
      <c r="AD280" s="197">
        <v>9550109796</v>
      </c>
      <c r="AE280" s="348" t="s">
        <v>902</v>
      </c>
      <c r="AF280" s="51" t="s">
        <v>1690</v>
      </c>
      <c r="AG280" s="198" t="s">
        <v>3914</v>
      </c>
      <c r="AH280" s="54" t="s">
        <v>3915</v>
      </c>
      <c r="AI280" s="54" t="s">
        <v>3916</v>
      </c>
      <c r="AJ280" s="198" t="s">
        <v>3917</v>
      </c>
      <c r="AK280" s="51" t="s">
        <v>3918</v>
      </c>
      <c r="AL280" s="199"/>
      <c r="AM280" s="199">
        <v>45856</v>
      </c>
      <c r="AN280" s="51" t="s">
        <v>1457</v>
      </c>
      <c r="AO280" s="51" t="s">
        <v>3919</v>
      </c>
      <c r="AP280" s="55">
        <f t="shared" ca="1" si="11"/>
        <v>28</v>
      </c>
      <c r="AQ280" s="51"/>
      <c r="AR280" s="52"/>
      <c r="AS280" s="199"/>
      <c r="AT280" s="199"/>
      <c r="AU280" s="242">
        <v>35534</v>
      </c>
      <c r="AV280" s="54" t="s">
        <v>1389</v>
      </c>
      <c r="AW280" s="54" t="s">
        <v>68</v>
      </c>
      <c r="AX280" s="55">
        <v>8</v>
      </c>
      <c r="AY280" s="48" t="s">
        <v>2006</v>
      </c>
      <c r="AZ280" s="56" t="s">
        <v>26</v>
      </c>
      <c r="BA280" s="52" t="s">
        <v>151</v>
      </c>
      <c r="BB280" s="56" t="s">
        <v>34</v>
      </c>
      <c r="BC280" s="53"/>
    </row>
    <row r="281" spans="1:55" x14ac:dyDescent="0.25">
      <c r="A281" s="10">
        <f t="shared" si="10"/>
        <v>280</v>
      </c>
      <c r="B281" s="25" t="s">
        <v>903</v>
      </c>
      <c r="C281" s="30" t="s">
        <v>34</v>
      </c>
      <c r="D281" s="65">
        <v>401216</v>
      </c>
      <c r="E281" s="72" t="s">
        <v>36</v>
      </c>
      <c r="F281" s="14" t="s">
        <v>904</v>
      </c>
      <c r="G281" s="25">
        <v>6</v>
      </c>
      <c r="H281" s="102">
        <v>0.66666666666666663</v>
      </c>
      <c r="I281" s="74">
        <v>0.875</v>
      </c>
      <c r="J281" s="74">
        <v>0.20833333333333334</v>
      </c>
      <c r="K281" s="21" t="s">
        <v>154</v>
      </c>
      <c r="L281" s="76" t="s">
        <v>905</v>
      </c>
      <c r="M281" s="75" t="s">
        <v>26</v>
      </c>
      <c r="N281" s="23" t="s">
        <v>38</v>
      </c>
      <c r="O281" s="23" t="s">
        <v>1321</v>
      </c>
      <c r="P281" s="246">
        <v>45768</v>
      </c>
      <c r="Q281" s="246">
        <v>45768</v>
      </c>
      <c r="R281" s="246">
        <v>46497</v>
      </c>
      <c r="S281" s="246">
        <v>46498</v>
      </c>
      <c r="T281" s="25">
        <v>2010</v>
      </c>
      <c r="U281" s="75" t="s">
        <v>906</v>
      </c>
      <c r="V281" s="25">
        <v>2025</v>
      </c>
      <c r="W281" s="75" t="s">
        <v>209</v>
      </c>
      <c r="X281" s="72" t="s">
        <v>1451</v>
      </c>
      <c r="Y281" s="38" t="s">
        <v>907</v>
      </c>
      <c r="Z281" s="254">
        <v>72551</v>
      </c>
      <c r="AA281" s="23" t="s">
        <v>1841</v>
      </c>
      <c r="AB281" s="161">
        <v>45743</v>
      </c>
      <c r="AC281" s="161">
        <v>47568</v>
      </c>
      <c r="AD281" s="25">
        <v>8886820880</v>
      </c>
      <c r="AE281" s="255" t="s">
        <v>908</v>
      </c>
      <c r="AF281" s="30" t="s">
        <v>1430</v>
      </c>
      <c r="AG281" s="256" t="s">
        <v>3920</v>
      </c>
      <c r="AH281" s="72" t="s">
        <v>3246</v>
      </c>
      <c r="AI281" s="72" t="s">
        <v>3921</v>
      </c>
      <c r="AJ281" s="249" t="s">
        <v>3922</v>
      </c>
      <c r="AK281" s="75" t="s">
        <v>3923</v>
      </c>
      <c r="AL281" s="250"/>
      <c r="AM281" s="250"/>
      <c r="AN281" s="38"/>
      <c r="AO281" s="38" t="s">
        <v>3924</v>
      </c>
      <c r="AP281" s="25">
        <f t="shared" ca="1" si="11"/>
        <v>37</v>
      </c>
      <c r="AQ281" s="38" t="s">
        <v>1605</v>
      </c>
      <c r="AR281" s="285" t="s">
        <v>3925</v>
      </c>
      <c r="AS281" s="176">
        <v>45755</v>
      </c>
      <c r="AT281" s="176">
        <v>46119</v>
      </c>
      <c r="AU281" s="252">
        <v>32194</v>
      </c>
      <c r="AV281" s="72" t="s">
        <v>1352</v>
      </c>
      <c r="AW281" s="72" t="s">
        <v>32</v>
      </c>
      <c r="AX281" s="25">
        <v>5</v>
      </c>
      <c r="AY281" s="76" t="s">
        <v>1904</v>
      </c>
      <c r="AZ281" s="30" t="s">
        <v>26</v>
      </c>
      <c r="BA281" s="23" t="s">
        <v>151</v>
      </c>
      <c r="BB281" s="30" t="s">
        <v>34</v>
      </c>
      <c r="BC281" s="22"/>
    </row>
    <row r="282" spans="1:55" x14ac:dyDescent="0.25">
      <c r="A282" s="10">
        <f t="shared" si="10"/>
        <v>281</v>
      </c>
      <c r="B282" s="25" t="s">
        <v>909</v>
      </c>
      <c r="C282" s="30" t="s">
        <v>34</v>
      </c>
      <c r="D282" s="71">
        <v>401217</v>
      </c>
      <c r="E282" s="72" t="s">
        <v>36</v>
      </c>
      <c r="F282" s="14" t="s">
        <v>910</v>
      </c>
      <c r="G282" s="25">
        <v>6</v>
      </c>
      <c r="H282" s="102">
        <v>0.66666666666666663</v>
      </c>
      <c r="I282" s="74">
        <v>0.875</v>
      </c>
      <c r="J282" s="74">
        <v>0.20833333333333334</v>
      </c>
      <c r="K282" s="21" t="s">
        <v>911</v>
      </c>
      <c r="L282" s="88" t="s">
        <v>912</v>
      </c>
      <c r="M282" s="75" t="s">
        <v>26</v>
      </c>
      <c r="N282" s="23" t="s">
        <v>38</v>
      </c>
      <c r="O282" s="23" t="s">
        <v>1321</v>
      </c>
      <c r="P282" s="246">
        <v>45769</v>
      </c>
      <c r="Q282" s="246">
        <v>45819</v>
      </c>
      <c r="R282" s="246">
        <v>46498</v>
      </c>
      <c r="S282" s="246">
        <v>46499</v>
      </c>
      <c r="T282" s="25">
        <v>2019</v>
      </c>
      <c r="U282" s="75" t="s">
        <v>913</v>
      </c>
      <c r="V282" s="25">
        <v>2025</v>
      </c>
      <c r="W282" s="75" t="s">
        <v>141</v>
      </c>
      <c r="X282" s="72" t="s">
        <v>30</v>
      </c>
      <c r="Y282" s="38" t="s">
        <v>97</v>
      </c>
      <c r="Z282" s="254" t="s">
        <v>3926</v>
      </c>
      <c r="AA282" s="23" t="s">
        <v>1841</v>
      </c>
      <c r="AB282" s="161">
        <v>45776</v>
      </c>
      <c r="AC282" s="161">
        <v>47601</v>
      </c>
      <c r="AD282" s="93">
        <v>9444920947</v>
      </c>
      <c r="AE282" s="89" t="s">
        <v>914</v>
      </c>
      <c r="AF282" s="28" t="s">
        <v>1495</v>
      </c>
      <c r="AG282" s="256" t="s">
        <v>3927</v>
      </c>
      <c r="AH282" s="72" t="s">
        <v>3928</v>
      </c>
      <c r="AI282" s="72" t="s">
        <v>3929</v>
      </c>
      <c r="AJ282" s="249" t="s">
        <v>3930</v>
      </c>
      <c r="AK282" s="75" t="s">
        <v>3931</v>
      </c>
      <c r="AL282" s="250"/>
      <c r="AM282" s="250"/>
      <c r="AN282" s="38"/>
      <c r="AO282" s="38" t="s">
        <v>3932</v>
      </c>
      <c r="AP282" s="25">
        <f t="shared" ca="1" si="11"/>
        <v>28</v>
      </c>
      <c r="AQ282" s="35" t="s">
        <v>1605</v>
      </c>
      <c r="AR282" s="73" t="s">
        <v>3933</v>
      </c>
      <c r="AS282" s="250">
        <v>45766</v>
      </c>
      <c r="AT282" s="250">
        <v>46130</v>
      </c>
      <c r="AU282" s="252">
        <v>35575</v>
      </c>
      <c r="AV282" s="72" t="s">
        <v>1352</v>
      </c>
      <c r="AW282" s="72" t="s">
        <v>32</v>
      </c>
      <c r="AX282" s="25">
        <v>5</v>
      </c>
      <c r="AY282" s="76" t="s">
        <v>2469</v>
      </c>
      <c r="AZ282" s="30" t="s">
        <v>26</v>
      </c>
      <c r="BA282" s="23" t="s">
        <v>151</v>
      </c>
      <c r="BB282" s="30" t="s">
        <v>34</v>
      </c>
      <c r="BC282" s="22"/>
    </row>
    <row r="283" spans="1:55" x14ac:dyDescent="0.25">
      <c r="A283" s="10">
        <f t="shared" si="10"/>
        <v>282</v>
      </c>
      <c r="B283" s="25" t="s">
        <v>915</v>
      </c>
      <c r="C283" s="30" t="s">
        <v>34</v>
      </c>
      <c r="D283" s="71">
        <v>401218</v>
      </c>
      <c r="E283" s="72" t="s">
        <v>192</v>
      </c>
      <c r="F283" s="14" t="s">
        <v>916</v>
      </c>
      <c r="G283" s="25"/>
      <c r="H283" s="102"/>
      <c r="I283" s="74"/>
      <c r="J283" s="74"/>
      <c r="K283" s="21" t="s">
        <v>334</v>
      </c>
      <c r="L283" s="76" t="s">
        <v>917</v>
      </c>
      <c r="M283" s="75" t="s">
        <v>26</v>
      </c>
      <c r="N283" s="23" t="s">
        <v>38</v>
      </c>
      <c r="O283" s="23" t="s">
        <v>1321</v>
      </c>
      <c r="P283" s="246">
        <v>45769</v>
      </c>
      <c r="Q283" s="246">
        <v>45769</v>
      </c>
      <c r="R283" s="246">
        <v>46498</v>
      </c>
      <c r="S283" s="246">
        <v>46499</v>
      </c>
      <c r="T283" s="25">
        <v>2016</v>
      </c>
      <c r="U283" s="75" t="s">
        <v>653</v>
      </c>
      <c r="V283" s="25">
        <v>2021</v>
      </c>
      <c r="W283" s="75" t="s">
        <v>653</v>
      </c>
      <c r="X283" s="72" t="s">
        <v>3934</v>
      </c>
      <c r="Y283" s="38" t="s">
        <v>97</v>
      </c>
      <c r="Z283" s="254">
        <v>98306</v>
      </c>
      <c r="AA283" s="38" t="s">
        <v>2242</v>
      </c>
      <c r="AB283" s="161">
        <v>44376</v>
      </c>
      <c r="AC283" s="161">
        <v>46201</v>
      </c>
      <c r="AD283" s="25" t="s">
        <v>918</v>
      </c>
      <c r="AE283" s="255" t="s">
        <v>919</v>
      </c>
      <c r="AF283" s="75" t="s">
        <v>1364</v>
      </c>
      <c r="AG283" s="256" t="s">
        <v>3935</v>
      </c>
      <c r="AH283" s="72" t="s">
        <v>3936</v>
      </c>
      <c r="AI283" s="72" t="s">
        <v>3937</v>
      </c>
      <c r="AJ283" s="249" t="s">
        <v>3938</v>
      </c>
      <c r="AK283" s="75" t="s">
        <v>3939</v>
      </c>
      <c r="AL283" s="250"/>
      <c r="AM283" s="250"/>
      <c r="AN283" s="38"/>
      <c r="AO283" s="38" t="s">
        <v>3940</v>
      </c>
      <c r="AP283" s="25">
        <f t="shared" ca="1" si="11"/>
        <v>33</v>
      </c>
      <c r="AQ283" s="35" t="s">
        <v>1605</v>
      </c>
      <c r="AR283" s="73" t="s">
        <v>3683</v>
      </c>
      <c r="AS283" s="250">
        <v>45703</v>
      </c>
      <c r="AT283" s="250">
        <v>46067</v>
      </c>
      <c r="AU283" s="252">
        <v>33634</v>
      </c>
      <c r="AV283" s="72" t="s">
        <v>1352</v>
      </c>
      <c r="AW283" s="31" t="s">
        <v>32</v>
      </c>
      <c r="AX283" s="10" t="s">
        <v>30</v>
      </c>
      <c r="AY283" s="76" t="s">
        <v>30</v>
      </c>
      <c r="AZ283" s="30" t="s">
        <v>26</v>
      </c>
      <c r="BA283" s="23" t="s">
        <v>151</v>
      </c>
      <c r="BB283" s="30" t="s">
        <v>34</v>
      </c>
      <c r="BC283" s="22"/>
    </row>
    <row r="284" spans="1:55" x14ac:dyDescent="0.25">
      <c r="A284" s="10">
        <f t="shared" si="10"/>
        <v>283</v>
      </c>
      <c r="B284" s="25" t="s">
        <v>3941</v>
      </c>
      <c r="C284" s="30" t="s">
        <v>34</v>
      </c>
      <c r="D284" s="71">
        <v>401219</v>
      </c>
      <c r="E284" s="72" t="s">
        <v>36</v>
      </c>
      <c r="F284" s="14" t="s">
        <v>3942</v>
      </c>
      <c r="G284" s="25">
        <v>6</v>
      </c>
      <c r="H284" s="102">
        <v>0.33333333333333331</v>
      </c>
      <c r="I284" s="74">
        <v>0.875</v>
      </c>
      <c r="J284" s="95">
        <v>0.33333333333333331</v>
      </c>
      <c r="K284" s="21" t="s">
        <v>147</v>
      </c>
      <c r="L284" s="76" t="s">
        <v>30</v>
      </c>
      <c r="M284" s="75" t="s">
        <v>1355</v>
      </c>
      <c r="N284" s="23" t="s">
        <v>1520</v>
      </c>
      <c r="O284" s="35" t="s">
        <v>1357</v>
      </c>
      <c r="P284" s="246">
        <v>45771</v>
      </c>
      <c r="Q284" s="246">
        <v>45771</v>
      </c>
      <c r="R284" s="246">
        <v>46500</v>
      </c>
      <c r="S284" s="246">
        <v>46501</v>
      </c>
      <c r="T284" s="25">
        <v>2019</v>
      </c>
      <c r="U284" s="75" t="s">
        <v>3265</v>
      </c>
      <c r="V284" s="25">
        <v>2025</v>
      </c>
      <c r="W284" s="75" t="s">
        <v>3198</v>
      </c>
      <c r="X284" s="72" t="s">
        <v>30</v>
      </c>
      <c r="Y284" s="73" t="s">
        <v>1360</v>
      </c>
      <c r="Z284" s="75" t="s">
        <v>3943</v>
      </c>
      <c r="AA284" s="23" t="s">
        <v>1841</v>
      </c>
      <c r="AB284" s="161">
        <v>45769</v>
      </c>
      <c r="AC284" s="161">
        <v>47594</v>
      </c>
      <c r="AD284" s="25">
        <v>7093122311</v>
      </c>
      <c r="AE284" s="330" t="s">
        <v>3944</v>
      </c>
      <c r="AF284" s="75" t="s">
        <v>1805</v>
      </c>
      <c r="AG284" s="256" t="s">
        <v>3945</v>
      </c>
      <c r="AH284" s="72" t="s">
        <v>3946</v>
      </c>
      <c r="AI284" s="72" t="s">
        <v>3947</v>
      </c>
      <c r="AJ284" s="249" t="s">
        <v>3948</v>
      </c>
      <c r="AK284" s="75" t="s">
        <v>3949</v>
      </c>
      <c r="AL284" s="250"/>
      <c r="AM284" s="250"/>
      <c r="AN284" s="38"/>
      <c r="AO284" s="38" t="s">
        <v>3950</v>
      </c>
      <c r="AP284" s="25">
        <f t="shared" ca="1" si="11"/>
        <v>31</v>
      </c>
      <c r="AQ284" s="38"/>
      <c r="AR284" s="73"/>
      <c r="AS284" s="250"/>
      <c r="AT284" s="250"/>
      <c r="AU284" s="252">
        <v>34433</v>
      </c>
      <c r="AV284" s="72" t="s">
        <v>1389</v>
      </c>
      <c r="AW284" s="72" t="s">
        <v>68</v>
      </c>
      <c r="AX284" s="25">
        <v>8</v>
      </c>
      <c r="AY284" s="76" t="s">
        <v>1849</v>
      </c>
      <c r="AZ284" s="30" t="s">
        <v>1373</v>
      </c>
      <c r="BA284" s="23" t="s">
        <v>151</v>
      </c>
      <c r="BB284" s="30" t="s">
        <v>34</v>
      </c>
      <c r="BC284" s="22"/>
    </row>
    <row r="285" spans="1:55" x14ac:dyDescent="0.25">
      <c r="A285" s="10">
        <f t="shared" si="10"/>
        <v>284</v>
      </c>
      <c r="B285" s="25" t="s">
        <v>920</v>
      </c>
      <c r="C285" s="30" t="s">
        <v>34</v>
      </c>
      <c r="D285" s="71">
        <v>401220</v>
      </c>
      <c r="E285" s="72" t="s">
        <v>36</v>
      </c>
      <c r="F285" s="14" t="s">
        <v>921</v>
      </c>
      <c r="G285" s="10">
        <v>6</v>
      </c>
      <c r="H285" s="103">
        <v>0.625</v>
      </c>
      <c r="I285" s="66">
        <v>0.875</v>
      </c>
      <c r="J285" s="66">
        <v>0.25</v>
      </c>
      <c r="K285" s="21" t="s">
        <v>922</v>
      </c>
      <c r="L285" s="14" t="s">
        <v>923</v>
      </c>
      <c r="M285" s="30" t="s">
        <v>26</v>
      </c>
      <c r="N285" s="23" t="s">
        <v>38</v>
      </c>
      <c r="O285" s="23" t="s">
        <v>1321</v>
      </c>
      <c r="P285" s="258">
        <v>45775</v>
      </c>
      <c r="Q285" s="258">
        <v>45775</v>
      </c>
      <c r="R285" s="258">
        <v>46504</v>
      </c>
      <c r="S285" s="258">
        <v>46505</v>
      </c>
      <c r="T285" s="10">
        <v>2019</v>
      </c>
      <c r="U285" s="30" t="s">
        <v>209</v>
      </c>
      <c r="V285" s="10">
        <v>2025</v>
      </c>
      <c r="W285" s="30" t="s">
        <v>924</v>
      </c>
      <c r="X285" s="31" t="s">
        <v>30</v>
      </c>
      <c r="Y285" s="35" t="s">
        <v>97</v>
      </c>
      <c r="Z285" s="333" t="s">
        <v>3951</v>
      </c>
      <c r="AA285" s="23" t="s">
        <v>1841</v>
      </c>
      <c r="AB285" s="161">
        <v>45736</v>
      </c>
      <c r="AC285" s="161">
        <v>47561</v>
      </c>
      <c r="AD285" s="10">
        <v>7674869392</v>
      </c>
      <c r="AE285" s="224" t="s">
        <v>925</v>
      </c>
      <c r="AF285" s="28" t="s">
        <v>1495</v>
      </c>
      <c r="AG285" s="230" t="s">
        <v>3952</v>
      </c>
      <c r="AH285" s="31" t="s">
        <v>3953</v>
      </c>
      <c r="AI285" s="31" t="s">
        <v>3954</v>
      </c>
      <c r="AJ285" s="221" t="s">
        <v>3955</v>
      </c>
      <c r="AK285" s="30" t="s">
        <v>3956</v>
      </c>
      <c r="AL285" s="250"/>
      <c r="AM285" s="250"/>
      <c r="AN285" s="38"/>
      <c r="AO285" s="38" t="s">
        <v>3957</v>
      </c>
      <c r="AP285" s="25">
        <f t="shared" ca="1" si="11"/>
        <v>29</v>
      </c>
      <c r="AQ285" s="38" t="s">
        <v>1605</v>
      </c>
      <c r="AR285" s="285" t="s">
        <v>3958</v>
      </c>
      <c r="AS285" s="166">
        <v>45775</v>
      </c>
      <c r="AT285" s="166">
        <v>46139</v>
      </c>
      <c r="AU285" s="223">
        <v>35219</v>
      </c>
      <c r="AV285" s="31" t="s">
        <v>1352</v>
      </c>
      <c r="AW285" s="31" t="s">
        <v>32</v>
      </c>
      <c r="AX285" s="10">
        <v>6</v>
      </c>
      <c r="AY285" s="76" t="s">
        <v>2053</v>
      </c>
      <c r="AZ285" s="30" t="s">
        <v>26</v>
      </c>
      <c r="BA285" s="23" t="s">
        <v>151</v>
      </c>
      <c r="BB285" s="30" t="s">
        <v>34</v>
      </c>
      <c r="BC285" s="22"/>
    </row>
    <row r="286" spans="1:55" x14ac:dyDescent="0.25">
      <c r="A286" s="10">
        <f t="shared" si="10"/>
        <v>285</v>
      </c>
      <c r="B286" s="25" t="s">
        <v>871</v>
      </c>
      <c r="C286" s="30" t="s">
        <v>34</v>
      </c>
      <c r="D286" s="71">
        <v>401221</v>
      </c>
      <c r="E286" s="181" t="s">
        <v>9124</v>
      </c>
      <c r="F286" s="14" t="s">
        <v>872</v>
      </c>
      <c r="G286" s="10" t="s">
        <v>926</v>
      </c>
      <c r="H286" s="66" t="s">
        <v>927</v>
      </c>
      <c r="I286" s="66" t="s">
        <v>928</v>
      </c>
      <c r="J286" s="66">
        <v>0.20833333333333334</v>
      </c>
      <c r="K286" s="21" t="s">
        <v>748</v>
      </c>
      <c r="L286" s="30" t="s">
        <v>873</v>
      </c>
      <c r="M286" s="30" t="s">
        <v>26</v>
      </c>
      <c r="N286" s="23" t="s">
        <v>38</v>
      </c>
      <c r="O286" s="23" t="s">
        <v>1321</v>
      </c>
      <c r="P286" s="258">
        <v>45778</v>
      </c>
      <c r="Q286" s="258">
        <v>45778</v>
      </c>
      <c r="R286" s="258">
        <v>46507</v>
      </c>
      <c r="S286" s="258">
        <v>46508</v>
      </c>
      <c r="T286" s="10">
        <v>1995</v>
      </c>
      <c r="U286" s="30" t="s">
        <v>874</v>
      </c>
      <c r="V286" s="10">
        <v>2002</v>
      </c>
      <c r="W286" s="35" t="s">
        <v>875</v>
      </c>
      <c r="X286" s="31" t="s">
        <v>3959</v>
      </c>
      <c r="Y286" s="35" t="s">
        <v>97</v>
      </c>
      <c r="Z286" s="333">
        <v>54056</v>
      </c>
      <c r="AA286" s="35" t="s">
        <v>1323</v>
      </c>
      <c r="AB286" s="161">
        <v>44562</v>
      </c>
      <c r="AC286" s="161">
        <v>46387</v>
      </c>
      <c r="AD286" s="10">
        <v>9831051439</v>
      </c>
      <c r="AE286" s="224" t="s">
        <v>876</v>
      </c>
      <c r="AF286" s="30" t="s">
        <v>1430</v>
      </c>
      <c r="AG286" s="230" t="s">
        <v>3857</v>
      </c>
      <c r="AH286" s="31" t="s">
        <v>3858</v>
      </c>
      <c r="AI286" s="31" t="s">
        <v>3859</v>
      </c>
      <c r="AJ286" s="221" t="s">
        <v>3860</v>
      </c>
      <c r="AK286" s="30" t="s">
        <v>3861</v>
      </c>
      <c r="AL286" s="250"/>
      <c r="AM286" s="250"/>
      <c r="AN286" s="38"/>
      <c r="AO286" s="38" t="s">
        <v>3862</v>
      </c>
      <c r="AP286" s="25">
        <f t="shared" ref="AP286:AP322" ca="1" si="12">ROUNDDOWN((TODAY() -AU286)/365.25,0)</f>
        <v>54</v>
      </c>
      <c r="AQ286" s="38" t="s">
        <v>1416</v>
      </c>
      <c r="AR286" s="285" t="s">
        <v>3863</v>
      </c>
      <c r="AS286" s="287">
        <v>45675</v>
      </c>
      <c r="AT286" s="287">
        <v>46039</v>
      </c>
      <c r="AU286" s="223">
        <v>25934</v>
      </c>
      <c r="AV286" s="31" t="s">
        <v>1352</v>
      </c>
      <c r="AW286" s="31" t="s">
        <v>32</v>
      </c>
      <c r="AX286" s="10">
        <v>5</v>
      </c>
      <c r="AY286" s="76" t="s">
        <v>2703</v>
      </c>
      <c r="AZ286" s="30" t="s">
        <v>26</v>
      </c>
      <c r="BA286" s="23" t="s">
        <v>151</v>
      </c>
      <c r="BB286" s="30" t="s">
        <v>34</v>
      </c>
      <c r="BC286" s="22"/>
    </row>
    <row r="287" spans="1:55" x14ac:dyDescent="0.25">
      <c r="A287" s="10">
        <f t="shared" si="10"/>
        <v>286</v>
      </c>
      <c r="B287" s="25" t="s">
        <v>929</v>
      </c>
      <c r="C287" s="30" t="s">
        <v>34</v>
      </c>
      <c r="D287" s="71">
        <v>401222</v>
      </c>
      <c r="E287" s="72" t="s">
        <v>192</v>
      </c>
      <c r="F287" s="14" t="s">
        <v>930</v>
      </c>
      <c r="G287" s="10" t="s">
        <v>931</v>
      </c>
      <c r="H287" s="103" t="s">
        <v>932</v>
      </c>
      <c r="I287" s="66" t="s">
        <v>933</v>
      </c>
      <c r="J287" s="66"/>
      <c r="K287" s="21" t="s">
        <v>748</v>
      </c>
      <c r="L287" s="30" t="s">
        <v>934</v>
      </c>
      <c r="M287" s="30" t="s">
        <v>26</v>
      </c>
      <c r="N287" s="23" t="s">
        <v>38</v>
      </c>
      <c r="O287" s="23" t="s">
        <v>1321</v>
      </c>
      <c r="P287" s="258">
        <v>45778</v>
      </c>
      <c r="Q287" s="258">
        <v>45778</v>
      </c>
      <c r="R287" s="258">
        <v>46507</v>
      </c>
      <c r="S287" s="258">
        <v>46508</v>
      </c>
      <c r="T287" s="10">
        <v>2006</v>
      </c>
      <c r="U287" s="30" t="s">
        <v>935</v>
      </c>
      <c r="V287" s="10">
        <v>2009</v>
      </c>
      <c r="W287" s="30" t="s">
        <v>750</v>
      </c>
      <c r="X287" s="31" t="s">
        <v>3960</v>
      </c>
      <c r="Y287" s="35" t="s">
        <v>936</v>
      </c>
      <c r="Z287" s="333">
        <v>61436</v>
      </c>
      <c r="AA287" s="35" t="s">
        <v>1323</v>
      </c>
      <c r="AB287" s="161">
        <v>44204</v>
      </c>
      <c r="AC287" s="161">
        <v>46029</v>
      </c>
      <c r="AD287" s="10">
        <v>7980424217</v>
      </c>
      <c r="AE287" s="236" t="s">
        <v>937</v>
      </c>
      <c r="AF287" s="30" t="s">
        <v>1364</v>
      </c>
      <c r="AG287" s="230" t="s">
        <v>3961</v>
      </c>
      <c r="AH287" s="31" t="s">
        <v>2724</v>
      </c>
      <c r="AI287" s="31" t="s">
        <v>3962</v>
      </c>
      <c r="AJ287" s="221" t="s">
        <v>3963</v>
      </c>
      <c r="AK287" s="30" t="s">
        <v>3964</v>
      </c>
      <c r="AL287" s="250"/>
      <c r="AM287" s="250"/>
      <c r="AN287" s="38"/>
      <c r="AO287" s="38" t="s">
        <v>3965</v>
      </c>
      <c r="AP287" s="25">
        <f t="shared" ca="1" si="12"/>
        <v>44</v>
      </c>
      <c r="AQ287" s="38" t="s">
        <v>2156</v>
      </c>
      <c r="AR287" s="285" t="s">
        <v>3966</v>
      </c>
      <c r="AS287" s="250">
        <v>45853</v>
      </c>
      <c r="AT287" s="250">
        <v>46217</v>
      </c>
      <c r="AU287" s="223">
        <v>29627</v>
      </c>
      <c r="AV287" s="31" t="s">
        <v>1352</v>
      </c>
      <c r="AW287" s="31" t="s">
        <v>32</v>
      </c>
      <c r="AX287" s="10" t="s">
        <v>30</v>
      </c>
      <c r="AY287" s="76" t="s">
        <v>2703</v>
      </c>
      <c r="AZ287" s="30" t="s">
        <v>26</v>
      </c>
      <c r="BA287" s="23" t="s">
        <v>151</v>
      </c>
      <c r="BB287" s="30" t="s">
        <v>34</v>
      </c>
      <c r="BC287" s="22"/>
    </row>
    <row r="288" spans="1:55" x14ac:dyDescent="0.25">
      <c r="A288" s="10">
        <f t="shared" si="10"/>
        <v>287</v>
      </c>
      <c r="B288" s="25" t="s">
        <v>938</v>
      </c>
      <c r="C288" s="30" t="s">
        <v>34</v>
      </c>
      <c r="D288" s="65">
        <v>401223</v>
      </c>
      <c r="E288" s="181" t="s">
        <v>9124</v>
      </c>
      <c r="F288" s="14" t="s">
        <v>939</v>
      </c>
      <c r="G288" s="10">
        <v>6</v>
      </c>
      <c r="H288" s="103" t="s">
        <v>940</v>
      </c>
      <c r="I288" s="103" t="s">
        <v>941</v>
      </c>
      <c r="J288" s="68">
        <v>0.41666666666666669</v>
      </c>
      <c r="K288" s="21" t="s">
        <v>563</v>
      </c>
      <c r="L288" s="86" t="s">
        <v>942</v>
      </c>
      <c r="M288" s="30" t="s">
        <v>26</v>
      </c>
      <c r="N288" s="23" t="s">
        <v>38</v>
      </c>
      <c r="O288" s="23" t="s">
        <v>1321</v>
      </c>
      <c r="P288" s="258">
        <v>45778</v>
      </c>
      <c r="Q288" s="258">
        <v>45812</v>
      </c>
      <c r="R288" s="258">
        <v>46507</v>
      </c>
      <c r="S288" s="258">
        <v>46508</v>
      </c>
      <c r="T288" s="10">
        <v>2019</v>
      </c>
      <c r="U288" s="30" t="s">
        <v>943</v>
      </c>
      <c r="V288" s="10">
        <v>2019</v>
      </c>
      <c r="W288" s="30" t="s">
        <v>944</v>
      </c>
      <c r="X288" s="31" t="s">
        <v>30</v>
      </c>
      <c r="Y288" s="35" t="s">
        <v>97</v>
      </c>
      <c r="Z288" s="86" t="s">
        <v>3967</v>
      </c>
      <c r="AA288" s="23" t="s">
        <v>1841</v>
      </c>
      <c r="AB288" s="161">
        <v>45776</v>
      </c>
      <c r="AC288" s="161">
        <v>47601</v>
      </c>
      <c r="AD288" s="87">
        <v>9154516438</v>
      </c>
      <c r="AE288" s="264" t="s">
        <v>945</v>
      </c>
      <c r="AF288" s="30" t="s">
        <v>2207</v>
      </c>
      <c r="AG288" s="230" t="s">
        <v>3968</v>
      </c>
      <c r="AH288" s="31" t="s">
        <v>3969</v>
      </c>
      <c r="AI288" s="31" t="s">
        <v>3970</v>
      </c>
      <c r="AJ288" s="221" t="s">
        <v>3971</v>
      </c>
      <c r="AK288" s="30" t="s">
        <v>3972</v>
      </c>
      <c r="AL288" s="210"/>
      <c r="AM288" s="210"/>
      <c r="AN288" s="35"/>
      <c r="AO288" s="35" t="s">
        <v>3973</v>
      </c>
      <c r="AP288" s="10">
        <f t="shared" ca="1" si="12"/>
        <v>28</v>
      </c>
      <c r="AQ288" s="35"/>
      <c r="AR288" s="23"/>
      <c r="AS288" s="210"/>
      <c r="AT288" s="210"/>
      <c r="AU288" s="223">
        <v>35619</v>
      </c>
      <c r="AV288" s="31" t="s">
        <v>1389</v>
      </c>
      <c r="AW288" s="31" t="s">
        <v>68</v>
      </c>
      <c r="AX288" s="104">
        <v>10</v>
      </c>
      <c r="AY288" s="76" t="s">
        <v>1895</v>
      </c>
      <c r="AZ288" s="30" t="s">
        <v>26</v>
      </c>
      <c r="BA288" s="23" t="s">
        <v>151</v>
      </c>
      <c r="BB288" s="30" t="s">
        <v>34</v>
      </c>
      <c r="BC288" s="22"/>
    </row>
    <row r="289" spans="1:55" x14ac:dyDescent="0.25">
      <c r="A289" s="10">
        <f t="shared" si="10"/>
        <v>288</v>
      </c>
      <c r="B289" s="25" t="s">
        <v>946</v>
      </c>
      <c r="C289" s="30" t="s">
        <v>34</v>
      </c>
      <c r="D289" s="71">
        <v>401226</v>
      </c>
      <c r="E289" s="72" t="s">
        <v>36</v>
      </c>
      <c r="F289" s="14" t="s">
        <v>947</v>
      </c>
      <c r="G289" s="25">
        <v>6</v>
      </c>
      <c r="H289" s="74">
        <v>0.41666666666666669</v>
      </c>
      <c r="I289" s="95" t="s">
        <v>948</v>
      </c>
      <c r="J289" s="74">
        <v>0.33333333333333331</v>
      </c>
      <c r="K289" s="21" t="s">
        <v>693</v>
      </c>
      <c r="L289" s="75" t="s">
        <v>949</v>
      </c>
      <c r="M289" s="75" t="s">
        <v>26</v>
      </c>
      <c r="N289" s="23" t="s">
        <v>38</v>
      </c>
      <c r="O289" s="23" t="s">
        <v>1321</v>
      </c>
      <c r="P289" s="246">
        <v>45778</v>
      </c>
      <c r="Q289" s="246">
        <v>45778</v>
      </c>
      <c r="R289" s="246">
        <v>46507</v>
      </c>
      <c r="S289" s="246">
        <v>46508</v>
      </c>
      <c r="T289" s="25">
        <v>2012</v>
      </c>
      <c r="U289" s="75" t="s">
        <v>950</v>
      </c>
      <c r="V289" s="25">
        <v>2019</v>
      </c>
      <c r="W289" s="75" t="s">
        <v>906</v>
      </c>
      <c r="X289" s="72" t="s">
        <v>30</v>
      </c>
      <c r="Y289" s="38" t="s">
        <v>97</v>
      </c>
      <c r="Z289" s="254" t="s">
        <v>3974</v>
      </c>
      <c r="AA289" s="23" t="s">
        <v>1841</v>
      </c>
      <c r="AB289" s="161">
        <v>45766</v>
      </c>
      <c r="AC289" s="161">
        <v>47591</v>
      </c>
      <c r="AD289" s="25">
        <v>9000678191</v>
      </c>
      <c r="AE289" s="330" t="s">
        <v>951</v>
      </c>
      <c r="AF289" s="30" t="s">
        <v>1410</v>
      </c>
      <c r="AG289" s="256" t="s">
        <v>3975</v>
      </c>
      <c r="AH289" s="72" t="s">
        <v>3976</v>
      </c>
      <c r="AI289" s="72" t="s">
        <v>3977</v>
      </c>
      <c r="AJ289" s="249" t="s">
        <v>3978</v>
      </c>
      <c r="AK289" s="75" t="s">
        <v>3979</v>
      </c>
      <c r="AL289" s="250"/>
      <c r="AM289" s="250"/>
      <c r="AN289" s="38"/>
      <c r="AO289" s="38" t="s">
        <v>3980</v>
      </c>
      <c r="AP289" s="25">
        <f t="shared" ca="1" si="12"/>
        <v>36</v>
      </c>
      <c r="AQ289" s="35" t="s">
        <v>1605</v>
      </c>
      <c r="AR289" s="73" t="s">
        <v>3981</v>
      </c>
      <c r="AS289" s="250">
        <v>45717</v>
      </c>
      <c r="AT289" s="250">
        <v>46081</v>
      </c>
      <c r="AU289" s="252">
        <v>32735</v>
      </c>
      <c r="AV289" s="72" t="s">
        <v>1352</v>
      </c>
      <c r="AW289" s="72" t="s">
        <v>68</v>
      </c>
      <c r="AX289" s="105">
        <v>8</v>
      </c>
      <c r="AY289" s="76" t="s">
        <v>2469</v>
      </c>
      <c r="AZ289" s="30" t="s">
        <v>26</v>
      </c>
      <c r="BA289" s="23" t="s">
        <v>151</v>
      </c>
      <c r="BB289" s="30" t="s">
        <v>34</v>
      </c>
      <c r="BC289" s="22"/>
    </row>
    <row r="290" spans="1:55" x14ac:dyDescent="0.25">
      <c r="A290" s="10">
        <f t="shared" si="10"/>
        <v>289</v>
      </c>
      <c r="B290" s="25" t="s">
        <v>602</v>
      </c>
      <c r="C290" s="30" t="s">
        <v>34</v>
      </c>
      <c r="D290" s="106">
        <v>401228</v>
      </c>
      <c r="E290" s="72" t="s">
        <v>268</v>
      </c>
      <c r="F290" s="14" t="s">
        <v>603</v>
      </c>
      <c r="G290" s="107">
        <v>6</v>
      </c>
      <c r="H290" s="74">
        <v>0.47916666666666669</v>
      </c>
      <c r="I290" s="74">
        <v>0.64583333333333337</v>
      </c>
      <c r="J290" s="74">
        <v>0.16666666666666666</v>
      </c>
      <c r="K290" s="21" t="s">
        <v>952</v>
      </c>
      <c r="L290" s="108" t="s">
        <v>604</v>
      </c>
      <c r="M290" s="108" t="s">
        <v>26</v>
      </c>
      <c r="N290" s="23" t="s">
        <v>38</v>
      </c>
      <c r="O290" s="23" t="s">
        <v>1321</v>
      </c>
      <c r="P290" s="246">
        <v>45779</v>
      </c>
      <c r="Q290" s="246">
        <v>45779</v>
      </c>
      <c r="R290" s="246">
        <v>46508</v>
      </c>
      <c r="S290" s="246">
        <v>46509</v>
      </c>
      <c r="T290" s="109">
        <v>2011</v>
      </c>
      <c r="U290" s="108" t="s">
        <v>605</v>
      </c>
      <c r="V290" s="107">
        <v>2016</v>
      </c>
      <c r="W290" s="108" t="s">
        <v>606</v>
      </c>
      <c r="X290" s="107" t="s">
        <v>30</v>
      </c>
      <c r="Y290" s="38" t="s">
        <v>49</v>
      </c>
      <c r="Z290" s="108">
        <v>67037</v>
      </c>
      <c r="AA290" s="349" t="s">
        <v>1323</v>
      </c>
      <c r="AB290" s="161">
        <v>43266</v>
      </c>
      <c r="AC290" s="161" t="s">
        <v>30</v>
      </c>
      <c r="AD290" s="107">
        <v>7980603112</v>
      </c>
      <c r="AE290" s="272" t="s">
        <v>607</v>
      </c>
      <c r="AF290" s="28" t="s">
        <v>1495</v>
      </c>
      <c r="AG290" s="249" t="s">
        <v>3074</v>
      </c>
      <c r="AH290" s="72" t="s">
        <v>3075</v>
      </c>
      <c r="AI290" s="72" t="s">
        <v>3076</v>
      </c>
      <c r="AJ290" s="249" t="s">
        <v>3077</v>
      </c>
      <c r="AK290" s="75" t="s">
        <v>3078</v>
      </c>
      <c r="AL290" s="250"/>
      <c r="AM290" s="250"/>
      <c r="AN290" s="38"/>
      <c r="AO290" s="38" t="s">
        <v>3079</v>
      </c>
      <c r="AP290" s="25">
        <f t="shared" ca="1" si="12"/>
        <v>39</v>
      </c>
      <c r="AQ290" s="38"/>
      <c r="AR290" s="73"/>
      <c r="AS290" s="250"/>
      <c r="AT290" s="250"/>
      <c r="AU290" s="350">
        <v>31665</v>
      </c>
      <c r="AV290" s="107" t="s">
        <v>1352</v>
      </c>
      <c r="AW290" s="107" t="s">
        <v>32</v>
      </c>
      <c r="AX290" s="107">
        <v>4</v>
      </c>
      <c r="AY290" s="76" t="s">
        <v>2703</v>
      </c>
      <c r="AZ290" s="30" t="s">
        <v>26</v>
      </c>
      <c r="BA290" s="23" t="s">
        <v>151</v>
      </c>
      <c r="BB290" s="30" t="s">
        <v>34</v>
      </c>
      <c r="BC290" s="22"/>
    </row>
    <row r="291" spans="1:55" x14ac:dyDescent="0.25">
      <c r="A291" s="10">
        <f t="shared" si="10"/>
        <v>290</v>
      </c>
      <c r="B291" s="25" t="s">
        <v>953</v>
      </c>
      <c r="C291" s="30" t="s">
        <v>34</v>
      </c>
      <c r="D291" s="106">
        <v>401230</v>
      </c>
      <c r="E291" s="72" t="s">
        <v>36</v>
      </c>
      <c r="F291" s="14" t="s">
        <v>954</v>
      </c>
      <c r="G291" s="25">
        <v>6</v>
      </c>
      <c r="H291" s="74">
        <v>0.41666666666666669</v>
      </c>
      <c r="I291" s="95" t="s">
        <v>948</v>
      </c>
      <c r="J291" s="74">
        <v>0.33333333333333331</v>
      </c>
      <c r="K291" s="21" t="s">
        <v>796</v>
      </c>
      <c r="L291" s="108" t="s">
        <v>955</v>
      </c>
      <c r="M291" s="108" t="s">
        <v>26</v>
      </c>
      <c r="N291" s="23" t="s">
        <v>38</v>
      </c>
      <c r="O291" s="23" t="s">
        <v>1321</v>
      </c>
      <c r="P291" s="246">
        <v>45782</v>
      </c>
      <c r="Q291" s="246">
        <v>45782</v>
      </c>
      <c r="R291" s="246">
        <v>46511</v>
      </c>
      <c r="S291" s="246">
        <v>46512</v>
      </c>
      <c r="T291" s="109">
        <v>2018</v>
      </c>
      <c r="U291" s="108" t="s">
        <v>956</v>
      </c>
      <c r="V291" s="107">
        <v>2025</v>
      </c>
      <c r="W291" s="89" t="s">
        <v>957</v>
      </c>
      <c r="X291" s="107" t="s">
        <v>30</v>
      </c>
      <c r="Y291" s="38" t="s">
        <v>39</v>
      </c>
      <c r="Z291" s="108" t="s">
        <v>3982</v>
      </c>
      <c r="AA291" s="23" t="s">
        <v>1841</v>
      </c>
      <c r="AB291" s="161">
        <v>45804</v>
      </c>
      <c r="AC291" s="161">
        <v>47629</v>
      </c>
      <c r="AD291" s="107">
        <v>6382461061</v>
      </c>
      <c r="AE291" s="302" t="s">
        <v>958</v>
      </c>
      <c r="AF291" s="30" t="s">
        <v>1430</v>
      </c>
      <c r="AG291" s="249" t="s">
        <v>3983</v>
      </c>
      <c r="AH291" s="72" t="s">
        <v>2834</v>
      </c>
      <c r="AI291" s="72" t="s">
        <v>3984</v>
      </c>
      <c r="AJ291" s="249" t="s">
        <v>3985</v>
      </c>
      <c r="AK291" s="75" t="s">
        <v>3986</v>
      </c>
      <c r="AL291" s="250"/>
      <c r="AM291" s="250"/>
      <c r="AN291" s="38"/>
      <c r="AO291" s="38" t="s">
        <v>3987</v>
      </c>
      <c r="AP291" s="25">
        <f t="shared" ca="1" si="12"/>
        <v>30</v>
      </c>
      <c r="AQ291" s="38" t="s">
        <v>3988</v>
      </c>
      <c r="AR291" s="285" t="s">
        <v>3989</v>
      </c>
      <c r="AS291" s="250">
        <v>45782</v>
      </c>
      <c r="AT291" s="250">
        <v>46146</v>
      </c>
      <c r="AU291" s="350">
        <v>34851</v>
      </c>
      <c r="AV291" s="107" t="s">
        <v>1352</v>
      </c>
      <c r="AW291" s="107" t="s">
        <v>68</v>
      </c>
      <c r="AX291" s="105">
        <v>8</v>
      </c>
      <c r="AY291" s="76" t="s">
        <v>1904</v>
      </c>
      <c r="AZ291" s="30" t="s">
        <v>26</v>
      </c>
      <c r="BA291" s="23" t="s">
        <v>151</v>
      </c>
      <c r="BB291" s="30" t="s">
        <v>34</v>
      </c>
      <c r="BC291" s="22"/>
    </row>
    <row r="292" spans="1:55" x14ac:dyDescent="0.25">
      <c r="A292" s="10">
        <f t="shared" si="10"/>
        <v>291</v>
      </c>
      <c r="B292" s="25" t="s">
        <v>959</v>
      </c>
      <c r="C292" s="30" t="s">
        <v>34</v>
      </c>
      <c r="D292" s="106">
        <v>401231</v>
      </c>
      <c r="E292" s="72" t="s">
        <v>36</v>
      </c>
      <c r="F292" s="14" t="s">
        <v>960</v>
      </c>
      <c r="G292" s="107">
        <v>6</v>
      </c>
      <c r="H292" s="74">
        <v>0.375</v>
      </c>
      <c r="I292" s="74">
        <v>0.625</v>
      </c>
      <c r="J292" s="74">
        <v>0.25</v>
      </c>
      <c r="K292" s="21" t="s">
        <v>961</v>
      </c>
      <c r="L292" s="108" t="s">
        <v>962</v>
      </c>
      <c r="M292" s="108" t="s">
        <v>26</v>
      </c>
      <c r="N292" s="23" t="s">
        <v>38</v>
      </c>
      <c r="O292" s="23" t="s">
        <v>1321</v>
      </c>
      <c r="P292" s="246">
        <v>45784</v>
      </c>
      <c r="Q292" s="246">
        <v>45784</v>
      </c>
      <c r="R292" s="246">
        <v>46513</v>
      </c>
      <c r="S292" s="246">
        <v>46514</v>
      </c>
      <c r="T292" s="109">
        <v>2019</v>
      </c>
      <c r="U292" s="108" t="s">
        <v>963</v>
      </c>
      <c r="V292" s="107">
        <v>2025</v>
      </c>
      <c r="W292" s="108" t="s">
        <v>964</v>
      </c>
      <c r="X292" s="107" t="s">
        <v>30</v>
      </c>
      <c r="Y292" s="38" t="s">
        <v>49</v>
      </c>
      <c r="Z292" s="108" t="s">
        <v>3990</v>
      </c>
      <c r="AA292" s="23" t="s">
        <v>1841</v>
      </c>
      <c r="AB292" s="161">
        <v>45756</v>
      </c>
      <c r="AC292" s="161">
        <v>47581</v>
      </c>
      <c r="AD292" s="107">
        <v>9247291031</v>
      </c>
      <c r="AE292" s="302" t="s">
        <v>965</v>
      </c>
      <c r="AF292" s="75" t="s">
        <v>1364</v>
      </c>
      <c r="AG292" s="256" t="s">
        <v>3991</v>
      </c>
      <c r="AH292" s="72" t="s">
        <v>3992</v>
      </c>
      <c r="AI292" s="72" t="s">
        <v>3993</v>
      </c>
      <c r="AJ292" s="249" t="s">
        <v>3994</v>
      </c>
      <c r="AK292" s="75" t="s">
        <v>3995</v>
      </c>
      <c r="AL292" s="250"/>
      <c r="AM292" s="250"/>
      <c r="AN292" s="38"/>
      <c r="AO292" s="38" t="s">
        <v>3996</v>
      </c>
      <c r="AP292" s="25">
        <f t="shared" ca="1" si="12"/>
        <v>28</v>
      </c>
      <c r="AQ292" s="35" t="s">
        <v>1605</v>
      </c>
      <c r="AR292" s="73" t="s">
        <v>3997</v>
      </c>
      <c r="AS292" s="250">
        <v>45780</v>
      </c>
      <c r="AT292" s="250">
        <v>46144</v>
      </c>
      <c r="AU292" s="350">
        <v>35558</v>
      </c>
      <c r="AV292" s="107" t="s">
        <v>1352</v>
      </c>
      <c r="AW292" s="107" t="s">
        <v>32</v>
      </c>
      <c r="AX292" s="107">
        <v>6</v>
      </c>
      <c r="AY292" s="76" t="s">
        <v>1849</v>
      </c>
      <c r="AZ292" s="30" t="s">
        <v>26</v>
      </c>
      <c r="BA292" s="23" t="s">
        <v>151</v>
      </c>
      <c r="BB292" s="30" t="s">
        <v>34</v>
      </c>
      <c r="BC292" s="22"/>
    </row>
    <row r="293" spans="1:55" x14ac:dyDescent="0.25">
      <c r="A293" s="10">
        <f t="shared" si="10"/>
        <v>292</v>
      </c>
      <c r="B293" s="25" t="s">
        <v>966</v>
      </c>
      <c r="C293" s="30" t="s">
        <v>34</v>
      </c>
      <c r="D293" s="71">
        <v>401234</v>
      </c>
      <c r="E293" s="72" t="s">
        <v>36</v>
      </c>
      <c r="F293" s="14" t="s">
        <v>967</v>
      </c>
      <c r="G293" s="107">
        <v>6</v>
      </c>
      <c r="H293" s="74">
        <v>0.75</v>
      </c>
      <c r="I293" s="74">
        <v>0.83333333333333337</v>
      </c>
      <c r="J293" s="74">
        <v>8.3333333333333329E-2</v>
      </c>
      <c r="K293" s="21" t="s">
        <v>968</v>
      </c>
      <c r="L293" s="108" t="s">
        <v>969</v>
      </c>
      <c r="M293" s="108" t="s">
        <v>26</v>
      </c>
      <c r="N293" s="23" t="s">
        <v>38</v>
      </c>
      <c r="O293" s="23" t="s">
        <v>1321</v>
      </c>
      <c r="P293" s="246">
        <v>45789</v>
      </c>
      <c r="Q293" s="246">
        <v>45789</v>
      </c>
      <c r="R293" s="246">
        <v>46518</v>
      </c>
      <c r="S293" s="246">
        <v>46519</v>
      </c>
      <c r="T293" s="109">
        <v>2014</v>
      </c>
      <c r="U293" s="108" t="s">
        <v>924</v>
      </c>
      <c r="V293" s="107">
        <v>2025</v>
      </c>
      <c r="W293" s="108" t="s">
        <v>970</v>
      </c>
      <c r="X293" s="107" t="s">
        <v>30</v>
      </c>
      <c r="Y293" s="38" t="s">
        <v>49</v>
      </c>
      <c r="Z293" s="108" t="s">
        <v>3998</v>
      </c>
      <c r="AA293" s="23" t="s">
        <v>1841</v>
      </c>
      <c r="AB293" s="161">
        <v>45783</v>
      </c>
      <c r="AC293" s="161">
        <v>47608</v>
      </c>
      <c r="AD293" s="93">
        <v>8074147554</v>
      </c>
      <c r="AE293" s="342" t="s">
        <v>971</v>
      </c>
      <c r="AF293" s="75" t="s">
        <v>1805</v>
      </c>
      <c r="AG293" s="256" t="s">
        <v>3999</v>
      </c>
      <c r="AH293" s="72" t="s">
        <v>4000</v>
      </c>
      <c r="AI293" s="72" t="s">
        <v>4001</v>
      </c>
      <c r="AJ293" s="249" t="s">
        <v>4002</v>
      </c>
      <c r="AK293" s="75" t="s">
        <v>4003</v>
      </c>
      <c r="AL293" s="250"/>
      <c r="AM293" s="250"/>
      <c r="AN293" s="38"/>
      <c r="AO293" s="38" t="s">
        <v>4004</v>
      </c>
      <c r="AP293" s="25">
        <f t="shared" ca="1" si="12"/>
        <v>35</v>
      </c>
      <c r="AQ293" s="38"/>
      <c r="AR293" s="73"/>
      <c r="AS293" s="250"/>
      <c r="AT293" s="250"/>
      <c r="AU293" s="350">
        <v>33070</v>
      </c>
      <c r="AV293" s="107" t="s">
        <v>1352</v>
      </c>
      <c r="AW293" s="107" t="s">
        <v>32</v>
      </c>
      <c r="AX293" s="107">
        <v>2</v>
      </c>
      <c r="AY293" s="91" t="s">
        <v>1904</v>
      </c>
      <c r="AZ293" s="30" t="s">
        <v>26</v>
      </c>
      <c r="BA293" s="23" t="s">
        <v>151</v>
      </c>
      <c r="BB293" s="30" t="s">
        <v>34</v>
      </c>
      <c r="BC293" s="22"/>
    </row>
    <row r="294" spans="1:55" x14ac:dyDescent="0.25">
      <c r="A294" s="10">
        <f t="shared" si="10"/>
        <v>293</v>
      </c>
      <c r="B294" s="31" t="s">
        <v>972</v>
      </c>
      <c r="C294" s="30" t="s">
        <v>34</v>
      </c>
      <c r="D294" s="65">
        <v>401236</v>
      </c>
      <c r="E294" s="72" t="s">
        <v>192</v>
      </c>
      <c r="F294" s="14" t="s">
        <v>973</v>
      </c>
      <c r="G294" s="79"/>
      <c r="H294" s="64"/>
      <c r="I294" s="66"/>
      <c r="J294" s="68"/>
      <c r="K294" s="21" t="s">
        <v>334</v>
      </c>
      <c r="L294" s="59" t="s">
        <v>974</v>
      </c>
      <c r="M294" s="59" t="s">
        <v>26</v>
      </c>
      <c r="N294" s="23" t="s">
        <v>38</v>
      </c>
      <c r="O294" s="23" t="s">
        <v>1321</v>
      </c>
      <c r="P294" s="258">
        <v>45842</v>
      </c>
      <c r="Q294" s="258">
        <v>45842</v>
      </c>
      <c r="R294" s="258">
        <v>46571</v>
      </c>
      <c r="S294" s="258">
        <v>46572</v>
      </c>
      <c r="T294" s="79">
        <v>2018</v>
      </c>
      <c r="U294" s="59" t="s">
        <v>250</v>
      </c>
      <c r="V294" s="64">
        <v>2023</v>
      </c>
      <c r="W294" s="59" t="s">
        <v>499</v>
      </c>
      <c r="X294" s="64" t="s">
        <v>30</v>
      </c>
      <c r="Y294" s="35" t="s">
        <v>49</v>
      </c>
      <c r="Z294" s="59" t="s">
        <v>4005</v>
      </c>
      <c r="AA294" s="23" t="s">
        <v>1841</v>
      </c>
      <c r="AB294" s="161">
        <v>45232</v>
      </c>
      <c r="AC294" s="161">
        <v>47058</v>
      </c>
      <c r="AD294" s="10">
        <v>9704553344</v>
      </c>
      <c r="AE294" s="224" t="s">
        <v>975</v>
      </c>
      <c r="AF294" s="30" t="s">
        <v>1430</v>
      </c>
      <c r="AG294" s="221" t="s">
        <v>4006</v>
      </c>
      <c r="AH294" s="31" t="s">
        <v>2638</v>
      </c>
      <c r="AI294" s="31" t="s">
        <v>4007</v>
      </c>
      <c r="AJ294" s="221" t="s">
        <v>4008</v>
      </c>
      <c r="AK294" s="30" t="s">
        <v>4009</v>
      </c>
      <c r="AL294" s="210"/>
      <c r="AM294" s="210"/>
      <c r="AN294" s="35"/>
      <c r="AO294" s="35" t="s">
        <v>4010</v>
      </c>
      <c r="AP294" s="10">
        <f t="shared" ca="1" si="12"/>
        <v>30</v>
      </c>
      <c r="AQ294" s="35" t="s">
        <v>1605</v>
      </c>
      <c r="AR294" s="222" t="s">
        <v>4011</v>
      </c>
      <c r="AS294" s="166">
        <v>45658</v>
      </c>
      <c r="AT294" s="166">
        <v>46022</v>
      </c>
      <c r="AU294" s="273">
        <v>34987</v>
      </c>
      <c r="AV294" s="64" t="s">
        <v>1352</v>
      </c>
      <c r="AW294" s="31" t="s">
        <v>32</v>
      </c>
      <c r="AX294" s="10" t="s">
        <v>30</v>
      </c>
      <c r="AY294" s="14" t="s">
        <v>30</v>
      </c>
      <c r="AZ294" s="30" t="s">
        <v>26</v>
      </c>
      <c r="BA294" s="23" t="s">
        <v>151</v>
      </c>
      <c r="BB294" s="30" t="s">
        <v>34</v>
      </c>
      <c r="BC294" s="22"/>
    </row>
    <row r="295" spans="1:55" x14ac:dyDescent="0.25">
      <c r="A295" s="10">
        <f t="shared" si="10"/>
        <v>294</v>
      </c>
      <c r="B295" s="25" t="s">
        <v>976</v>
      </c>
      <c r="C295" s="30" t="s">
        <v>34</v>
      </c>
      <c r="D295" s="81">
        <v>401237</v>
      </c>
      <c r="E295" s="31" t="s">
        <v>36</v>
      </c>
      <c r="F295" s="14" t="s">
        <v>977</v>
      </c>
      <c r="G295" s="64">
        <v>6</v>
      </c>
      <c r="H295" s="66">
        <v>0.54166666666666663</v>
      </c>
      <c r="I295" s="68" t="s">
        <v>978</v>
      </c>
      <c r="J295" s="66">
        <v>0.33333333333333331</v>
      </c>
      <c r="K295" s="21" t="s">
        <v>194</v>
      </c>
      <c r="L295" s="59" t="s">
        <v>979</v>
      </c>
      <c r="M295" s="59" t="s">
        <v>26</v>
      </c>
      <c r="N295" s="23" t="s">
        <v>38</v>
      </c>
      <c r="O295" s="23" t="s">
        <v>1321</v>
      </c>
      <c r="P295" s="258">
        <v>45792</v>
      </c>
      <c r="Q295" s="258">
        <v>45792</v>
      </c>
      <c r="R295" s="258">
        <v>46521</v>
      </c>
      <c r="S295" s="258">
        <v>46522</v>
      </c>
      <c r="T295" s="79">
        <v>2020</v>
      </c>
      <c r="U295" s="59" t="s">
        <v>250</v>
      </c>
      <c r="V295" s="64">
        <v>2025</v>
      </c>
      <c r="W295" s="59" t="s">
        <v>924</v>
      </c>
      <c r="X295" s="64" t="s">
        <v>30</v>
      </c>
      <c r="Y295" s="35" t="s">
        <v>49</v>
      </c>
      <c r="Z295" s="30" t="s">
        <v>4012</v>
      </c>
      <c r="AA295" s="23" t="s">
        <v>1841</v>
      </c>
      <c r="AB295" s="161">
        <v>45771</v>
      </c>
      <c r="AC295" s="161">
        <v>47596</v>
      </c>
      <c r="AD295" s="87">
        <v>7093172666</v>
      </c>
      <c r="AE295" s="264" t="s">
        <v>980</v>
      </c>
      <c r="AF295" s="28" t="s">
        <v>1430</v>
      </c>
      <c r="AG295" s="230" t="s">
        <v>4013</v>
      </c>
      <c r="AH295" s="35" t="s">
        <v>4014</v>
      </c>
      <c r="AI295" s="31" t="s">
        <v>4015</v>
      </c>
      <c r="AJ295" s="221" t="s">
        <v>4016</v>
      </c>
      <c r="AK295" s="35" t="s">
        <v>4017</v>
      </c>
      <c r="AL295" s="210"/>
      <c r="AM295" s="31"/>
      <c r="AN295" s="35"/>
      <c r="AO295" s="35" t="s">
        <v>4018</v>
      </c>
      <c r="AP295" s="10">
        <f t="shared" ca="1" si="12"/>
        <v>28</v>
      </c>
      <c r="AQ295" s="35" t="s">
        <v>1605</v>
      </c>
      <c r="AR295" s="89" t="s">
        <v>4019</v>
      </c>
      <c r="AS295" s="287">
        <v>45793</v>
      </c>
      <c r="AT295" s="287">
        <v>46157</v>
      </c>
      <c r="AU295" s="273">
        <v>35460</v>
      </c>
      <c r="AV295" s="31" t="s">
        <v>1389</v>
      </c>
      <c r="AW295" s="31" t="s">
        <v>68</v>
      </c>
      <c r="AX295" s="64">
        <v>8</v>
      </c>
      <c r="AY295" s="76" t="s">
        <v>1968</v>
      </c>
      <c r="AZ295" s="30" t="s">
        <v>26</v>
      </c>
      <c r="BA295" s="23" t="s">
        <v>151</v>
      </c>
      <c r="BB295" s="30" t="s">
        <v>34</v>
      </c>
      <c r="BC295" s="22"/>
    </row>
    <row r="296" spans="1:55" x14ac:dyDescent="0.25">
      <c r="A296" s="10">
        <f t="shared" si="10"/>
        <v>295</v>
      </c>
      <c r="B296" s="25" t="s">
        <v>4020</v>
      </c>
      <c r="C296" s="30" t="s">
        <v>34</v>
      </c>
      <c r="D296" s="80">
        <v>401242</v>
      </c>
      <c r="E296" s="31" t="s">
        <v>36</v>
      </c>
      <c r="F296" s="14" t="s">
        <v>4021</v>
      </c>
      <c r="G296" s="64">
        <v>6</v>
      </c>
      <c r="H296" s="66">
        <v>0.33333333333333331</v>
      </c>
      <c r="I296" s="68" t="s">
        <v>978</v>
      </c>
      <c r="J296" s="66">
        <v>0.33333333333333331</v>
      </c>
      <c r="K296" s="21" t="s">
        <v>147</v>
      </c>
      <c r="L296" s="59" t="s">
        <v>30</v>
      </c>
      <c r="M296" s="59" t="s">
        <v>1355</v>
      </c>
      <c r="N296" s="23" t="s">
        <v>1520</v>
      </c>
      <c r="O296" s="35" t="s">
        <v>1357</v>
      </c>
      <c r="P296" s="258">
        <v>45796</v>
      </c>
      <c r="Q296" s="258">
        <v>45796</v>
      </c>
      <c r="R296" s="258">
        <v>46525</v>
      </c>
      <c r="S296" s="258">
        <v>46526</v>
      </c>
      <c r="T296" s="79">
        <v>2011</v>
      </c>
      <c r="U296" s="59" t="s">
        <v>906</v>
      </c>
      <c r="V296" s="64">
        <v>2016</v>
      </c>
      <c r="W296" s="59" t="s">
        <v>4022</v>
      </c>
      <c r="X296" s="64" t="s">
        <v>30</v>
      </c>
      <c r="Y296" s="35" t="s">
        <v>4023</v>
      </c>
      <c r="Z296" s="59" t="s">
        <v>4024</v>
      </c>
      <c r="AA296" s="23" t="s">
        <v>1841</v>
      </c>
      <c r="AB296" s="161">
        <v>45171</v>
      </c>
      <c r="AC296" s="161">
        <v>46997</v>
      </c>
      <c r="AD296" s="220">
        <v>8374937482</v>
      </c>
      <c r="AE296" s="236" t="s">
        <v>4025</v>
      </c>
      <c r="AF296" s="30" t="s">
        <v>1430</v>
      </c>
      <c r="AG296" s="221" t="s">
        <v>4026</v>
      </c>
      <c r="AH296" s="31" t="s">
        <v>4027</v>
      </c>
      <c r="AI296" s="31" t="s">
        <v>4028</v>
      </c>
      <c r="AJ296" s="221" t="s">
        <v>4029</v>
      </c>
      <c r="AK296" s="30" t="s">
        <v>4030</v>
      </c>
      <c r="AL296" s="210"/>
      <c r="AM296" s="210"/>
      <c r="AN296" s="35"/>
      <c r="AO296" s="35" t="s">
        <v>4031</v>
      </c>
      <c r="AP296" s="10">
        <f t="shared" ca="1" si="12"/>
        <v>36</v>
      </c>
      <c r="AQ296" s="35"/>
      <c r="AR296" s="23"/>
      <c r="AS296" s="210"/>
      <c r="AT296" s="210"/>
      <c r="AU296" s="273">
        <v>32529</v>
      </c>
      <c r="AV296" s="64" t="s">
        <v>1389</v>
      </c>
      <c r="AW296" s="64" t="s">
        <v>68</v>
      </c>
      <c r="AX296" s="64">
        <v>8</v>
      </c>
      <c r="AY296" s="76" t="s">
        <v>1849</v>
      </c>
      <c r="AZ296" s="30" t="s">
        <v>1373</v>
      </c>
      <c r="BA296" s="23" t="s">
        <v>151</v>
      </c>
      <c r="BB296" s="30" t="s">
        <v>34</v>
      </c>
      <c r="BC296" s="22"/>
    </row>
    <row r="297" spans="1:55" x14ac:dyDescent="0.25">
      <c r="A297" s="10">
        <f t="shared" si="10"/>
        <v>296</v>
      </c>
      <c r="B297" s="10" t="s">
        <v>981</v>
      </c>
      <c r="C297" s="30" t="s">
        <v>34</v>
      </c>
      <c r="D297" s="65">
        <v>400368</v>
      </c>
      <c r="E297" s="31" t="s">
        <v>36</v>
      </c>
      <c r="F297" s="14" t="s">
        <v>982</v>
      </c>
      <c r="G297" s="10">
        <v>6</v>
      </c>
      <c r="H297" s="66">
        <v>0.375</v>
      </c>
      <c r="I297" s="66">
        <v>0.70833333333333337</v>
      </c>
      <c r="J297" s="66">
        <v>0.33333333333333331</v>
      </c>
      <c r="K297" s="21" t="s">
        <v>983</v>
      </c>
      <c r="L297" s="30" t="s">
        <v>984</v>
      </c>
      <c r="M297" s="30" t="s">
        <v>26</v>
      </c>
      <c r="N297" s="23" t="s">
        <v>38</v>
      </c>
      <c r="O297" s="23" t="s">
        <v>1321</v>
      </c>
      <c r="P297" s="161">
        <v>44442</v>
      </c>
      <c r="Q297" s="161">
        <v>45903</v>
      </c>
      <c r="R297" s="161">
        <v>46632</v>
      </c>
      <c r="S297" s="161">
        <v>46633</v>
      </c>
      <c r="T297" s="10">
        <v>2014</v>
      </c>
      <c r="U297" s="30" t="s">
        <v>343</v>
      </c>
      <c r="V297" s="10">
        <v>2020</v>
      </c>
      <c r="W297" s="14" t="s">
        <v>214</v>
      </c>
      <c r="X297" s="31" t="s">
        <v>30</v>
      </c>
      <c r="Y297" s="35" t="s">
        <v>49</v>
      </c>
      <c r="Z297" s="14" t="s">
        <v>4032</v>
      </c>
      <c r="AA297" s="23" t="s">
        <v>1841</v>
      </c>
      <c r="AB297" s="161">
        <v>44443</v>
      </c>
      <c r="AC297" s="161">
        <v>46268</v>
      </c>
      <c r="AD297" s="220" t="s">
        <v>985</v>
      </c>
      <c r="AE297" s="224" t="s">
        <v>986</v>
      </c>
      <c r="AF297" s="28" t="s">
        <v>1495</v>
      </c>
      <c r="AG297" s="221" t="s">
        <v>4033</v>
      </c>
      <c r="AH297" s="31" t="s">
        <v>3550</v>
      </c>
      <c r="AI297" s="31" t="s">
        <v>4034</v>
      </c>
      <c r="AJ297" s="221" t="s">
        <v>4035</v>
      </c>
      <c r="AK297" s="30" t="s">
        <v>4036</v>
      </c>
      <c r="AL297" s="210"/>
      <c r="AM297" s="210"/>
      <c r="AN297" s="35"/>
      <c r="AO297" s="35" t="s">
        <v>4037</v>
      </c>
      <c r="AP297" s="10">
        <f t="shared" ca="1" si="12"/>
        <v>36</v>
      </c>
      <c r="AQ297" s="30" t="s">
        <v>1605</v>
      </c>
      <c r="AR297" s="14" t="s">
        <v>4038</v>
      </c>
      <c r="AS297" s="210">
        <v>45596</v>
      </c>
      <c r="AT297" s="210">
        <v>45960</v>
      </c>
      <c r="AU297" s="223">
        <v>32724</v>
      </c>
      <c r="AV297" s="31" t="s">
        <v>1352</v>
      </c>
      <c r="AW297" s="31" t="s">
        <v>68</v>
      </c>
      <c r="AX297" s="10">
        <v>8</v>
      </c>
      <c r="AY297" s="14" t="s">
        <v>2006</v>
      </c>
      <c r="AZ297" s="30" t="s">
        <v>26</v>
      </c>
      <c r="BA297" s="23" t="s">
        <v>151</v>
      </c>
      <c r="BB297" s="30" t="s">
        <v>34</v>
      </c>
      <c r="BC297" s="22"/>
    </row>
    <row r="298" spans="1:55" x14ac:dyDescent="0.25">
      <c r="A298" s="10">
        <f t="shared" si="10"/>
        <v>297</v>
      </c>
      <c r="B298" s="25" t="s">
        <v>987</v>
      </c>
      <c r="C298" s="30" t="s">
        <v>34</v>
      </c>
      <c r="D298" s="71">
        <v>401245</v>
      </c>
      <c r="E298" s="31" t="s">
        <v>268</v>
      </c>
      <c r="F298" s="14" t="s">
        <v>988</v>
      </c>
      <c r="G298" s="107">
        <v>6</v>
      </c>
      <c r="H298" s="66">
        <v>0.375</v>
      </c>
      <c r="I298" s="68" t="s">
        <v>989</v>
      </c>
      <c r="J298" s="66">
        <v>0.33333333333333331</v>
      </c>
      <c r="K298" s="21" t="s">
        <v>990</v>
      </c>
      <c r="L298" s="108" t="s">
        <v>991</v>
      </c>
      <c r="M298" s="30" t="s">
        <v>26</v>
      </c>
      <c r="N298" s="23" t="s">
        <v>38</v>
      </c>
      <c r="O298" s="23" t="s">
        <v>1321</v>
      </c>
      <c r="P298" s="258">
        <v>45798</v>
      </c>
      <c r="Q298" s="258">
        <v>45870</v>
      </c>
      <c r="R298" s="258">
        <v>46527</v>
      </c>
      <c r="S298" s="258">
        <v>46528</v>
      </c>
      <c r="T298" s="109">
        <v>1987</v>
      </c>
      <c r="U298" s="108" t="s">
        <v>992</v>
      </c>
      <c r="V298" s="107">
        <v>1991</v>
      </c>
      <c r="W298" s="108" t="s">
        <v>993</v>
      </c>
      <c r="X298" s="107" t="s">
        <v>30</v>
      </c>
      <c r="Y298" s="35" t="s">
        <v>49</v>
      </c>
      <c r="Z298" s="108">
        <v>26763</v>
      </c>
      <c r="AA298" s="35" t="s">
        <v>1560</v>
      </c>
      <c r="AB298" s="237"/>
      <c r="AC298" s="237"/>
      <c r="AD298" s="25">
        <v>9845891609</v>
      </c>
      <c r="AE298" s="255" t="s">
        <v>994</v>
      </c>
      <c r="AF298" s="30" t="s">
        <v>1410</v>
      </c>
      <c r="AG298" s="249" t="s">
        <v>4039</v>
      </c>
      <c r="AH298" s="72" t="s">
        <v>4040</v>
      </c>
      <c r="AI298" s="72" t="s">
        <v>4041</v>
      </c>
      <c r="AJ298" s="249" t="s">
        <v>4042</v>
      </c>
      <c r="AK298" s="75" t="s">
        <v>4043</v>
      </c>
      <c r="AL298" s="250"/>
      <c r="AM298" s="250"/>
      <c r="AN298" s="38"/>
      <c r="AO298" s="38" t="s">
        <v>4044</v>
      </c>
      <c r="AP298" s="10">
        <f t="shared" ca="1" si="12"/>
        <v>62</v>
      </c>
      <c r="AQ298" s="38"/>
      <c r="AR298" s="73"/>
      <c r="AS298" s="250"/>
      <c r="AT298" s="250"/>
      <c r="AU298" s="350">
        <v>23187</v>
      </c>
      <c r="AV298" s="107" t="s">
        <v>1352</v>
      </c>
      <c r="AW298" s="107" t="s">
        <v>68</v>
      </c>
      <c r="AX298" s="107">
        <v>8</v>
      </c>
      <c r="AY298" s="76" t="s">
        <v>3225</v>
      </c>
      <c r="AZ298" s="30" t="s">
        <v>26</v>
      </c>
      <c r="BA298" s="23" t="s">
        <v>151</v>
      </c>
      <c r="BB298" s="30" t="s">
        <v>34</v>
      </c>
      <c r="BC298" s="22"/>
    </row>
    <row r="299" spans="1:55" x14ac:dyDescent="0.25">
      <c r="A299" s="10">
        <f t="shared" si="10"/>
        <v>298</v>
      </c>
      <c r="B299" s="55" t="s">
        <v>995</v>
      </c>
      <c r="C299" s="56" t="s">
        <v>34</v>
      </c>
      <c r="D299" s="78">
        <v>401247</v>
      </c>
      <c r="E299" s="54" t="s">
        <v>36</v>
      </c>
      <c r="F299" s="48" t="s">
        <v>996</v>
      </c>
      <c r="G299" s="111">
        <v>6</v>
      </c>
      <c r="H299" s="90" t="s">
        <v>989</v>
      </c>
      <c r="I299" s="77">
        <v>0.8125</v>
      </c>
      <c r="J299" s="77">
        <v>0.10416666666666667</v>
      </c>
      <c r="K299" s="51" t="s">
        <v>819</v>
      </c>
      <c r="L299" s="52" t="s">
        <v>997</v>
      </c>
      <c r="M299" s="56" t="s">
        <v>26</v>
      </c>
      <c r="N299" s="52" t="s">
        <v>38</v>
      </c>
      <c r="O299" s="52" t="s">
        <v>1321</v>
      </c>
      <c r="P299" s="303">
        <v>45803</v>
      </c>
      <c r="Q299" s="303">
        <v>45803</v>
      </c>
      <c r="R299" s="303">
        <v>46532</v>
      </c>
      <c r="S299" s="303">
        <v>46533</v>
      </c>
      <c r="T299" s="112">
        <v>2018</v>
      </c>
      <c r="U299" s="113" t="s">
        <v>998</v>
      </c>
      <c r="V299" s="111">
        <v>2023</v>
      </c>
      <c r="W299" s="110" t="s">
        <v>999</v>
      </c>
      <c r="X299" s="111" t="s">
        <v>30</v>
      </c>
      <c r="Y299" s="51" t="s">
        <v>49</v>
      </c>
      <c r="Z299" s="113" t="s">
        <v>4046</v>
      </c>
      <c r="AA299" s="52" t="s">
        <v>1841</v>
      </c>
      <c r="AB299" s="238">
        <v>45504</v>
      </c>
      <c r="AC299" s="238">
        <v>47329</v>
      </c>
      <c r="AD299" s="239">
        <v>9441879697</v>
      </c>
      <c r="AE299" s="259" t="s">
        <v>1000</v>
      </c>
      <c r="AF299" s="49" t="s">
        <v>1495</v>
      </c>
      <c r="AG299" s="198" t="s">
        <v>4047</v>
      </c>
      <c r="AH299" s="54" t="s">
        <v>4048</v>
      </c>
      <c r="AI299" s="54" t="s">
        <v>4049</v>
      </c>
      <c r="AJ299" s="198" t="s">
        <v>4050</v>
      </c>
      <c r="AK299" s="51" t="s">
        <v>4051</v>
      </c>
      <c r="AL299" s="199">
        <v>45976</v>
      </c>
      <c r="AM299" s="199">
        <v>45916</v>
      </c>
      <c r="AN299" s="51" t="s">
        <v>4052</v>
      </c>
      <c r="AO299" s="51" t="s">
        <v>4053</v>
      </c>
      <c r="AP299" s="55">
        <f t="shared" ca="1" si="12"/>
        <v>30</v>
      </c>
      <c r="AQ299" s="51"/>
      <c r="AR299" s="52"/>
      <c r="AS299" s="199"/>
      <c r="AT299" s="199"/>
      <c r="AU299" s="351">
        <v>34902</v>
      </c>
      <c r="AV299" s="111" t="s">
        <v>1389</v>
      </c>
      <c r="AW299" s="111" t="s">
        <v>32</v>
      </c>
      <c r="AX299" s="111">
        <v>2.5</v>
      </c>
      <c r="AY299" s="48" t="s">
        <v>2189</v>
      </c>
      <c r="AZ299" s="56" t="s">
        <v>26</v>
      </c>
      <c r="BA299" s="52" t="s">
        <v>151</v>
      </c>
      <c r="BB299" s="56" t="s">
        <v>34</v>
      </c>
      <c r="BC299" s="53"/>
    </row>
    <row r="300" spans="1:55" x14ac:dyDescent="0.25">
      <c r="A300" s="10">
        <f t="shared" si="10"/>
        <v>299</v>
      </c>
      <c r="B300" s="25" t="s">
        <v>1001</v>
      </c>
      <c r="C300" s="30" t="s">
        <v>34</v>
      </c>
      <c r="D300" s="65">
        <v>401249</v>
      </c>
      <c r="E300" s="31" t="s">
        <v>36</v>
      </c>
      <c r="F300" s="14" t="s">
        <v>1002</v>
      </c>
      <c r="G300" s="64">
        <v>6</v>
      </c>
      <c r="H300" s="66">
        <v>0.47916666666666669</v>
      </c>
      <c r="I300" s="68" t="s">
        <v>1003</v>
      </c>
      <c r="J300" s="66">
        <v>0.29166666666666669</v>
      </c>
      <c r="K300" s="21" t="s">
        <v>1004</v>
      </c>
      <c r="L300" s="59" t="s">
        <v>1005</v>
      </c>
      <c r="M300" s="30" t="s">
        <v>26</v>
      </c>
      <c r="N300" s="23" t="s">
        <v>38</v>
      </c>
      <c r="O300" s="23" t="s">
        <v>1321</v>
      </c>
      <c r="P300" s="258">
        <v>45813</v>
      </c>
      <c r="Q300" s="258">
        <v>45813</v>
      </c>
      <c r="R300" s="258">
        <v>46542</v>
      </c>
      <c r="S300" s="258">
        <v>46543</v>
      </c>
      <c r="T300" s="79">
        <v>2010</v>
      </c>
      <c r="U300" s="59" t="s">
        <v>163</v>
      </c>
      <c r="V300" s="64">
        <v>2020</v>
      </c>
      <c r="W300" s="59" t="s">
        <v>250</v>
      </c>
      <c r="X300" s="64" t="s">
        <v>30</v>
      </c>
      <c r="Y300" s="35" t="s">
        <v>49</v>
      </c>
      <c r="Z300" s="14">
        <v>71583</v>
      </c>
      <c r="AA300" s="23" t="s">
        <v>1841</v>
      </c>
      <c r="AB300" s="161">
        <v>44237</v>
      </c>
      <c r="AC300" s="161">
        <v>46062</v>
      </c>
      <c r="AD300" s="220">
        <v>9912985501</v>
      </c>
      <c r="AE300" s="236" t="s">
        <v>1006</v>
      </c>
      <c r="AF300" s="28" t="s">
        <v>1495</v>
      </c>
      <c r="AG300" s="221" t="s">
        <v>4054</v>
      </c>
      <c r="AH300" s="31" t="s">
        <v>4055</v>
      </c>
      <c r="AI300" s="31" t="s">
        <v>4056</v>
      </c>
      <c r="AJ300" s="221" t="s">
        <v>4057</v>
      </c>
      <c r="AK300" s="30" t="s">
        <v>4058</v>
      </c>
      <c r="AL300" s="210"/>
      <c r="AM300" s="210"/>
      <c r="AN300" s="35"/>
      <c r="AO300" s="35" t="s">
        <v>4059</v>
      </c>
      <c r="AP300" s="10">
        <f t="shared" ca="1" si="12"/>
        <v>38</v>
      </c>
      <c r="AQ300" s="35" t="s">
        <v>1605</v>
      </c>
      <c r="AR300" s="23" t="s">
        <v>4060</v>
      </c>
      <c r="AS300" s="210">
        <v>45813</v>
      </c>
      <c r="AT300" s="210">
        <v>46177</v>
      </c>
      <c r="AU300" s="273">
        <v>31815</v>
      </c>
      <c r="AV300" s="64" t="s">
        <v>1389</v>
      </c>
      <c r="AW300" s="64" t="s">
        <v>32</v>
      </c>
      <c r="AX300" s="64">
        <v>7</v>
      </c>
      <c r="AY300" s="76" t="s">
        <v>1849</v>
      </c>
      <c r="AZ300" s="30" t="s">
        <v>26</v>
      </c>
      <c r="BA300" s="23" t="s">
        <v>151</v>
      </c>
      <c r="BB300" s="30" t="s">
        <v>34</v>
      </c>
      <c r="BC300" s="22"/>
    </row>
    <row r="301" spans="1:55" x14ac:dyDescent="0.25">
      <c r="A301" s="10">
        <f t="shared" si="10"/>
        <v>300</v>
      </c>
      <c r="B301" s="25" t="s">
        <v>4061</v>
      </c>
      <c r="C301" s="30" t="s">
        <v>34</v>
      </c>
      <c r="D301" s="80">
        <v>401250</v>
      </c>
      <c r="E301" s="31" t="s">
        <v>36</v>
      </c>
      <c r="F301" s="14" t="s">
        <v>4062</v>
      </c>
      <c r="G301" s="64">
        <v>6</v>
      </c>
      <c r="H301" s="66">
        <v>0.33333333333333331</v>
      </c>
      <c r="I301" s="68" t="s">
        <v>4063</v>
      </c>
      <c r="J301" s="66">
        <v>0.33333333333333331</v>
      </c>
      <c r="K301" s="21" t="s">
        <v>147</v>
      </c>
      <c r="L301" s="59" t="s">
        <v>30</v>
      </c>
      <c r="M301" s="30" t="s">
        <v>2097</v>
      </c>
      <c r="N301" s="23" t="s">
        <v>2098</v>
      </c>
      <c r="O301" s="35" t="s">
        <v>1357</v>
      </c>
      <c r="P301" s="258">
        <v>45813</v>
      </c>
      <c r="Q301" s="258">
        <v>45813</v>
      </c>
      <c r="R301" s="258">
        <v>46542</v>
      </c>
      <c r="S301" s="258">
        <v>46543</v>
      </c>
      <c r="T301" s="79">
        <v>2002</v>
      </c>
      <c r="U301" s="59" t="s">
        <v>141</v>
      </c>
      <c r="V301" s="64">
        <v>2011</v>
      </c>
      <c r="W301" s="59" t="s">
        <v>2674</v>
      </c>
      <c r="X301" s="64" t="s">
        <v>30</v>
      </c>
      <c r="Y301" s="35" t="s">
        <v>2099</v>
      </c>
      <c r="Z301" s="86">
        <v>50478</v>
      </c>
      <c r="AA301" s="23" t="s">
        <v>1841</v>
      </c>
      <c r="AB301" s="161">
        <v>44595</v>
      </c>
      <c r="AC301" s="161">
        <v>46420</v>
      </c>
      <c r="AD301" s="220">
        <v>8106422955</v>
      </c>
      <c r="AE301" s="236" t="s">
        <v>4064</v>
      </c>
      <c r="AF301" s="30" t="s">
        <v>1364</v>
      </c>
      <c r="AG301" s="230" t="s">
        <v>4065</v>
      </c>
      <c r="AH301" s="31" t="s">
        <v>2035</v>
      </c>
      <c r="AI301" s="31" t="s">
        <v>4066</v>
      </c>
      <c r="AJ301" s="221" t="s">
        <v>4067</v>
      </c>
      <c r="AK301" s="30" t="s">
        <v>4068</v>
      </c>
      <c r="AL301" s="210"/>
      <c r="AM301" s="210"/>
      <c r="AN301" s="35"/>
      <c r="AO301" s="35" t="s">
        <v>4069</v>
      </c>
      <c r="AP301" s="10">
        <f t="shared" ca="1" si="12"/>
        <v>48</v>
      </c>
      <c r="AQ301" s="35"/>
      <c r="AR301" s="23"/>
      <c r="AS301" s="210"/>
      <c r="AT301" s="210"/>
      <c r="AU301" s="273">
        <v>28352</v>
      </c>
      <c r="AV301" s="64" t="s">
        <v>1389</v>
      </c>
      <c r="AW301" s="64" t="s">
        <v>68</v>
      </c>
      <c r="AX301" s="64">
        <v>8</v>
      </c>
      <c r="AY301" s="76" t="s">
        <v>1849</v>
      </c>
      <c r="AZ301" s="30" t="s">
        <v>1373</v>
      </c>
      <c r="BA301" s="23" t="s">
        <v>151</v>
      </c>
      <c r="BB301" s="30" t="s">
        <v>34</v>
      </c>
      <c r="BC301" s="22"/>
    </row>
    <row r="302" spans="1:55" x14ac:dyDescent="0.25">
      <c r="A302" s="10">
        <f t="shared" si="10"/>
        <v>301</v>
      </c>
      <c r="B302" s="25" t="s">
        <v>1007</v>
      </c>
      <c r="C302" s="30" t="s">
        <v>34</v>
      </c>
      <c r="D302" s="80">
        <v>401251</v>
      </c>
      <c r="E302" s="31" t="s">
        <v>36</v>
      </c>
      <c r="F302" s="14" t="s">
        <v>1008</v>
      </c>
      <c r="G302" s="64">
        <v>6</v>
      </c>
      <c r="H302" s="66">
        <v>0.375</v>
      </c>
      <c r="I302" s="68" t="s">
        <v>1009</v>
      </c>
      <c r="J302" s="66">
        <v>0.20833333333333334</v>
      </c>
      <c r="K302" s="21" t="s">
        <v>1010</v>
      </c>
      <c r="L302" s="59" t="s">
        <v>1011</v>
      </c>
      <c r="M302" s="30" t="s">
        <v>26</v>
      </c>
      <c r="N302" s="23" t="s">
        <v>38</v>
      </c>
      <c r="O302" s="23" t="s">
        <v>1321</v>
      </c>
      <c r="P302" s="258">
        <v>45813</v>
      </c>
      <c r="Q302" s="258">
        <v>45813</v>
      </c>
      <c r="R302" s="258">
        <v>46511</v>
      </c>
      <c r="S302" s="258">
        <v>46543</v>
      </c>
      <c r="T302" s="79">
        <v>2019</v>
      </c>
      <c r="U302" s="59" t="s">
        <v>1012</v>
      </c>
      <c r="V302" s="64">
        <v>2025</v>
      </c>
      <c r="W302" s="59" t="s">
        <v>1013</v>
      </c>
      <c r="X302" s="64" t="s">
        <v>30</v>
      </c>
      <c r="Y302" s="35" t="s">
        <v>49</v>
      </c>
      <c r="Z302" s="59" t="s">
        <v>4070</v>
      </c>
      <c r="AA302" s="23" t="s">
        <v>1841</v>
      </c>
      <c r="AB302" s="161">
        <v>45894</v>
      </c>
      <c r="AC302" s="161">
        <v>47719</v>
      </c>
      <c r="AD302" s="220">
        <v>9390249997</v>
      </c>
      <c r="AE302" s="236" t="s">
        <v>1014</v>
      </c>
      <c r="AF302" s="30" t="s">
        <v>2840</v>
      </c>
      <c r="AG302" s="221" t="s">
        <v>4071</v>
      </c>
      <c r="AH302" s="31" t="s">
        <v>4072</v>
      </c>
      <c r="AI302" s="31" t="s">
        <v>4073</v>
      </c>
      <c r="AJ302" s="221" t="s">
        <v>4074</v>
      </c>
      <c r="AK302" s="30" t="s">
        <v>4075</v>
      </c>
      <c r="AL302" s="210"/>
      <c r="AM302" s="210"/>
      <c r="AN302" s="35"/>
      <c r="AO302" s="35" t="s">
        <v>4076</v>
      </c>
      <c r="AP302" s="10">
        <f t="shared" ca="1" si="12"/>
        <v>29</v>
      </c>
      <c r="AQ302" s="35" t="s">
        <v>1605</v>
      </c>
      <c r="AR302" s="23" t="s">
        <v>4077</v>
      </c>
      <c r="AS302" s="210">
        <v>45811</v>
      </c>
      <c r="AT302" s="210">
        <v>46906</v>
      </c>
      <c r="AU302" s="273">
        <v>35147</v>
      </c>
      <c r="AV302" s="64" t="s">
        <v>1352</v>
      </c>
      <c r="AW302" s="64" t="s">
        <v>32</v>
      </c>
      <c r="AX302" s="64">
        <v>5</v>
      </c>
      <c r="AY302" s="76" t="s">
        <v>1959</v>
      </c>
      <c r="AZ302" s="30" t="s">
        <v>26</v>
      </c>
      <c r="BA302" s="23" t="s">
        <v>151</v>
      </c>
      <c r="BB302" s="30" t="s">
        <v>34</v>
      </c>
      <c r="BC302" s="22"/>
    </row>
    <row r="303" spans="1:55" x14ac:dyDescent="0.25">
      <c r="A303" s="10">
        <f t="shared" si="10"/>
        <v>302</v>
      </c>
      <c r="B303" s="25" t="s">
        <v>4078</v>
      </c>
      <c r="C303" s="30" t="s">
        <v>34</v>
      </c>
      <c r="D303" s="80">
        <v>401252</v>
      </c>
      <c r="E303" s="31" t="s">
        <v>36</v>
      </c>
      <c r="F303" s="14" t="s">
        <v>4079</v>
      </c>
      <c r="G303" s="64">
        <v>6</v>
      </c>
      <c r="H303" s="66">
        <v>0.33333333333333331</v>
      </c>
      <c r="I303" s="68" t="s">
        <v>978</v>
      </c>
      <c r="J303" s="66">
        <v>0.33333333333333331</v>
      </c>
      <c r="K303" s="21" t="s">
        <v>513</v>
      </c>
      <c r="L303" s="59" t="s">
        <v>30</v>
      </c>
      <c r="M303" s="59" t="s">
        <v>1355</v>
      </c>
      <c r="N303" s="23" t="s">
        <v>1520</v>
      </c>
      <c r="O303" s="14" t="s">
        <v>2928</v>
      </c>
      <c r="P303" s="258">
        <v>45813</v>
      </c>
      <c r="Q303" s="258">
        <v>45813</v>
      </c>
      <c r="R303" s="258">
        <v>46511</v>
      </c>
      <c r="S303" s="258">
        <v>46543</v>
      </c>
      <c r="T303" s="79">
        <v>2011</v>
      </c>
      <c r="U303" s="59" t="s">
        <v>4080</v>
      </c>
      <c r="V303" s="64">
        <v>2025</v>
      </c>
      <c r="W303" s="59" t="s">
        <v>4081</v>
      </c>
      <c r="X303" s="64" t="s">
        <v>30</v>
      </c>
      <c r="Y303" s="35" t="s">
        <v>1360</v>
      </c>
      <c r="Z303" s="86" t="s">
        <v>4082</v>
      </c>
      <c r="AA303" s="23" t="s">
        <v>1841</v>
      </c>
      <c r="AB303" s="161">
        <v>45825</v>
      </c>
      <c r="AC303" s="161">
        <v>47650</v>
      </c>
      <c r="AD303" s="220">
        <v>9679549805</v>
      </c>
      <c r="AE303" s="236" t="s">
        <v>4083</v>
      </c>
      <c r="AF303" s="30" t="s">
        <v>1430</v>
      </c>
      <c r="AG303" s="221" t="s">
        <v>4084</v>
      </c>
      <c r="AH303" s="31" t="s">
        <v>4085</v>
      </c>
      <c r="AI303" s="31" t="s">
        <v>4086</v>
      </c>
      <c r="AJ303" s="221" t="s">
        <v>4087</v>
      </c>
      <c r="AK303" s="30" t="s">
        <v>4088</v>
      </c>
      <c r="AL303" s="210"/>
      <c r="AM303" s="210"/>
      <c r="AN303" s="35"/>
      <c r="AO303" s="35" t="s">
        <v>4089</v>
      </c>
      <c r="AP303" s="10">
        <f t="shared" ca="1" si="12"/>
        <v>37</v>
      </c>
      <c r="AQ303" s="35" t="s">
        <v>3988</v>
      </c>
      <c r="AR303" s="222" t="s">
        <v>4090</v>
      </c>
      <c r="AS303" s="210">
        <v>45810</v>
      </c>
      <c r="AT303" s="210">
        <v>46174</v>
      </c>
      <c r="AU303" s="273">
        <v>32305</v>
      </c>
      <c r="AV303" s="64" t="s">
        <v>1389</v>
      </c>
      <c r="AW303" s="64" t="s">
        <v>68</v>
      </c>
      <c r="AX303" s="64">
        <v>8</v>
      </c>
      <c r="AY303" s="76" t="s">
        <v>1959</v>
      </c>
      <c r="AZ303" s="30" t="s">
        <v>1373</v>
      </c>
      <c r="BA303" s="23" t="s">
        <v>151</v>
      </c>
      <c r="BB303" s="30" t="s">
        <v>34</v>
      </c>
      <c r="BC303" s="22"/>
    </row>
    <row r="304" spans="1:55" x14ac:dyDescent="0.25">
      <c r="A304" s="10">
        <f t="shared" si="10"/>
        <v>303</v>
      </c>
      <c r="B304" s="25" t="s">
        <v>4091</v>
      </c>
      <c r="C304" s="30" t="s">
        <v>34</v>
      </c>
      <c r="D304" s="80">
        <v>401254</v>
      </c>
      <c r="E304" s="31" t="s">
        <v>36</v>
      </c>
      <c r="F304" s="14" t="s">
        <v>4092</v>
      </c>
      <c r="G304" s="64">
        <v>6</v>
      </c>
      <c r="H304" s="66">
        <v>0.33333333333333331</v>
      </c>
      <c r="I304" s="68" t="s">
        <v>978</v>
      </c>
      <c r="J304" s="66">
        <v>0.33333333333333331</v>
      </c>
      <c r="K304" s="21" t="s">
        <v>287</v>
      </c>
      <c r="L304" s="59" t="s">
        <v>30</v>
      </c>
      <c r="M304" s="30" t="s">
        <v>2097</v>
      </c>
      <c r="N304" s="23" t="s">
        <v>2098</v>
      </c>
      <c r="O304" s="35" t="s">
        <v>1357</v>
      </c>
      <c r="P304" s="258">
        <v>45814</v>
      </c>
      <c r="Q304" s="258">
        <v>45814</v>
      </c>
      <c r="R304" s="258">
        <v>46543</v>
      </c>
      <c r="S304" s="258">
        <v>46544</v>
      </c>
      <c r="T304" s="79">
        <v>2012</v>
      </c>
      <c r="U304" s="59" t="s">
        <v>4093</v>
      </c>
      <c r="V304" s="64">
        <v>2018</v>
      </c>
      <c r="W304" s="59" t="s">
        <v>4094</v>
      </c>
      <c r="X304" s="64" t="s">
        <v>30</v>
      </c>
      <c r="Y304" s="35" t="s">
        <v>2099</v>
      </c>
      <c r="Z304" s="86" t="s">
        <v>4095</v>
      </c>
      <c r="AA304" s="23" t="s">
        <v>1841</v>
      </c>
      <c r="AB304" s="161">
        <v>44376</v>
      </c>
      <c r="AC304" s="161">
        <v>46201</v>
      </c>
      <c r="AD304" s="220">
        <v>9703690661</v>
      </c>
      <c r="AE304" s="236" t="s">
        <v>4096</v>
      </c>
      <c r="AF304" s="30" t="s">
        <v>1430</v>
      </c>
      <c r="AG304" s="221" t="s">
        <v>4097</v>
      </c>
      <c r="AH304" s="31" t="s">
        <v>4098</v>
      </c>
      <c r="AI304" s="31" t="s">
        <v>4099</v>
      </c>
      <c r="AJ304" s="221" t="s">
        <v>4100</v>
      </c>
      <c r="AK304" s="30" t="s">
        <v>4101</v>
      </c>
      <c r="AL304" s="210"/>
      <c r="AM304" s="210"/>
      <c r="AN304" s="35"/>
      <c r="AO304" s="35" t="s">
        <v>4102</v>
      </c>
      <c r="AP304" s="10">
        <f t="shared" ca="1" si="12"/>
        <v>35</v>
      </c>
      <c r="AQ304" s="35"/>
      <c r="AR304" s="23"/>
      <c r="AS304" s="210"/>
      <c r="AT304" s="210"/>
      <c r="AU304" s="273">
        <v>32972</v>
      </c>
      <c r="AV304" s="64" t="s">
        <v>1389</v>
      </c>
      <c r="AW304" s="64" t="s">
        <v>68</v>
      </c>
      <c r="AX304" s="64">
        <v>8</v>
      </c>
      <c r="AY304" s="76" t="s">
        <v>1849</v>
      </c>
      <c r="AZ304" s="30" t="s">
        <v>1373</v>
      </c>
      <c r="BA304" s="23" t="s">
        <v>151</v>
      </c>
      <c r="BB304" s="30" t="s">
        <v>34</v>
      </c>
      <c r="BC304" s="22"/>
    </row>
    <row r="305" spans="1:55" x14ac:dyDescent="0.25">
      <c r="A305" s="10">
        <f t="shared" si="10"/>
        <v>304</v>
      </c>
      <c r="B305" s="25" t="s">
        <v>1015</v>
      </c>
      <c r="C305" s="30" t="s">
        <v>34</v>
      </c>
      <c r="D305" s="80">
        <v>401255</v>
      </c>
      <c r="E305" s="31" t="s">
        <v>192</v>
      </c>
      <c r="F305" s="14" t="s">
        <v>1016</v>
      </c>
      <c r="G305" s="64"/>
      <c r="H305" s="66"/>
      <c r="I305" s="66"/>
      <c r="J305" s="66"/>
      <c r="K305" s="21" t="s">
        <v>334</v>
      </c>
      <c r="L305" s="59" t="s">
        <v>1017</v>
      </c>
      <c r="M305" s="30" t="s">
        <v>26</v>
      </c>
      <c r="N305" s="23" t="s">
        <v>38</v>
      </c>
      <c r="O305" s="23" t="s">
        <v>1321</v>
      </c>
      <c r="P305" s="258">
        <v>45814</v>
      </c>
      <c r="Q305" s="258">
        <v>45814</v>
      </c>
      <c r="R305" s="258">
        <v>46543</v>
      </c>
      <c r="S305" s="258">
        <v>46544</v>
      </c>
      <c r="T305" s="79">
        <v>2010</v>
      </c>
      <c r="U305" s="59" t="s">
        <v>209</v>
      </c>
      <c r="V305" s="64">
        <v>2015</v>
      </c>
      <c r="W305" s="59" t="s">
        <v>141</v>
      </c>
      <c r="X305" s="64" t="s">
        <v>4103</v>
      </c>
      <c r="Y305" s="35" t="s">
        <v>49</v>
      </c>
      <c r="Z305" s="59">
        <v>68086</v>
      </c>
      <c r="AA305" s="23" t="s">
        <v>1841</v>
      </c>
      <c r="AB305" s="161">
        <v>44579</v>
      </c>
      <c r="AC305" s="161">
        <v>46404</v>
      </c>
      <c r="AD305" s="87">
        <v>7382761719</v>
      </c>
      <c r="AE305" s="264" t="s">
        <v>1018</v>
      </c>
      <c r="AF305" s="28" t="s">
        <v>1495</v>
      </c>
      <c r="AG305" s="221" t="s">
        <v>4104</v>
      </c>
      <c r="AH305" s="31" t="s">
        <v>2083</v>
      </c>
      <c r="AI305" s="31" t="s">
        <v>4105</v>
      </c>
      <c r="AJ305" s="221" t="s">
        <v>4106</v>
      </c>
      <c r="AK305" s="30" t="s">
        <v>4107</v>
      </c>
      <c r="AL305" s="210"/>
      <c r="AM305" s="210"/>
      <c r="AN305" s="35"/>
      <c r="AO305" s="35" t="s">
        <v>4108</v>
      </c>
      <c r="AP305" s="25">
        <f t="shared" ca="1" si="12"/>
        <v>38</v>
      </c>
      <c r="AQ305" s="35" t="s">
        <v>3988</v>
      </c>
      <c r="AR305" s="222" t="s">
        <v>4109</v>
      </c>
      <c r="AS305" s="166">
        <v>45897</v>
      </c>
      <c r="AT305" s="166">
        <v>46261</v>
      </c>
      <c r="AU305" s="273">
        <v>31951</v>
      </c>
      <c r="AV305" s="64" t="s">
        <v>1389</v>
      </c>
      <c r="AW305" s="31" t="s">
        <v>32</v>
      </c>
      <c r="AX305" s="10" t="s">
        <v>30</v>
      </c>
      <c r="AY305" s="76" t="s">
        <v>30</v>
      </c>
      <c r="AZ305" s="30" t="s">
        <v>26</v>
      </c>
      <c r="BA305" s="23" t="s">
        <v>151</v>
      </c>
      <c r="BB305" s="30" t="s">
        <v>34</v>
      </c>
      <c r="BC305" s="22"/>
    </row>
    <row r="306" spans="1:55" x14ac:dyDescent="0.25">
      <c r="A306" s="10">
        <f t="shared" si="10"/>
        <v>305</v>
      </c>
      <c r="B306" s="10" t="s">
        <v>1019</v>
      </c>
      <c r="C306" s="30" t="s">
        <v>34</v>
      </c>
      <c r="D306" s="65">
        <v>401037</v>
      </c>
      <c r="E306" s="31" t="s">
        <v>192</v>
      </c>
      <c r="F306" s="14" t="s">
        <v>1020</v>
      </c>
      <c r="G306" s="64">
        <v>6</v>
      </c>
      <c r="H306" s="66">
        <v>0.79166666666666663</v>
      </c>
      <c r="I306" s="66">
        <v>0.875</v>
      </c>
      <c r="J306" s="66">
        <v>8.3333333333333329E-2</v>
      </c>
      <c r="K306" s="21" t="s">
        <v>147</v>
      </c>
      <c r="L306" s="30" t="s">
        <v>1021</v>
      </c>
      <c r="M306" s="30" t="s">
        <v>26</v>
      </c>
      <c r="N306" s="23" t="s">
        <v>38</v>
      </c>
      <c r="O306" s="23" t="s">
        <v>1321</v>
      </c>
      <c r="P306" s="258">
        <v>45503</v>
      </c>
      <c r="Q306" s="161">
        <v>45503</v>
      </c>
      <c r="R306" s="161">
        <v>46232</v>
      </c>
      <c r="S306" s="161">
        <v>46233</v>
      </c>
      <c r="T306" s="10">
        <v>2003</v>
      </c>
      <c r="U306" s="30" t="s">
        <v>1022</v>
      </c>
      <c r="V306" s="10">
        <v>2009</v>
      </c>
      <c r="W306" s="23" t="s">
        <v>1023</v>
      </c>
      <c r="X306" s="31" t="s">
        <v>4110</v>
      </c>
      <c r="Y306" s="35" t="s">
        <v>1024</v>
      </c>
      <c r="Z306" s="14" t="s">
        <v>4111</v>
      </c>
      <c r="AA306" s="23" t="s">
        <v>1841</v>
      </c>
      <c r="AB306" s="161">
        <v>45758</v>
      </c>
      <c r="AC306" s="161">
        <v>47583</v>
      </c>
      <c r="AD306" s="220">
        <v>9440067815</v>
      </c>
      <c r="AE306" s="224" t="s">
        <v>1025</v>
      </c>
      <c r="AF306" s="30" t="s">
        <v>1430</v>
      </c>
      <c r="AG306" s="221" t="s">
        <v>4112</v>
      </c>
      <c r="AH306" s="31" t="s">
        <v>2490</v>
      </c>
      <c r="AI306" s="31" t="s">
        <v>4113</v>
      </c>
      <c r="AJ306" s="221" t="s">
        <v>4114</v>
      </c>
      <c r="AK306" s="30" t="s">
        <v>4115</v>
      </c>
      <c r="AL306" s="210"/>
      <c r="AM306" s="210"/>
      <c r="AN306" s="35"/>
      <c r="AO306" s="35" t="s">
        <v>4116</v>
      </c>
      <c r="AP306" s="10">
        <f t="shared" ca="1" si="12"/>
        <v>46</v>
      </c>
      <c r="AQ306" s="39" t="s">
        <v>1966</v>
      </c>
      <c r="AR306" s="232" t="s">
        <v>4117</v>
      </c>
      <c r="AS306" s="182">
        <v>45596</v>
      </c>
      <c r="AT306" s="182">
        <v>45960</v>
      </c>
      <c r="AU306" s="223">
        <v>29039</v>
      </c>
      <c r="AV306" s="31" t="s">
        <v>1352</v>
      </c>
      <c r="AW306" s="31" t="s">
        <v>32</v>
      </c>
      <c r="AX306" s="64">
        <v>2</v>
      </c>
      <c r="AY306" s="14" t="s">
        <v>1849</v>
      </c>
      <c r="AZ306" s="30" t="s">
        <v>26</v>
      </c>
      <c r="BA306" s="23" t="s">
        <v>151</v>
      </c>
      <c r="BB306" s="30" t="s">
        <v>34</v>
      </c>
      <c r="BC306" s="22"/>
    </row>
    <row r="307" spans="1:55" x14ac:dyDescent="0.25">
      <c r="A307" s="10">
        <f t="shared" si="10"/>
        <v>306</v>
      </c>
      <c r="B307" s="31" t="s">
        <v>1026</v>
      </c>
      <c r="C307" s="30" t="s">
        <v>34</v>
      </c>
      <c r="D307" s="65">
        <v>401258</v>
      </c>
      <c r="E307" s="31" t="s">
        <v>268</v>
      </c>
      <c r="F307" s="14" t="s">
        <v>1027</v>
      </c>
      <c r="G307" s="64">
        <v>6</v>
      </c>
      <c r="H307" s="68">
        <v>0.375</v>
      </c>
      <c r="I307" s="66">
        <v>0.70833333333333337</v>
      </c>
      <c r="J307" s="66">
        <v>0.33333333333333331</v>
      </c>
      <c r="K307" s="21" t="s">
        <v>652</v>
      </c>
      <c r="L307" s="59" t="s">
        <v>1028</v>
      </c>
      <c r="M307" s="30" t="s">
        <v>26</v>
      </c>
      <c r="N307" s="23" t="s">
        <v>38</v>
      </c>
      <c r="O307" s="23" t="s">
        <v>1321</v>
      </c>
      <c r="P307" s="258">
        <v>45839</v>
      </c>
      <c r="Q307" s="258">
        <v>45839</v>
      </c>
      <c r="R307" s="258">
        <v>46568</v>
      </c>
      <c r="S307" s="258">
        <v>46569</v>
      </c>
      <c r="T307" s="79">
        <v>2018</v>
      </c>
      <c r="U307" s="59" t="s">
        <v>1029</v>
      </c>
      <c r="V307" s="64">
        <v>2022</v>
      </c>
      <c r="W307" s="59" t="s">
        <v>1030</v>
      </c>
      <c r="X307" s="64" t="s">
        <v>30</v>
      </c>
      <c r="Y307" s="35" t="s">
        <v>49</v>
      </c>
      <c r="Z307" s="59">
        <v>123440</v>
      </c>
      <c r="AA307" s="35" t="s">
        <v>1560</v>
      </c>
      <c r="AB307" s="161">
        <v>45398</v>
      </c>
      <c r="AC307" s="161">
        <v>47237</v>
      </c>
      <c r="AD307" s="10">
        <v>8553458705</v>
      </c>
      <c r="AE307" s="224" t="s">
        <v>1031</v>
      </c>
      <c r="AF307" s="28" t="s">
        <v>1495</v>
      </c>
      <c r="AG307" s="221" t="s">
        <v>4118</v>
      </c>
      <c r="AH307" s="43" t="s">
        <v>4119</v>
      </c>
      <c r="AI307" s="31" t="s">
        <v>4120</v>
      </c>
      <c r="AJ307" s="221" t="s">
        <v>4121</v>
      </c>
      <c r="AK307" s="30" t="s">
        <v>4122</v>
      </c>
      <c r="AL307" s="210"/>
      <c r="AM307" s="210"/>
      <c r="AN307" s="35"/>
      <c r="AO307" s="35" t="s">
        <v>4123</v>
      </c>
      <c r="AP307" s="10">
        <f t="shared" ca="1" si="12"/>
        <v>31</v>
      </c>
      <c r="AQ307" s="35" t="s">
        <v>1605</v>
      </c>
      <c r="AR307" s="222" t="s">
        <v>4124</v>
      </c>
      <c r="AS307" s="182">
        <v>45746</v>
      </c>
      <c r="AT307" s="182">
        <v>46110</v>
      </c>
      <c r="AU307" s="273">
        <v>34407</v>
      </c>
      <c r="AV307" s="64" t="s">
        <v>1352</v>
      </c>
      <c r="AW307" s="64" t="s">
        <v>68</v>
      </c>
      <c r="AX307" s="64">
        <v>8</v>
      </c>
      <c r="AY307" s="76" t="s">
        <v>3225</v>
      </c>
      <c r="AZ307" s="30" t="s">
        <v>26</v>
      </c>
      <c r="BA307" s="23" t="s">
        <v>151</v>
      </c>
      <c r="BB307" s="30" t="s">
        <v>34</v>
      </c>
      <c r="BC307" s="22"/>
    </row>
    <row r="308" spans="1:55" x14ac:dyDescent="0.25">
      <c r="A308" s="10">
        <f t="shared" si="10"/>
        <v>307</v>
      </c>
      <c r="B308" s="54" t="s">
        <v>1032</v>
      </c>
      <c r="C308" s="56" t="s">
        <v>34</v>
      </c>
      <c r="D308" s="78">
        <v>401259</v>
      </c>
      <c r="E308" s="54" t="s">
        <v>36</v>
      </c>
      <c r="F308" s="48" t="s">
        <v>1033</v>
      </c>
      <c r="G308" s="55">
        <v>6</v>
      </c>
      <c r="H308" s="77">
        <v>0.41666666666666669</v>
      </c>
      <c r="I308" s="90" t="s">
        <v>948</v>
      </c>
      <c r="J308" s="77">
        <v>0.33333333333333331</v>
      </c>
      <c r="K308" s="51" t="s">
        <v>174</v>
      </c>
      <c r="L308" s="113" t="s">
        <v>1034</v>
      </c>
      <c r="M308" s="56" t="s">
        <v>26</v>
      </c>
      <c r="N308" s="52" t="s">
        <v>38</v>
      </c>
      <c r="O308" s="52" t="s">
        <v>1321</v>
      </c>
      <c r="P308" s="303">
        <v>45821</v>
      </c>
      <c r="Q308" s="303">
        <v>45821</v>
      </c>
      <c r="R308" s="303">
        <v>46550</v>
      </c>
      <c r="S308" s="303">
        <v>46551</v>
      </c>
      <c r="T308" s="112">
        <v>2019</v>
      </c>
      <c r="U308" s="113" t="s">
        <v>1035</v>
      </c>
      <c r="V308" s="111">
        <v>2024</v>
      </c>
      <c r="W308" s="113" t="s">
        <v>1036</v>
      </c>
      <c r="X308" s="111" t="s">
        <v>30</v>
      </c>
      <c r="Y308" s="51" t="s">
        <v>49</v>
      </c>
      <c r="Z308" s="49" t="s">
        <v>4125</v>
      </c>
      <c r="AA308" s="52" t="s">
        <v>1841</v>
      </c>
      <c r="AB308" s="238">
        <v>45820</v>
      </c>
      <c r="AC308" s="238">
        <v>47645</v>
      </c>
      <c r="AD308" s="55">
        <v>9492648451</v>
      </c>
      <c r="AE308" s="259" t="s">
        <v>1037</v>
      </c>
      <c r="AF308" s="49" t="s">
        <v>1495</v>
      </c>
      <c r="AG308" s="352" t="s">
        <v>4126</v>
      </c>
      <c r="AH308" s="54" t="s">
        <v>4127</v>
      </c>
      <c r="AI308" s="54" t="s">
        <v>4128</v>
      </c>
      <c r="AJ308" s="198" t="s">
        <v>4129</v>
      </c>
      <c r="AK308" s="56" t="s">
        <v>4130</v>
      </c>
      <c r="AL308" s="199">
        <v>46004</v>
      </c>
      <c r="AM308" s="199">
        <v>45945</v>
      </c>
      <c r="AN308" s="56" t="s">
        <v>1457</v>
      </c>
      <c r="AO308" s="51" t="s">
        <v>4131</v>
      </c>
      <c r="AP308" s="55">
        <f t="shared" ca="1" si="12"/>
        <v>29</v>
      </c>
      <c r="AQ308" s="51"/>
      <c r="AR308" s="52"/>
      <c r="AS308" s="199"/>
      <c r="AT308" s="199"/>
      <c r="AU308" s="351">
        <v>35297</v>
      </c>
      <c r="AV308" s="111" t="s">
        <v>1389</v>
      </c>
      <c r="AW308" s="111" t="s">
        <v>68</v>
      </c>
      <c r="AX308" s="55">
        <v>8</v>
      </c>
      <c r="AY308" s="48" t="s">
        <v>1849</v>
      </c>
      <c r="AZ308" s="56" t="s">
        <v>26</v>
      </c>
      <c r="BA308" s="52" t="s">
        <v>151</v>
      </c>
      <c r="BB308" s="56" t="s">
        <v>34</v>
      </c>
      <c r="BC308" s="53"/>
    </row>
    <row r="309" spans="1:55" x14ac:dyDescent="0.25">
      <c r="A309" s="10">
        <f t="shared" si="10"/>
        <v>308</v>
      </c>
      <c r="B309" s="25" t="s">
        <v>4132</v>
      </c>
      <c r="C309" s="30" t="s">
        <v>34</v>
      </c>
      <c r="D309" s="80">
        <v>401261</v>
      </c>
      <c r="E309" s="31" t="s">
        <v>36</v>
      </c>
      <c r="F309" s="14" t="s">
        <v>4133</v>
      </c>
      <c r="G309" s="64">
        <v>6</v>
      </c>
      <c r="H309" s="74">
        <v>0.70833333333333337</v>
      </c>
      <c r="I309" s="66">
        <v>0.79166666666666663</v>
      </c>
      <c r="J309" s="66">
        <v>8.3333333333333329E-2</v>
      </c>
      <c r="K309" s="21" t="s">
        <v>587</v>
      </c>
      <c r="L309" s="108" t="s">
        <v>30</v>
      </c>
      <c r="M309" s="30" t="s">
        <v>1544</v>
      </c>
      <c r="N309" s="23" t="s">
        <v>1992</v>
      </c>
      <c r="O309" s="14" t="s">
        <v>2279</v>
      </c>
      <c r="P309" s="258">
        <v>45817</v>
      </c>
      <c r="Q309" s="258">
        <v>45817</v>
      </c>
      <c r="R309" s="258">
        <v>46546</v>
      </c>
      <c r="S309" s="258">
        <v>46547</v>
      </c>
      <c r="T309" s="79">
        <v>2016</v>
      </c>
      <c r="U309" s="59" t="s">
        <v>4134</v>
      </c>
      <c r="V309" s="64">
        <v>2023</v>
      </c>
      <c r="W309" s="59" t="s">
        <v>209</v>
      </c>
      <c r="X309" s="64" t="s">
        <v>30</v>
      </c>
      <c r="Y309" s="35" t="s">
        <v>1549</v>
      </c>
      <c r="Z309" s="91" t="s">
        <v>4135</v>
      </c>
      <c r="AA309" s="23" t="s">
        <v>1841</v>
      </c>
      <c r="AB309" s="161">
        <v>45456</v>
      </c>
      <c r="AC309" s="161">
        <v>47281</v>
      </c>
      <c r="AD309" s="10">
        <v>9491344217</v>
      </c>
      <c r="AE309" s="236" t="s">
        <v>4136</v>
      </c>
      <c r="AF309" s="28" t="s">
        <v>1495</v>
      </c>
      <c r="AG309" s="221" t="s">
        <v>4137</v>
      </c>
      <c r="AH309" s="31" t="s">
        <v>4138</v>
      </c>
      <c r="AI309" s="31" t="s">
        <v>4139</v>
      </c>
      <c r="AJ309" s="221" t="s">
        <v>4140</v>
      </c>
      <c r="AK309" s="30" t="s">
        <v>4141</v>
      </c>
      <c r="AL309" s="210"/>
      <c r="AM309" s="210"/>
      <c r="AN309" s="35"/>
      <c r="AO309" s="35" t="s">
        <v>4142</v>
      </c>
      <c r="AP309" s="25">
        <f t="shared" ca="1" si="12"/>
        <v>32</v>
      </c>
      <c r="AQ309" s="35" t="s">
        <v>1605</v>
      </c>
      <c r="AR309" s="89" t="s">
        <v>4143</v>
      </c>
      <c r="AS309" s="287">
        <v>45814</v>
      </c>
      <c r="AT309" s="287">
        <v>46178</v>
      </c>
      <c r="AU309" s="273">
        <v>34173</v>
      </c>
      <c r="AV309" s="64" t="s">
        <v>1389</v>
      </c>
      <c r="AW309" s="64" t="s">
        <v>32</v>
      </c>
      <c r="AX309" s="64">
        <v>2</v>
      </c>
      <c r="AY309" s="76" t="s">
        <v>2053</v>
      </c>
      <c r="AZ309" s="30" t="s">
        <v>1373</v>
      </c>
      <c r="BA309" s="23" t="s">
        <v>151</v>
      </c>
      <c r="BB309" s="30" t="s">
        <v>34</v>
      </c>
      <c r="BC309" s="22"/>
    </row>
    <row r="310" spans="1:55" x14ac:dyDescent="0.25">
      <c r="A310" s="10">
        <f t="shared" si="10"/>
        <v>309</v>
      </c>
      <c r="B310" s="31" t="s">
        <v>1038</v>
      </c>
      <c r="C310" s="30" t="s">
        <v>34</v>
      </c>
      <c r="D310" s="80">
        <v>401262</v>
      </c>
      <c r="E310" s="31" t="s">
        <v>192</v>
      </c>
      <c r="F310" s="14" t="s">
        <v>1039</v>
      </c>
      <c r="G310" s="64">
        <v>6</v>
      </c>
      <c r="H310" s="68">
        <v>0.375</v>
      </c>
      <c r="I310" s="66">
        <v>0.54166666666666663</v>
      </c>
      <c r="J310" s="66">
        <v>0.16666666666666666</v>
      </c>
      <c r="K310" s="21" t="s">
        <v>220</v>
      </c>
      <c r="L310" s="108" t="s">
        <v>855</v>
      </c>
      <c r="M310" s="30" t="s">
        <v>26</v>
      </c>
      <c r="N310" s="23" t="s">
        <v>38</v>
      </c>
      <c r="O310" s="23" t="s">
        <v>1321</v>
      </c>
      <c r="P310" s="258">
        <v>45819</v>
      </c>
      <c r="Q310" s="258">
        <v>45819</v>
      </c>
      <c r="R310" s="258">
        <v>46548</v>
      </c>
      <c r="S310" s="258">
        <v>46549</v>
      </c>
      <c r="T310" s="79">
        <v>1974</v>
      </c>
      <c r="U310" s="59" t="s">
        <v>343</v>
      </c>
      <c r="V310" s="64">
        <v>1980</v>
      </c>
      <c r="W310" s="59" t="s">
        <v>708</v>
      </c>
      <c r="X310" s="64" t="s">
        <v>1451</v>
      </c>
      <c r="Y310" s="38" t="s">
        <v>907</v>
      </c>
      <c r="Z310" s="91" t="s">
        <v>4144</v>
      </c>
      <c r="AA310" s="23" t="s">
        <v>1841</v>
      </c>
      <c r="AB310" s="161">
        <v>45673</v>
      </c>
      <c r="AC310" s="161">
        <v>47498</v>
      </c>
      <c r="AD310" s="10" t="s">
        <v>1040</v>
      </c>
      <c r="AE310" s="236" t="s">
        <v>1041</v>
      </c>
      <c r="AF310" s="30" t="s">
        <v>1430</v>
      </c>
      <c r="AG310" s="230" t="s">
        <v>4145</v>
      </c>
      <c r="AH310" s="31" t="s">
        <v>4146</v>
      </c>
      <c r="AI310" s="31" t="s">
        <v>4147</v>
      </c>
      <c r="AJ310" s="221" t="s">
        <v>4148</v>
      </c>
      <c r="AK310" s="30" t="s">
        <v>4149</v>
      </c>
      <c r="AL310" s="210"/>
      <c r="AM310" s="210"/>
      <c r="AN310" s="35"/>
      <c r="AO310" s="35" t="s">
        <v>4150</v>
      </c>
      <c r="AP310" s="25">
        <f t="shared" ca="1" si="12"/>
        <v>74</v>
      </c>
      <c r="AQ310" s="35" t="s">
        <v>1605</v>
      </c>
      <c r="AR310" s="89" t="s">
        <v>4151</v>
      </c>
      <c r="AS310" s="287">
        <v>45816</v>
      </c>
      <c r="AT310" s="287">
        <v>46911</v>
      </c>
      <c r="AU310" s="273">
        <v>18868</v>
      </c>
      <c r="AV310" s="64" t="s">
        <v>1352</v>
      </c>
      <c r="AW310" s="64" t="s">
        <v>32</v>
      </c>
      <c r="AX310" s="64">
        <v>4</v>
      </c>
      <c r="AY310" s="76" t="s">
        <v>2006</v>
      </c>
      <c r="AZ310" s="30" t="s">
        <v>26</v>
      </c>
      <c r="BA310" s="23" t="s">
        <v>151</v>
      </c>
      <c r="BB310" s="30" t="s">
        <v>34</v>
      </c>
      <c r="BC310" s="22"/>
    </row>
    <row r="311" spans="1:55" x14ac:dyDescent="0.25">
      <c r="A311" s="10">
        <f t="shared" si="10"/>
        <v>310</v>
      </c>
      <c r="B311" s="31" t="s">
        <v>1042</v>
      </c>
      <c r="C311" s="30" t="s">
        <v>34</v>
      </c>
      <c r="D311" s="65">
        <v>401263</v>
      </c>
      <c r="E311" s="31" t="s">
        <v>192</v>
      </c>
      <c r="F311" s="14" t="s">
        <v>1043</v>
      </c>
      <c r="G311" s="64">
        <v>6</v>
      </c>
      <c r="H311" s="66"/>
      <c r="I311" s="66"/>
      <c r="J311" s="66"/>
      <c r="K311" s="21" t="s">
        <v>334</v>
      </c>
      <c r="L311" s="59" t="s">
        <v>855</v>
      </c>
      <c r="M311" s="30" t="s">
        <v>26</v>
      </c>
      <c r="N311" s="23" t="s">
        <v>38</v>
      </c>
      <c r="O311" s="23" t="s">
        <v>1321</v>
      </c>
      <c r="P311" s="258">
        <v>45819</v>
      </c>
      <c r="Q311" s="258">
        <v>45819</v>
      </c>
      <c r="R311" s="258">
        <v>46548</v>
      </c>
      <c r="S311" s="258">
        <v>46549</v>
      </c>
      <c r="T311" s="79">
        <v>2019</v>
      </c>
      <c r="U311" s="59" t="s">
        <v>1044</v>
      </c>
      <c r="V311" s="64">
        <v>2023</v>
      </c>
      <c r="W311" s="59" t="s">
        <v>1045</v>
      </c>
      <c r="X311" s="64" t="s">
        <v>30</v>
      </c>
      <c r="Y311" s="35" t="s">
        <v>49</v>
      </c>
      <c r="Z311" s="59">
        <v>131293</v>
      </c>
      <c r="AA311" s="35" t="s">
        <v>1560</v>
      </c>
      <c r="AB311" s="237">
        <v>43605</v>
      </c>
      <c r="AC311" s="237">
        <v>45431</v>
      </c>
      <c r="AD311" s="10">
        <v>9591035932</v>
      </c>
      <c r="AE311" s="224" t="s">
        <v>1046</v>
      </c>
      <c r="AF311" s="28" t="s">
        <v>1495</v>
      </c>
      <c r="AG311" s="230" t="s">
        <v>4152</v>
      </c>
      <c r="AH311" s="31" t="s">
        <v>4153</v>
      </c>
      <c r="AI311" s="31" t="s">
        <v>4154</v>
      </c>
      <c r="AJ311" s="221" t="s">
        <v>4155</v>
      </c>
      <c r="AK311" s="30" t="s">
        <v>4156</v>
      </c>
      <c r="AL311" s="210"/>
      <c r="AM311" s="210"/>
      <c r="AN311" s="35"/>
      <c r="AO311" s="35" t="s">
        <v>4157</v>
      </c>
      <c r="AP311" s="25">
        <f t="shared" ca="1" si="12"/>
        <v>30</v>
      </c>
      <c r="AQ311" s="35" t="s">
        <v>1605</v>
      </c>
      <c r="AR311" s="23" t="s">
        <v>4158</v>
      </c>
      <c r="AS311" s="210">
        <v>45793</v>
      </c>
      <c r="AT311" s="210">
        <v>46157</v>
      </c>
      <c r="AU311" s="273">
        <v>34754</v>
      </c>
      <c r="AV311" s="64" t="s">
        <v>1389</v>
      </c>
      <c r="AW311" s="31" t="s">
        <v>32</v>
      </c>
      <c r="AX311" s="10" t="s">
        <v>30</v>
      </c>
      <c r="AY311" s="76" t="s">
        <v>30</v>
      </c>
      <c r="AZ311" s="30" t="s">
        <v>26</v>
      </c>
      <c r="BA311" s="23" t="s">
        <v>151</v>
      </c>
      <c r="BB311" s="30" t="s">
        <v>34</v>
      </c>
      <c r="BC311" s="22"/>
    </row>
    <row r="312" spans="1:55" x14ac:dyDescent="0.25">
      <c r="A312" s="10">
        <f t="shared" si="10"/>
        <v>311</v>
      </c>
      <c r="B312" s="31" t="s">
        <v>1047</v>
      </c>
      <c r="C312" s="30" t="s">
        <v>34</v>
      </c>
      <c r="D312" s="80">
        <v>401265</v>
      </c>
      <c r="E312" s="31" t="s">
        <v>36</v>
      </c>
      <c r="F312" s="14" t="s">
        <v>1048</v>
      </c>
      <c r="G312" s="64">
        <v>6</v>
      </c>
      <c r="H312" s="66">
        <v>0.45833333333333331</v>
      </c>
      <c r="I312" s="66">
        <v>0.79166666666666663</v>
      </c>
      <c r="J312" s="66">
        <v>0.33333333333333331</v>
      </c>
      <c r="K312" s="21" t="s">
        <v>693</v>
      </c>
      <c r="L312" s="59" t="s">
        <v>1049</v>
      </c>
      <c r="M312" s="30" t="s">
        <v>26</v>
      </c>
      <c r="N312" s="23" t="s">
        <v>38</v>
      </c>
      <c r="O312" s="23" t="s">
        <v>1321</v>
      </c>
      <c r="P312" s="258">
        <v>45819</v>
      </c>
      <c r="Q312" s="258">
        <v>45819</v>
      </c>
      <c r="R312" s="258">
        <v>46548</v>
      </c>
      <c r="S312" s="258">
        <v>46549</v>
      </c>
      <c r="T312" s="79">
        <v>2013</v>
      </c>
      <c r="U312" s="59" t="s">
        <v>924</v>
      </c>
      <c r="V312" s="64">
        <v>2025</v>
      </c>
      <c r="W312" s="59" t="s">
        <v>251</v>
      </c>
      <c r="X312" s="64" t="s">
        <v>30</v>
      </c>
      <c r="Y312" s="35" t="s">
        <v>49</v>
      </c>
      <c r="Z312" s="39" t="s">
        <v>4159</v>
      </c>
      <c r="AA312" s="23" t="s">
        <v>1841</v>
      </c>
      <c r="AB312" s="161">
        <v>45796</v>
      </c>
      <c r="AC312" s="161">
        <v>47621</v>
      </c>
      <c r="AD312" s="10">
        <v>9052431244</v>
      </c>
      <c r="AE312" s="236" t="s">
        <v>1050</v>
      </c>
      <c r="AF312" s="28" t="s">
        <v>1495</v>
      </c>
      <c r="AG312" s="343" t="s">
        <v>4160</v>
      </c>
      <c r="AH312" s="89" t="s">
        <v>4161</v>
      </c>
      <c r="AI312" s="31" t="s">
        <v>4162</v>
      </c>
      <c r="AJ312" s="221" t="s">
        <v>4163</v>
      </c>
      <c r="AK312" s="30" t="s">
        <v>4164</v>
      </c>
      <c r="AL312" s="210"/>
      <c r="AM312" s="210"/>
      <c r="AN312" s="35"/>
      <c r="AO312" s="35" t="s">
        <v>4165</v>
      </c>
      <c r="AP312" s="10">
        <f t="shared" ca="1" si="12"/>
        <v>37</v>
      </c>
      <c r="AQ312" s="35"/>
      <c r="AR312" s="23"/>
      <c r="AS312" s="210"/>
      <c r="AT312" s="210"/>
      <c r="AU312" s="273">
        <v>32284</v>
      </c>
      <c r="AV312" s="64" t="s">
        <v>1352</v>
      </c>
      <c r="AW312" s="64" t="s">
        <v>68</v>
      </c>
      <c r="AX312" s="64">
        <v>8</v>
      </c>
      <c r="AY312" s="76" t="s">
        <v>2469</v>
      </c>
      <c r="AZ312" s="30" t="s">
        <v>26</v>
      </c>
      <c r="BA312" s="23" t="s">
        <v>151</v>
      </c>
      <c r="BB312" s="30" t="s">
        <v>34</v>
      </c>
      <c r="BC312" s="22"/>
    </row>
    <row r="313" spans="1:55" x14ac:dyDescent="0.25">
      <c r="A313" s="10">
        <f t="shared" si="10"/>
        <v>312</v>
      </c>
      <c r="B313" s="31" t="s">
        <v>1051</v>
      </c>
      <c r="C313" s="30" t="s">
        <v>34</v>
      </c>
      <c r="D313" s="80">
        <v>401266</v>
      </c>
      <c r="E313" s="31" t="s">
        <v>36</v>
      </c>
      <c r="F313" s="14" t="s">
        <v>1052</v>
      </c>
      <c r="G313" s="10">
        <v>6</v>
      </c>
      <c r="H313" s="66">
        <v>0.375</v>
      </c>
      <c r="I313" s="68" t="s">
        <v>989</v>
      </c>
      <c r="J313" s="66">
        <v>0.33333333333333331</v>
      </c>
      <c r="K313" s="21" t="s">
        <v>911</v>
      </c>
      <c r="L313" s="59" t="s">
        <v>1053</v>
      </c>
      <c r="M313" s="30" t="s">
        <v>26</v>
      </c>
      <c r="N313" s="23" t="s">
        <v>38</v>
      </c>
      <c r="O313" s="23" t="s">
        <v>1321</v>
      </c>
      <c r="P313" s="258">
        <v>45819</v>
      </c>
      <c r="Q313" s="258">
        <v>45819</v>
      </c>
      <c r="R313" s="258">
        <v>46548</v>
      </c>
      <c r="S313" s="258">
        <v>46549</v>
      </c>
      <c r="T313" s="10">
        <v>2018</v>
      </c>
      <c r="U313" s="59" t="s">
        <v>695</v>
      </c>
      <c r="V313" s="64">
        <v>2025</v>
      </c>
      <c r="W313" s="59" t="s">
        <v>169</v>
      </c>
      <c r="X313" s="64" t="s">
        <v>30</v>
      </c>
      <c r="Y313" s="35" t="s">
        <v>49</v>
      </c>
      <c r="Z313" s="39" t="s">
        <v>4166</v>
      </c>
      <c r="AA313" s="23" t="s">
        <v>1841</v>
      </c>
      <c r="AB313" s="161">
        <v>45735</v>
      </c>
      <c r="AC313" s="161">
        <v>47560</v>
      </c>
      <c r="AD313" s="10">
        <v>9502250595</v>
      </c>
      <c r="AE313" s="236" t="s">
        <v>1054</v>
      </c>
      <c r="AF313" s="30" t="s">
        <v>1805</v>
      </c>
      <c r="AG313" s="230" t="s">
        <v>4167</v>
      </c>
      <c r="AH313" s="35" t="s">
        <v>4168</v>
      </c>
      <c r="AI313" s="31" t="s">
        <v>4169</v>
      </c>
      <c r="AJ313" s="221" t="s">
        <v>4170</v>
      </c>
      <c r="AK313" s="35" t="s">
        <v>4171</v>
      </c>
      <c r="AL313" s="267"/>
      <c r="AM313" s="35"/>
      <c r="AN313" s="35"/>
      <c r="AO313" s="35" t="s">
        <v>4172</v>
      </c>
      <c r="AP313" s="10">
        <f t="shared" ca="1" si="12"/>
        <v>30</v>
      </c>
      <c r="AQ313" s="35"/>
      <c r="AR313" s="35"/>
      <c r="AS313" s="210"/>
      <c r="AT313" s="210"/>
      <c r="AU313" s="273">
        <v>34796</v>
      </c>
      <c r="AV313" s="64" t="s">
        <v>1389</v>
      </c>
      <c r="AW313" s="64" t="s">
        <v>68</v>
      </c>
      <c r="AX313" s="10">
        <v>8</v>
      </c>
      <c r="AY313" s="76" t="s">
        <v>2469</v>
      </c>
      <c r="AZ313" s="30" t="s">
        <v>26</v>
      </c>
      <c r="BA313" s="23" t="s">
        <v>151</v>
      </c>
      <c r="BB313" s="30" t="s">
        <v>34</v>
      </c>
      <c r="BC313" s="22"/>
    </row>
    <row r="314" spans="1:55" x14ac:dyDescent="0.25">
      <c r="A314" s="10">
        <f t="shared" si="10"/>
        <v>313</v>
      </c>
      <c r="B314" s="55" t="s">
        <v>1055</v>
      </c>
      <c r="C314" s="56" t="s">
        <v>34</v>
      </c>
      <c r="D314" s="78">
        <v>401269</v>
      </c>
      <c r="E314" s="54" t="s">
        <v>36</v>
      </c>
      <c r="F314" s="48" t="s">
        <v>1056</v>
      </c>
      <c r="G314" s="55">
        <v>6</v>
      </c>
      <c r="H314" s="90" t="s">
        <v>948</v>
      </c>
      <c r="I314" s="77">
        <v>0.83333333333333337</v>
      </c>
      <c r="J314" s="77">
        <v>8.3333333333333329E-2</v>
      </c>
      <c r="K314" s="51" t="s">
        <v>404</v>
      </c>
      <c r="L314" s="110" t="s">
        <v>1057</v>
      </c>
      <c r="M314" s="56" t="s">
        <v>26</v>
      </c>
      <c r="N314" s="52" t="s">
        <v>38</v>
      </c>
      <c r="O314" s="52" t="s">
        <v>1321</v>
      </c>
      <c r="P314" s="303">
        <v>45826</v>
      </c>
      <c r="Q314" s="303">
        <v>45826</v>
      </c>
      <c r="R314" s="303">
        <v>46555</v>
      </c>
      <c r="S314" s="303">
        <v>46556</v>
      </c>
      <c r="T314" s="112">
        <v>2020</v>
      </c>
      <c r="U314" s="56" t="s">
        <v>196</v>
      </c>
      <c r="V314" s="111">
        <v>2025</v>
      </c>
      <c r="W314" s="51" t="s">
        <v>196</v>
      </c>
      <c r="X314" s="111" t="s">
        <v>30</v>
      </c>
      <c r="Y314" s="51" t="s">
        <v>49</v>
      </c>
      <c r="Z314" s="113" t="s">
        <v>4173</v>
      </c>
      <c r="AA314" s="52" t="s">
        <v>1841</v>
      </c>
      <c r="AB314" s="238">
        <v>45790</v>
      </c>
      <c r="AC314" s="238">
        <v>47615</v>
      </c>
      <c r="AD314" s="55">
        <v>9951404300</v>
      </c>
      <c r="AE314" s="240" t="s">
        <v>1058</v>
      </c>
      <c r="AF314" s="56" t="s">
        <v>1430</v>
      </c>
      <c r="AG314" s="198" t="s">
        <v>4174</v>
      </c>
      <c r="AH314" s="54" t="s">
        <v>3586</v>
      </c>
      <c r="AI314" s="54" t="s">
        <v>4175</v>
      </c>
      <c r="AJ314" s="198" t="s">
        <v>4176</v>
      </c>
      <c r="AK314" s="56" t="s">
        <v>4177</v>
      </c>
      <c r="AL314" s="199">
        <v>45983</v>
      </c>
      <c r="AM314" s="199">
        <v>45924</v>
      </c>
      <c r="AN314" s="51" t="s">
        <v>4178</v>
      </c>
      <c r="AO314" s="51" t="s">
        <v>4179</v>
      </c>
      <c r="AP314" s="55">
        <f t="shared" ca="1" si="12"/>
        <v>28</v>
      </c>
      <c r="AQ314" s="51" t="s">
        <v>4180</v>
      </c>
      <c r="AR314" s="51" t="s">
        <v>4181</v>
      </c>
      <c r="AS314" s="199">
        <v>45792</v>
      </c>
      <c r="AT314" s="199">
        <v>46156</v>
      </c>
      <c r="AU314" s="351">
        <v>35669</v>
      </c>
      <c r="AV314" s="111" t="s">
        <v>1389</v>
      </c>
      <c r="AW314" s="111" t="s">
        <v>32</v>
      </c>
      <c r="AX314" s="111">
        <v>2</v>
      </c>
      <c r="AY314" s="48" t="s">
        <v>2469</v>
      </c>
      <c r="AZ314" s="56" t="s">
        <v>26</v>
      </c>
      <c r="BA314" s="52" t="s">
        <v>151</v>
      </c>
      <c r="BB314" s="56" t="s">
        <v>34</v>
      </c>
      <c r="BC314" s="53"/>
    </row>
    <row r="315" spans="1:55" x14ac:dyDescent="0.25">
      <c r="A315" s="10">
        <f t="shared" si="10"/>
        <v>314</v>
      </c>
      <c r="B315" s="25" t="s">
        <v>1059</v>
      </c>
      <c r="C315" s="30" t="s">
        <v>34</v>
      </c>
      <c r="D315" s="65">
        <v>401270</v>
      </c>
      <c r="E315" s="31" t="s">
        <v>36</v>
      </c>
      <c r="F315" s="14" t="s">
        <v>1060</v>
      </c>
      <c r="G315" s="64">
        <v>6</v>
      </c>
      <c r="H315" s="68" t="s">
        <v>989</v>
      </c>
      <c r="I315" s="66">
        <v>0.875</v>
      </c>
      <c r="J315" s="66">
        <v>0.16666666666666666</v>
      </c>
      <c r="K315" s="21" t="s">
        <v>255</v>
      </c>
      <c r="L315" s="108" t="s">
        <v>1061</v>
      </c>
      <c r="M315" s="30" t="s">
        <v>26</v>
      </c>
      <c r="N315" s="23" t="s">
        <v>38</v>
      </c>
      <c r="O315" s="23" t="s">
        <v>1321</v>
      </c>
      <c r="P315" s="258">
        <v>45827</v>
      </c>
      <c r="Q315" s="258">
        <v>45827</v>
      </c>
      <c r="R315" s="258">
        <v>46556</v>
      </c>
      <c r="S315" s="258">
        <v>46557</v>
      </c>
      <c r="T315" s="79">
        <v>2019</v>
      </c>
      <c r="U315" s="75" t="s">
        <v>169</v>
      </c>
      <c r="V315" s="64">
        <v>2024</v>
      </c>
      <c r="W315" s="76" t="s">
        <v>1062</v>
      </c>
      <c r="X315" s="64" t="s">
        <v>30</v>
      </c>
      <c r="Y315" s="35" t="s">
        <v>39</v>
      </c>
      <c r="Z315" s="76" t="s">
        <v>4182</v>
      </c>
      <c r="AA315" s="23" t="s">
        <v>1841</v>
      </c>
      <c r="AB315" s="161">
        <v>45820</v>
      </c>
      <c r="AC315" s="161">
        <v>47645</v>
      </c>
      <c r="AD315" s="25">
        <v>9110382210</v>
      </c>
      <c r="AE315" s="255" t="s">
        <v>1063</v>
      </c>
      <c r="AF315" s="30" t="s">
        <v>1690</v>
      </c>
      <c r="AG315" s="221" t="s">
        <v>4183</v>
      </c>
      <c r="AH315" s="31" t="s">
        <v>3421</v>
      </c>
      <c r="AI315" s="31" t="s">
        <v>4184</v>
      </c>
      <c r="AJ315" s="221" t="s">
        <v>4185</v>
      </c>
      <c r="AK315" s="30" t="s">
        <v>4186</v>
      </c>
      <c r="AL315" s="210"/>
      <c r="AM315" s="210"/>
      <c r="AN315" s="35"/>
      <c r="AO315" s="35" t="s">
        <v>4187</v>
      </c>
      <c r="AP315" s="25">
        <f t="shared" ca="1" si="12"/>
        <v>30</v>
      </c>
      <c r="AQ315" s="35"/>
      <c r="AR315" s="23"/>
      <c r="AS315" s="210"/>
      <c r="AT315" s="210"/>
      <c r="AU315" s="273">
        <v>34794</v>
      </c>
      <c r="AV315" s="64" t="s">
        <v>1352</v>
      </c>
      <c r="AW315" s="64" t="s">
        <v>32</v>
      </c>
      <c r="AX315" s="64">
        <v>4</v>
      </c>
      <c r="AY315" s="76" t="s">
        <v>2068</v>
      </c>
      <c r="AZ315" s="30" t="s">
        <v>26</v>
      </c>
      <c r="BA315" s="23" t="s">
        <v>151</v>
      </c>
      <c r="BB315" s="30" t="s">
        <v>34</v>
      </c>
      <c r="BC315" s="22"/>
    </row>
    <row r="316" spans="1:55" x14ac:dyDescent="0.25">
      <c r="A316" s="10">
        <f t="shared" si="10"/>
        <v>315</v>
      </c>
      <c r="B316" s="25" t="s">
        <v>1064</v>
      </c>
      <c r="C316" s="30" t="s">
        <v>34</v>
      </c>
      <c r="D316" s="65">
        <v>401271</v>
      </c>
      <c r="E316" s="31" t="s">
        <v>36</v>
      </c>
      <c r="F316" s="14" t="s">
        <v>1065</v>
      </c>
      <c r="G316" s="64">
        <v>6</v>
      </c>
      <c r="H316" s="66">
        <v>0.375</v>
      </c>
      <c r="I316" s="68" t="s">
        <v>236</v>
      </c>
      <c r="J316" s="66">
        <v>0.25</v>
      </c>
      <c r="K316" s="21" t="s">
        <v>968</v>
      </c>
      <c r="L316" s="108" t="s">
        <v>1066</v>
      </c>
      <c r="M316" s="30" t="s">
        <v>26</v>
      </c>
      <c r="N316" s="23" t="s">
        <v>38</v>
      </c>
      <c r="O316" s="23" t="s">
        <v>1321</v>
      </c>
      <c r="P316" s="258">
        <v>45828</v>
      </c>
      <c r="Q316" s="258">
        <v>45828</v>
      </c>
      <c r="R316" s="258">
        <v>46557</v>
      </c>
      <c r="S316" s="258">
        <v>46558</v>
      </c>
      <c r="T316" s="79">
        <v>2013</v>
      </c>
      <c r="U316" s="75" t="s">
        <v>1067</v>
      </c>
      <c r="V316" s="64">
        <v>2019</v>
      </c>
      <c r="W316" s="76" t="s">
        <v>1068</v>
      </c>
      <c r="X316" s="64" t="s">
        <v>30</v>
      </c>
      <c r="Y316" s="35" t="s">
        <v>66</v>
      </c>
      <c r="Z316" s="76" t="s">
        <v>4188</v>
      </c>
      <c r="AA316" s="23" t="s">
        <v>1841</v>
      </c>
      <c r="AB316" s="237"/>
      <c r="AC316" s="237"/>
      <c r="AD316" s="25">
        <v>9701265215</v>
      </c>
      <c r="AE316" s="255" t="s">
        <v>1069</v>
      </c>
      <c r="AF316" s="30" t="s">
        <v>1430</v>
      </c>
      <c r="AG316" s="221" t="s">
        <v>4189</v>
      </c>
      <c r="AH316" s="31" t="s">
        <v>4190</v>
      </c>
      <c r="AI316" s="31" t="s">
        <v>4191</v>
      </c>
      <c r="AJ316" s="221" t="s">
        <v>4192</v>
      </c>
      <c r="AK316" s="30" t="s">
        <v>4193</v>
      </c>
      <c r="AL316" s="210"/>
      <c r="AM316" s="210"/>
      <c r="AN316" s="35"/>
      <c r="AO316" s="35" t="s">
        <v>4194</v>
      </c>
      <c r="AP316" s="25">
        <f t="shared" ca="1" si="12"/>
        <v>36</v>
      </c>
      <c r="AQ316" s="35" t="s">
        <v>3988</v>
      </c>
      <c r="AR316" s="353" t="s">
        <v>4195</v>
      </c>
      <c r="AS316" s="250">
        <v>45654</v>
      </c>
      <c r="AT316" s="250">
        <v>46018</v>
      </c>
      <c r="AU316" s="273">
        <v>32755</v>
      </c>
      <c r="AV316" s="64" t="s">
        <v>1389</v>
      </c>
      <c r="AW316" s="64" t="s">
        <v>32</v>
      </c>
      <c r="AX316" s="64">
        <v>6</v>
      </c>
      <c r="AY316" s="91" t="s">
        <v>1904</v>
      </c>
      <c r="AZ316" s="30" t="s">
        <v>26</v>
      </c>
      <c r="BA316" s="23" t="s">
        <v>151</v>
      </c>
      <c r="BB316" s="30" t="s">
        <v>34</v>
      </c>
      <c r="BC316" s="22"/>
    </row>
    <row r="317" spans="1:55" x14ac:dyDescent="0.25">
      <c r="A317" s="10">
        <f t="shared" si="10"/>
        <v>316</v>
      </c>
      <c r="B317" s="25" t="s">
        <v>1070</v>
      </c>
      <c r="C317" s="30" t="s">
        <v>34</v>
      </c>
      <c r="D317" s="65">
        <v>401272</v>
      </c>
      <c r="E317" s="31" t="s">
        <v>36</v>
      </c>
      <c r="F317" s="14" t="s">
        <v>1071</v>
      </c>
      <c r="G317" s="64">
        <v>6</v>
      </c>
      <c r="H317" s="66">
        <v>0.41666666666666669</v>
      </c>
      <c r="I317" s="68" t="s">
        <v>1009</v>
      </c>
      <c r="J317" s="66">
        <v>0.16666666666666666</v>
      </c>
      <c r="K317" s="21" t="s">
        <v>563</v>
      </c>
      <c r="L317" s="108" t="s">
        <v>1072</v>
      </c>
      <c r="M317" s="30" t="s">
        <v>26</v>
      </c>
      <c r="N317" s="23" t="s">
        <v>38</v>
      </c>
      <c r="O317" s="23" t="s">
        <v>1321</v>
      </c>
      <c r="P317" s="258">
        <v>45828</v>
      </c>
      <c r="Q317" s="258">
        <v>45828</v>
      </c>
      <c r="R317" s="258">
        <v>46557</v>
      </c>
      <c r="S317" s="258">
        <v>46558</v>
      </c>
      <c r="T317" s="79">
        <v>2018</v>
      </c>
      <c r="U317" s="75" t="s">
        <v>343</v>
      </c>
      <c r="V317" s="64">
        <v>2023</v>
      </c>
      <c r="W317" s="76" t="s">
        <v>1073</v>
      </c>
      <c r="X317" s="64" t="s">
        <v>30</v>
      </c>
      <c r="Y317" s="35" t="s">
        <v>49</v>
      </c>
      <c r="Z317" s="76" t="s">
        <v>4196</v>
      </c>
      <c r="AA317" s="23" t="s">
        <v>1841</v>
      </c>
      <c r="AB317" s="161">
        <v>45618</v>
      </c>
      <c r="AC317" s="161">
        <v>47443</v>
      </c>
      <c r="AD317" s="25">
        <v>8186812763</v>
      </c>
      <c r="AE317" s="255" t="s">
        <v>1074</v>
      </c>
      <c r="AF317" s="28" t="s">
        <v>1495</v>
      </c>
      <c r="AG317" s="221" t="s">
        <v>4197</v>
      </c>
      <c r="AH317" s="31" t="s">
        <v>4198</v>
      </c>
      <c r="AI317" s="31" t="s">
        <v>4199</v>
      </c>
      <c r="AJ317" s="221" t="s">
        <v>4200</v>
      </c>
      <c r="AK317" s="30" t="s">
        <v>4201</v>
      </c>
      <c r="AL317" s="210"/>
      <c r="AM317" s="210"/>
      <c r="AN317" s="35"/>
      <c r="AO317" s="35" t="s">
        <v>4202</v>
      </c>
      <c r="AP317" s="25">
        <f t="shared" ca="1" si="12"/>
        <v>29</v>
      </c>
      <c r="AQ317" s="67" t="s">
        <v>1677</v>
      </c>
      <c r="AR317" s="222" t="s">
        <v>4203</v>
      </c>
      <c r="AS317" s="231">
        <v>45960</v>
      </c>
      <c r="AT317" s="231">
        <v>46324</v>
      </c>
      <c r="AU317" s="273">
        <v>35022</v>
      </c>
      <c r="AV317" s="64" t="s">
        <v>1389</v>
      </c>
      <c r="AW317" s="64" t="s">
        <v>32</v>
      </c>
      <c r="AX317" s="64">
        <v>4</v>
      </c>
      <c r="AY317" s="76" t="s">
        <v>1895</v>
      </c>
      <c r="AZ317" s="30" t="s">
        <v>26</v>
      </c>
      <c r="BA317" s="23" t="s">
        <v>151</v>
      </c>
      <c r="BB317" s="30" t="s">
        <v>34</v>
      </c>
      <c r="BC317" s="22"/>
    </row>
    <row r="318" spans="1:55" x14ac:dyDescent="0.25">
      <c r="A318" s="10">
        <f t="shared" si="10"/>
        <v>317</v>
      </c>
      <c r="B318" s="10" t="s">
        <v>1075</v>
      </c>
      <c r="C318" s="30" t="s">
        <v>34</v>
      </c>
      <c r="D318" s="65">
        <v>400571</v>
      </c>
      <c r="E318" s="31" t="s">
        <v>36</v>
      </c>
      <c r="F318" s="14" t="s">
        <v>1076</v>
      </c>
      <c r="G318" s="10">
        <v>6</v>
      </c>
      <c r="H318" s="66">
        <v>0.70833333333333337</v>
      </c>
      <c r="I318" s="66">
        <v>0.83333333333333337</v>
      </c>
      <c r="J318" s="66">
        <v>0.125</v>
      </c>
      <c r="K318" s="21" t="s">
        <v>840</v>
      </c>
      <c r="L318" s="30" t="s">
        <v>1077</v>
      </c>
      <c r="M318" s="30" t="s">
        <v>26</v>
      </c>
      <c r="N318" s="23" t="s">
        <v>38</v>
      </c>
      <c r="O318" s="23" t="s">
        <v>1321</v>
      </c>
      <c r="P318" s="161">
        <v>44851</v>
      </c>
      <c r="Q318" s="161">
        <v>45614</v>
      </c>
      <c r="R318" s="161">
        <v>46343</v>
      </c>
      <c r="S318" s="161">
        <v>46344</v>
      </c>
      <c r="T318" s="10">
        <v>1997</v>
      </c>
      <c r="U318" s="30" t="s">
        <v>1078</v>
      </c>
      <c r="V318" s="10">
        <v>2007</v>
      </c>
      <c r="W318" s="14" t="s">
        <v>1079</v>
      </c>
      <c r="X318" s="31" t="s">
        <v>30</v>
      </c>
      <c r="Y318" s="23" t="s">
        <v>66</v>
      </c>
      <c r="Z318" s="14">
        <v>41164</v>
      </c>
      <c r="AA318" s="23" t="s">
        <v>1841</v>
      </c>
      <c r="AB318" s="161">
        <v>45605</v>
      </c>
      <c r="AC318" s="161">
        <v>47430</v>
      </c>
      <c r="AD318" s="220">
        <v>9246886961</v>
      </c>
      <c r="AE318" s="224" t="s">
        <v>1080</v>
      </c>
      <c r="AF318" s="28" t="s">
        <v>1495</v>
      </c>
      <c r="AG318" s="221" t="s">
        <v>4204</v>
      </c>
      <c r="AH318" s="31" t="s">
        <v>4205</v>
      </c>
      <c r="AI318" s="31" t="s">
        <v>4206</v>
      </c>
      <c r="AJ318" s="221" t="s">
        <v>4207</v>
      </c>
      <c r="AK318" s="30" t="s">
        <v>4208</v>
      </c>
      <c r="AL318" s="210"/>
      <c r="AM318" s="210"/>
      <c r="AN318" s="35"/>
      <c r="AO318" s="35" t="s">
        <v>4209</v>
      </c>
      <c r="AP318" s="10">
        <f t="shared" ca="1" si="12"/>
        <v>55</v>
      </c>
      <c r="AQ318" s="30" t="s">
        <v>1605</v>
      </c>
      <c r="AR318" s="14" t="s">
        <v>4210</v>
      </c>
      <c r="AS318" s="210">
        <v>45597</v>
      </c>
      <c r="AT318" s="210">
        <v>45961</v>
      </c>
      <c r="AU318" s="223">
        <v>25749</v>
      </c>
      <c r="AV318" s="31" t="s">
        <v>1352</v>
      </c>
      <c r="AW318" s="31" t="s">
        <v>32</v>
      </c>
      <c r="AX318" s="10">
        <v>3</v>
      </c>
      <c r="AY318" s="14" t="s">
        <v>2006</v>
      </c>
      <c r="AZ318" s="30" t="s">
        <v>26</v>
      </c>
      <c r="BA318" s="23" t="s">
        <v>151</v>
      </c>
      <c r="BB318" s="30" t="s">
        <v>34</v>
      </c>
      <c r="BC318" s="22"/>
    </row>
    <row r="319" spans="1:55" x14ac:dyDescent="0.25">
      <c r="A319" s="10">
        <f t="shared" si="10"/>
        <v>318</v>
      </c>
      <c r="B319" s="54" t="s">
        <v>4211</v>
      </c>
      <c r="C319" s="594" t="s">
        <v>1407</v>
      </c>
      <c r="D319" s="78">
        <v>401276</v>
      </c>
      <c r="E319" s="54" t="s">
        <v>36</v>
      </c>
      <c r="F319" s="48" t="s">
        <v>4212</v>
      </c>
      <c r="G319" s="111">
        <v>6</v>
      </c>
      <c r="H319" s="77">
        <v>0.35416666666666669</v>
      </c>
      <c r="I319" s="90" t="s">
        <v>4213</v>
      </c>
      <c r="J319" s="77">
        <v>0.25</v>
      </c>
      <c r="K319" s="51" t="s">
        <v>1081</v>
      </c>
      <c r="L319" s="113" t="s">
        <v>4214</v>
      </c>
      <c r="M319" s="56" t="s">
        <v>26</v>
      </c>
      <c r="N319" s="52" t="s">
        <v>38</v>
      </c>
      <c r="O319" s="52" t="s">
        <v>1321</v>
      </c>
      <c r="P319" s="303">
        <v>45842</v>
      </c>
      <c r="Q319" s="303">
        <v>45842</v>
      </c>
      <c r="R319" s="303">
        <v>46571</v>
      </c>
      <c r="S319" s="303">
        <v>46572</v>
      </c>
      <c r="T319" s="112">
        <v>2019</v>
      </c>
      <c r="U319" s="56" t="s">
        <v>4215</v>
      </c>
      <c r="V319" s="111">
        <v>2025</v>
      </c>
      <c r="W319" s="56" t="s">
        <v>4216</v>
      </c>
      <c r="X319" s="111" t="s">
        <v>30</v>
      </c>
      <c r="Y319" s="51" t="s">
        <v>49</v>
      </c>
      <c r="Z319" s="48" t="s">
        <v>4217</v>
      </c>
      <c r="AA319" s="52" t="s">
        <v>1841</v>
      </c>
      <c r="AB319" s="238">
        <v>45832</v>
      </c>
      <c r="AC319" s="238">
        <v>47657</v>
      </c>
      <c r="AD319" s="55" t="s">
        <v>4218</v>
      </c>
      <c r="AE319" s="259" t="s">
        <v>4219</v>
      </c>
      <c r="AF319" s="49" t="s">
        <v>1495</v>
      </c>
      <c r="AG319" s="352" t="s">
        <v>4220</v>
      </c>
      <c r="AH319" s="54" t="s">
        <v>2257</v>
      </c>
      <c r="AI319" s="54" t="s">
        <v>4221</v>
      </c>
      <c r="AJ319" s="198" t="s">
        <v>4222</v>
      </c>
      <c r="AK319" s="56" t="s">
        <v>4223</v>
      </c>
      <c r="AL319" s="199">
        <v>45940</v>
      </c>
      <c r="AM319" s="199">
        <v>45920</v>
      </c>
      <c r="AN319" s="51" t="s">
        <v>4224</v>
      </c>
      <c r="AO319" s="51" t="s">
        <v>4225</v>
      </c>
      <c r="AP319" s="55">
        <f t="shared" ca="1" si="12"/>
        <v>29</v>
      </c>
      <c r="AQ319" s="51"/>
      <c r="AR319" s="52"/>
      <c r="AS319" s="199"/>
      <c r="AT319" s="199"/>
      <c r="AU319" s="351">
        <v>35168</v>
      </c>
      <c r="AV319" s="111" t="s">
        <v>1352</v>
      </c>
      <c r="AW319" s="111" t="s">
        <v>32</v>
      </c>
      <c r="AX319" s="111">
        <v>6</v>
      </c>
      <c r="AY319" s="48" t="s">
        <v>1881</v>
      </c>
      <c r="AZ319" s="56" t="s">
        <v>26</v>
      </c>
      <c r="BA319" s="52" t="s">
        <v>151</v>
      </c>
      <c r="BB319" s="56" t="s">
        <v>1407</v>
      </c>
      <c r="BC319" s="53"/>
    </row>
    <row r="320" spans="1:55" x14ac:dyDescent="0.25">
      <c r="A320" s="10">
        <f t="shared" si="10"/>
        <v>319</v>
      </c>
      <c r="B320" s="31" t="s">
        <v>4226</v>
      </c>
      <c r="C320" s="30" t="s">
        <v>34</v>
      </c>
      <c r="D320" s="65">
        <v>401277</v>
      </c>
      <c r="E320" s="31" t="s">
        <v>36</v>
      </c>
      <c r="F320" s="14" t="s">
        <v>4227</v>
      </c>
      <c r="G320" s="64">
        <v>6</v>
      </c>
      <c r="H320" s="66">
        <v>0.33333333333333331</v>
      </c>
      <c r="I320" s="68" t="s">
        <v>4228</v>
      </c>
      <c r="J320" s="66">
        <v>0.33333333333333331</v>
      </c>
      <c r="K320" s="21" t="s">
        <v>255</v>
      </c>
      <c r="L320" s="59" t="s">
        <v>30</v>
      </c>
      <c r="M320" s="30" t="s">
        <v>1908</v>
      </c>
      <c r="N320" s="23" t="s">
        <v>1909</v>
      </c>
      <c r="O320" s="30" t="s">
        <v>2482</v>
      </c>
      <c r="P320" s="258">
        <v>45835</v>
      </c>
      <c r="Q320" s="258">
        <v>45835</v>
      </c>
      <c r="R320" s="258">
        <v>46564</v>
      </c>
      <c r="S320" s="258">
        <v>46565</v>
      </c>
      <c r="T320" s="79">
        <v>2013</v>
      </c>
      <c r="U320" s="30" t="s">
        <v>4229</v>
      </c>
      <c r="V320" s="64">
        <v>2019</v>
      </c>
      <c r="W320" s="35" t="s">
        <v>4230</v>
      </c>
      <c r="X320" s="64" t="s">
        <v>30</v>
      </c>
      <c r="Y320" s="35" t="s">
        <v>2594</v>
      </c>
      <c r="Z320" s="30" t="s">
        <v>4231</v>
      </c>
      <c r="AA320" s="23" t="s">
        <v>1841</v>
      </c>
      <c r="AB320" s="237"/>
      <c r="AC320" s="237"/>
      <c r="AD320" s="10">
        <v>9655685020</v>
      </c>
      <c r="AE320" s="35" t="s">
        <v>4232</v>
      </c>
      <c r="AF320" s="30" t="s">
        <v>1805</v>
      </c>
      <c r="AG320" s="230" t="s">
        <v>4233</v>
      </c>
      <c r="AH320" s="31" t="s">
        <v>3669</v>
      </c>
      <c r="AI320" s="31" t="s">
        <v>4234</v>
      </c>
      <c r="AJ320" s="221" t="s">
        <v>4235</v>
      </c>
      <c r="AK320" s="30" t="s">
        <v>4236</v>
      </c>
      <c r="AL320" s="210"/>
      <c r="AM320" s="210"/>
      <c r="AN320" s="35"/>
      <c r="AO320" s="35" t="s">
        <v>4237</v>
      </c>
      <c r="AP320" s="10">
        <f t="shared" ca="1" si="12"/>
        <v>34</v>
      </c>
      <c r="AQ320" s="35"/>
      <c r="AR320" s="23"/>
      <c r="AS320" s="210"/>
      <c r="AT320" s="210"/>
      <c r="AU320" s="273">
        <v>33284</v>
      </c>
      <c r="AV320" s="64" t="s">
        <v>1389</v>
      </c>
      <c r="AW320" s="64" t="s">
        <v>68</v>
      </c>
      <c r="AX320" s="64">
        <v>8</v>
      </c>
      <c r="AY320" s="14" t="s">
        <v>2068</v>
      </c>
      <c r="AZ320" s="30" t="s">
        <v>1908</v>
      </c>
      <c r="BA320" s="23" t="s">
        <v>151</v>
      </c>
      <c r="BB320" s="30" t="s">
        <v>34</v>
      </c>
      <c r="BC320" s="22"/>
    </row>
    <row r="321" spans="1:55" x14ac:dyDescent="0.25">
      <c r="A321" s="10">
        <f t="shared" si="10"/>
        <v>320</v>
      </c>
      <c r="B321" s="31" t="s">
        <v>1082</v>
      </c>
      <c r="C321" s="30" t="s">
        <v>34</v>
      </c>
      <c r="D321" s="65">
        <v>401280</v>
      </c>
      <c r="E321" s="31" t="s">
        <v>36</v>
      </c>
      <c r="F321" s="14" t="s">
        <v>1083</v>
      </c>
      <c r="G321" s="64">
        <v>6</v>
      </c>
      <c r="H321" s="66">
        <v>0.375</v>
      </c>
      <c r="I321" s="68" t="s">
        <v>1084</v>
      </c>
      <c r="J321" s="66">
        <v>0.16666666666666666</v>
      </c>
      <c r="K321" s="21" t="s">
        <v>314</v>
      </c>
      <c r="L321" s="59" t="s">
        <v>1085</v>
      </c>
      <c r="M321" s="30" t="s">
        <v>26</v>
      </c>
      <c r="N321" s="23" t="s">
        <v>38</v>
      </c>
      <c r="O321" s="23" t="s">
        <v>1321</v>
      </c>
      <c r="P321" s="258">
        <v>45842</v>
      </c>
      <c r="Q321" s="258">
        <v>45842</v>
      </c>
      <c r="R321" s="258">
        <v>46571</v>
      </c>
      <c r="S321" s="258">
        <v>46572</v>
      </c>
      <c r="T321" s="79">
        <v>2012</v>
      </c>
      <c r="U321" s="30" t="s">
        <v>175</v>
      </c>
      <c r="V321" s="64">
        <v>2017</v>
      </c>
      <c r="W321" s="30" t="s">
        <v>169</v>
      </c>
      <c r="X321" s="64" t="s">
        <v>30</v>
      </c>
      <c r="Y321" s="35" t="s">
        <v>49</v>
      </c>
      <c r="Z321" s="14">
        <v>105124</v>
      </c>
      <c r="AA321" s="35" t="s">
        <v>1560</v>
      </c>
      <c r="AB321" s="161">
        <v>45851</v>
      </c>
      <c r="AC321" s="161">
        <v>47676</v>
      </c>
      <c r="AD321" s="10">
        <v>9676596342</v>
      </c>
      <c r="AE321" s="236" t="s">
        <v>1086</v>
      </c>
      <c r="AF321" s="30" t="s">
        <v>4238</v>
      </c>
      <c r="AG321" s="230" t="s">
        <v>4239</v>
      </c>
      <c r="AH321" s="31" t="s">
        <v>4240</v>
      </c>
      <c r="AI321" s="31" t="s">
        <v>4241</v>
      </c>
      <c r="AJ321" s="221" t="s">
        <v>4242</v>
      </c>
      <c r="AK321" s="30" t="s">
        <v>4243</v>
      </c>
      <c r="AL321" s="210"/>
      <c r="AM321" s="210"/>
      <c r="AN321" s="35"/>
      <c r="AO321" s="35" t="s">
        <v>4244</v>
      </c>
      <c r="AP321" s="10">
        <f t="shared" ca="1" si="12"/>
        <v>34</v>
      </c>
      <c r="AQ321" s="35" t="s">
        <v>1605</v>
      </c>
      <c r="AR321" s="222" t="s">
        <v>4245</v>
      </c>
      <c r="AS321" s="210">
        <v>45768</v>
      </c>
      <c r="AT321" s="210">
        <v>46132</v>
      </c>
      <c r="AU321" s="273">
        <v>33419</v>
      </c>
      <c r="AV321" s="64" t="s">
        <v>1389</v>
      </c>
      <c r="AW321" s="64" t="s">
        <v>32</v>
      </c>
      <c r="AX321" s="64">
        <v>4</v>
      </c>
      <c r="AY321" s="14" t="s">
        <v>2270</v>
      </c>
      <c r="AZ321" s="30" t="s">
        <v>26</v>
      </c>
      <c r="BA321" s="23" t="s">
        <v>151</v>
      </c>
      <c r="BB321" s="30" t="s">
        <v>34</v>
      </c>
      <c r="BC321" s="22"/>
    </row>
    <row r="322" spans="1:55" x14ac:dyDescent="0.25">
      <c r="A322" s="10">
        <f t="shared" si="10"/>
        <v>321</v>
      </c>
      <c r="B322" s="31" t="s">
        <v>1087</v>
      </c>
      <c r="C322" s="30" t="s">
        <v>34</v>
      </c>
      <c r="D322" s="65">
        <v>401281</v>
      </c>
      <c r="E322" s="31" t="s">
        <v>36</v>
      </c>
      <c r="F322" s="14" t="s">
        <v>1088</v>
      </c>
      <c r="G322" s="64">
        <v>6</v>
      </c>
      <c r="H322" s="66">
        <v>0.375</v>
      </c>
      <c r="I322" s="68" t="s">
        <v>1084</v>
      </c>
      <c r="J322" s="66">
        <v>0.16666666666666666</v>
      </c>
      <c r="K322" s="21" t="s">
        <v>1089</v>
      </c>
      <c r="L322" s="59" t="s">
        <v>1090</v>
      </c>
      <c r="M322" s="30" t="s">
        <v>26</v>
      </c>
      <c r="N322" s="23" t="s">
        <v>38</v>
      </c>
      <c r="O322" s="23" t="s">
        <v>1321</v>
      </c>
      <c r="P322" s="258">
        <v>45845</v>
      </c>
      <c r="Q322" s="258">
        <v>45901</v>
      </c>
      <c r="R322" s="258">
        <v>46574</v>
      </c>
      <c r="S322" s="258">
        <v>46575</v>
      </c>
      <c r="T322" s="79">
        <v>2017</v>
      </c>
      <c r="U322" s="39" t="s">
        <v>1091</v>
      </c>
      <c r="V322" s="64">
        <v>2025</v>
      </c>
      <c r="W322" s="39" t="s">
        <v>642</v>
      </c>
      <c r="X322" s="64" t="s">
        <v>30</v>
      </c>
      <c r="Y322" s="35" t="s">
        <v>49</v>
      </c>
      <c r="Z322" s="86" t="s">
        <v>4246</v>
      </c>
      <c r="AA322" s="23" t="s">
        <v>1841</v>
      </c>
      <c r="AB322" s="161">
        <v>45811</v>
      </c>
      <c r="AC322" s="161">
        <v>47636</v>
      </c>
      <c r="AD322" s="87">
        <v>7709397715</v>
      </c>
      <c r="AE322" s="354" t="s">
        <v>1092</v>
      </c>
      <c r="AF322" s="30" t="s">
        <v>1430</v>
      </c>
      <c r="AG322" s="230" t="s">
        <v>4247</v>
      </c>
      <c r="AH322" s="31" t="s">
        <v>4248</v>
      </c>
      <c r="AI322" s="31" t="s">
        <v>4249</v>
      </c>
      <c r="AJ322" s="204" t="s">
        <v>4250</v>
      </c>
      <c r="AK322" s="30" t="s">
        <v>4251</v>
      </c>
      <c r="AL322" s="210"/>
      <c r="AM322" s="210"/>
      <c r="AN322" s="35"/>
      <c r="AO322" s="35" t="s">
        <v>4252</v>
      </c>
      <c r="AP322" s="10">
        <f t="shared" ca="1" si="12"/>
        <v>29</v>
      </c>
      <c r="AQ322" s="35" t="s">
        <v>1605</v>
      </c>
      <c r="AR322" s="222" t="s">
        <v>4253</v>
      </c>
      <c r="AS322" s="166">
        <v>45846</v>
      </c>
      <c r="AT322" s="166">
        <v>46210</v>
      </c>
      <c r="AU322" s="273">
        <v>35303</v>
      </c>
      <c r="AV322" s="64" t="s">
        <v>1389</v>
      </c>
      <c r="AW322" s="64" t="s">
        <v>32</v>
      </c>
      <c r="AX322" s="64">
        <v>4</v>
      </c>
      <c r="AY322" s="14" t="s">
        <v>2189</v>
      </c>
      <c r="AZ322" s="30" t="s">
        <v>26</v>
      </c>
      <c r="BA322" s="23" t="s">
        <v>151</v>
      </c>
      <c r="BB322" s="30" t="s">
        <v>34</v>
      </c>
      <c r="BC322" s="22"/>
    </row>
    <row r="323" spans="1:55" x14ac:dyDescent="0.25">
      <c r="A323" s="10">
        <f t="shared" si="10"/>
        <v>322</v>
      </c>
      <c r="B323" s="31" t="s">
        <v>1093</v>
      </c>
      <c r="C323" s="30" t="s">
        <v>34</v>
      </c>
      <c r="D323" s="65">
        <v>401282</v>
      </c>
      <c r="E323" s="31" t="s">
        <v>192</v>
      </c>
      <c r="F323" s="14" t="s">
        <v>1094</v>
      </c>
      <c r="G323" s="64"/>
      <c r="H323" s="68"/>
      <c r="I323" s="66"/>
      <c r="J323" s="66"/>
      <c r="K323" s="21" t="s">
        <v>334</v>
      </c>
      <c r="L323" s="59" t="s">
        <v>855</v>
      </c>
      <c r="M323" s="30" t="s">
        <v>26</v>
      </c>
      <c r="N323" s="23" t="s">
        <v>38</v>
      </c>
      <c r="O323" s="23" t="s">
        <v>1321</v>
      </c>
      <c r="P323" s="258">
        <v>45847</v>
      </c>
      <c r="Q323" s="258">
        <v>45847</v>
      </c>
      <c r="R323" s="258">
        <v>46576</v>
      </c>
      <c r="S323" s="258">
        <v>46577</v>
      </c>
      <c r="T323" s="79">
        <v>2018</v>
      </c>
      <c r="U323" s="39" t="s">
        <v>1095</v>
      </c>
      <c r="V323" s="64">
        <v>2024</v>
      </c>
      <c r="W323" s="86" t="s">
        <v>1096</v>
      </c>
      <c r="X323" s="64" t="s">
        <v>30</v>
      </c>
      <c r="Y323" s="35" t="s">
        <v>39</v>
      </c>
      <c r="Z323" s="39" t="s">
        <v>4254</v>
      </c>
      <c r="AA323" s="23" t="s">
        <v>1841</v>
      </c>
      <c r="AB323" s="161">
        <v>44671</v>
      </c>
      <c r="AC323" s="161">
        <v>46496</v>
      </c>
      <c r="AD323" s="87">
        <v>8919493531</v>
      </c>
      <c r="AE323" s="43" t="s">
        <v>1097</v>
      </c>
      <c r="AF323" s="30" t="s">
        <v>1430</v>
      </c>
      <c r="AG323" s="174" t="s">
        <v>4255</v>
      </c>
      <c r="AH323" s="31" t="s">
        <v>4256</v>
      </c>
      <c r="AI323" s="31" t="s">
        <v>4257</v>
      </c>
      <c r="AJ323" s="209">
        <v>213970235344</v>
      </c>
      <c r="AK323" s="30" t="s">
        <v>4258</v>
      </c>
      <c r="AL323" s="210"/>
      <c r="AM323" s="210"/>
      <c r="AN323" s="35"/>
      <c r="AO323" s="35" t="s">
        <v>4259</v>
      </c>
      <c r="AP323" s="10"/>
      <c r="AQ323" s="35" t="s">
        <v>1605</v>
      </c>
      <c r="AR323" s="222" t="s">
        <v>4260</v>
      </c>
      <c r="AS323" s="166">
        <v>45845</v>
      </c>
      <c r="AT323" s="166">
        <v>46209</v>
      </c>
      <c r="AU323" s="355">
        <v>35454</v>
      </c>
      <c r="AV323" s="64" t="s">
        <v>1352</v>
      </c>
      <c r="AW323" s="31" t="s">
        <v>32</v>
      </c>
      <c r="AX323" s="10" t="s">
        <v>30</v>
      </c>
      <c r="AY323" s="14" t="s">
        <v>30</v>
      </c>
      <c r="AZ323" s="30" t="s">
        <v>26</v>
      </c>
      <c r="BA323" s="23" t="s">
        <v>151</v>
      </c>
      <c r="BB323" s="30" t="s">
        <v>34</v>
      </c>
      <c r="BC323" s="22"/>
    </row>
    <row r="324" spans="1:55" x14ac:dyDescent="0.25">
      <c r="A324" s="10">
        <f t="shared" ref="A324:A387" si="13">A323+1</f>
        <v>323</v>
      </c>
      <c r="B324" s="10" t="s">
        <v>489</v>
      </c>
      <c r="C324" s="30" t="s">
        <v>34</v>
      </c>
      <c r="D324" s="65">
        <v>401283</v>
      </c>
      <c r="E324" s="31" t="s">
        <v>192</v>
      </c>
      <c r="F324" s="14" t="s">
        <v>490</v>
      </c>
      <c r="G324" s="10"/>
      <c r="H324" s="66"/>
      <c r="I324" s="66"/>
      <c r="J324" s="66"/>
      <c r="K324" s="21" t="s">
        <v>334</v>
      </c>
      <c r="L324" s="30" t="s">
        <v>491</v>
      </c>
      <c r="M324" s="30" t="s">
        <v>26</v>
      </c>
      <c r="N324" s="23" t="s">
        <v>38</v>
      </c>
      <c r="O324" s="23" t="s">
        <v>1321</v>
      </c>
      <c r="P324" s="161">
        <v>45848</v>
      </c>
      <c r="Q324" s="161">
        <v>45848</v>
      </c>
      <c r="R324" s="161">
        <v>46669</v>
      </c>
      <c r="S324" s="161">
        <v>46578</v>
      </c>
      <c r="T324" s="10">
        <v>2010</v>
      </c>
      <c r="U324" s="30" t="s">
        <v>492</v>
      </c>
      <c r="V324" s="10">
        <v>2017</v>
      </c>
      <c r="W324" s="14" t="s">
        <v>493</v>
      </c>
      <c r="X324" s="31" t="s">
        <v>30</v>
      </c>
      <c r="Y324" s="35" t="s">
        <v>49</v>
      </c>
      <c r="Z324" s="14">
        <v>67175</v>
      </c>
      <c r="AA324" s="35" t="s">
        <v>1886</v>
      </c>
      <c r="AB324" s="161">
        <v>44949</v>
      </c>
      <c r="AC324" s="161">
        <v>46774</v>
      </c>
      <c r="AD324" s="220">
        <v>8106067386</v>
      </c>
      <c r="AE324" s="224" t="s">
        <v>494</v>
      </c>
      <c r="AF324" s="30" t="s">
        <v>1430</v>
      </c>
      <c r="AG324" s="221" t="s">
        <v>2788</v>
      </c>
      <c r="AH324" s="31" t="s">
        <v>2008</v>
      </c>
      <c r="AI324" s="31" t="s">
        <v>2789</v>
      </c>
      <c r="AJ324" s="221" t="s">
        <v>2790</v>
      </c>
      <c r="AK324" s="30"/>
      <c r="AL324" s="210"/>
      <c r="AM324" s="210"/>
      <c r="AN324" s="35"/>
      <c r="AO324" s="35" t="s">
        <v>4261</v>
      </c>
      <c r="AP324" s="10">
        <f ca="1">ROUNDDOWN((TODAY() -AU324)/365.25,0)</f>
        <v>39</v>
      </c>
      <c r="AQ324" s="35" t="s">
        <v>1605</v>
      </c>
      <c r="AR324" s="222" t="s">
        <v>2793</v>
      </c>
      <c r="AS324" s="182">
        <v>45865</v>
      </c>
      <c r="AT324" s="182">
        <v>46229</v>
      </c>
      <c r="AU324" s="223">
        <v>31633</v>
      </c>
      <c r="AV324" s="31" t="s">
        <v>1389</v>
      </c>
      <c r="AW324" s="31" t="s">
        <v>32</v>
      </c>
      <c r="AX324" s="10" t="s">
        <v>30</v>
      </c>
      <c r="AY324" s="14" t="s">
        <v>30</v>
      </c>
      <c r="AZ324" s="30" t="s">
        <v>26</v>
      </c>
      <c r="BA324" s="23" t="s">
        <v>151</v>
      </c>
      <c r="BB324" s="30" t="s">
        <v>34</v>
      </c>
      <c r="BC324" s="22"/>
    </row>
    <row r="325" spans="1:55" x14ac:dyDescent="0.25">
      <c r="A325" s="10">
        <f t="shared" si="13"/>
        <v>324</v>
      </c>
      <c r="B325" s="31" t="s">
        <v>1098</v>
      </c>
      <c r="C325" s="30" t="s">
        <v>34</v>
      </c>
      <c r="D325" s="65">
        <v>401284</v>
      </c>
      <c r="E325" s="31" t="s">
        <v>192</v>
      </c>
      <c r="F325" s="14" t="s">
        <v>1099</v>
      </c>
      <c r="G325" s="10"/>
      <c r="H325" s="66"/>
      <c r="I325" s="66"/>
      <c r="J325" s="66"/>
      <c r="K325" s="21" t="s">
        <v>334</v>
      </c>
      <c r="L325" s="30" t="s">
        <v>202</v>
      </c>
      <c r="M325" s="30" t="s">
        <v>26</v>
      </c>
      <c r="N325" s="23" t="s">
        <v>38</v>
      </c>
      <c r="O325" s="23" t="s">
        <v>1321</v>
      </c>
      <c r="P325" s="161">
        <v>45850</v>
      </c>
      <c r="Q325" s="161">
        <v>45850</v>
      </c>
      <c r="R325" s="161">
        <v>46579</v>
      </c>
      <c r="S325" s="161">
        <v>46580</v>
      </c>
      <c r="T325" s="10">
        <v>2019</v>
      </c>
      <c r="U325" s="30" t="s">
        <v>1100</v>
      </c>
      <c r="V325" s="10">
        <v>2025</v>
      </c>
      <c r="W325" s="14" t="s">
        <v>1101</v>
      </c>
      <c r="X325" s="31" t="s">
        <v>30</v>
      </c>
      <c r="Y325" s="35" t="s">
        <v>49</v>
      </c>
      <c r="Z325" s="14" t="s">
        <v>4262</v>
      </c>
      <c r="AA325" s="35" t="s">
        <v>1886</v>
      </c>
      <c r="AB325" s="161">
        <v>45789</v>
      </c>
      <c r="AC325" s="161">
        <v>47614</v>
      </c>
      <c r="AD325" s="220">
        <v>6302641640</v>
      </c>
      <c r="AE325" s="224" t="s">
        <v>1102</v>
      </c>
      <c r="AF325" s="28" t="s">
        <v>1495</v>
      </c>
      <c r="AG325" s="221" t="s">
        <v>4263</v>
      </c>
      <c r="AH325" s="31" t="s">
        <v>3364</v>
      </c>
      <c r="AI325" s="31" t="s">
        <v>4264</v>
      </c>
      <c r="AJ325" s="13"/>
      <c r="AK325" s="69" t="s">
        <v>4265</v>
      </c>
      <c r="AL325" s="210"/>
      <c r="AM325" s="210"/>
      <c r="AN325" s="35"/>
      <c r="AO325" s="35" t="s">
        <v>4266</v>
      </c>
      <c r="AP325" s="10">
        <f ca="1">ROUNDDOWN((TODAY() -AU325)/365.25,0)</f>
        <v>29</v>
      </c>
      <c r="AQ325" s="35" t="s">
        <v>1605</v>
      </c>
      <c r="AR325" s="23" t="s">
        <v>4267</v>
      </c>
      <c r="AS325" s="210">
        <v>45756</v>
      </c>
      <c r="AT325" s="210">
        <v>46120</v>
      </c>
      <c r="AU325" s="223">
        <v>35054</v>
      </c>
      <c r="AV325" s="31" t="s">
        <v>1352</v>
      </c>
      <c r="AW325" s="31" t="s">
        <v>32</v>
      </c>
      <c r="AX325" s="10" t="s">
        <v>30</v>
      </c>
      <c r="AY325" s="14" t="s">
        <v>30</v>
      </c>
      <c r="AZ325" s="30" t="s">
        <v>26</v>
      </c>
      <c r="BA325" s="23" t="s">
        <v>151</v>
      </c>
      <c r="BB325" s="30" t="s">
        <v>34</v>
      </c>
      <c r="BC325" s="22"/>
    </row>
    <row r="326" spans="1:55" x14ac:dyDescent="0.25">
      <c r="A326" s="10">
        <f t="shared" si="13"/>
        <v>325</v>
      </c>
      <c r="B326" s="31" t="s">
        <v>4268</v>
      </c>
      <c r="C326" s="30" t="s">
        <v>34</v>
      </c>
      <c r="D326" s="65">
        <v>401285</v>
      </c>
      <c r="E326" s="181" t="s">
        <v>9124</v>
      </c>
      <c r="F326" s="14" t="s">
        <v>4269</v>
      </c>
      <c r="G326" s="10">
        <v>4</v>
      </c>
      <c r="H326" s="66" t="s">
        <v>4270</v>
      </c>
      <c r="I326" s="66" t="s">
        <v>3390</v>
      </c>
      <c r="J326" s="66">
        <v>0.125</v>
      </c>
      <c r="K326" s="21" t="s">
        <v>748</v>
      </c>
      <c r="L326" s="30" t="s">
        <v>30</v>
      </c>
      <c r="M326" s="30" t="s">
        <v>1355</v>
      </c>
      <c r="N326" s="23" t="s">
        <v>1520</v>
      </c>
      <c r="O326" s="23" t="s">
        <v>4271</v>
      </c>
      <c r="P326" s="161">
        <v>45853</v>
      </c>
      <c r="Q326" s="161">
        <v>45853</v>
      </c>
      <c r="R326" s="161">
        <v>46582</v>
      </c>
      <c r="S326" s="161">
        <v>46583</v>
      </c>
      <c r="T326" s="10">
        <v>1999</v>
      </c>
      <c r="U326" s="30" t="s">
        <v>4272</v>
      </c>
      <c r="V326" s="10">
        <v>2015</v>
      </c>
      <c r="W326" s="30" t="s">
        <v>4273</v>
      </c>
      <c r="X326" s="31" t="s">
        <v>30</v>
      </c>
      <c r="Y326" s="35" t="s">
        <v>1360</v>
      </c>
      <c r="Z326" s="14">
        <v>57413</v>
      </c>
      <c r="AA326" s="35" t="s">
        <v>1323</v>
      </c>
      <c r="AB326" s="161">
        <v>44562</v>
      </c>
      <c r="AC326" s="161">
        <v>46387</v>
      </c>
      <c r="AD326" s="10" t="s">
        <v>4274</v>
      </c>
      <c r="AE326" s="236" t="s">
        <v>4275</v>
      </c>
      <c r="AF326" s="28" t="s">
        <v>1495</v>
      </c>
      <c r="AG326" s="221" t="s">
        <v>4276</v>
      </c>
      <c r="AH326" s="31" t="s">
        <v>4277</v>
      </c>
      <c r="AI326" s="31" t="s">
        <v>4278</v>
      </c>
      <c r="AJ326" s="221" t="s">
        <v>4279</v>
      </c>
      <c r="AK326" s="30" t="s">
        <v>4280</v>
      </c>
      <c r="AL326" s="210"/>
      <c r="AM326" s="210"/>
      <c r="AN326" s="35"/>
      <c r="AO326" s="35" t="s">
        <v>4281</v>
      </c>
      <c r="AP326" s="10">
        <f ca="1">ROUNDDOWN((TODAY() -AU326)/365.25,0)</f>
        <v>49</v>
      </c>
      <c r="AQ326" s="35"/>
      <c r="AR326" s="23"/>
      <c r="AS326" s="210"/>
      <c r="AT326" s="210"/>
      <c r="AU326" s="223">
        <v>27843</v>
      </c>
      <c r="AV326" s="31" t="s">
        <v>1352</v>
      </c>
      <c r="AW326" s="10" t="s">
        <v>32</v>
      </c>
      <c r="AX326" s="10">
        <v>3</v>
      </c>
      <c r="AY326" s="14" t="s">
        <v>2703</v>
      </c>
      <c r="AZ326" s="30" t="s">
        <v>1373</v>
      </c>
      <c r="BA326" s="23" t="s">
        <v>151</v>
      </c>
      <c r="BB326" s="30" t="s">
        <v>34</v>
      </c>
      <c r="BC326" s="22"/>
    </row>
    <row r="327" spans="1:55" x14ac:dyDescent="0.25">
      <c r="A327" s="10">
        <f t="shared" si="13"/>
        <v>326</v>
      </c>
      <c r="B327" s="31" t="s">
        <v>1103</v>
      </c>
      <c r="C327" s="30" t="s">
        <v>34</v>
      </c>
      <c r="D327" s="65">
        <v>401286</v>
      </c>
      <c r="E327" s="31" t="s">
        <v>192</v>
      </c>
      <c r="F327" s="14" t="s">
        <v>1104</v>
      </c>
      <c r="G327" s="79">
        <v>2</v>
      </c>
      <c r="H327" s="66">
        <v>0.77083333333333337</v>
      </c>
      <c r="I327" s="68" t="s">
        <v>1105</v>
      </c>
      <c r="J327" s="66">
        <v>4.1666666666666664E-2</v>
      </c>
      <c r="K327" s="21" t="s">
        <v>952</v>
      </c>
      <c r="L327" s="59" t="s">
        <v>1106</v>
      </c>
      <c r="M327" s="59" t="s">
        <v>26</v>
      </c>
      <c r="N327" s="23" t="s">
        <v>38</v>
      </c>
      <c r="O327" s="23" t="s">
        <v>1321</v>
      </c>
      <c r="P327" s="258">
        <v>45857</v>
      </c>
      <c r="Q327" s="258">
        <v>45857</v>
      </c>
      <c r="R327" s="258">
        <v>46586</v>
      </c>
      <c r="S327" s="258">
        <v>46587</v>
      </c>
      <c r="T327" s="79"/>
      <c r="U327" s="30" t="s">
        <v>1107</v>
      </c>
      <c r="V327" s="64"/>
      <c r="W327" s="30" t="s">
        <v>1108</v>
      </c>
      <c r="X327" s="64" t="s">
        <v>30</v>
      </c>
      <c r="Y327" s="35" t="s">
        <v>39</v>
      </c>
      <c r="Z327" s="14">
        <v>74961</v>
      </c>
      <c r="AA327" s="271" t="s">
        <v>1323</v>
      </c>
      <c r="AB327" s="161" t="s">
        <v>30</v>
      </c>
      <c r="AC327" s="161" t="s">
        <v>30</v>
      </c>
      <c r="AD327" s="31">
        <v>8336856764</v>
      </c>
      <c r="AE327" s="236" t="s">
        <v>1109</v>
      </c>
      <c r="AF327" s="28" t="s">
        <v>1495</v>
      </c>
      <c r="AG327" s="221" t="s">
        <v>4282</v>
      </c>
      <c r="AH327" s="31" t="s">
        <v>4283</v>
      </c>
      <c r="AI327" s="31" t="s">
        <v>4284</v>
      </c>
      <c r="AJ327" s="221" t="s">
        <v>4285</v>
      </c>
      <c r="AK327" s="30" t="s">
        <v>4286</v>
      </c>
      <c r="AL327" s="210"/>
      <c r="AM327" s="210"/>
      <c r="AN327" s="35"/>
      <c r="AO327" s="35" t="s">
        <v>4287</v>
      </c>
      <c r="AP327" s="10"/>
      <c r="AQ327" s="229"/>
      <c r="AR327" s="243"/>
      <c r="AS327" s="244"/>
      <c r="AT327" s="244"/>
      <c r="AU327" s="273"/>
      <c r="AV327" s="64"/>
      <c r="AW327" s="10" t="s">
        <v>32</v>
      </c>
      <c r="AX327" s="57">
        <v>1</v>
      </c>
      <c r="AY327" s="14" t="s">
        <v>2703</v>
      </c>
      <c r="AZ327" s="30" t="s">
        <v>26</v>
      </c>
      <c r="BA327" s="23" t="s">
        <v>151</v>
      </c>
      <c r="BB327" s="30" t="s">
        <v>34</v>
      </c>
      <c r="BC327" s="22"/>
    </row>
    <row r="328" spans="1:55" x14ac:dyDescent="0.25">
      <c r="A328" s="10">
        <f t="shared" si="13"/>
        <v>327</v>
      </c>
      <c r="B328" s="54" t="s">
        <v>1110</v>
      </c>
      <c r="C328" s="56" t="s">
        <v>34</v>
      </c>
      <c r="D328" s="78">
        <v>401287</v>
      </c>
      <c r="E328" s="54" t="s">
        <v>36</v>
      </c>
      <c r="F328" s="48" t="s">
        <v>1111</v>
      </c>
      <c r="G328" s="55">
        <v>6</v>
      </c>
      <c r="H328" s="77">
        <v>0.45833333333333331</v>
      </c>
      <c r="I328" s="90" t="s">
        <v>236</v>
      </c>
      <c r="J328" s="77">
        <v>0.16666666666666666</v>
      </c>
      <c r="K328" s="51" t="s">
        <v>990</v>
      </c>
      <c r="L328" s="113" t="s">
        <v>1112</v>
      </c>
      <c r="M328" s="113" t="s">
        <v>26</v>
      </c>
      <c r="N328" s="52" t="s">
        <v>38</v>
      </c>
      <c r="O328" s="52" t="s">
        <v>1321</v>
      </c>
      <c r="P328" s="238">
        <v>45855</v>
      </c>
      <c r="Q328" s="238">
        <v>45855</v>
      </c>
      <c r="R328" s="238">
        <v>46584</v>
      </c>
      <c r="S328" s="238">
        <v>46585</v>
      </c>
      <c r="T328" s="55">
        <v>2016</v>
      </c>
      <c r="U328" s="56" t="s">
        <v>812</v>
      </c>
      <c r="V328" s="55">
        <v>2023</v>
      </c>
      <c r="W328" s="56" t="s">
        <v>1113</v>
      </c>
      <c r="X328" s="54" t="s">
        <v>30</v>
      </c>
      <c r="Y328" s="51" t="s">
        <v>49</v>
      </c>
      <c r="Z328" s="48" t="s">
        <v>4288</v>
      </c>
      <c r="AA328" s="51" t="s">
        <v>1560</v>
      </c>
      <c r="AB328" s="238">
        <v>45863</v>
      </c>
      <c r="AC328" s="238">
        <v>47688</v>
      </c>
      <c r="AD328" s="55">
        <v>9666332222</v>
      </c>
      <c r="AE328" s="259" t="s">
        <v>1114</v>
      </c>
      <c r="AF328" s="56" t="s">
        <v>2840</v>
      </c>
      <c r="AG328" s="352" t="s">
        <v>4289</v>
      </c>
      <c r="AH328" s="53" t="s">
        <v>4290</v>
      </c>
      <c r="AI328" s="54" t="s">
        <v>4291</v>
      </c>
      <c r="AJ328" s="198" t="s">
        <v>4292</v>
      </c>
      <c r="AK328" s="56" t="s">
        <v>4293</v>
      </c>
      <c r="AL328" s="199">
        <v>46022</v>
      </c>
      <c r="AM328" s="199" t="s">
        <v>30</v>
      </c>
      <c r="AN328" s="51" t="s">
        <v>4294</v>
      </c>
      <c r="AO328" s="51" t="s">
        <v>4295</v>
      </c>
      <c r="AP328" s="55">
        <f ca="1">ROUNDDOWN((TODAY() -AU328)/365.25,0)</f>
        <v>31</v>
      </c>
      <c r="AQ328" s="51"/>
      <c r="AR328" s="52"/>
      <c r="AS328" s="199"/>
      <c r="AT328" s="199"/>
      <c r="AU328" s="242">
        <v>34314</v>
      </c>
      <c r="AV328" s="54" t="s">
        <v>1352</v>
      </c>
      <c r="AW328" s="55" t="s">
        <v>32</v>
      </c>
      <c r="AX328" s="55">
        <v>4</v>
      </c>
      <c r="AY328" s="48" t="s">
        <v>3225</v>
      </c>
      <c r="AZ328" s="56" t="s">
        <v>26</v>
      </c>
      <c r="BA328" s="52" t="s">
        <v>151</v>
      </c>
      <c r="BB328" s="56" t="s">
        <v>34</v>
      </c>
      <c r="BC328" s="53"/>
    </row>
    <row r="329" spans="1:55" x14ac:dyDescent="0.25">
      <c r="A329" s="10">
        <f t="shared" si="13"/>
        <v>328</v>
      </c>
      <c r="B329" s="31" t="s">
        <v>1115</v>
      </c>
      <c r="C329" s="30" t="s">
        <v>34</v>
      </c>
      <c r="D329" s="65">
        <v>401288</v>
      </c>
      <c r="E329" s="31" t="s">
        <v>36</v>
      </c>
      <c r="F329" s="14" t="s">
        <v>1116</v>
      </c>
      <c r="G329" s="10">
        <v>6</v>
      </c>
      <c r="H329" s="66">
        <v>0.35416666666666669</v>
      </c>
      <c r="I329" s="68" t="s">
        <v>146</v>
      </c>
      <c r="J329" s="66">
        <v>0.33333333333333331</v>
      </c>
      <c r="K329" s="21" t="s">
        <v>713</v>
      </c>
      <c r="L329" s="59" t="s">
        <v>1117</v>
      </c>
      <c r="M329" s="30" t="s">
        <v>26</v>
      </c>
      <c r="N329" s="23" t="s">
        <v>38</v>
      </c>
      <c r="O329" s="23" t="s">
        <v>1321</v>
      </c>
      <c r="P329" s="161">
        <v>45866</v>
      </c>
      <c r="Q329" s="161">
        <v>45866</v>
      </c>
      <c r="R329" s="161">
        <v>46595</v>
      </c>
      <c r="S329" s="161">
        <v>46596</v>
      </c>
      <c r="T329" s="10">
        <v>2017</v>
      </c>
      <c r="U329" s="30" t="s">
        <v>515</v>
      </c>
      <c r="V329" s="10">
        <v>2022</v>
      </c>
      <c r="W329" s="30" t="s">
        <v>516</v>
      </c>
      <c r="X329" s="64" t="s">
        <v>30</v>
      </c>
      <c r="Y329" s="35" t="s">
        <v>49</v>
      </c>
      <c r="Z329" s="59" t="s">
        <v>4296</v>
      </c>
      <c r="AA329" s="35" t="s">
        <v>1886</v>
      </c>
      <c r="AB329" s="161">
        <v>44820</v>
      </c>
      <c r="AC329" s="161">
        <v>46645</v>
      </c>
      <c r="AD329" s="10">
        <v>8179679662</v>
      </c>
      <c r="AE329" s="236" t="s">
        <v>1118</v>
      </c>
      <c r="AF329" s="30" t="s">
        <v>1410</v>
      </c>
      <c r="AG329" s="221" t="s">
        <v>4297</v>
      </c>
      <c r="AH329" s="31" t="s">
        <v>2678</v>
      </c>
      <c r="AI329" s="31" t="s">
        <v>4298</v>
      </c>
      <c r="AJ329" s="221" t="s">
        <v>4299</v>
      </c>
      <c r="AK329" s="30" t="s">
        <v>4300</v>
      </c>
      <c r="AL329" s="210"/>
      <c r="AM329" s="210"/>
      <c r="AN329" s="35"/>
      <c r="AO329" s="35" t="s">
        <v>4301</v>
      </c>
      <c r="AP329" s="10">
        <f ca="1">ROUNDDOWN((TODAY() -AU329)/365.25,0)</f>
        <v>31</v>
      </c>
      <c r="AQ329" s="35"/>
      <c r="AR329" s="23"/>
      <c r="AS329" s="210"/>
      <c r="AT329" s="210"/>
      <c r="AU329" s="223">
        <v>34622</v>
      </c>
      <c r="AV329" s="31" t="s">
        <v>1389</v>
      </c>
      <c r="AW329" s="10" t="s">
        <v>68</v>
      </c>
      <c r="AX329" s="10">
        <v>8</v>
      </c>
      <c r="AY329" s="14" t="s">
        <v>2262</v>
      </c>
      <c r="AZ329" s="30" t="s">
        <v>26</v>
      </c>
      <c r="BA329" s="23" t="s">
        <v>151</v>
      </c>
      <c r="BB329" s="30" t="s">
        <v>34</v>
      </c>
      <c r="BC329" s="22"/>
    </row>
    <row r="330" spans="1:55" x14ac:dyDescent="0.25">
      <c r="A330" s="356">
        <f t="shared" si="13"/>
        <v>329</v>
      </c>
      <c r="B330" s="357" t="s">
        <v>1119</v>
      </c>
      <c r="C330" s="594" t="s">
        <v>1407</v>
      </c>
      <c r="D330" s="358">
        <v>401289</v>
      </c>
      <c r="E330" s="357" t="s">
        <v>36</v>
      </c>
      <c r="F330" s="359" t="s">
        <v>1120</v>
      </c>
      <c r="G330" s="356">
        <v>6</v>
      </c>
      <c r="H330" s="361" t="s">
        <v>989</v>
      </c>
      <c r="I330" s="362">
        <v>0.83333333333333337</v>
      </c>
      <c r="J330" s="362">
        <v>0.125</v>
      </c>
      <c r="K330" s="363" t="s">
        <v>453</v>
      </c>
      <c r="L330" s="364" t="s">
        <v>1121</v>
      </c>
      <c r="M330" s="360" t="s">
        <v>26</v>
      </c>
      <c r="N330" s="365" t="s">
        <v>38</v>
      </c>
      <c r="O330" s="365" t="s">
        <v>1321</v>
      </c>
      <c r="P330" s="366">
        <v>45859</v>
      </c>
      <c r="Q330" s="366">
        <v>45859</v>
      </c>
      <c r="R330" s="366">
        <v>46588</v>
      </c>
      <c r="S330" s="366">
        <v>46589</v>
      </c>
      <c r="T330" s="356">
        <v>2018</v>
      </c>
      <c r="U330" s="360" t="s">
        <v>812</v>
      </c>
      <c r="V330" s="356">
        <v>2024</v>
      </c>
      <c r="W330" s="360" t="s">
        <v>1122</v>
      </c>
      <c r="X330" s="367" t="s">
        <v>30</v>
      </c>
      <c r="Y330" s="363" t="s">
        <v>49</v>
      </c>
      <c r="Z330" s="364" t="s">
        <v>4302</v>
      </c>
      <c r="AA330" s="363" t="s">
        <v>1886</v>
      </c>
      <c r="AB330" s="366">
        <v>45783</v>
      </c>
      <c r="AC330" s="366">
        <v>47608</v>
      </c>
      <c r="AD330" s="356">
        <v>8985066333</v>
      </c>
      <c r="AE330" s="368" t="s">
        <v>1123</v>
      </c>
      <c r="AF330" s="369" t="s">
        <v>1495</v>
      </c>
      <c r="AG330" s="370" t="s">
        <v>4303</v>
      </c>
      <c r="AH330" s="357" t="s">
        <v>4304</v>
      </c>
      <c r="AI330" s="357" t="s">
        <v>4305</v>
      </c>
      <c r="AJ330" s="370" t="s">
        <v>4306</v>
      </c>
      <c r="AK330" s="360" t="s">
        <v>4307</v>
      </c>
      <c r="AL330" s="371">
        <v>45973</v>
      </c>
      <c r="AM330" s="199" t="s">
        <v>30</v>
      </c>
      <c r="AN330" s="363" t="s">
        <v>4308</v>
      </c>
      <c r="AO330" s="363" t="s">
        <v>4309</v>
      </c>
      <c r="AP330" s="356">
        <f ca="1">ROUNDDOWN((TODAY() -AU330)/365.25,0)</f>
        <v>30</v>
      </c>
      <c r="AQ330" s="363" t="s">
        <v>1605</v>
      </c>
      <c r="AR330" s="372" t="s">
        <v>4310</v>
      </c>
      <c r="AS330" s="373">
        <v>45911</v>
      </c>
      <c r="AT330" s="373">
        <v>46275</v>
      </c>
      <c r="AU330" s="374">
        <v>34938</v>
      </c>
      <c r="AV330" s="357" t="s">
        <v>1352</v>
      </c>
      <c r="AW330" s="356" t="s">
        <v>32</v>
      </c>
      <c r="AX330" s="356">
        <v>3</v>
      </c>
      <c r="AY330" s="359" t="s">
        <v>1920</v>
      </c>
      <c r="AZ330" s="360" t="s">
        <v>26</v>
      </c>
      <c r="BA330" s="365" t="s">
        <v>151</v>
      </c>
      <c r="BB330" s="56" t="s">
        <v>1407</v>
      </c>
      <c r="BC330" s="375"/>
    </row>
    <row r="331" spans="1:55" x14ac:dyDescent="0.25">
      <c r="A331" s="55">
        <f t="shared" si="13"/>
        <v>330</v>
      </c>
      <c r="B331" s="54" t="s">
        <v>1124</v>
      </c>
      <c r="C331" s="56" t="s">
        <v>34</v>
      </c>
      <c r="D331" s="78">
        <v>401290</v>
      </c>
      <c r="E331" s="54" t="s">
        <v>268</v>
      </c>
      <c r="F331" s="48" t="s">
        <v>1125</v>
      </c>
      <c r="G331" s="55">
        <v>6</v>
      </c>
      <c r="H331" s="77">
        <v>0.45833333333333331</v>
      </c>
      <c r="I331" s="77">
        <v>0.79166666666666663</v>
      </c>
      <c r="J331" s="77">
        <v>0.33333333333333331</v>
      </c>
      <c r="K331" s="51" t="s">
        <v>446</v>
      </c>
      <c r="L331" s="113" t="s">
        <v>1126</v>
      </c>
      <c r="M331" s="56" t="s">
        <v>26</v>
      </c>
      <c r="N331" s="52" t="s">
        <v>38</v>
      </c>
      <c r="O331" s="52" t="s">
        <v>1321</v>
      </c>
      <c r="P331" s="238">
        <v>45859</v>
      </c>
      <c r="Q331" s="238">
        <v>45859</v>
      </c>
      <c r="R331" s="238">
        <v>46588</v>
      </c>
      <c r="S331" s="238">
        <v>46589</v>
      </c>
      <c r="T331" s="55">
        <v>2014</v>
      </c>
      <c r="U331" s="56" t="s">
        <v>1127</v>
      </c>
      <c r="V331" s="55">
        <v>2020</v>
      </c>
      <c r="W331" s="56" t="s">
        <v>1128</v>
      </c>
      <c r="X331" s="111" t="s">
        <v>30</v>
      </c>
      <c r="Y331" s="51" t="s">
        <v>49</v>
      </c>
      <c r="Z331" s="48" t="s">
        <v>4311</v>
      </c>
      <c r="AA331" s="52" t="s">
        <v>1841</v>
      </c>
      <c r="AB331" s="238"/>
      <c r="AC331" s="238"/>
      <c r="AD331" s="55" t="s">
        <v>1129</v>
      </c>
      <c r="AE331" s="259" t="s">
        <v>1130</v>
      </c>
      <c r="AF331" s="56" t="s">
        <v>1410</v>
      </c>
      <c r="AG331" s="198" t="s">
        <v>4312</v>
      </c>
      <c r="AH331" s="54" t="s">
        <v>4313</v>
      </c>
      <c r="AI331" s="54" t="s">
        <v>4314</v>
      </c>
      <c r="AJ331" s="198" t="s">
        <v>4315</v>
      </c>
      <c r="AK331" s="56" t="s">
        <v>4316</v>
      </c>
      <c r="AL331" s="199">
        <v>46022</v>
      </c>
      <c r="AM331" s="199">
        <v>45960</v>
      </c>
      <c r="AN331" s="56" t="s">
        <v>4317</v>
      </c>
      <c r="AO331" s="51" t="s">
        <v>4318</v>
      </c>
      <c r="AP331" s="55">
        <f ca="1">ROUNDDOWN((TODAY() -AU331)/365.25,0)</f>
        <v>37</v>
      </c>
      <c r="AQ331" s="51" t="s">
        <v>1605</v>
      </c>
      <c r="AR331" s="376" t="s">
        <v>4319</v>
      </c>
      <c r="AS331" s="196">
        <v>45785</v>
      </c>
      <c r="AT331" s="196">
        <v>46149</v>
      </c>
      <c r="AU331" s="242">
        <v>32208</v>
      </c>
      <c r="AV331" s="54" t="s">
        <v>1352</v>
      </c>
      <c r="AW331" s="55" t="s">
        <v>68</v>
      </c>
      <c r="AX331" s="55">
        <v>8</v>
      </c>
      <c r="AY331" s="48" t="s">
        <v>1849</v>
      </c>
      <c r="AZ331" s="56" t="s">
        <v>26</v>
      </c>
      <c r="BA331" s="52" t="s">
        <v>151</v>
      </c>
      <c r="BB331" s="56" t="s">
        <v>34</v>
      </c>
      <c r="BC331" s="53"/>
    </row>
    <row r="332" spans="1:55" x14ac:dyDescent="0.25">
      <c r="A332" s="10">
        <f t="shared" si="13"/>
        <v>331</v>
      </c>
      <c r="B332" s="31" t="s">
        <v>1131</v>
      </c>
      <c r="C332" s="30" t="s">
        <v>34</v>
      </c>
      <c r="D332" s="65">
        <v>401291</v>
      </c>
      <c r="E332" s="31" t="s">
        <v>192</v>
      </c>
      <c r="F332" s="14" t="s">
        <v>1132</v>
      </c>
      <c r="G332" s="10"/>
      <c r="H332" s="66"/>
      <c r="I332" s="66"/>
      <c r="J332" s="66"/>
      <c r="K332" s="21" t="s">
        <v>334</v>
      </c>
      <c r="L332" s="30" t="s">
        <v>202</v>
      </c>
      <c r="M332" s="30" t="s">
        <v>26</v>
      </c>
      <c r="N332" s="23" t="s">
        <v>38</v>
      </c>
      <c r="O332" s="23" t="s">
        <v>1321</v>
      </c>
      <c r="P332" s="161">
        <v>45862</v>
      </c>
      <c r="Q332" s="161">
        <v>45862</v>
      </c>
      <c r="R332" s="161">
        <v>46591</v>
      </c>
      <c r="S332" s="161">
        <v>46592</v>
      </c>
      <c r="T332" s="10">
        <v>2010</v>
      </c>
      <c r="U332" s="30" t="s">
        <v>448</v>
      </c>
      <c r="V332" s="10">
        <v>2020</v>
      </c>
      <c r="W332" s="14"/>
      <c r="X332" s="64" t="s">
        <v>30</v>
      </c>
      <c r="Y332" s="23" t="s">
        <v>66</v>
      </c>
      <c r="Z332" s="86">
        <v>71514</v>
      </c>
      <c r="AA332" s="23" t="s">
        <v>1841</v>
      </c>
      <c r="AB332" s="161">
        <v>44536</v>
      </c>
      <c r="AC332" s="161">
        <v>46361</v>
      </c>
      <c r="AD332" s="87">
        <v>7893628987</v>
      </c>
      <c r="AE332" s="43" t="s">
        <v>1133</v>
      </c>
      <c r="AF332" s="30" t="s">
        <v>1364</v>
      </c>
      <c r="AG332" s="230" t="s">
        <v>4320</v>
      </c>
      <c r="AH332" s="31" t="s">
        <v>3293</v>
      </c>
      <c r="AI332" s="31" t="s">
        <v>4321</v>
      </c>
      <c r="AJ332" s="221" t="s">
        <v>4322</v>
      </c>
      <c r="AK332" s="30" t="s">
        <v>4323</v>
      </c>
      <c r="AL332" s="210"/>
      <c r="AM332" s="210"/>
      <c r="AN332" s="35"/>
      <c r="AO332" s="43" t="s">
        <v>4324</v>
      </c>
      <c r="AP332" s="10"/>
      <c r="AQ332" s="35" t="s">
        <v>1605</v>
      </c>
      <c r="AR332" s="23" t="s">
        <v>4325</v>
      </c>
      <c r="AS332" s="210">
        <v>45605</v>
      </c>
      <c r="AT332" s="210">
        <v>45969</v>
      </c>
      <c r="AU332" s="223">
        <v>31905</v>
      </c>
      <c r="AV332" s="31" t="s">
        <v>1389</v>
      </c>
      <c r="AW332" s="31" t="s">
        <v>32</v>
      </c>
      <c r="AX332" s="10" t="s">
        <v>30</v>
      </c>
      <c r="AY332" s="14" t="s">
        <v>30</v>
      </c>
      <c r="AZ332" s="30" t="s">
        <v>26</v>
      </c>
      <c r="BA332" s="23" t="s">
        <v>151</v>
      </c>
      <c r="BB332" s="30" t="s">
        <v>34</v>
      </c>
      <c r="BC332" s="22"/>
    </row>
    <row r="333" spans="1:55" x14ac:dyDescent="0.25">
      <c r="A333" s="10">
        <f t="shared" si="13"/>
        <v>332</v>
      </c>
      <c r="B333" s="31" t="s">
        <v>4326</v>
      </c>
      <c r="C333" s="30" t="s">
        <v>34</v>
      </c>
      <c r="D333" s="65">
        <v>401292</v>
      </c>
      <c r="E333" s="31" t="s">
        <v>36</v>
      </c>
      <c r="F333" s="14" t="s">
        <v>4327</v>
      </c>
      <c r="G333" s="10">
        <v>6</v>
      </c>
      <c r="H333" s="66">
        <v>0.33333333333333331</v>
      </c>
      <c r="I333" s="66">
        <v>0.875</v>
      </c>
      <c r="J333" s="66">
        <v>0.33333333333333331</v>
      </c>
      <c r="K333" s="21" t="s">
        <v>1884</v>
      </c>
      <c r="L333" s="30" t="s">
        <v>30</v>
      </c>
      <c r="M333" s="30" t="s">
        <v>1355</v>
      </c>
      <c r="N333" s="23" t="s">
        <v>1520</v>
      </c>
      <c r="O333" s="35" t="s">
        <v>1357</v>
      </c>
      <c r="P333" s="161">
        <v>45870</v>
      </c>
      <c r="Q333" s="161">
        <v>45870</v>
      </c>
      <c r="R333" s="161">
        <v>46599</v>
      </c>
      <c r="S333" s="161">
        <v>46600</v>
      </c>
      <c r="T333" s="10">
        <v>2014</v>
      </c>
      <c r="U333" s="30" t="s">
        <v>4328</v>
      </c>
      <c r="V333" s="10">
        <v>2021</v>
      </c>
      <c r="W333" s="14" t="s">
        <v>516</v>
      </c>
      <c r="X333" s="31" t="s">
        <v>30</v>
      </c>
      <c r="Y333" s="35" t="s">
        <v>1360</v>
      </c>
      <c r="Z333" s="30" t="s">
        <v>4329</v>
      </c>
      <c r="AA333" s="35" t="s">
        <v>1886</v>
      </c>
      <c r="AB333" s="161">
        <v>44461</v>
      </c>
      <c r="AC333" s="161">
        <v>46286</v>
      </c>
      <c r="AD333" s="10">
        <v>9652995329</v>
      </c>
      <c r="AE333" s="224" t="s">
        <v>4330</v>
      </c>
      <c r="AF333" s="28" t="s">
        <v>1495</v>
      </c>
      <c r="AG333" s="230" t="s">
        <v>4331</v>
      </c>
      <c r="AH333" s="31" t="s">
        <v>4332</v>
      </c>
      <c r="AI333" s="31" t="s">
        <v>4333</v>
      </c>
      <c r="AJ333" s="209">
        <v>601904586983</v>
      </c>
      <c r="AK333" s="43" t="s">
        <v>4334</v>
      </c>
      <c r="AL333" s="210"/>
      <c r="AM333" s="210"/>
      <c r="AN333" s="35"/>
      <c r="AO333" s="43" t="s">
        <v>4335</v>
      </c>
      <c r="AP333" s="10">
        <f t="shared" ref="AP333:AP369" ca="1" si="14">ROUNDDOWN((TODAY() -AU333)/365.25,0)</f>
        <v>35</v>
      </c>
      <c r="AQ333" s="35"/>
      <c r="AR333" s="23"/>
      <c r="AS333" s="210"/>
      <c r="AT333" s="210"/>
      <c r="AU333" s="223">
        <v>33078</v>
      </c>
      <c r="AV333" s="31" t="s">
        <v>1352</v>
      </c>
      <c r="AW333" s="10" t="s">
        <v>68</v>
      </c>
      <c r="AX333" s="10">
        <v>8</v>
      </c>
      <c r="AY333" s="14" t="s">
        <v>1895</v>
      </c>
      <c r="AZ333" s="30" t="s">
        <v>1373</v>
      </c>
      <c r="BA333" s="23" t="s">
        <v>151</v>
      </c>
      <c r="BB333" s="30" t="s">
        <v>34</v>
      </c>
      <c r="BC333" s="22"/>
    </row>
    <row r="334" spans="1:55" x14ac:dyDescent="0.25">
      <c r="A334" s="10">
        <f t="shared" si="13"/>
        <v>333</v>
      </c>
      <c r="B334" s="31" t="s">
        <v>1134</v>
      </c>
      <c r="C334" s="30" t="s">
        <v>34</v>
      </c>
      <c r="D334" s="65">
        <v>900010</v>
      </c>
      <c r="E334" s="31" t="s">
        <v>192</v>
      </c>
      <c r="F334" s="14" t="s">
        <v>1135</v>
      </c>
      <c r="G334" s="64"/>
      <c r="H334" s="66"/>
      <c r="I334" s="66"/>
      <c r="J334" s="66"/>
      <c r="K334" s="21" t="s">
        <v>334</v>
      </c>
      <c r="L334" s="59" t="s">
        <v>1136</v>
      </c>
      <c r="M334" s="30" t="s">
        <v>26</v>
      </c>
      <c r="N334" s="23" t="s">
        <v>38</v>
      </c>
      <c r="O334" s="23" t="s">
        <v>1321</v>
      </c>
      <c r="P334" s="161">
        <v>45870</v>
      </c>
      <c r="Q334" s="161">
        <v>45870</v>
      </c>
      <c r="R334" s="161">
        <v>46599</v>
      </c>
      <c r="S334" s="161">
        <v>46600</v>
      </c>
      <c r="T334" s="79">
        <v>1984</v>
      </c>
      <c r="U334" s="30" t="s">
        <v>1137</v>
      </c>
      <c r="V334" s="64">
        <v>1997</v>
      </c>
      <c r="W334" s="14"/>
      <c r="X334" s="64" t="s">
        <v>30</v>
      </c>
      <c r="Y334" s="35" t="s">
        <v>1138</v>
      </c>
      <c r="Z334" s="14" t="s">
        <v>4336</v>
      </c>
      <c r="AA334" s="23" t="s">
        <v>1841</v>
      </c>
      <c r="AB334" s="161">
        <v>45461</v>
      </c>
      <c r="AC334" s="161">
        <v>47286</v>
      </c>
      <c r="AD334" s="10">
        <v>9246580984</v>
      </c>
      <c r="AE334" s="260" t="s">
        <v>1139</v>
      </c>
      <c r="AF334" s="28" t="s">
        <v>1495</v>
      </c>
      <c r="AG334" s="230" t="s">
        <v>4337</v>
      </c>
      <c r="AH334" s="31" t="s">
        <v>4338</v>
      </c>
      <c r="AI334" s="31" t="s">
        <v>4339</v>
      </c>
      <c r="AJ334" s="221" t="s">
        <v>4340</v>
      </c>
      <c r="AK334" s="30" t="s">
        <v>4341</v>
      </c>
      <c r="AL334" s="210"/>
      <c r="AM334" s="210"/>
      <c r="AN334" s="35"/>
      <c r="AO334" s="35" t="s">
        <v>4342</v>
      </c>
      <c r="AP334" s="10">
        <f t="shared" ca="1" si="14"/>
        <v>63</v>
      </c>
      <c r="AQ334" s="70" t="s">
        <v>1879</v>
      </c>
      <c r="AR334" s="377" t="s">
        <v>4343</v>
      </c>
      <c r="AS334" s="187">
        <v>45699</v>
      </c>
      <c r="AT334" s="187">
        <v>46063</v>
      </c>
      <c r="AU334" s="355">
        <v>22770</v>
      </c>
      <c r="AV334" s="64" t="s">
        <v>1352</v>
      </c>
      <c r="AW334" s="31" t="s">
        <v>32</v>
      </c>
      <c r="AX334" s="10" t="s">
        <v>30</v>
      </c>
      <c r="AY334" s="14" t="s">
        <v>30</v>
      </c>
      <c r="AZ334" s="30" t="s">
        <v>26</v>
      </c>
      <c r="BA334" s="23" t="s">
        <v>151</v>
      </c>
      <c r="BB334" s="30" t="s">
        <v>34</v>
      </c>
      <c r="BC334" s="22"/>
    </row>
    <row r="335" spans="1:55" x14ac:dyDescent="0.25">
      <c r="A335" s="10">
        <f t="shared" si="13"/>
        <v>334</v>
      </c>
      <c r="B335" s="54" t="s">
        <v>1140</v>
      </c>
      <c r="C335" s="56" t="s">
        <v>34</v>
      </c>
      <c r="D335" s="78">
        <v>401293</v>
      </c>
      <c r="E335" s="54" t="s">
        <v>268</v>
      </c>
      <c r="F335" s="56" t="s">
        <v>1141</v>
      </c>
      <c r="G335" s="55">
        <v>6</v>
      </c>
      <c r="H335" s="77">
        <v>0.375</v>
      </c>
      <c r="I335" s="77">
        <v>0.70833333333333337</v>
      </c>
      <c r="J335" s="77">
        <v>0.33333333333333331</v>
      </c>
      <c r="K335" s="51" t="s">
        <v>147</v>
      </c>
      <c r="L335" s="110" t="s">
        <v>1142</v>
      </c>
      <c r="M335" s="56" t="s">
        <v>26</v>
      </c>
      <c r="N335" s="52" t="s">
        <v>38</v>
      </c>
      <c r="O335" s="52" t="s">
        <v>1321</v>
      </c>
      <c r="P335" s="238">
        <v>45870</v>
      </c>
      <c r="Q335" s="238">
        <v>45870</v>
      </c>
      <c r="R335" s="238">
        <v>46599</v>
      </c>
      <c r="S335" s="238">
        <v>46600</v>
      </c>
      <c r="T335" s="55">
        <v>2018</v>
      </c>
      <c r="U335" s="56" t="s">
        <v>805</v>
      </c>
      <c r="V335" s="55">
        <v>2023</v>
      </c>
      <c r="W335" s="56" t="s">
        <v>1143</v>
      </c>
      <c r="X335" s="54" t="s">
        <v>30</v>
      </c>
      <c r="Y335" s="51" t="s">
        <v>49</v>
      </c>
      <c r="Z335" s="113" t="s">
        <v>4344</v>
      </c>
      <c r="AA335" s="52" t="s">
        <v>1841</v>
      </c>
      <c r="AB335" s="238">
        <v>45863</v>
      </c>
      <c r="AC335" s="238">
        <v>47688</v>
      </c>
      <c r="AD335" s="55">
        <v>8007028855</v>
      </c>
      <c r="AE335" s="259" t="s">
        <v>1144</v>
      </c>
      <c r="AF335" s="56" t="s">
        <v>1364</v>
      </c>
      <c r="AG335" s="198" t="s">
        <v>4345</v>
      </c>
      <c r="AH335" s="54" t="s">
        <v>4346</v>
      </c>
      <c r="AI335" s="54" t="s">
        <v>4347</v>
      </c>
      <c r="AJ335" s="198" t="s">
        <v>4348</v>
      </c>
      <c r="AK335" s="56" t="s">
        <v>4349</v>
      </c>
      <c r="AL335" s="199">
        <v>45997</v>
      </c>
      <c r="AM335" s="199">
        <v>45938</v>
      </c>
      <c r="AN335" s="56" t="s">
        <v>4350</v>
      </c>
      <c r="AO335" s="51" t="s">
        <v>4351</v>
      </c>
      <c r="AP335" s="55">
        <f t="shared" ca="1" si="14"/>
        <v>31</v>
      </c>
      <c r="AQ335" s="51"/>
      <c r="AR335" s="52"/>
      <c r="AS335" s="199"/>
      <c r="AT335" s="199"/>
      <c r="AU335" s="242">
        <v>34561</v>
      </c>
      <c r="AV335" s="54" t="s">
        <v>1352</v>
      </c>
      <c r="AW335" s="55" t="s">
        <v>68</v>
      </c>
      <c r="AX335" s="55">
        <v>8</v>
      </c>
      <c r="AY335" s="48" t="s">
        <v>1849</v>
      </c>
      <c r="AZ335" s="56" t="s">
        <v>26</v>
      </c>
      <c r="BA335" s="52" t="s">
        <v>151</v>
      </c>
      <c r="BB335" s="56" t="s">
        <v>34</v>
      </c>
      <c r="BC335" s="53"/>
    </row>
    <row r="336" spans="1:55" x14ac:dyDescent="0.25">
      <c r="A336" s="10">
        <f t="shared" si="13"/>
        <v>335</v>
      </c>
      <c r="B336" s="378" t="s">
        <v>4352</v>
      </c>
      <c r="C336" s="594" t="s">
        <v>1407</v>
      </c>
      <c r="D336" s="379">
        <v>401294</v>
      </c>
      <c r="E336" s="378" t="s">
        <v>42</v>
      </c>
      <c r="F336" s="311" t="s">
        <v>4353</v>
      </c>
      <c r="G336" s="307">
        <v>6</v>
      </c>
      <c r="H336" s="380">
        <v>0.41666666666666669</v>
      </c>
      <c r="I336" s="381" t="s">
        <v>1084</v>
      </c>
      <c r="J336" s="380">
        <v>0.125</v>
      </c>
      <c r="K336" s="316" t="s">
        <v>700</v>
      </c>
      <c r="L336" s="311" t="s">
        <v>4354</v>
      </c>
      <c r="M336" s="328" t="s">
        <v>26</v>
      </c>
      <c r="N336" s="318" t="s">
        <v>38</v>
      </c>
      <c r="O336" s="318" t="s">
        <v>1321</v>
      </c>
      <c r="P336" s="306">
        <v>45873</v>
      </c>
      <c r="Q336" s="306">
        <v>45873</v>
      </c>
      <c r="R336" s="306">
        <v>46602</v>
      </c>
      <c r="S336" s="306">
        <v>46603</v>
      </c>
      <c r="T336" s="307">
        <v>1990</v>
      </c>
      <c r="U336" s="328" t="s">
        <v>4355</v>
      </c>
      <c r="V336" s="307">
        <v>1996</v>
      </c>
      <c r="W336" s="319" t="s">
        <v>141</v>
      </c>
      <c r="X336" s="378" t="s">
        <v>30</v>
      </c>
      <c r="Y336" s="319" t="s">
        <v>49</v>
      </c>
      <c r="Z336" s="328" t="s">
        <v>4356</v>
      </c>
      <c r="AA336" s="318" t="s">
        <v>1841</v>
      </c>
      <c r="AB336" s="306">
        <v>45078</v>
      </c>
      <c r="AC336" s="306">
        <v>46904</v>
      </c>
      <c r="AD336" s="307">
        <v>9959764788</v>
      </c>
      <c r="AE336" s="319" t="s">
        <v>4357</v>
      </c>
      <c r="AF336" s="328" t="s">
        <v>1430</v>
      </c>
      <c r="AG336" s="382" t="s">
        <v>4358</v>
      </c>
      <c r="AH336" s="378" t="s">
        <v>4359</v>
      </c>
      <c r="AI336" s="378" t="s">
        <v>4360</v>
      </c>
      <c r="AJ336" s="382" t="s">
        <v>4361</v>
      </c>
      <c r="AK336" s="328" t="s">
        <v>4362</v>
      </c>
      <c r="AL336" s="383">
        <v>45961</v>
      </c>
      <c r="AM336" s="383">
        <v>45961</v>
      </c>
      <c r="AN336" s="384" t="s">
        <v>4363</v>
      </c>
      <c r="AO336" s="319" t="s">
        <v>4364</v>
      </c>
      <c r="AP336" s="307">
        <f t="shared" ca="1" si="14"/>
        <v>60</v>
      </c>
      <c r="AQ336" s="319"/>
      <c r="AR336" s="318"/>
      <c r="AS336" s="383"/>
      <c r="AT336" s="383"/>
      <c r="AU336" s="385">
        <v>23700</v>
      </c>
      <c r="AV336" s="378" t="s">
        <v>1352</v>
      </c>
      <c r="AW336" s="307" t="s">
        <v>32</v>
      </c>
      <c r="AX336" s="307">
        <v>3</v>
      </c>
      <c r="AY336" s="311" t="s">
        <v>2469</v>
      </c>
      <c r="AZ336" s="328" t="s">
        <v>26</v>
      </c>
      <c r="BA336" s="318" t="s">
        <v>151</v>
      </c>
      <c r="BB336" s="328" t="s">
        <v>1407</v>
      </c>
      <c r="BC336" s="22"/>
    </row>
    <row r="337" spans="1:55" x14ac:dyDescent="0.25">
      <c r="A337" s="10">
        <f t="shared" si="13"/>
        <v>336</v>
      </c>
      <c r="B337" s="31" t="s">
        <v>4365</v>
      </c>
      <c r="C337" s="30" t="s">
        <v>34</v>
      </c>
      <c r="D337" s="65">
        <v>401295</v>
      </c>
      <c r="E337" s="31" t="s">
        <v>36</v>
      </c>
      <c r="F337" s="14" t="s">
        <v>4366</v>
      </c>
      <c r="G337" s="10">
        <v>6</v>
      </c>
      <c r="H337" s="66">
        <v>0.72916666666666663</v>
      </c>
      <c r="I337" s="66">
        <v>0.77083333333333337</v>
      </c>
      <c r="J337" s="66">
        <v>4.1666666666666664E-2</v>
      </c>
      <c r="K337" s="21" t="s">
        <v>652</v>
      </c>
      <c r="L337" s="30" t="s">
        <v>30</v>
      </c>
      <c r="M337" s="30" t="s">
        <v>1376</v>
      </c>
      <c r="N337" s="23" t="s">
        <v>1393</v>
      </c>
      <c r="O337" s="35" t="s">
        <v>30</v>
      </c>
      <c r="P337" s="161">
        <v>45870</v>
      </c>
      <c r="Q337" s="161">
        <v>45870</v>
      </c>
      <c r="R337" s="161">
        <v>46599</v>
      </c>
      <c r="S337" s="161">
        <v>46600</v>
      </c>
      <c r="T337" s="10">
        <v>2022</v>
      </c>
      <c r="U337" s="30" t="s">
        <v>4367</v>
      </c>
      <c r="V337" s="10" t="s">
        <v>30</v>
      </c>
      <c r="W337" s="14" t="s">
        <v>30</v>
      </c>
      <c r="X337" s="31" t="s">
        <v>30</v>
      </c>
      <c r="Y337" s="35" t="s">
        <v>226</v>
      </c>
      <c r="Z337" s="14">
        <v>186688</v>
      </c>
      <c r="AA337" s="35" t="s">
        <v>1560</v>
      </c>
      <c r="AB337" s="161">
        <v>45867</v>
      </c>
      <c r="AC337" s="161">
        <v>47692</v>
      </c>
      <c r="AD337" s="10">
        <v>8248396680</v>
      </c>
      <c r="AE337" s="224" t="s">
        <v>4368</v>
      </c>
      <c r="AF337" s="30" t="s">
        <v>4369</v>
      </c>
      <c r="AG337" s="230" t="s">
        <v>4370</v>
      </c>
      <c r="AH337" s="31" t="s">
        <v>4371</v>
      </c>
      <c r="AI337" s="31" t="s">
        <v>4372</v>
      </c>
      <c r="AJ337" s="221" t="s">
        <v>4373</v>
      </c>
      <c r="AK337" s="30" t="s">
        <v>4374</v>
      </c>
      <c r="AL337" s="210"/>
      <c r="AM337" s="210"/>
      <c r="AN337" s="35"/>
      <c r="AO337" s="35" t="s">
        <v>4375</v>
      </c>
      <c r="AP337" s="10">
        <f t="shared" ca="1" si="14"/>
        <v>26</v>
      </c>
      <c r="AQ337" s="35"/>
      <c r="AR337" s="23"/>
      <c r="AS337" s="210"/>
      <c r="AT337" s="210"/>
      <c r="AU337" s="223">
        <v>36329</v>
      </c>
      <c r="AV337" s="31" t="s">
        <v>1389</v>
      </c>
      <c r="AW337" s="10" t="s">
        <v>32</v>
      </c>
      <c r="AX337" s="10">
        <v>1</v>
      </c>
      <c r="AY337" s="14" t="s">
        <v>3225</v>
      </c>
      <c r="AZ337" s="30" t="s">
        <v>1390</v>
      </c>
      <c r="BA337" s="23" t="s">
        <v>151</v>
      </c>
      <c r="BB337" s="30" t="s">
        <v>34</v>
      </c>
      <c r="BC337" s="22"/>
    </row>
    <row r="338" spans="1:55" x14ac:dyDescent="0.25">
      <c r="A338" s="10">
        <f t="shared" si="13"/>
        <v>337</v>
      </c>
      <c r="B338" s="31" t="s">
        <v>4376</v>
      </c>
      <c r="C338" s="30" t="s">
        <v>34</v>
      </c>
      <c r="D338" s="65">
        <v>401296</v>
      </c>
      <c r="E338" s="181" t="s">
        <v>9124</v>
      </c>
      <c r="F338" s="14" t="s">
        <v>4377</v>
      </c>
      <c r="G338" s="10">
        <v>6</v>
      </c>
      <c r="H338" s="66" t="s">
        <v>4378</v>
      </c>
      <c r="I338" s="66" t="s">
        <v>4379</v>
      </c>
      <c r="J338" s="66">
        <v>0.16666666666666666</v>
      </c>
      <c r="K338" s="21" t="s">
        <v>4380</v>
      </c>
      <c r="L338" s="30" t="s">
        <v>30</v>
      </c>
      <c r="M338" s="30" t="s">
        <v>1355</v>
      </c>
      <c r="N338" s="23" t="s">
        <v>1520</v>
      </c>
      <c r="O338" s="35" t="s">
        <v>1357</v>
      </c>
      <c r="P338" s="161">
        <v>45873</v>
      </c>
      <c r="Q338" s="161">
        <v>45873</v>
      </c>
      <c r="R338" s="161">
        <v>46602</v>
      </c>
      <c r="S338" s="161">
        <v>46603</v>
      </c>
      <c r="T338" s="10">
        <v>2007</v>
      </c>
      <c r="U338" s="30" t="s">
        <v>4381</v>
      </c>
      <c r="V338" s="10">
        <v>2020</v>
      </c>
      <c r="W338" s="14" t="s">
        <v>209</v>
      </c>
      <c r="X338" s="31" t="s">
        <v>30</v>
      </c>
      <c r="Y338" s="35" t="s">
        <v>1360</v>
      </c>
      <c r="Z338" s="14">
        <v>58707</v>
      </c>
      <c r="AA338" s="35" t="s">
        <v>1886</v>
      </c>
      <c r="AB338" s="161">
        <v>44502</v>
      </c>
      <c r="AC338" s="161">
        <v>46327</v>
      </c>
      <c r="AD338" s="10">
        <v>9849131447</v>
      </c>
      <c r="AE338" s="224" t="s">
        <v>4382</v>
      </c>
      <c r="AF338" s="28" t="s">
        <v>1495</v>
      </c>
      <c r="AG338" s="230" t="s">
        <v>4383</v>
      </c>
      <c r="AH338" s="31" t="s">
        <v>4384</v>
      </c>
      <c r="AI338" s="31" t="s">
        <v>4385</v>
      </c>
      <c r="AJ338" s="221" t="s">
        <v>4386</v>
      </c>
      <c r="AK338" s="30" t="s">
        <v>4387</v>
      </c>
      <c r="AL338" s="210"/>
      <c r="AM338" s="210"/>
      <c r="AN338" s="35"/>
      <c r="AO338" s="35" t="s">
        <v>4388</v>
      </c>
      <c r="AP338" s="10">
        <f t="shared" ca="1" si="14"/>
        <v>47</v>
      </c>
      <c r="AQ338" s="35"/>
      <c r="AR338" s="23"/>
      <c r="AS338" s="210"/>
      <c r="AT338" s="210"/>
      <c r="AU338" s="223">
        <v>28499</v>
      </c>
      <c r="AV338" s="31" t="s">
        <v>1389</v>
      </c>
      <c r="AW338" s="10" t="s">
        <v>32</v>
      </c>
      <c r="AX338" s="10">
        <v>4</v>
      </c>
      <c r="AY338" s="14" t="s">
        <v>1895</v>
      </c>
      <c r="AZ338" s="30" t="s">
        <v>1373</v>
      </c>
      <c r="BA338" s="23" t="s">
        <v>151</v>
      </c>
      <c r="BB338" s="30" t="s">
        <v>34</v>
      </c>
      <c r="BC338" s="22"/>
    </row>
    <row r="339" spans="1:55" x14ac:dyDescent="0.25">
      <c r="A339" s="10">
        <f t="shared" si="13"/>
        <v>338</v>
      </c>
      <c r="B339" s="31" t="s">
        <v>4389</v>
      </c>
      <c r="C339" s="30" t="s">
        <v>34</v>
      </c>
      <c r="D339" s="65">
        <v>401297</v>
      </c>
      <c r="E339" s="181" t="s">
        <v>9124</v>
      </c>
      <c r="F339" s="14" t="s">
        <v>4390</v>
      </c>
      <c r="G339" s="10">
        <v>6</v>
      </c>
      <c r="H339" s="66" t="s">
        <v>4391</v>
      </c>
      <c r="I339" s="66" t="s">
        <v>4392</v>
      </c>
      <c r="J339" s="66">
        <v>0.20833333333333334</v>
      </c>
      <c r="K339" s="21" t="s">
        <v>1884</v>
      </c>
      <c r="L339" s="30" t="s">
        <v>30</v>
      </c>
      <c r="M339" s="30" t="s">
        <v>1355</v>
      </c>
      <c r="N339" s="23" t="s">
        <v>1520</v>
      </c>
      <c r="O339" s="35" t="s">
        <v>1357</v>
      </c>
      <c r="P339" s="161">
        <v>45875</v>
      </c>
      <c r="Q339" s="161">
        <v>45875</v>
      </c>
      <c r="R339" s="161">
        <v>46604</v>
      </c>
      <c r="S339" s="161">
        <v>46605</v>
      </c>
      <c r="T339" s="10">
        <v>1996</v>
      </c>
      <c r="U339" s="30" t="s">
        <v>515</v>
      </c>
      <c r="V339" s="10">
        <v>2011</v>
      </c>
      <c r="W339" s="14" t="s">
        <v>4393</v>
      </c>
      <c r="X339" s="31" t="s">
        <v>30</v>
      </c>
      <c r="Y339" s="35" t="s">
        <v>1360</v>
      </c>
      <c r="Z339" s="14">
        <v>38325</v>
      </c>
      <c r="AA339" s="35" t="s">
        <v>1886</v>
      </c>
      <c r="AB339" s="161">
        <v>44303</v>
      </c>
      <c r="AC339" s="161">
        <v>46128</v>
      </c>
      <c r="AD339" s="10">
        <v>9182818579</v>
      </c>
      <c r="AE339" s="224" t="s">
        <v>4394</v>
      </c>
      <c r="AF339" s="30" t="s">
        <v>1805</v>
      </c>
      <c r="AG339" s="221" t="s">
        <v>4395</v>
      </c>
      <c r="AH339" s="31" t="s">
        <v>1889</v>
      </c>
      <c r="AI339" s="31" t="s">
        <v>4396</v>
      </c>
      <c r="AJ339" s="221" t="s">
        <v>4397</v>
      </c>
      <c r="AK339" s="30" t="s">
        <v>4398</v>
      </c>
      <c r="AL339" s="210"/>
      <c r="AM339" s="210"/>
      <c r="AN339" s="35"/>
      <c r="AO339" s="35" t="s">
        <v>4399</v>
      </c>
      <c r="AP339" s="10">
        <f t="shared" ca="1" si="14"/>
        <v>54</v>
      </c>
      <c r="AQ339" s="35"/>
      <c r="AR339" s="23"/>
      <c r="AS339" s="210"/>
      <c r="AT339" s="210"/>
      <c r="AU339" s="223">
        <v>26146</v>
      </c>
      <c r="AV339" s="31" t="s">
        <v>1389</v>
      </c>
      <c r="AW339" s="10" t="s">
        <v>32</v>
      </c>
      <c r="AX339" s="10">
        <v>5</v>
      </c>
      <c r="AY339" s="14" t="s">
        <v>1895</v>
      </c>
      <c r="AZ339" s="30" t="s">
        <v>1373</v>
      </c>
      <c r="BA339" s="23" t="s">
        <v>151</v>
      </c>
      <c r="BB339" s="30" t="s">
        <v>34</v>
      </c>
      <c r="BC339" s="22"/>
    </row>
    <row r="340" spans="1:55" x14ac:dyDescent="0.25">
      <c r="A340" s="10">
        <f t="shared" si="13"/>
        <v>339</v>
      </c>
      <c r="B340" s="31" t="s">
        <v>1145</v>
      </c>
      <c r="C340" s="30" t="s">
        <v>34</v>
      </c>
      <c r="D340" s="65">
        <v>401298</v>
      </c>
      <c r="E340" s="31" t="s">
        <v>36</v>
      </c>
      <c r="F340" s="14" t="s">
        <v>1146</v>
      </c>
      <c r="G340" s="10">
        <v>6</v>
      </c>
      <c r="H340" s="68" t="s">
        <v>989</v>
      </c>
      <c r="I340" s="66">
        <v>0.875</v>
      </c>
      <c r="J340" s="66">
        <v>0.16666666666666666</v>
      </c>
      <c r="K340" s="21" t="s">
        <v>348</v>
      </c>
      <c r="L340" s="59" t="s">
        <v>1147</v>
      </c>
      <c r="M340" s="30" t="s">
        <v>26</v>
      </c>
      <c r="N340" s="23" t="s">
        <v>38</v>
      </c>
      <c r="O340" s="23" t="s">
        <v>1321</v>
      </c>
      <c r="P340" s="161">
        <v>45875</v>
      </c>
      <c r="Q340" s="161">
        <v>45875</v>
      </c>
      <c r="R340" s="161">
        <v>46604</v>
      </c>
      <c r="S340" s="161">
        <v>46605</v>
      </c>
      <c r="T340" s="10">
        <v>2020</v>
      </c>
      <c r="U340" s="30" t="s">
        <v>250</v>
      </c>
      <c r="V340" s="10">
        <v>2025</v>
      </c>
      <c r="W340" s="30" t="s">
        <v>924</v>
      </c>
      <c r="X340" s="31" t="s">
        <v>30</v>
      </c>
      <c r="Y340" s="35" t="s">
        <v>49</v>
      </c>
      <c r="Z340" s="59" t="s">
        <v>4400</v>
      </c>
      <c r="AA340" s="23" t="s">
        <v>1841</v>
      </c>
      <c r="AB340" s="161">
        <v>45847</v>
      </c>
      <c r="AC340" s="161">
        <v>47672</v>
      </c>
      <c r="AD340" s="10">
        <v>7981056254</v>
      </c>
      <c r="AE340" s="236" t="s">
        <v>1148</v>
      </c>
      <c r="AF340" s="30" t="s">
        <v>1430</v>
      </c>
      <c r="AG340" s="230" t="s">
        <v>4401</v>
      </c>
      <c r="AH340" s="31" t="s">
        <v>4402</v>
      </c>
      <c r="AI340" s="31" t="s">
        <v>4403</v>
      </c>
      <c r="AJ340" s="221" t="s">
        <v>4404</v>
      </c>
      <c r="AK340" s="30" t="s">
        <v>4405</v>
      </c>
      <c r="AL340" s="210"/>
      <c r="AM340" s="210"/>
      <c r="AN340" s="35"/>
      <c r="AO340" s="35" t="s">
        <v>4406</v>
      </c>
      <c r="AP340" s="10">
        <f t="shared" ca="1" si="14"/>
        <v>27</v>
      </c>
      <c r="AQ340" s="35"/>
      <c r="AR340" s="23"/>
      <c r="AS340" s="210"/>
      <c r="AT340" s="210"/>
      <c r="AU340" s="223">
        <v>35953</v>
      </c>
      <c r="AV340" s="31" t="s">
        <v>1389</v>
      </c>
      <c r="AW340" s="10" t="s">
        <v>32</v>
      </c>
      <c r="AX340" s="10">
        <v>4</v>
      </c>
      <c r="AY340" s="14" t="s">
        <v>2053</v>
      </c>
      <c r="AZ340" s="30" t="s">
        <v>26</v>
      </c>
      <c r="BA340" s="23" t="s">
        <v>151</v>
      </c>
      <c r="BB340" s="30" t="s">
        <v>34</v>
      </c>
      <c r="BC340" s="22"/>
    </row>
    <row r="341" spans="1:55" x14ac:dyDescent="0.25">
      <c r="A341" s="10">
        <f t="shared" si="13"/>
        <v>340</v>
      </c>
      <c r="B341" s="31" t="s">
        <v>1149</v>
      </c>
      <c r="C341" s="30" t="s">
        <v>34</v>
      </c>
      <c r="D341" s="65">
        <v>401299</v>
      </c>
      <c r="E341" s="31" t="s">
        <v>36</v>
      </c>
      <c r="F341" s="14" t="s">
        <v>1150</v>
      </c>
      <c r="G341" s="10">
        <v>6</v>
      </c>
      <c r="H341" s="66">
        <v>0.75</v>
      </c>
      <c r="I341" s="66">
        <v>0.875</v>
      </c>
      <c r="J341" s="66">
        <v>0.125</v>
      </c>
      <c r="K341" s="21" t="s">
        <v>1151</v>
      </c>
      <c r="L341" s="59" t="s">
        <v>1152</v>
      </c>
      <c r="M341" s="30" t="s">
        <v>26</v>
      </c>
      <c r="N341" s="23" t="s">
        <v>38</v>
      </c>
      <c r="O341" s="23" t="s">
        <v>1321</v>
      </c>
      <c r="P341" s="161">
        <v>45876</v>
      </c>
      <c r="Q341" s="161">
        <v>45876</v>
      </c>
      <c r="R341" s="161">
        <v>46605</v>
      </c>
      <c r="S341" s="161">
        <v>46606</v>
      </c>
      <c r="T341" s="10">
        <v>2011</v>
      </c>
      <c r="U341" s="30" t="s">
        <v>1101</v>
      </c>
      <c r="V341" s="10">
        <v>2024</v>
      </c>
      <c r="W341" s="30" t="s">
        <v>516</v>
      </c>
      <c r="X341" s="31" t="s">
        <v>30</v>
      </c>
      <c r="Y341" s="35" t="s">
        <v>49</v>
      </c>
      <c r="Z341" s="14" t="s">
        <v>4407</v>
      </c>
      <c r="AA341" s="23" t="s">
        <v>1841</v>
      </c>
      <c r="AB341" s="161">
        <v>45859</v>
      </c>
      <c r="AC341" s="161">
        <v>47684</v>
      </c>
      <c r="AD341" s="10">
        <v>9493815452</v>
      </c>
      <c r="AE341" s="236" t="s">
        <v>1153</v>
      </c>
      <c r="AF341" s="30" t="s">
        <v>2284</v>
      </c>
      <c r="AG341" s="230" t="s">
        <v>4408</v>
      </c>
      <c r="AH341" s="21" t="s">
        <v>4409</v>
      </c>
      <c r="AI341" s="31" t="s">
        <v>4410</v>
      </c>
      <c r="AJ341" s="221" t="s">
        <v>4411</v>
      </c>
      <c r="AK341" s="30" t="s">
        <v>4412</v>
      </c>
      <c r="AL341" s="210"/>
      <c r="AM341" s="210"/>
      <c r="AN341" s="35"/>
      <c r="AO341" s="35" t="s">
        <v>4413</v>
      </c>
      <c r="AP341" s="10">
        <f t="shared" ca="1" si="14"/>
        <v>38</v>
      </c>
      <c r="AQ341" s="35" t="s">
        <v>1605</v>
      </c>
      <c r="AR341" s="222" t="s">
        <v>4414</v>
      </c>
      <c r="AS341" s="166">
        <v>45940</v>
      </c>
      <c r="AT341" s="166">
        <v>46304</v>
      </c>
      <c r="AU341" s="223">
        <v>31930</v>
      </c>
      <c r="AV341" s="31" t="s">
        <v>1352</v>
      </c>
      <c r="AW341" s="10" t="s">
        <v>32</v>
      </c>
      <c r="AX341" s="10">
        <v>3</v>
      </c>
      <c r="AY341" s="14" t="s">
        <v>1895</v>
      </c>
      <c r="AZ341" s="30" t="s">
        <v>26</v>
      </c>
      <c r="BA341" s="23" t="s">
        <v>151</v>
      </c>
      <c r="BB341" s="30" t="s">
        <v>34</v>
      </c>
      <c r="BC341" s="22"/>
    </row>
    <row r="342" spans="1:55" x14ac:dyDescent="0.25">
      <c r="A342" s="10">
        <f t="shared" si="13"/>
        <v>341</v>
      </c>
      <c r="B342" s="31" t="s">
        <v>1070</v>
      </c>
      <c r="C342" s="30" t="s">
        <v>34</v>
      </c>
      <c r="D342" s="65">
        <v>401300</v>
      </c>
      <c r="E342" s="31" t="s">
        <v>192</v>
      </c>
      <c r="F342" s="14" t="s">
        <v>1071</v>
      </c>
      <c r="G342" s="64"/>
      <c r="H342" s="66"/>
      <c r="I342" s="68"/>
      <c r="J342" s="66"/>
      <c r="K342" s="21" t="s">
        <v>334</v>
      </c>
      <c r="L342" s="59" t="s">
        <v>1072</v>
      </c>
      <c r="M342" s="30" t="s">
        <v>26</v>
      </c>
      <c r="N342" s="23" t="s">
        <v>38</v>
      </c>
      <c r="O342" s="23" t="s">
        <v>1321</v>
      </c>
      <c r="P342" s="161">
        <v>45876</v>
      </c>
      <c r="Q342" s="161">
        <v>45876</v>
      </c>
      <c r="R342" s="161">
        <v>46605</v>
      </c>
      <c r="S342" s="161">
        <v>46606</v>
      </c>
      <c r="T342" s="79">
        <v>2018</v>
      </c>
      <c r="U342" s="30" t="s">
        <v>343</v>
      </c>
      <c r="V342" s="64">
        <v>2023</v>
      </c>
      <c r="W342" s="14" t="s">
        <v>1073</v>
      </c>
      <c r="X342" s="64" t="s">
        <v>30</v>
      </c>
      <c r="Y342" s="35" t="s">
        <v>49</v>
      </c>
      <c r="Z342" s="14" t="s">
        <v>4196</v>
      </c>
      <c r="AA342" s="23" t="s">
        <v>1841</v>
      </c>
      <c r="AB342" s="161">
        <v>45618</v>
      </c>
      <c r="AC342" s="161">
        <v>47443</v>
      </c>
      <c r="AD342" s="10">
        <v>8186812763</v>
      </c>
      <c r="AE342" s="224" t="s">
        <v>1074</v>
      </c>
      <c r="AF342" s="28" t="s">
        <v>1495</v>
      </c>
      <c r="AG342" s="221" t="s">
        <v>4197</v>
      </c>
      <c r="AH342" s="31" t="s">
        <v>4198</v>
      </c>
      <c r="AI342" s="31" t="s">
        <v>4199</v>
      </c>
      <c r="AJ342" s="221" t="s">
        <v>4200</v>
      </c>
      <c r="AK342" s="30" t="s">
        <v>4201</v>
      </c>
      <c r="AL342" s="210"/>
      <c r="AM342" s="210"/>
      <c r="AN342" s="35"/>
      <c r="AO342" s="35" t="s">
        <v>4202</v>
      </c>
      <c r="AP342" s="10">
        <f t="shared" ca="1" si="14"/>
        <v>29</v>
      </c>
      <c r="AQ342" s="67" t="s">
        <v>1677</v>
      </c>
      <c r="AR342" s="222" t="s">
        <v>4203</v>
      </c>
      <c r="AS342" s="231">
        <v>45960</v>
      </c>
      <c r="AT342" s="231">
        <v>46324</v>
      </c>
      <c r="AU342" s="273">
        <v>35022</v>
      </c>
      <c r="AV342" s="64" t="s">
        <v>1389</v>
      </c>
      <c r="AW342" s="31" t="s">
        <v>32</v>
      </c>
      <c r="AX342" s="10" t="s">
        <v>30</v>
      </c>
      <c r="AY342" s="14" t="s">
        <v>30</v>
      </c>
      <c r="AZ342" s="30" t="s">
        <v>26</v>
      </c>
      <c r="BA342" s="23" t="s">
        <v>151</v>
      </c>
      <c r="BB342" s="30" t="s">
        <v>34</v>
      </c>
      <c r="BC342" s="22"/>
    </row>
    <row r="343" spans="1:55" x14ac:dyDescent="0.25">
      <c r="A343" s="10">
        <f t="shared" si="13"/>
        <v>342</v>
      </c>
      <c r="B343" s="31" t="s">
        <v>4415</v>
      </c>
      <c r="C343" s="30" t="s">
        <v>34</v>
      </c>
      <c r="D343" s="65">
        <v>401301</v>
      </c>
      <c r="E343" s="31" t="s">
        <v>36</v>
      </c>
      <c r="F343" s="14" t="s">
        <v>4416</v>
      </c>
      <c r="G343" s="64">
        <v>6</v>
      </c>
      <c r="H343" s="66">
        <v>0.33333333333333331</v>
      </c>
      <c r="I343" s="66">
        <v>0.875</v>
      </c>
      <c r="J343" s="66">
        <v>0.33333333333333331</v>
      </c>
      <c r="K343" s="21" t="s">
        <v>147</v>
      </c>
      <c r="L343" s="59" t="s">
        <v>30</v>
      </c>
      <c r="M343" s="30" t="s">
        <v>2097</v>
      </c>
      <c r="N343" s="23" t="s">
        <v>2098</v>
      </c>
      <c r="O343" s="35" t="s">
        <v>1357</v>
      </c>
      <c r="P343" s="161">
        <v>45880</v>
      </c>
      <c r="Q343" s="161">
        <v>45880</v>
      </c>
      <c r="R343" s="161">
        <v>46609</v>
      </c>
      <c r="S343" s="161">
        <v>46610</v>
      </c>
      <c r="T343" s="79">
        <v>2018</v>
      </c>
      <c r="U343" s="30" t="s">
        <v>499</v>
      </c>
      <c r="V343" s="64">
        <v>2025</v>
      </c>
      <c r="W343" s="14" t="s">
        <v>317</v>
      </c>
      <c r="X343" s="64" t="s">
        <v>30</v>
      </c>
      <c r="Y343" s="35" t="s">
        <v>2099</v>
      </c>
      <c r="Z343" s="14" t="s">
        <v>4417</v>
      </c>
      <c r="AA343" s="23" t="s">
        <v>1841</v>
      </c>
      <c r="AB343" s="161">
        <v>45805</v>
      </c>
      <c r="AC343" s="161">
        <v>47630</v>
      </c>
      <c r="AD343" s="10">
        <v>7995251169</v>
      </c>
      <c r="AE343" s="224" t="s">
        <v>4418</v>
      </c>
      <c r="AF343" s="30" t="s">
        <v>1805</v>
      </c>
      <c r="AG343" s="221" t="s">
        <v>4419</v>
      </c>
      <c r="AH343" s="31" t="s">
        <v>3669</v>
      </c>
      <c r="AI343" s="31" t="s">
        <v>4420</v>
      </c>
      <c r="AJ343" s="221" t="s">
        <v>4421</v>
      </c>
      <c r="AK343" s="30" t="s">
        <v>4422</v>
      </c>
      <c r="AL343" s="210"/>
      <c r="AM343" s="210"/>
      <c r="AN343" s="35"/>
      <c r="AO343" s="35" t="s">
        <v>4423</v>
      </c>
      <c r="AP343" s="10">
        <f t="shared" ca="1" si="14"/>
        <v>31</v>
      </c>
      <c r="AQ343" s="35"/>
      <c r="AR343" s="23"/>
      <c r="AS343" s="210"/>
      <c r="AT343" s="210"/>
      <c r="AU343" s="273">
        <v>34380</v>
      </c>
      <c r="AV343" s="64" t="s">
        <v>1352</v>
      </c>
      <c r="AW343" s="64" t="s">
        <v>68</v>
      </c>
      <c r="AX343" s="64">
        <v>8</v>
      </c>
      <c r="AY343" s="14" t="s">
        <v>1881</v>
      </c>
      <c r="AZ343" s="30" t="s">
        <v>1373</v>
      </c>
      <c r="BA343" s="23" t="s">
        <v>151</v>
      </c>
      <c r="BB343" s="30" t="s">
        <v>34</v>
      </c>
      <c r="BC343" s="22"/>
    </row>
    <row r="344" spans="1:55" x14ac:dyDescent="0.25">
      <c r="A344" s="10">
        <f t="shared" si="13"/>
        <v>343</v>
      </c>
      <c r="B344" s="31" t="s">
        <v>4424</v>
      </c>
      <c r="C344" s="30" t="s">
        <v>34</v>
      </c>
      <c r="D344" s="65">
        <v>401302</v>
      </c>
      <c r="E344" s="31" t="s">
        <v>36</v>
      </c>
      <c r="F344" s="14" t="s">
        <v>4425</v>
      </c>
      <c r="G344" s="64">
        <v>6</v>
      </c>
      <c r="H344" s="66">
        <v>0.33333333333333331</v>
      </c>
      <c r="I344" s="66">
        <v>0.875</v>
      </c>
      <c r="J344" s="66">
        <v>0.33333333333333331</v>
      </c>
      <c r="K344" s="21" t="s">
        <v>147</v>
      </c>
      <c r="L344" s="59" t="s">
        <v>30</v>
      </c>
      <c r="M344" s="30" t="s">
        <v>1355</v>
      </c>
      <c r="N344" s="23" t="s">
        <v>4426</v>
      </c>
      <c r="O344" s="35" t="s">
        <v>1357</v>
      </c>
      <c r="P344" s="161">
        <v>45880</v>
      </c>
      <c r="Q344" s="161">
        <v>45880</v>
      </c>
      <c r="R344" s="161">
        <v>46609</v>
      </c>
      <c r="S344" s="161">
        <v>46610</v>
      </c>
      <c r="T344" s="79">
        <v>2006</v>
      </c>
      <c r="U344" s="30" t="s">
        <v>343</v>
      </c>
      <c r="V344" s="64">
        <v>2012</v>
      </c>
      <c r="W344" s="14" t="s">
        <v>317</v>
      </c>
      <c r="X344" s="64" t="s">
        <v>30</v>
      </c>
      <c r="Y344" s="35" t="s">
        <v>1360</v>
      </c>
      <c r="Z344" s="14" t="s">
        <v>4417</v>
      </c>
      <c r="AA344" s="23" t="s">
        <v>1841</v>
      </c>
      <c r="AB344" s="161">
        <v>45806</v>
      </c>
      <c r="AC344" s="161">
        <v>47631</v>
      </c>
      <c r="AD344" s="10">
        <v>8688592787</v>
      </c>
      <c r="AE344" s="224" t="s">
        <v>4427</v>
      </c>
      <c r="AF344" s="30" t="s">
        <v>1430</v>
      </c>
      <c r="AG344" s="221" t="s">
        <v>4428</v>
      </c>
      <c r="AH344" s="31" t="s">
        <v>4429</v>
      </c>
      <c r="AI344" s="31" t="s">
        <v>4430</v>
      </c>
      <c r="AJ344" s="221" t="s">
        <v>4431</v>
      </c>
      <c r="AK344" s="30" t="s">
        <v>4432</v>
      </c>
      <c r="AL344" s="210"/>
      <c r="AM344" s="210"/>
      <c r="AN344" s="35"/>
      <c r="AO344" s="35" t="s">
        <v>4433</v>
      </c>
      <c r="AP344" s="10">
        <f t="shared" ca="1" si="14"/>
        <v>42</v>
      </c>
      <c r="AQ344" s="35" t="s">
        <v>1879</v>
      </c>
      <c r="AR344" s="222" t="s">
        <v>4434</v>
      </c>
      <c r="AS344" s="182">
        <v>45816</v>
      </c>
      <c r="AT344" s="182">
        <v>46180</v>
      </c>
      <c r="AU344" s="273">
        <v>30506</v>
      </c>
      <c r="AV344" s="64" t="s">
        <v>1352</v>
      </c>
      <c r="AW344" s="64" t="s">
        <v>68</v>
      </c>
      <c r="AX344" s="64">
        <v>8</v>
      </c>
      <c r="AY344" s="14" t="s">
        <v>1849</v>
      </c>
      <c r="AZ344" s="30" t="s">
        <v>1373</v>
      </c>
      <c r="BA344" s="23" t="s">
        <v>151</v>
      </c>
      <c r="BB344" s="30" t="s">
        <v>34</v>
      </c>
      <c r="BC344" s="22"/>
    </row>
    <row r="345" spans="1:55" x14ac:dyDescent="0.25">
      <c r="A345" s="10">
        <f t="shared" si="13"/>
        <v>344</v>
      </c>
      <c r="B345" s="31" t="s">
        <v>4435</v>
      </c>
      <c r="C345" s="30" t="s">
        <v>34</v>
      </c>
      <c r="D345" s="65">
        <v>401303</v>
      </c>
      <c r="E345" s="31" t="s">
        <v>36</v>
      </c>
      <c r="F345" s="14" t="s">
        <v>4436</v>
      </c>
      <c r="G345" s="10">
        <v>6</v>
      </c>
      <c r="H345" s="66">
        <v>0.54166666666666663</v>
      </c>
      <c r="I345" s="66">
        <v>0.875</v>
      </c>
      <c r="J345" s="66">
        <v>0.33333333333333331</v>
      </c>
      <c r="K345" s="21" t="s">
        <v>1151</v>
      </c>
      <c r="L345" s="59" t="s">
        <v>30</v>
      </c>
      <c r="M345" s="30" t="s">
        <v>1355</v>
      </c>
      <c r="N345" s="23" t="s">
        <v>1520</v>
      </c>
      <c r="O345" s="35" t="s">
        <v>1357</v>
      </c>
      <c r="P345" s="161">
        <v>45880</v>
      </c>
      <c r="Q345" s="161">
        <v>45880</v>
      </c>
      <c r="R345" s="161">
        <v>46609</v>
      </c>
      <c r="S345" s="161">
        <v>46610</v>
      </c>
      <c r="T345" s="10">
        <v>2019</v>
      </c>
      <c r="U345" s="30" t="s">
        <v>4437</v>
      </c>
      <c r="V345" s="10">
        <v>2024</v>
      </c>
      <c r="W345" s="35" t="s">
        <v>1101</v>
      </c>
      <c r="X345" s="64" t="s">
        <v>30</v>
      </c>
      <c r="Y345" s="35" t="s">
        <v>1360</v>
      </c>
      <c r="Z345" s="14" t="s">
        <v>4438</v>
      </c>
      <c r="AA345" s="35" t="s">
        <v>1886</v>
      </c>
      <c r="AB345" s="161">
        <v>45777</v>
      </c>
      <c r="AC345" s="161">
        <v>47602</v>
      </c>
      <c r="AD345" s="10">
        <v>9849239725</v>
      </c>
      <c r="AE345" s="224" t="s">
        <v>4439</v>
      </c>
      <c r="AF345" s="30" t="s">
        <v>1345</v>
      </c>
      <c r="AG345" s="230" t="s">
        <v>4440</v>
      </c>
      <c r="AH345" s="31" t="s">
        <v>4441</v>
      </c>
      <c r="AI345" s="31" t="s">
        <v>4442</v>
      </c>
      <c r="AJ345" s="209">
        <v>299018969788</v>
      </c>
      <c r="AK345" s="30" t="s">
        <v>4443</v>
      </c>
      <c r="AL345" s="210"/>
      <c r="AM345" s="210"/>
      <c r="AN345" s="35"/>
      <c r="AO345" s="43" t="s">
        <v>4444</v>
      </c>
      <c r="AP345" s="10">
        <f t="shared" ca="1" si="14"/>
        <v>31</v>
      </c>
      <c r="AQ345" s="35"/>
      <c r="AR345" s="23"/>
      <c r="AS345" s="210"/>
      <c r="AT345" s="210"/>
      <c r="AU345" s="223">
        <v>34532</v>
      </c>
      <c r="AV345" s="31" t="s">
        <v>1352</v>
      </c>
      <c r="AW345" s="31" t="s">
        <v>68</v>
      </c>
      <c r="AX345" s="10">
        <v>8</v>
      </c>
      <c r="AY345" s="14" t="s">
        <v>1895</v>
      </c>
      <c r="AZ345" s="30" t="s">
        <v>1373</v>
      </c>
      <c r="BA345" s="23" t="s">
        <v>151</v>
      </c>
      <c r="BB345" s="30" t="s">
        <v>34</v>
      </c>
      <c r="BC345" s="22"/>
    </row>
    <row r="346" spans="1:55" x14ac:dyDescent="0.25">
      <c r="A346" s="10">
        <f t="shared" si="13"/>
        <v>345</v>
      </c>
      <c r="B346" s="54" t="s">
        <v>4445</v>
      </c>
      <c r="C346" s="594" t="s">
        <v>1407</v>
      </c>
      <c r="D346" s="78">
        <v>401304</v>
      </c>
      <c r="E346" s="54" t="s">
        <v>36</v>
      </c>
      <c r="F346" s="48" t="s">
        <v>4446</v>
      </c>
      <c r="G346" s="55">
        <v>6</v>
      </c>
      <c r="H346" s="77">
        <v>0.70833333333333337</v>
      </c>
      <c r="I346" s="77">
        <v>0.89583333333333337</v>
      </c>
      <c r="J346" s="77">
        <v>0.1875</v>
      </c>
      <c r="K346" s="51" t="s">
        <v>4447</v>
      </c>
      <c r="L346" s="113" t="s">
        <v>4448</v>
      </c>
      <c r="M346" s="56" t="s">
        <v>26</v>
      </c>
      <c r="N346" s="52" t="s">
        <v>38</v>
      </c>
      <c r="O346" s="52" t="s">
        <v>1321</v>
      </c>
      <c r="P346" s="238">
        <v>45889</v>
      </c>
      <c r="Q346" s="238">
        <v>45889</v>
      </c>
      <c r="R346" s="238">
        <v>46618</v>
      </c>
      <c r="S346" s="238">
        <v>46619</v>
      </c>
      <c r="T346" s="55">
        <v>2009</v>
      </c>
      <c r="U346" s="48" t="s">
        <v>4449</v>
      </c>
      <c r="V346" s="55">
        <v>2025</v>
      </c>
      <c r="W346" s="48" t="s">
        <v>1154</v>
      </c>
      <c r="X346" s="111" t="s">
        <v>30</v>
      </c>
      <c r="Y346" s="51" t="s">
        <v>49</v>
      </c>
      <c r="Z346" s="48">
        <v>69705</v>
      </c>
      <c r="AA346" s="52" t="s">
        <v>1841</v>
      </c>
      <c r="AB346" s="238">
        <v>45814</v>
      </c>
      <c r="AC346" s="238">
        <v>47639</v>
      </c>
      <c r="AD346" s="55">
        <v>9493191963</v>
      </c>
      <c r="AE346" s="386" t="s">
        <v>4450</v>
      </c>
      <c r="AF346" s="56" t="s">
        <v>1430</v>
      </c>
      <c r="AG346" s="198" t="s">
        <v>4451</v>
      </c>
      <c r="AH346" s="54" t="s">
        <v>4452</v>
      </c>
      <c r="AI346" s="54" t="s">
        <v>4453</v>
      </c>
      <c r="AJ346" s="213">
        <v>505967146880</v>
      </c>
      <c r="AK346" s="56" t="s">
        <v>4454</v>
      </c>
      <c r="AL346" s="199">
        <v>45953</v>
      </c>
      <c r="AM346" s="199" t="s">
        <v>30</v>
      </c>
      <c r="AN346" s="51" t="s">
        <v>4455</v>
      </c>
      <c r="AO346" s="51" t="s">
        <v>4456</v>
      </c>
      <c r="AP346" s="55">
        <f t="shared" ca="1" si="14"/>
        <v>40</v>
      </c>
      <c r="AQ346" s="51"/>
      <c r="AR346" s="52"/>
      <c r="AS346" s="199"/>
      <c r="AT346" s="199"/>
      <c r="AU346" s="242">
        <v>31289</v>
      </c>
      <c r="AV346" s="54" t="s">
        <v>1352</v>
      </c>
      <c r="AW346" s="54" t="s">
        <v>32</v>
      </c>
      <c r="AX346" s="55">
        <v>4.5</v>
      </c>
      <c r="AY346" s="56"/>
      <c r="AZ346" s="56" t="s">
        <v>26</v>
      </c>
      <c r="BA346" s="52" t="s">
        <v>151</v>
      </c>
      <c r="BB346" s="56" t="s">
        <v>1407</v>
      </c>
      <c r="BC346" s="53"/>
    </row>
    <row r="347" spans="1:55" x14ac:dyDescent="0.25">
      <c r="A347" s="10">
        <f t="shared" si="13"/>
        <v>346</v>
      </c>
      <c r="B347" s="31" t="s">
        <v>1155</v>
      </c>
      <c r="C347" s="30" t="s">
        <v>34</v>
      </c>
      <c r="D347" s="114">
        <v>401305</v>
      </c>
      <c r="E347" s="31" t="s">
        <v>36</v>
      </c>
      <c r="F347" s="14" t="s">
        <v>1156</v>
      </c>
      <c r="G347" s="10">
        <v>6</v>
      </c>
      <c r="H347" s="115">
        <v>0.70833333333333337</v>
      </c>
      <c r="I347" s="115">
        <v>0.83333333333333337</v>
      </c>
      <c r="J347" s="115">
        <v>0.125</v>
      </c>
      <c r="K347" s="21" t="s">
        <v>809</v>
      </c>
      <c r="L347" s="59" t="s">
        <v>1157</v>
      </c>
      <c r="M347" s="30" t="s">
        <v>26</v>
      </c>
      <c r="N347" s="23" t="s">
        <v>38</v>
      </c>
      <c r="O347" s="23" t="s">
        <v>1321</v>
      </c>
      <c r="P347" s="161">
        <v>45889</v>
      </c>
      <c r="Q347" s="161">
        <v>45889</v>
      </c>
      <c r="R347" s="161">
        <v>46618</v>
      </c>
      <c r="S347" s="161">
        <v>46619</v>
      </c>
      <c r="T347" s="36">
        <v>2007</v>
      </c>
      <c r="U347" s="116" t="s">
        <v>741</v>
      </c>
      <c r="V347" s="36">
        <v>2025</v>
      </c>
      <c r="W347" s="116" t="s">
        <v>406</v>
      </c>
      <c r="X347" s="64" t="s">
        <v>30</v>
      </c>
      <c r="Y347" s="35" t="s">
        <v>49</v>
      </c>
      <c r="Z347" s="116">
        <v>62285</v>
      </c>
      <c r="AA347" s="29" t="s">
        <v>1886</v>
      </c>
      <c r="AB347" s="161">
        <v>45863</v>
      </c>
      <c r="AC347" s="161">
        <v>47688</v>
      </c>
      <c r="AD347" s="36">
        <v>8885220198</v>
      </c>
      <c r="AE347" s="387" t="s">
        <v>1158</v>
      </c>
      <c r="AF347" s="34" t="s">
        <v>1805</v>
      </c>
      <c r="AG347" s="388" t="s">
        <v>4457</v>
      </c>
      <c r="AH347" s="31" t="s">
        <v>4458</v>
      </c>
      <c r="AI347" s="31" t="s">
        <v>4459</v>
      </c>
      <c r="AJ347" s="209">
        <v>474748199907</v>
      </c>
      <c r="AK347" s="30" t="s">
        <v>4460</v>
      </c>
      <c r="AL347" s="389"/>
      <c r="AM347" s="389"/>
      <c r="AN347" s="29"/>
      <c r="AO347" s="35" t="s">
        <v>4461</v>
      </c>
      <c r="AP347" s="10">
        <f t="shared" ca="1" si="14"/>
        <v>43</v>
      </c>
      <c r="AQ347" s="35" t="s">
        <v>1605</v>
      </c>
      <c r="AR347" s="390" t="s">
        <v>4462</v>
      </c>
      <c r="AS347" s="171">
        <v>45887</v>
      </c>
      <c r="AT347" s="171">
        <v>46251</v>
      </c>
      <c r="AU347" s="355">
        <v>30242</v>
      </c>
      <c r="AV347" s="27" t="s">
        <v>1352</v>
      </c>
      <c r="AW347" s="27" t="s">
        <v>32</v>
      </c>
      <c r="AX347" s="36">
        <v>3</v>
      </c>
      <c r="AY347" s="76" t="s">
        <v>1920</v>
      </c>
      <c r="AZ347" s="30" t="s">
        <v>26</v>
      </c>
      <c r="BA347" s="23" t="s">
        <v>151</v>
      </c>
      <c r="BB347" s="30" t="s">
        <v>34</v>
      </c>
      <c r="BC347" s="22"/>
    </row>
    <row r="348" spans="1:55" x14ac:dyDescent="0.25">
      <c r="A348" s="10">
        <f t="shared" si="13"/>
        <v>347</v>
      </c>
      <c r="B348" s="31" t="s">
        <v>1159</v>
      </c>
      <c r="C348" s="30" t="s">
        <v>34</v>
      </c>
      <c r="D348" s="114">
        <v>401306</v>
      </c>
      <c r="E348" s="31" t="s">
        <v>36</v>
      </c>
      <c r="F348" s="14" t="s">
        <v>1160</v>
      </c>
      <c r="G348" s="10">
        <v>6</v>
      </c>
      <c r="H348" s="115">
        <v>0.375</v>
      </c>
      <c r="I348" s="115">
        <v>0.54166666666666663</v>
      </c>
      <c r="J348" s="66">
        <v>0.16666666666666666</v>
      </c>
      <c r="K348" s="21" t="s">
        <v>826</v>
      </c>
      <c r="L348" s="59" t="s">
        <v>1161</v>
      </c>
      <c r="M348" s="30" t="s">
        <v>26</v>
      </c>
      <c r="N348" s="23" t="s">
        <v>38</v>
      </c>
      <c r="O348" s="23" t="s">
        <v>1321</v>
      </c>
      <c r="P348" s="161">
        <v>45890</v>
      </c>
      <c r="Q348" s="161">
        <v>45890</v>
      </c>
      <c r="R348" s="161">
        <v>46619</v>
      </c>
      <c r="S348" s="161">
        <v>46620</v>
      </c>
      <c r="T348" s="36">
        <v>1982</v>
      </c>
      <c r="U348" s="116" t="s">
        <v>1162</v>
      </c>
      <c r="V348" s="36">
        <v>1988</v>
      </c>
      <c r="W348" s="116" t="s">
        <v>1162</v>
      </c>
      <c r="X348" s="64" t="s">
        <v>4463</v>
      </c>
      <c r="Y348" s="29" t="s">
        <v>1163</v>
      </c>
      <c r="Z348" s="116" t="s">
        <v>4464</v>
      </c>
      <c r="AA348" s="29" t="s">
        <v>2910</v>
      </c>
      <c r="AB348" s="161">
        <v>44445</v>
      </c>
      <c r="AC348" s="161">
        <v>46270</v>
      </c>
      <c r="AD348" s="36">
        <v>9810159719</v>
      </c>
      <c r="AE348" s="29" t="s">
        <v>1164</v>
      </c>
      <c r="AF348" s="34" t="s">
        <v>1364</v>
      </c>
      <c r="AG348" s="388" t="s">
        <v>4465</v>
      </c>
      <c r="AH348" s="31" t="s">
        <v>4466</v>
      </c>
      <c r="AI348" s="31" t="s">
        <v>4467</v>
      </c>
      <c r="AJ348" s="209">
        <v>279101087432</v>
      </c>
      <c r="AK348" s="30" t="s">
        <v>4468</v>
      </c>
      <c r="AL348" s="389"/>
      <c r="AM348" s="389"/>
      <c r="AN348" s="29"/>
      <c r="AO348" s="35" t="s">
        <v>4469</v>
      </c>
      <c r="AP348" s="10">
        <f t="shared" ca="1" si="14"/>
        <v>66</v>
      </c>
      <c r="AQ348" s="29"/>
      <c r="AR348" s="391"/>
      <c r="AS348" s="389"/>
      <c r="AT348" s="389"/>
      <c r="AU348" s="355">
        <v>21851</v>
      </c>
      <c r="AV348" s="27" t="s">
        <v>1389</v>
      </c>
      <c r="AW348" s="27" t="s">
        <v>32</v>
      </c>
      <c r="AX348" s="36">
        <v>4</v>
      </c>
      <c r="AY348" s="14" t="s">
        <v>2251</v>
      </c>
      <c r="AZ348" s="30" t="s">
        <v>26</v>
      </c>
      <c r="BA348" s="23" t="s">
        <v>151</v>
      </c>
      <c r="BB348" s="30" t="s">
        <v>34</v>
      </c>
      <c r="BC348" s="22"/>
    </row>
    <row r="349" spans="1:55" x14ac:dyDescent="0.25">
      <c r="A349" s="10">
        <f t="shared" si="13"/>
        <v>348</v>
      </c>
      <c r="B349" s="31" t="s">
        <v>4470</v>
      </c>
      <c r="C349" s="30" t="s">
        <v>34</v>
      </c>
      <c r="D349" s="118">
        <v>401307</v>
      </c>
      <c r="E349" s="31" t="s">
        <v>36</v>
      </c>
      <c r="F349" s="14" t="s">
        <v>2254</v>
      </c>
      <c r="G349" s="10">
        <v>6</v>
      </c>
      <c r="H349" s="66">
        <v>0.33333333333333331</v>
      </c>
      <c r="I349" s="66">
        <v>0.875</v>
      </c>
      <c r="J349" s="66">
        <v>0.33333333333333331</v>
      </c>
      <c r="K349" s="21" t="s">
        <v>784</v>
      </c>
      <c r="L349" s="34" t="s">
        <v>30</v>
      </c>
      <c r="M349" s="34" t="s">
        <v>1355</v>
      </c>
      <c r="N349" s="23" t="s">
        <v>1520</v>
      </c>
      <c r="O349" s="35" t="s">
        <v>1357</v>
      </c>
      <c r="P349" s="161">
        <v>45890</v>
      </c>
      <c r="Q349" s="161">
        <v>45890</v>
      </c>
      <c r="R349" s="161">
        <v>46619</v>
      </c>
      <c r="S349" s="161">
        <v>46620</v>
      </c>
      <c r="T349" s="36">
        <v>2014</v>
      </c>
      <c r="U349" s="34" t="s">
        <v>515</v>
      </c>
      <c r="V349" s="36">
        <v>2019</v>
      </c>
      <c r="W349" s="29" t="s">
        <v>516</v>
      </c>
      <c r="X349" s="27" t="s">
        <v>30</v>
      </c>
      <c r="Y349" s="35" t="s">
        <v>1360</v>
      </c>
      <c r="Z349" s="116" t="s">
        <v>4471</v>
      </c>
      <c r="AA349" s="29" t="s">
        <v>1886</v>
      </c>
      <c r="AB349" s="161">
        <v>45862</v>
      </c>
      <c r="AC349" s="161">
        <v>47687</v>
      </c>
      <c r="AD349" s="36">
        <v>9550682028</v>
      </c>
      <c r="AE349" s="387" t="s">
        <v>4472</v>
      </c>
      <c r="AF349" s="28" t="s">
        <v>1495</v>
      </c>
      <c r="AG349" s="388" t="s">
        <v>4473</v>
      </c>
      <c r="AH349" s="31" t="s">
        <v>4474</v>
      </c>
      <c r="AI349" s="31" t="s">
        <v>4475</v>
      </c>
      <c r="AJ349" s="209">
        <v>337305289459</v>
      </c>
      <c r="AK349" s="30" t="s">
        <v>4476</v>
      </c>
      <c r="AL349" s="389"/>
      <c r="AM349" s="389"/>
      <c r="AN349" s="29"/>
      <c r="AO349" s="35" t="s">
        <v>4477</v>
      </c>
      <c r="AP349" s="10">
        <f t="shared" ca="1" si="14"/>
        <v>33</v>
      </c>
      <c r="AQ349" s="35" t="s">
        <v>1605</v>
      </c>
      <c r="AR349" s="390" t="s">
        <v>4478</v>
      </c>
      <c r="AS349" s="171">
        <v>45882</v>
      </c>
      <c r="AT349" s="171">
        <v>46246</v>
      </c>
      <c r="AU349" s="355">
        <v>33769</v>
      </c>
      <c r="AV349" s="27" t="s">
        <v>1389</v>
      </c>
      <c r="AW349" s="27" t="s">
        <v>68</v>
      </c>
      <c r="AX349" s="36">
        <v>8</v>
      </c>
      <c r="AY349" s="14" t="s">
        <v>2262</v>
      </c>
      <c r="AZ349" s="30" t="s">
        <v>1373</v>
      </c>
      <c r="BA349" s="23" t="s">
        <v>151</v>
      </c>
      <c r="BB349" s="30" t="s">
        <v>34</v>
      </c>
      <c r="BC349" s="22"/>
    </row>
    <row r="350" spans="1:55" x14ac:dyDescent="0.25">
      <c r="A350" s="10">
        <f t="shared" si="13"/>
        <v>349</v>
      </c>
      <c r="B350" s="31" t="s">
        <v>4479</v>
      </c>
      <c r="C350" s="30" t="s">
        <v>34</v>
      </c>
      <c r="D350" s="392">
        <v>401308</v>
      </c>
      <c r="E350" s="181" t="s">
        <v>9124</v>
      </c>
      <c r="F350" s="14" t="s">
        <v>4480</v>
      </c>
      <c r="G350" s="16">
        <v>6</v>
      </c>
      <c r="H350" s="119" t="s">
        <v>4481</v>
      </c>
      <c r="I350" s="119" t="s">
        <v>4482</v>
      </c>
      <c r="J350" s="66">
        <v>0.33333333333333331</v>
      </c>
      <c r="K350" s="21" t="s">
        <v>477</v>
      </c>
      <c r="L350" s="15" t="s">
        <v>30</v>
      </c>
      <c r="M350" s="15" t="s">
        <v>1355</v>
      </c>
      <c r="N350" s="23" t="s">
        <v>1520</v>
      </c>
      <c r="O350" s="14" t="s">
        <v>2042</v>
      </c>
      <c r="P350" s="161">
        <v>45895</v>
      </c>
      <c r="Q350" s="161">
        <v>45895</v>
      </c>
      <c r="R350" s="161">
        <v>46624</v>
      </c>
      <c r="S350" s="161">
        <v>46625</v>
      </c>
      <c r="T350" s="16">
        <v>2015</v>
      </c>
      <c r="U350" s="15" t="s">
        <v>4483</v>
      </c>
      <c r="V350" s="16">
        <v>2025</v>
      </c>
      <c r="W350" s="21" t="s">
        <v>924</v>
      </c>
      <c r="X350" s="27" t="s">
        <v>30</v>
      </c>
      <c r="Y350" s="35" t="s">
        <v>1360</v>
      </c>
      <c r="Z350" s="116" t="s">
        <v>4484</v>
      </c>
      <c r="AA350" s="23" t="s">
        <v>1841</v>
      </c>
      <c r="AB350" s="161">
        <v>45861</v>
      </c>
      <c r="AC350" s="161">
        <v>47686</v>
      </c>
      <c r="AD350" s="16">
        <v>9550385205</v>
      </c>
      <c r="AE350" s="216" t="s">
        <v>4485</v>
      </c>
      <c r="AF350" s="28" t="s">
        <v>1495</v>
      </c>
      <c r="AG350" s="393" t="s">
        <v>4486</v>
      </c>
      <c r="AH350" s="72" t="s">
        <v>4487</v>
      </c>
      <c r="AI350" s="72" t="s">
        <v>4488</v>
      </c>
      <c r="AJ350" s="394">
        <v>417606295661</v>
      </c>
      <c r="AK350" s="75" t="s">
        <v>4489</v>
      </c>
      <c r="AL350" s="160"/>
      <c r="AM350" s="160"/>
      <c r="AN350" s="21"/>
      <c r="AO350" s="38" t="s">
        <v>4490</v>
      </c>
      <c r="AP350" s="10">
        <f t="shared" ca="1" si="14"/>
        <v>33</v>
      </c>
      <c r="AQ350" s="21"/>
      <c r="AR350" s="395"/>
      <c r="AS350" s="160"/>
      <c r="AT350" s="160"/>
      <c r="AU350" s="396">
        <v>33624</v>
      </c>
      <c r="AV350" s="24" t="s">
        <v>1352</v>
      </c>
      <c r="AW350" s="24" t="s">
        <v>68</v>
      </c>
      <c r="AX350" s="16">
        <v>8</v>
      </c>
      <c r="AY350" s="14" t="s">
        <v>2053</v>
      </c>
      <c r="AZ350" s="30" t="s">
        <v>1373</v>
      </c>
      <c r="BA350" s="23" t="s">
        <v>151</v>
      </c>
      <c r="BB350" s="30" t="s">
        <v>34</v>
      </c>
      <c r="BC350" s="22"/>
    </row>
    <row r="351" spans="1:55" x14ac:dyDescent="0.25">
      <c r="A351" s="10">
        <f t="shared" si="13"/>
        <v>350</v>
      </c>
      <c r="B351" s="31" t="s">
        <v>4491</v>
      </c>
      <c r="C351" s="30" t="s">
        <v>34</v>
      </c>
      <c r="D351" s="392">
        <v>401309</v>
      </c>
      <c r="E351" s="31" t="s">
        <v>36</v>
      </c>
      <c r="F351" s="14" t="s">
        <v>4492</v>
      </c>
      <c r="G351" s="16">
        <v>6</v>
      </c>
      <c r="H351" s="119">
        <v>0.75</v>
      </c>
      <c r="I351" s="66">
        <v>0.89583333333333337</v>
      </c>
      <c r="J351" s="115">
        <v>0.14583333333333334</v>
      </c>
      <c r="K351" s="21" t="s">
        <v>147</v>
      </c>
      <c r="L351" s="15" t="s">
        <v>30</v>
      </c>
      <c r="M351" s="15" t="s">
        <v>1355</v>
      </c>
      <c r="N351" s="23" t="s">
        <v>1520</v>
      </c>
      <c r="O351" s="35" t="s">
        <v>1357</v>
      </c>
      <c r="P351" s="161">
        <v>45895</v>
      </c>
      <c r="Q351" s="161">
        <v>45895</v>
      </c>
      <c r="R351" s="161">
        <v>46624</v>
      </c>
      <c r="S351" s="161">
        <v>46625</v>
      </c>
      <c r="T351" s="16">
        <v>2018</v>
      </c>
      <c r="U351" s="15" t="s">
        <v>4493</v>
      </c>
      <c r="V351" s="16">
        <v>2025</v>
      </c>
      <c r="W351" s="15" t="s">
        <v>4494</v>
      </c>
      <c r="X351" s="27" t="s">
        <v>30</v>
      </c>
      <c r="Y351" s="35" t="s">
        <v>1360</v>
      </c>
      <c r="Z351" s="116" t="s">
        <v>4495</v>
      </c>
      <c r="AA351" s="23" t="s">
        <v>1841</v>
      </c>
      <c r="AB351" s="161">
        <v>45786</v>
      </c>
      <c r="AC351" s="161">
        <v>47611</v>
      </c>
      <c r="AD351" s="16">
        <v>8179472196</v>
      </c>
      <c r="AE351" s="397" t="s">
        <v>4496</v>
      </c>
      <c r="AF351" s="15" t="s">
        <v>1690</v>
      </c>
      <c r="AG351" s="398" t="s">
        <v>4497</v>
      </c>
      <c r="AH351" s="72" t="s">
        <v>4498</v>
      </c>
      <c r="AI351" s="72" t="s">
        <v>4499</v>
      </c>
      <c r="AJ351" s="399" t="s">
        <v>4500</v>
      </c>
      <c r="AK351" s="75" t="s">
        <v>4501</v>
      </c>
      <c r="AL351" s="160"/>
      <c r="AM351" s="160"/>
      <c r="AN351" s="21"/>
      <c r="AO351" s="38" t="s">
        <v>4502</v>
      </c>
      <c r="AP351" s="10">
        <f t="shared" ca="1" si="14"/>
        <v>30</v>
      </c>
      <c r="AQ351" s="21"/>
      <c r="AR351" s="395"/>
      <c r="AS351" s="160"/>
      <c r="AT351" s="160"/>
      <c r="AU351" s="396">
        <v>35000</v>
      </c>
      <c r="AV351" s="24" t="s">
        <v>1352</v>
      </c>
      <c r="AW351" s="24" t="s">
        <v>32</v>
      </c>
      <c r="AX351" s="16">
        <v>3.5</v>
      </c>
      <c r="AY351" s="14" t="s">
        <v>1849</v>
      </c>
      <c r="AZ351" s="30" t="s">
        <v>1373</v>
      </c>
      <c r="BA351" s="23" t="s">
        <v>151</v>
      </c>
      <c r="BB351" s="30" t="s">
        <v>34</v>
      </c>
      <c r="BC351" s="22"/>
    </row>
    <row r="352" spans="1:55" x14ac:dyDescent="0.25">
      <c r="A352" s="10">
        <f t="shared" si="13"/>
        <v>351</v>
      </c>
      <c r="B352" s="31" t="s">
        <v>1165</v>
      </c>
      <c r="C352" s="30" t="s">
        <v>34</v>
      </c>
      <c r="D352" s="114">
        <v>401310</v>
      </c>
      <c r="E352" s="31" t="s">
        <v>192</v>
      </c>
      <c r="F352" s="14" t="s">
        <v>1166</v>
      </c>
      <c r="G352" s="36"/>
      <c r="H352" s="115"/>
      <c r="I352" s="115"/>
      <c r="J352" s="115"/>
      <c r="K352" s="21" t="s">
        <v>334</v>
      </c>
      <c r="L352" s="59" t="s">
        <v>1167</v>
      </c>
      <c r="M352" s="30" t="s">
        <v>26</v>
      </c>
      <c r="N352" s="23" t="s">
        <v>38</v>
      </c>
      <c r="O352" s="23" t="s">
        <v>1321</v>
      </c>
      <c r="P352" s="161">
        <v>45897</v>
      </c>
      <c r="Q352" s="161">
        <v>45897</v>
      </c>
      <c r="R352" s="161">
        <v>46626</v>
      </c>
      <c r="S352" s="161">
        <v>46627</v>
      </c>
      <c r="T352" s="36">
        <v>2021</v>
      </c>
      <c r="U352" s="34" t="s">
        <v>406</v>
      </c>
      <c r="V352" s="36">
        <v>2025</v>
      </c>
      <c r="W352" s="29" t="s">
        <v>250</v>
      </c>
      <c r="X352" s="27" t="s">
        <v>30</v>
      </c>
      <c r="Y352" s="35" t="s">
        <v>49</v>
      </c>
      <c r="Z352" s="34" t="s">
        <v>4503</v>
      </c>
      <c r="AA352" s="29" t="s">
        <v>1886</v>
      </c>
      <c r="AB352" s="161">
        <v>45888</v>
      </c>
      <c r="AC352" s="161">
        <v>47713</v>
      </c>
      <c r="AD352" s="36">
        <v>9949355557</v>
      </c>
      <c r="AE352" s="387" t="s">
        <v>1168</v>
      </c>
      <c r="AF352" s="30" t="s">
        <v>1410</v>
      </c>
      <c r="AG352" s="388" t="s">
        <v>4504</v>
      </c>
      <c r="AH352" s="31" t="s">
        <v>4505</v>
      </c>
      <c r="AI352" s="31" t="s">
        <v>4506</v>
      </c>
      <c r="AJ352" s="209">
        <v>335203246096</v>
      </c>
      <c r="AK352" s="30" t="s">
        <v>4507</v>
      </c>
      <c r="AL352" s="389"/>
      <c r="AM352" s="389"/>
      <c r="AN352" s="29"/>
      <c r="AO352" s="400" t="s">
        <v>4508</v>
      </c>
      <c r="AP352" s="401">
        <f t="shared" ca="1" si="14"/>
        <v>28</v>
      </c>
      <c r="AQ352" s="400" t="s">
        <v>1605</v>
      </c>
      <c r="AR352" s="402" t="s">
        <v>4509</v>
      </c>
      <c r="AS352" s="403">
        <v>45888</v>
      </c>
      <c r="AT352" s="403">
        <v>46983</v>
      </c>
      <c r="AU352" s="404">
        <v>35540</v>
      </c>
      <c r="AV352" s="405" t="s">
        <v>1389</v>
      </c>
      <c r="AW352" s="117" t="s">
        <v>32</v>
      </c>
      <c r="AX352" s="10" t="s">
        <v>30</v>
      </c>
      <c r="AY352" s="406" t="s">
        <v>30</v>
      </c>
      <c r="AZ352" s="30" t="s">
        <v>26</v>
      </c>
      <c r="BA352" s="23" t="s">
        <v>151</v>
      </c>
      <c r="BB352" s="30" t="s">
        <v>34</v>
      </c>
      <c r="BC352" s="22"/>
    </row>
    <row r="353" spans="1:55" x14ac:dyDescent="0.25">
      <c r="A353" s="10">
        <f t="shared" si="13"/>
        <v>352</v>
      </c>
      <c r="B353" s="31" t="s">
        <v>1169</v>
      </c>
      <c r="C353" s="30" t="s">
        <v>34</v>
      </c>
      <c r="D353" s="114">
        <v>401311</v>
      </c>
      <c r="E353" s="31" t="s">
        <v>192</v>
      </c>
      <c r="F353" s="14" t="s">
        <v>1170</v>
      </c>
      <c r="G353" s="36"/>
      <c r="H353" s="115"/>
      <c r="I353" s="115"/>
      <c r="J353" s="115"/>
      <c r="K353" s="21" t="s">
        <v>334</v>
      </c>
      <c r="L353" s="34" t="s">
        <v>1171</v>
      </c>
      <c r="M353" s="30" t="s">
        <v>26</v>
      </c>
      <c r="N353" s="23" t="s">
        <v>38</v>
      </c>
      <c r="O353" s="23" t="s">
        <v>1321</v>
      </c>
      <c r="P353" s="161">
        <v>45897</v>
      </c>
      <c r="Q353" s="161">
        <v>45897</v>
      </c>
      <c r="R353" s="161">
        <v>46626</v>
      </c>
      <c r="S353" s="161">
        <v>46627</v>
      </c>
      <c r="T353" s="36">
        <v>2011</v>
      </c>
      <c r="U353" s="34" t="s">
        <v>1172</v>
      </c>
      <c r="V353" s="36">
        <v>2015</v>
      </c>
      <c r="W353" s="29" t="s">
        <v>1173</v>
      </c>
      <c r="X353" s="27" t="s">
        <v>30</v>
      </c>
      <c r="Y353" s="35" t="s">
        <v>49</v>
      </c>
      <c r="Z353" s="407">
        <v>77943</v>
      </c>
      <c r="AA353" s="29" t="s">
        <v>1323</v>
      </c>
      <c r="AB353" s="161">
        <v>43432</v>
      </c>
      <c r="AC353" s="161" t="s">
        <v>30</v>
      </c>
      <c r="AD353" s="167" t="s">
        <v>1174</v>
      </c>
      <c r="AE353" s="168" t="s">
        <v>1175</v>
      </c>
      <c r="AF353" s="30" t="s">
        <v>1430</v>
      </c>
      <c r="AG353" s="388" t="s">
        <v>4510</v>
      </c>
      <c r="AH353" s="31" t="s">
        <v>4511</v>
      </c>
      <c r="AI353" s="31" t="s">
        <v>4512</v>
      </c>
      <c r="AJ353" s="174" t="s">
        <v>4513</v>
      </c>
      <c r="AK353" s="30" t="s">
        <v>4514</v>
      </c>
      <c r="AL353" s="389"/>
      <c r="AM353" s="389"/>
      <c r="AN353" s="29"/>
      <c r="AO353" s="35" t="s">
        <v>4515</v>
      </c>
      <c r="AP353" s="10">
        <f t="shared" ca="1" si="14"/>
        <v>38</v>
      </c>
      <c r="AQ353" s="29" t="s">
        <v>3057</v>
      </c>
      <c r="AR353" s="390" t="s">
        <v>4516</v>
      </c>
      <c r="AS353" s="389">
        <v>45722</v>
      </c>
      <c r="AT353" s="389">
        <v>46086</v>
      </c>
      <c r="AU353" s="355">
        <v>31784</v>
      </c>
      <c r="AV353" s="27" t="s">
        <v>1352</v>
      </c>
      <c r="AW353" s="31" t="s">
        <v>32</v>
      </c>
      <c r="AX353" s="10" t="s">
        <v>30</v>
      </c>
      <c r="AY353" s="34" t="s">
        <v>30</v>
      </c>
      <c r="AZ353" s="30" t="s">
        <v>26</v>
      </c>
      <c r="BA353" s="23" t="s">
        <v>151</v>
      </c>
      <c r="BB353" s="30" t="s">
        <v>34</v>
      </c>
      <c r="BC353" s="22"/>
    </row>
    <row r="354" spans="1:55" x14ac:dyDescent="0.25">
      <c r="A354" s="10">
        <f t="shared" si="13"/>
        <v>353</v>
      </c>
      <c r="B354" s="31" t="s">
        <v>1176</v>
      </c>
      <c r="C354" s="30" t="s">
        <v>34</v>
      </c>
      <c r="D354" s="114">
        <v>401312</v>
      </c>
      <c r="E354" s="31" t="s">
        <v>192</v>
      </c>
      <c r="F354" s="14" t="s">
        <v>1177</v>
      </c>
      <c r="G354" s="36"/>
      <c r="H354" s="115"/>
      <c r="I354" s="115"/>
      <c r="J354" s="115"/>
      <c r="K354" s="21" t="s">
        <v>334</v>
      </c>
      <c r="L354" s="59" t="s">
        <v>1178</v>
      </c>
      <c r="M354" s="30" t="s">
        <v>26</v>
      </c>
      <c r="N354" s="23" t="s">
        <v>38</v>
      </c>
      <c r="O354" s="23" t="s">
        <v>1321</v>
      </c>
      <c r="P354" s="161">
        <v>45901</v>
      </c>
      <c r="Q354" s="161">
        <v>45901</v>
      </c>
      <c r="R354" s="161">
        <v>46630</v>
      </c>
      <c r="S354" s="161">
        <v>46631</v>
      </c>
      <c r="T354" s="36">
        <v>2020</v>
      </c>
      <c r="U354" s="34" t="s">
        <v>196</v>
      </c>
      <c r="V354" s="36">
        <v>2024</v>
      </c>
      <c r="W354" s="29" t="s">
        <v>1179</v>
      </c>
      <c r="X354" s="27" t="s">
        <v>30</v>
      </c>
      <c r="Y354" s="35" t="s">
        <v>49</v>
      </c>
      <c r="Z354" s="407" t="s">
        <v>4517</v>
      </c>
      <c r="AA354" s="23" t="s">
        <v>1841</v>
      </c>
      <c r="AB354" s="161">
        <v>45847</v>
      </c>
      <c r="AC354" s="161">
        <v>47672</v>
      </c>
      <c r="AD354" s="36">
        <v>7036951696</v>
      </c>
      <c r="AE354" s="387" t="s">
        <v>1180</v>
      </c>
      <c r="AF354" s="28" t="s">
        <v>1495</v>
      </c>
      <c r="AG354" s="388" t="s">
        <v>4518</v>
      </c>
      <c r="AH354" s="31" t="s">
        <v>3069</v>
      </c>
      <c r="AI354" s="31" t="s">
        <v>4519</v>
      </c>
      <c r="AJ354" s="174" t="s">
        <v>4520</v>
      </c>
      <c r="AK354" s="30" t="s">
        <v>4521</v>
      </c>
      <c r="AL354" s="389"/>
      <c r="AM354" s="389"/>
      <c r="AN354" s="29"/>
      <c r="AO354" s="35" t="s">
        <v>4522</v>
      </c>
      <c r="AP354" s="10">
        <f t="shared" ca="1" si="14"/>
        <v>28</v>
      </c>
      <c r="AQ354" s="29" t="s">
        <v>3503</v>
      </c>
      <c r="AR354" s="390" t="s">
        <v>4523</v>
      </c>
      <c r="AS354" s="389">
        <v>45897</v>
      </c>
      <c r="AT354" s="389">
        <v>46261</v>
      </c>
      <c r="AU354" s="355">
        <v>35551</v>
      </c>
      <c r="AV354" s="27" t="s">
        <v>1389</v>
      </c>
      <c r="AW354" s="31" t="s">
        <v>32</v>
      </c>
      <c r="AX354" s="10" t="s">
        <v>30</v>
      </c>
      <c r="AY354" s="34" t="s">
        <v>30</v>
      </c>
      <c r="AZ354" s="30" t="s">
        <v>26</v>
      </c>
      <c r="BA354" s="23" t="s">
        <v>151</v>
      </c>
      <c r="BB354" s="30" t="s">
        <v>34</v>
      </c>
      <c r="BC354" s="22"/>
    </row>
    <row r="355" spans="1:55" x14ac:dyDescent="0.25">
      <c r="A355" s="10">
        <f t="shared" si="13"/>
        <v>354</v>
      </c>
      <c r="B355" s="31" t="s">
        <v>4524</v>
      </c>
      <c r="C355" s="30" t="s">
        <v>34</v>
      </c>
      <c r="D355" s="114">
        <v>401313</v>
      </c>
      <c r="E355" s="31" t="s">
        <v>36</v>
      </c>
      <c r="F355" s="14" t="s">
        <v>4525</v>
      </c>
      <c r="G355" s="36">
        <v>6</v>
      </c>
      <c r="H355" s="66">
        <v>0.375</v>
      </c>
      <c r="I355" s="66">
        <v>0.54166666666666663</v>
      </c>
      <c r="J355" s="66">
        <v>0.16666666666666666</v>
      </c>
      <c r="K355" s="21" t="s">
        <v>587</v>
      </c>
      <c r="L355" s="34" t="s">
        <v>30</v>
      </c>
      <c r="M355" s="34" t="s">
        <v>1355</v>
      </c>
      <c r="N355" s="23" t="s">
        <v>1520</v>
      </c>
      <c r="O355" s="14" t="s">
        <v>2279</v>
      </c>
      <c r="P355" s="161">
        <v>45901</v>
      </c>
      <c r="Q355" s="161">
        <v>45901</v>
      </c>
      <c r="R355" s="161">
        <v>46630</v>
      </c>
      <c r="S355" s="161">
        <v>46631</v>
      </c>
      <c r="T355" s="36">
        <v>2013</v>
      </c>
      <c r="U355" s="34" t="s">
        <v>4526</v>
      </c>
      <c r="V355" s="36">
        <v>2020</v>
      </c>
      <c r="W355" s="29" t="s">
        <v>856</v>
      </c>
      <c r="X355" s="27" t="s">
        <v>30</v>
      </c>
      <c r="Y355" s="29" t="s">
        <v>4527</v>
      </c>
      <c r="Z355" s="407" t="s">
        <v>4528</v>
      </c>
      <c r="AA355" s="23" t="s">
        <v>1841</v>
      </c>
      <c r="AB355" s="161">
        <v>45848</v>
      </c>
      <c r="AC355" s="161">
        <v>47673</v>
      </c>
      <c r="AD355" s="36">
        <v>6302331983</v>
      </c>
      <c r="AE355" s="408" t="s">
        <v>4529</v>
      </c>
      <c r="AF355" s="34" t="s">
        <v>1805</v>
      </c>
      <c r="AG355" s="388" t="s">
        <v>4530</v>
      </c>
      <c r="AH355" s="31" t="s">
        <v>4531</v>
      </c>
      <c r="AI355" s="31" t="s">
        <v>4532</v>
      </c>
      <c r="AJ355" s="174" t="s">
        <v>4533</v>
      </c>
      <c r="AK355" s="30" t="s">
        <v>4534</v>
      </c>
      <c r="AL355" s="389"/>
      <c r="AM355" s="389"/>
      <c r="AN355" s="29"/>
      <c r="AO355" s="35" t="s">
        <v>4535</v>
      </c>
      <c r="AP355" s="10">
        <f t="shared" ca="1" si="14"/>
        <v>37</v>
      </c>
      <c r="AQ355" s="29"/>
      <c r="AR355" s="391"/>
      <c r="AS355" s="389"/>
      <c r="AT355" s="389"/>
      <c r="AU355" s="355">
        <v>32433</v>
      </c>
      <c r="AV355" s="27" t="s">
        <v>1389</v>
      </c>
      <c r="AW355" s="27" t="s">
        <v>32</v>
      </c>
      <c r="AX355" s="36">
        <v>4</v>
      </c>
      <c r="AY355" s="14" t="s">
        <v>2053</v>
      </c>
      <c r="AZ355" s="30" t="s">
        <v>1373</v>
      </c>
      <c r="BA355" s="23" t="s">
        <v>151</v>
      </c>
      <c r="BB355" s="30" t="s">
        <v>34</v>
      </c>
      <c r="BC355" s="22"/>
    </row>
    <row r="356" spans="1:55" x14ac:dyDescent="0.25">
      <c r="A356" s="10">
        <f t="shared" si="13"/>
        <v>355</v>
      </c>
      <c r="B356" s="31" t="s">
        <v>1181</v>
      </c>
      <c r="C356" s="30" t="s">
        <v>34</v>
      </c>
      <c r="D356" s="114">
        <v>401314</v>
      </c>
      <c r="E356" s="31" t="s">
        <v>42</v>
      </c>
      <c r="F356" s="14" t="s">
        <v>1182</v>
      </c>
      <c r="G356" s="36">
        <v>6</v>
      </c>
      <c r="H356" s="115">
        <v>0.4375</v>
      </c>
      <c r="I356" s="115">
        <v>0.77083333333333337</v>
      </c>
      <c r="J356" s="66">
        <v>0.33333333333333331</v>
      </c>
      <c r="K356" s="21" t="s">
        <v>593</v>
      </c>
      <c r="L356" s="59" t="s">
        <v>1183</v>
      </c>
      <c r="M356" s="34" t="s">
        <v>26</v>
      </c>
      <c r="N356" s="23" t="s">
        <v>38</v>
      </c>
      <c r="O356" s="23" t="s">
        <v>1321</v>
      </c>
      <c r="P356" s="161">
        <v>45901</v>
      </c>
      <c r="Q356" s="161">
        <v>45901</v>
      </c>
      <c r="R356" s="161">
        <v>46630</v>
      </c>
      <c r="S356" s="161">
        <v>46631</v>
      </c>
      <c r="T356" s="36">
        <v>2018</v>
      </c>
      <c r="U356" s="34" t="s">
        <v>695</v>
      </c>
      <c r="V356" s="36">
        <v>2022</v>
      </c>
      <c r="W356" s="116" t="s">
        <v>406</v>
      </c>
      <c r="X356" s="27" t="s">
        <v>30</v>
      </c>
      <c r="Y356" s="35" t="s">
        <v>49</v>
      </c>
      <c r="Z356" s="116" t="s">
        <v>4536</v>
      </c>
      <c r="AA356" s="29" t="s">
        <v>1886</v>
      </c>
      <c r="AB356" s="161">
        <v>44816</v>
      </c>
      <c r="AC356" s="161">
        <v>46641</v>
      </c>
      <c r="AD356" s="36">
        <v>9298559975</v>
      </c>
      <c r="AE356" s="29" t="s">
        <v>1184</v>
      </c>
      <c r="AF356" s="30" t="s">
        <v>1410</v>
      </c>
      <c r="AG356" s="388" t="s">
        <v>4537</v>
      </c>
      <c r="AH356" s="31" t="s">
        <v>3542</v>
      </c>
      <c r="AI356" s="31" t="s">
        <v>4538</v>
      </c>
      <c r="AJ356" s="174" t="s">
        <v>4539</v>
      </c>
      <c r="AK356" s="30" t="s">
        <v>4540</v>
      </c>
      <c r="AL356" s="389"/>
      <c r="AM356" s="389"/>
      <c r="AN356" s="29"/>
      <c r="AO356" s="35" t="s">
        <v>4541</v>
      </c>
      <c r="AP356" s="10">
        <f t="shared" ca="1" si="14"/>
        <v>29</v>
      </c>
      <c r="AQ356" s="35" t="s">
        <v>1605</v>
      </c>
      <c r="AR356" s="409" t="s">
        <v>4542</v>
      </c>
      <c r="AS356" s="171">
        <v>45867</v>
      </c>
      <c r="AT356" s="171">
        <v>46962</v>
      </c>
      <c r="AU356" s="355">
        <v>35131</v>
      </c>
      <c r="AV356" s="27" t="s">
        <v>1389</v>
      </c>
      <c r="AW356" s="27" t="s">
        <v>68</v>
      </c>
      <c r="AX356" s="36">
        <v>8</v>
      </c>
      <c r="AY356" s="76" t="s">
        <v>1920</v>
      </c>
      <c r="AZ356" s="30" t="s">
        <v>26</v>
      </c>
      <c r="BA356" s="23" t="s">
        <v>151</v>
      </c>
      <c r="BB356" s="30" t="s">
        <v>34</v>
      </c>
      <c r="BC356" s="22"/>
    </row>
    <row r="357" spans="1:55" x14ac:dyDescent="0.25">
      <c r="A357" s="10">
        <f t="shared" si="13"/>
        <v>356</v>
      </c>
      <c r="B357" s="31" t="s">
        <v>4543</v>
      </c>
      <c r="C357" s="30" t="s">
        <v>34</v>
      </c>
      <c r="D357" s="118">
        <v>401315</v>
      </c>
      <c r="E357" s="31" t="s">
        <v>36</v>
      </c>
      <c r="F357" s="14" t="s">
        <v>4544</v>
      </c>
      <c r="G357" s="36">
        <v>6</v>
      </c>
      <c r="H357" s="66">
        <v>0.375</v>
      </c>
      <c r="I357" s="66">
        <v>0.41666666666666669</v>
      </c>
      <c r="J357" s="66">
        <v>4.1666666666666664E-2</v>
      </c>
      <c r="K357" s="21" t="s">
        <v>174</v>
      </c>
      <c r="L357" s="34" t="s">
        <v>30</v>
      </c>
      <c r="M357" s="30" t="s">
        <v>1376</v>
      </c>
      <c r="N357" s="23" t="s">
        <v>1393</v>
      </c>
      <c r="O357" s="29" t="s">
        <v>30</v>
      </c>
      <c r="P357" s="161">
        <v>45901</v>
      </c>
      <c r="Q357" s="161">
        <v>45901</v>
      </c>
      <c r="R357" s="161">
        <v>46630</v>
      </c>
      <c r="S357" s="161">
        <v>46631</v>
      </c>
      <c r="T357" s="36">
        <v>2022</v>
      </c>
      <c r="U357" s="34" t="s">
        <v>4545</v>
      </c>
      <c r="V357" s="36" t="s">
        <v>30</v>
      </c>
      <c r="W357" s="29" t="s">
        <v>30</v>
      </c>
      <c r="X357" s="27" t="s">
        <v>30</v>
      </c>
      <c r="Y357" s="29" t="s">
        <v>226</v>
      </c>
      <c r="Z357" s="407" t="s">
        <v>4546</v>
      </c>
      <c r="AA357" s="23" t="s">
        <v>1841</v>
      </c>
      <c r="AB357" s="161">
        <v>45559</v>
      </c>
      <c r="AC357" s="161">
        <v>47384</v>
      </c>
      <c r="AD357" s="36">
        <v>8247325930</v>
      </c>
      <c r="AE357" s="408" t="s">
        <v>4547</v>
      </c>
      <c r="AF357" s="28" t="s">
        <v>1495</v>
      </c>
      <c r="AG357" s="388" t="s">
        <v>4548</v>
      </c>
      <c r="AH357" s="31" t="s">
        <v>4549</v>
      </c>
      <c r="AI357" s="31" t="s">
        <v>4550</v>
      </c>
      <c r="AJ357" s="174" t="s">
        <v>4551</v>
      </c>
      <c r="AK357" s="30" t="s">
        <v>4552</v>
      </c>
      <c r="AL357" s="389"/>
      <c r="AM357" s="389"/>
      <c r="AN357" s="29"/>
      <c r="AO357" s="35" t="s">
        <v>4553</v>
      </c>
      <c r="AP357" s="10">
        <f t="shared" ca="1" si="14"/>
        <v>26</v>
      </c>
      <c r="AQ357" s="29"/>
      <c r="AR357" s="22"/>
      <c r="AS357" s="389"/>
      <c r="AT357" s="389"/>
      <c r="AU357" s="355">
        <v>36328</v>
      </c>
      <c r="AV357" s="27" t="s">
        <v>1389</v>
      </c>
      <c r="AW357" s="27" t="s">
        <v>32</v>
      </c>
      <c r="AX357" s="36">
        <v>1</v>
      </c>
      <c r="AY357" s="14" t="s">
        <v>1849</v>
      </c>
      <c r="AZ357" s="30" t="s">
        <v>1390</v>
      </c>
      <c r="BA357" s="23" t="s">
        <v>151</v>
      </c>
      <c r="BB357" s="30" t="s">
        <v>34</v>
      </c>
      <c r="BC357" s="22"/>
    </row>
    <row r="358" spans="1:55" x14ac:dyDescent="0.25">
      <c r="A358" s="10">
        <f t="shared" si="13"/>
        <v>357</v>
      </c>
      <c r="B358" s="31" t="s">
        <v>1185</v>
      </c>
      <c r="C358" s="30" t="s">
        <v>34</v>
      </c>
      <c r="D358" s="114">
        <v>401316</v>
      </c>
      <c r="E358" s="31" t="s">
        <v>36</v>
      </c>
      <c r="F358" s="14" t="s">
        <v>1186</v>
      </c>
      <c r="G358" s="36">
        <v>6</v>
      </c>
      <c r="H358" s="66">
        <v>0.375</v>
      </c>
      <c r="I358" s="66">
        <v>0.70833333333333337</v>
      </c>
      <c r="J358" s="66">
        <v>0.33333333333333331</v>
      </c>
      <c r="K358" s="21" t="s">
        <v>1187</v>
      </c>
      <c r="L358" s="59" t="s">
        <v>1188</v>
      </c>
      <c r="M358" s="34" t="s">
        <v>26</v>
      </c>
      <c r="N358" s="23" t="s">
        <v>38</v>
      </c>
      <c r="O358" s="23" t="s">
        <v>1321</v>
      </c>
      <c r="P358" s="161">
        <v>45901</v>
      </c>
      <c r="Q358" s="161">
        <v>45901</v>
      </c>
      <c r="R358" s="161">
        <v>46630</v>
      </c>
      <c r="S358" s="161">
        <v>46631</v>
      </c>
      <c r="T358" s="36">
        <v>2012</v>
      </c>
      <c r="U358" s="116" t="s">
        <v>326</v>
      </c>
      <c r="V358" s="36">
        <v>2017</v>
      </c>
      <c r="W358" s="116" t="s">
        <v>499</v>
      </c>
      <c r="X358" s="27" t="s">
        <v>30</v>
      </c>
      <c r="Y358" s="35" t="s">
        <v>49</v>
      </c>
      <c r="Z358" s="407" t="s">
        <v>4554</v>
      </c>
      <c r="AA358" s="23" t="s">
        <v>1841</v>
      </c>
      <c r="AB358" s="161">
        <v>45093</v>
      </c>
      <c r="AC358" s="161">
        <v>46919</v>
      </c>
      <c r="AD358" s="36">
        <v>9666681431</v>
      </c>
      <c r="AE358" s="29" t="s">
        <v>1189</v>
      </c>
      <c r="AF358" s="30" t="s">
        <v>1410</v>
      </c>
      <c r="AG358" s="388" t="s">
        <v>4555</v>
      </c>
      <c r="AH358" s="31" t="s">
        <v>4556</v>
      </c>
      <c r="AI358" s="31" t="s">
        <v>4557</v>
      </c>
      <c r="AJ358" s="174" t="s">
        <v>4558</v>
      </c>
      <c r="AK358" s="30" t="s">
        <v>4559</v>
      </c>
      <c r="AL358" s="389"/>
      <c r="AM358" s="389"/>
      <c r="AN358" s="29"/>
      <c r="AO358" s="35" t="s">
        <v>4560</v>
      </c>
      <c r="AP358" s="10">
        <f t="shared" ca="1" si="14"/>
        <v>37</v>
      </c>
      <c r="AQ358" s="35" t="s">
        <v>1605</v>
      </c>
      <c r="AR358" s="390" t="s">
        <v>4542</v>
      </c>
      <c r="AS358" s="166">
        <v>45867</v>
      </c>
      <c r="AT358" s="166">
        <v>46962</v>
      </c>
      <c r="AU358" s="355">
        <v>32420</v>
      </c>
      <c r="AV358" s="27" t="s">
        <v>1389</v>
      </c>
      <c r="AW358" s="27" t="s">
        <v>68</v>
      </c>
      <c r="AX358" s="36">
        <v>8</v>
      </c>
      <c r="AY358" s="76" t="s">
        <v>2006</v>
      </c>
      <c r="AZ358" s="30" t="s">
        <v>26</v>
      </c>
      <c r="BA358" s="23" t="s">
        <v>151</v>
      </c>
      <c r="BB358" s="30" t="s">
        <v>34</v>
      </c>
      <c r="BC358" s="22"/>
    </row>
    <row r="359" spans="1:55" x14ac:dyDescent="0.25">
      <c r="A359" s="10">
        <f t="shared" si="13"/>
        <v>358</v>
      </c>
      <c r="B359" s="31" t="s">
        <v>1190</v>
      </c>
      <c r="C359" s="30" t="s">
        <v>34</v>
      </c>
      <c r="D359" s="65">
        <v>401318</v>
      </c>
      <c r="E359" s="31" t="s">
        <v>36</v>
      </c>
      <c r="F359" s="14" t="s">
        <v>1191</v>
      </c>
      <c r="G359" s="10">
        <v>6</v>
      </c>
      <c r="H359" s="66">
        <v>0.375</v>
      </c>
      <c r="I359" s="66">
        <v>0.70833333333333337</v>
      </c>
      <c r="J359" s="66">
        <v>0.33333333333333331</v>
      </c>
      <c r="K359" s="21" t="s">
        <v>538</v>
      </c>
      <c r="L359" s="59" t="s">
        <v>1192</v>
      </c>
      <c r="M359" s="30" t="s">
        <v>26</v>
      </c>
      <c r="N359" s="23" t="s">
        <v>38</v>
      </c>
      <c r="O359" s="23" t="s">
        <v>1321</v>
      </c>
      <c r="P359" s="161">
        <v>45901</v>
      </c>
      <c r="Q359" s="161">
        <v>45901</v>
      </c>
      <c r="R359" s="161">
        <v>46630</v>
      </c>
      <c r="S359" s="161">
        <v>46631</v>
      </c>
      <c r="T359" s="10">
        <v>2019</v>
      </c>
      <c r="U359" s="34" t="s">
        <v>1193</v>
      </c>
      <c r="V359" s="10">
        <v>2023</v>
      </c>
      <c r="W359" s="29" t="s">
        <v>1194</v>
      </c>
      <c r="X359" s="27" t="s">
        <v>30</v>
      </c>
      <c r="Y359" s="35" t="s">
        <v>49</v>
      </c>
      <c r="Z359" s="333" t="s">
        <v>4561</v>
      </c>
      <c r="AA359" s="23" t="s">
        <v>1841</v>
      </c>
      <c r="AB359" s="161">
        <v>45659</v>
      </c>
      <c r="AC359" s="161">
        <v>47484</v>
      </c>
      <c r="AD359" s="10">
        <v>9640876746</v>
      </c>
      <c r="AE359" s="387" t="s">
        <v>1195</v>
      </c>
      <c r="AF359" s="30" t="s">
        <v>1805</v>
      </c>
      <c r="AG359" s="230" t="s">
        <v>4562</v>
      </c>
      <c r="AH359" s="31" t="s">
        <v>4563</v>
      </c>
      <c r="AI359" s="31" t="s">
        <v>4564</v>
      </c>
      <c r="AJ359" s="174" t="s">
        <v>4565</v>
      </c>
      <c r="AK359" s="30" t="s">
        <v>4566</v>
      </c>
      <c r="AL359" s="210"/>
      <c r="AM359" s="210"/>
      <c r="AN359" s="35"/>
      <c r="AO359" s="35" t="s">
        <v>4567</v>
      </c>
      <c r="AP359" s="10">
        <f t="shared" ca="1" si="14"/>
        <v>30</v>
      </c>
      <c r="AQ359" s="35"/>
      <c r="AR359" s="23"/>
      <c r="AS359" s="210"/>
      <c r="AT359" s="210"/>
      <c r="AU359" s="223">
        <v>34874</v>
      </c>
      <c r="AV359" s="31" t="s">
        <v>1389</v>
      </c>
      <c r="AW359" s="31" t="s">
        <v>68</v>
      </c>
      <c r="AX359" s="10">
        <v>8</v>
      </c>
      <c r="AY359" s="14" t="s">
        <v>1904</v>
      </c>
      <c r="AZ359" s="30" t="s">
        <v>26</v>
      </c>
      <c r="BA359" s="23" t="s">
        <v>151</v>
      </c>
      <c r="BB359" s="30" t="s">
        <v>34</v>
      </c>
      <c r="BC359" s="22"/>
    </row>
    <row r="360" spans="1:55" x14ac:dyDescent="0.25">
      <c r="A360" s="10">
        <f t="shared" si="13"/>
        <v>359</v>
      </c>
      <c r="B360" s="31" t="s">
        <v>1196</v>
      </c>
      <c r="C360" s="30" t="s">
        <v>34</v>
      </c>
      <c r="D360" s="118">
        <v>401319</v>
      </c>
      <c r="E360" s="31" t="s">
        <v>268</v>
      </c>
      <c r="F360" s="14" t="s">
        <v>1197</v>
      </c>
      <c r="G360" s="36" t="s">
        <v>1198</v>
      </c>
      <c r="H360" s="115">
        <v>0.41666666666666669</v>
      </c>
      <c r="I360" s="115">
        <v>0.625</v>
      </c>
      <c r="J360" s="66">
        <v>0.20833333333333334</v>
      </c>
      <c r="K360" s="21" t="s">
        <v>748</v>
      </c>
      <c r="L360" s="59" t="s">
        <v>1199</v>
      </c>
      <c r="M360" s="30" t="s">
        <v>26</v>
      </c>
      <c r="N360" s="23" t="s">
        <v>38</v>
      </c>
      <c r="O360" s="23" t="s">
        <v>1321</v>
      </c>
      <c r="P360" s="161">
        <v>45870</v>
      </c>
      <c r="Q360" s="161">
        <v>45870</v>
      </c>
      <c r="R360" s="161">
        <v>46599</v>
      </c>
      <c r="S360" s="161">
        <v>46600</v>
      </c>
      <c r="T360" s="36"/>
      <c r="U360" s="34" t="s">
        <v>1200</v>
      </c>
      <c r="V360" s="36"/>
      <c r="W360" s="29" t="s">
        <v>1201</v>
      </c>
      <c r="X360" s="27" t="s">
        <v>30</v>
      </c>
      <c r="Y360" s="35" t="s">
        <v>49</v>
      </c>
      <c r="Z360" s="116">
        <v>70512</v>
      </c>
      <c r="AA360" s="29" t="s">
        <v>1323</v>
      </c>
      <c r="AB360" s="161" t="s">
        <v>30</v>
      </c>
      <c r="AC360" s="161" t="s">
        <v>30</v>
      </c>
      <c r="AD360" s="36">
        <v>7866919057</v>
      </c>
      <c r="AE360" s="387" t="s">
        <v>1202</v>
      </c>
      <c r="AF360" s="34" t="s">
        <v>1364</v>
      </c>
      <c r="AG360" s="388" t="s">
        <v>4568</v>
      </c>
      <c r="AH360" s="31" t="s">
        <v>4569</v>
      </c>
      <c r="AI360" s="31" t="s">
        <v>4570</v>
      </c>
      <c r="AJ360" s="209">
        <v>590229818191</v>
      </c>
      <c r="AK360" s="30" t="s">
        <v>4571</v>
      </c>
      <c r="AL360" s="389"/>
      <c r="AM360" s="389"/>
      <c r="AN360" s="29"/>
      <c r="AO360" s="35" t="s">
        <v>4572</v>
      </c>
      <c r="AP360" s="10">
        <f t="shared" ca="1" si="14"/>
        <v>125</v>
      </c>
      <c r="AQ360" s="29"/>
      <c r="AR360" s="391"/>
      <c r="AS360" s="389"/>
      <c r="AT360" s="389"/>
      <c r="AU360" s="355"/>
      <c r="AV360" s="27"/>
      <c r="AW360" s="27" t="s">
        <v>32</v>
      </c>
      <c r="AX360" s="36">
        <v>5</v>
      </c>
      <c r="AY360" s="76" t="s">
        <v>2703</v>
      </c>
      <c r="AZ360" s="30" t="s">
        <v>26</v>
      </c>
      <c r="BA360" s="23" t="s">
        <v>151</v>
      </c>
      <c r="BB360" s="30" t="s">
        <v>34</v>
      </c>
      <c r="BC360" s="22"/>
    </row>
    <row r="361" spans="1:55" x14ac:dyDescent="0.25">
      <c r="A361" s="10">
        <f t="shared" si="13"/>
        <v>360</v>
      </c>
      <c r="B361" s="31" t="s">
        <v>1203</v>
      </c>
      <c r="C361" s="30" t="s">
        <v>34</v>
      </c>
      <c r="D361" s="114">
        <v>401320</v>
      </c>
      <c r="E361" s="31" t="s">
        <v>192</v>
      </c>
      <c r="F361" s="14" t="s">
        <v>1204</v>
      </c>
      <c r="G361" s="16" t="s">
        <v>1205</v>
      </c>
      <c r="H361" s="66">
        <v>0.33333333333333331</v>
      </c>
      <c r="I361" s="66">
        <v>0.41666666666666669</v>
      </c>
      <c r="J361" s="66">
        <v>8.3333333333333329E-2</v>
      </c>
      <c r="K361" s="21" t="s">
        <v>748</v>
      </c>
      <c r="L361" s="59" t="s">
        <v>1206</v>
      </c>
      <c r="M361" s="15" t="s">
        <v>26</v>
      </c>
      <c r="N361" s="23" t="s">
        <v>38</v>
      </c>
      <c r="O361" s="23" t="s">
        <v>1321</v>
      </c>
      <c r="P361" s="161">
        <v>45901</v>
      </c>
      <c r="Q361" s="161">
        <v>45901</v>
      </c>
      <c r="R361" s="161">
        <v>46630</v>
      </c>
      <c r="S361" s="161">
        <v>46631</v>
      </c>
      <c r="T361" s="16">
        <v>2019</v>
      </c>
      <c r="U361" s="15" t="s">
        <v>750</v>
      </c>
      <c r="V361" s="16">
        <v>2024</v>
      </c>
      <c r="W361" s="21" t="s">
        <v>750</v>
      </c>
      <c r="X361" s="24" t="s">
        <v>30</v>
      </c>
      <c r="Y361" s="35" t="s">
        <v>49</v>
      </c>
      <c r="Z361" s="410">
        <v>84493</v>
      </c>
      <c r="AA361" s="29" t="s">
        <v>1323</v>
      </c>
      <c r="AB361" s="161">
        <v>45824</v>
      </c>
      <c r="AC361" s="161">
        <v>47649</v>
      </c>
      <c r="AD361" s="16">
        <v>7044479417</v>
      </c>
      <c r="AE361" s="411" t="s">
        <v>1207</v>
      </c>
      <c r="AF361" s="15" t="s">
        <v>2545</v>
      </c>
      <c r="AG361" s="393" t="s">
        <v>4573</v>
      </c>
      <c r="AH361" s="72" t="s">
        <v>4574</v>
      </c>
      <c r="AI361" s="72" t="s">
        <v>4575</v>
      </c>
      <c r="AJ361" s="399" t="s">
        <v>4576</v>
      </c>
      <c r="AK361" s="75" t="s">
        <v>4577</v>
      </c>
      <c r="AL361" s="160"/>
      <c r="AM361" s="160"/>
      <c r="AN361" s="21"/>
      <c r="AO361" s="38" t="s">
        <v>4578</v>
      </c>
      <c r="AP361" s="10">
        <f t="shared" ca="1" si="14"/>
        <v>30</v>
      </c>
      <c r="AQ361" s="21" t="s">
        <v>3057</v>
      </c>
      <c r="AR361" s="395" t="s">
        <v>4579</v>
      </c>
      <c r="AS361" s="160">
        <v>45741</v>
      </c>
      <c r="AT361" s="160">
        <v>46105</v>
      </c>
      <c r="AU361" s="396">
        <v>34931</v>
      </c>
      <c r="AV361" s="24" t="s">
        <v>1352</v>
      </c>
      <c r="AW361" s="24" t="s">
        <v>32</v>
      </c>
      <c r="AX361" s="16">
        <v>2</v>
      </c>
      <c r="AY361" s="76" t="s">
        <v>2703</v>
      </c>
      <c r="AZ361" s="30" t="s">
        <v>26</v>
      </c>
      <c r="BA361" s="23" t="s">
        <v>151</v>
      </c>
      <c r="BB361" s="30" t="s">
        <v>34</v>
      </c>
      <c r="BC361" s="22"/>
    </row>
    <row r="362" spans="1:55" x14ac:dyDescent="0.25">
      <c r="A362" s="10">
        <f t="shared" si="13"/>
        <v>361</v>
      </c>
      <c r="B362" s="31" t="s">
        <v>1208</v>
      </c>
      <c r="C362" s="30" t="s">
        <v>34</v>
      </c>
      <c r="D362" s="118">
        <v>401321</v>
      </c>
      <c r="E362" s="31" t="s">
        <v>192</v>
      </c>
      <c r="F362" s="14" t="s">
        <v>1209</v>
      </c>
      <c r="G362" s="36">
        <v>6</v>
      </c>
      <c r="H362" s="66">
        <v>0.33333333333333331</v>
      </c>
      <c r="I362" s="66">
        <v>0.45833333333333331</v>
      </c>
      <c r="J362" s="66">
        <v>0.125</v>
      </c>
      <c r="K362" s="21" t="s">
        <v>952</v>
      </c>
      <c r="L362" s="21" t="s">
        <v>1210</v>
      </c>
      <c r="M362" s="30" t="s">
        <v>26</v>
      </c>
      <c r="N362" s="23" t="s">
        <v>38</v>
      </c>
      <c r="O362" s="23" t="s">
        <v>1321</v>
      </c>
      <c r="P362" s="161">
        <v>45870</v>
      </c>
      <c r="Q362" s="161">
        <v>45870</v>
      </c>
      <c r="R362" s="161">
        <v>46599</v>
      </c>
      <c r="S362" s="161">
        <v>46600</v>
      </c>
      <c r="T362" s="36">
        <v>2002</v>
      </c>
      <c r="U362" s="34" t="s">
        <v>719</v>
      </c>
      <c r="V362" s="36">
        <v>2018</v>
      </c>
      <c r="W362" s="29"/>
      <c r="X362" s="31" t="s">
        <v>30</v>
      </c>
      <c r="Y362" s="29" t="s">
        <v>1211</v>
      </c>
      <c r="Z362" s="407">
        <v>59678</v>
      </c>
      <c r="AA362" s="29" t="s">
        <v>1323</v>
      </c>
      <c r="AB362" s="161">
        <v>38183</v>
      </c>
      <c r="AC362" s="161" t="s">
        <v>30</v>
      </c>
      <c r="AD362" s="36" t="s">
        <v>1212</v>
      </c>
      <c r="AE362" s="387" t="s">
        <v>1213</v>
      </c>
      <c r="AF362" s="30" t="s">
        <v>1430</v>
      </c>
      <c r="AG362" s="388" t="s">
        <v>4580</v>
      </c>
      <c r="AH362" s="31" t="s">
        <v>4581</v>
      </c>
      <c r="AI362" s="31" t="s">
        <v>4582</v>
      </c>
      <c r="AJ362" s="174" t="s">
        <v>4583</v>
      </c>
      <c r="AK362" s="30" t="s">
        <v>4584</v>
      </c>
      <c r="AL362" s="389"/>
      <c r="AM362" s="389"/>
      <c r="AN362" s="29"/>
      <c r="AO362" s="35" t="s">
        <v>4585</v>
      </c>
      <c r="AP362" s="10">
        <f t="shared" ca="1" si="14"/>
        <v>46</v>
      </c>
      <c r="AQ362" s="35" t="s">
        <v>2156</v>
      </c>
      <c r="AR362" s="222" t="s">
        <v>4586</v>
      </c>
      <c r="AS362" s="187">
        <v>45819</v>
      </c>
      <c r="AT362" s="187">
        <v>46183</v>
      </c>
      <c r="AU362" s="355">
        <v>29012</v>
      </c>
      <c r="AV362" s="27" t="s">
        <v>1352</v>
      </c>
      <c r="AW362" s="27" t="s">
        <v>32</v>
      </c>
      <c r="AX362" s="36">
        <v>3</v>
      </c>
      <c r="AY362" s="76" t="s">
        <v>2703</v>
      </c>
      <c r="AZ362" s="30" t="s">
        <v>26</v>
      </c>
      <c r="BA362" s="23" t="s">
        <v>151</v>
      </c>
      <c r="BB362" s="30" t="s">
        <v>34</v>
      </c>
      <c r="BC362" s="22"/>
    </row>
    <row r="363" spans="1:55" x14ac:dyDescent="0.25">
      <c r="A363" s="10">
        <f t="shared" si="13"/>
        <v>362</v>
      </c>
      <c r="B363" s="31" t="s">
        <v>4587</v>
      </c>
      <c r="C363" s="30" t="s">
        <v>34</v>
      </c>
      <c r="D363" s="114">
        <v>401322</v>
      </c>
      <c r="E363" s="31" t="s">
        <v>36</v>
      </c>
      <c r="F363" s="14" t="s">
        <v>4588</v>
      </c>
      <c r="G363" s="36">
        <v>6</v>
      </c>
      <c r="H363" s="66">
        <v>0.375</v>
      </c>
      <c r="I363" s="66">
        <v>0.41666666666666669</v>
      </c>
      <c r="J363" s="66">
        <v>4.1666666666666664E-2</v>
      </c>
      <c r="K363" s="21" t="s">
        <v>802</v>
      </c>
      <c r="L363" s="34" t="s">
        <v>30</v>
      </c>
      <c r="M363" s="30" t="s">
        <v>1376</v>
      </c>
      <c r="N363" s="23" t="s">
        <v>1393</v>
      </c>
      <c r="O363" s="29" t="s">
        <v>30</v>
      </c>
      <c r="P363" s="161">
        <v>45905</v>
      </c>
      <c r="Q363" s="161">
        <v>45905</v>
      </c>
      <c r="R363" s="161">
        <v>46634</v>
      </c>
      <c r="S363" s="161">
        <v>46635</v>
      </c>
      <c r="T363" s="36">
        <v>2022</v>
      </c>
      <c r="U363" s="34" t="s">
        <v>4589</v>
      </c>
      <c r="V363" s="36" t="s">
        <v>30</v>
      </c>
      <c r="W363" s="29" t="s">
        <v>30</v>
      </c>
      <c r="X363" s="27" t="s">
        <v>30</v>
      </c>
      <c r="Y363" s="29" t="s">
        <v>226</v>
      </c>
      <c r="Z363" s="407" t="s">
        <v>4590</v>
      </c>
      <c r="AA363" s="23" t="s">
        <v>1841</v>
      </c>
      <c r="AB363" s="161">
        <v>45287</v>
      </c>
      <c r="AC363" s="161">
        <v>47113</v>
      </c>
      <c r="AD363" s="36">
        <v>6302205006</v>
      </c>
      <c r="AE363" s="387" t="s">
        <v>4591</v>
      </c>
      <c r="AF363" s="34" t="s">
        <v>1640</v>
      </c>
      <c r="AG363" s="388" t="s">
        <v>4592</v>
      </c>
      <c r="AH363" s="31" t="s">
        <v>4593</v>
      </c>
      <c r="AI363" s="31" t="s">
        <v>4594</v>
      </c>
      <c r="AJ363" s="174" t="s">
        <v>4595</v>
      </c>
      <c r="AK363" s="30" t="s">
        <v>4596</v>
      </c>
      <c r="AL363" s="389"/>
      <c r="AM363" s="389"/>
      <c r="AN363" s="29"/>
      <c r="AO363" s="35" t="s">
        <v>4597</v>
      </c>
      <c r="AP363" s="10">
        <f t="shared" ca="1" si="14"/>
        <v>27</v>
      </c>
      <c r="AQ363" s="29"/>
      <c r="AR363" s="391"/>
      <c r="AS363" s="389"/>
      <c r="AT363" s="389"/>
      <c r="AU363" s="355">
        <v>35808</v>
      </c>
      <c r="AV363" s="27" t="s">
        <v>1389</v>
      </c>
      <c r="AW363" s="27" t="s">
        <v>32</v>
      </c>
      <c r="AX363" s="10">
        <v>1</v>
      </c>
      <c r="AY363" s="76" t="s">
        <v>2469</v>
      </c>
      <c r="AZ363" s="30" t="s">
        <v>1390</v>
      </c>
      <c r="BA363" s="23" t="s">
        <v>151</v>
      </c>
      <c r="BB363" s="30" t="s">
        <v>34</v>
      </c>
      <c r="BC363" s="22"/>
    </row>
    <row r="364" spans="1:55" x14ac:dyDescent="0.25">
      <c r="A364" s="10">
        <f t="shared" si="13"/>
        <v>363</v>
      </c>
      <c r="B364" s="31" t="s">
        <v>4598</v>
      </c>
      <c r="C364" s="30" t="s">
        <v>34</v>
      </c>
      <c r="D364" s="114">
        <v>401323</v>
      </c>
      <c r="E364" s="31" t="s">
        <v>36</v>
      </c>
      <c r="F364" s="14" t="s">
        <v>4599</v>
      </c>
      <c r="G364" s="36">
        <v>6</v>
      </c>
      <c r="H364" s="66">
        <v>0.375</v>
      </c>
      <c r="I364" s="66">
        <v>0.41666666666666669</v>
      </c>
      <c r="J364" s="66">
        <v>4.1666666666666664E-2</v>
      </c>
      <c r="K364" s="21" t="s">
        <v>378</v>
      </c>
      <c r="L364" s="34" t="s">
        <v>30</v>
      </c>
      <c r="M364" s="30" t="s">
        <v>1376</v>
      </c>
      <c r="N364" s="23" t="s">
        <v>1393</v>
      </c>
      <c r="O364" s="29" t="s">
        <v>30</v>
      </c>
      <c r="P364" s="161">
        <v>45905</v>
      </c>
      <c r="Q364" s="161">
        <v>45905</v>
      </c>
      <c r="R364" s="161">
        <v>46634</v>
      </c>
      <c r="S364" s="161">
        <v>46635</v>
      </c>
      <c r="T364" s="36">
        <v>2011</v>
      </c>
      <c r="U364" s="34" t="s">
        <v>4600</v>
      </c>
      <c r="V364" s="36">
        <v>2019</v>
      </c>
      <c r="W364" s="29" t="s">
        <v>4601</v>
      </c>
      <c r="X364" s="27" t="s">
        <v>30</v>
      </c>
      <c r="Y364" s="29" t="s">
        <v>4602</v>
      </c>
      <c r="Z364" s="407" t="s">
        <v>4603</v>
      </c>
      <c r="AA364" s="23" t="s">
        <v>1841</v>
      </c>
      <c r="AB364" s="161">
        <v>45647</v>
      </c>
      <c r="AC364" s="161">
        <v>47472</v>
      </c>
      <c r="AD364" s="36">
        <v>9398227582</v>
      </c>
      <c r="AE364" s="387" t="s">
        <v>4604</v>
      </c>
      <c r="AF364" s="34" t="s">
        <v>4605</v>
      </c>
      <c r="AG364" s="388" t="s">
        <v>4606</v>
      </c>
      <c r="AH364" s="31" t="s">
        <v>4607</v>
      </c>
      <c r="AI364" s="31" t="s">
        <v>4608</v>
      </c>
      <c r="AJ364" s="174" t="s">
        <v>4609</v>
      </c>
      <c r="AK364" s="30" t="s">
        <v>4610</v>
      </c>
      <c r="AL364" s="389"/>
      <c r="AM364" s="389"/>
      <c r="AN364" s="29"/>
      <c r="AO364" s="35" t="s">
        <v>4611</v>
      </c>
      <c r="AP364" s="10">
        <f t="shared" ca="1" si="14"/>
        <v>37</v>
      </c>
      <c r="AQ364" s="29"/>
      <c r="AR364" s="391"/>
      <c r="AS364" s="389"/>
      <c r="AT364" s="389"/>
      <c r="AU364" s="355">
        <v>32131</v>
      </c>
      <c r="AV364" s="27" t="s">
        <v>1389</v>
      </c>
      <c r="AW364" s="27" t="s">
        <v>32</v>
      </c>
      <c r="AX364" s="10">
        <v>1</v>
      </c>
      <c r="AY364" s="14" t="s">
        <v>2469</v>
      </c>
      <c r="AZ364" s="30" t="s">
        <v>1390</v>
      </c>
      <c r="BA364" s="23" t="s">
        <v>151</v>
      </c>
      <c r="BB364" s="30" t="s">
        <v>34</v>
      </c>
      <c r="BC364" s="22"/>
    </row>
    <row r="365" spans="1:55" x14ac:dyDescent="0.25">
      <c r="A365" s="10">
        <f t="shared" si="13"/>
        <v>364</v>
      </c>
      <c r="B365" s="25" t="s">
        <v>953</v>
      </c>
      <c r="C365" s="30" t="s">
        <v>34</v>
      </c>
      <c r="D365" s="81">
        <v>401324</v>
      </c>
      <c r="E365" s="31" t="s">
        <v>192</v>
      </c>
      <c r="F365" s="14" t="s">
        <v>954</v>
      </c>
      <c r="G365" s="25"/>
      <c r="H365" s="74"/>
      <c r="I365" s="95"/>
      <c r="J365" s="74"/>
      <c r="K365" s="21" t="s">
        <v>334</v>
      </c>
      <c r="L365" s="108" t="s">
        <v>955</v>
      </c>
      <c r="M365" s="108" t="s">
        <v>26</v>
      </c>
      <c r="N365" s="23" t="s">
        <v>38</v>
      </c>
      <c r="O365" s="23" t="s">
        <v>1321</v>
      </c>
      <c r="P365" s="161">
        <v>45908</v>
      </c>
      <c r="Q365" s="161">
        <v>45908</v>
      </c>
      <c r="R365" s="161">
        <v>46637</v>
      </c>
      <c r="S365" s="161">
        <v>46638</v>
      </c>
      <c r="T365" s="109">
        <v>2018</v>
      </c>
      <c r="U365" s="108" t="s">
        <v>956</v>
      </c>
      <c r="V365" s="107">
        <v>2025</v>
      </c>
      <c r="W365" s="89" t="s">
        <v>957</v>
      </c>
      <c r="X365" s="107" t="s">
        <v>30</v>
      </c>
      <c r="Y365" s="38" t="s">
        <v>39</v>
      </c>
      <c r="Z365" s="108" t="s">
        <v>3982</v>
      </c>
      <c r="AA365" s="23" t="s">
        <v>1841</v>
      </c>
      <c r="AB365" s="161">
        <v>45804</v>
      </c>
      <c r="AC365" s="161">
        <v>47629</v>
      </c>
      <c r="AD365" s="107">
        <v>6382461061</v>
      </c>
      <c r="AE365" s="302" t="s">
        <v>958</v>
      </c>
      <c r="AF365" s="30" t="s">
        <v>1430</v>
      </c>
      <c r="AG365" s="249" t="s">
        <v>3983</v>
      </c>
      <c r="AH365" s="72" t="s">
        <v>2834</v>
      </c>
      <c r="AI365" s="72" t="s">
        <v>3984</v>
      </c>
      <c r="AJ365" s="174" t="s">
        <v>3985</v>
      </c>
      <c r="AK365" s="75" t="s">
        <v>3986</v>
      </c>
      <c r="AL365" s="250"/>
      <c r="AM365" s="250"/>
      <c r="AN365" s="38"/>
      <c r="AO365" s="38" t="s">
        <v>3987</v>
      </c>
      <c r="AP365" s="25">
        <f t="shared" ca="1" si="14"/>
        <v>30</v>
      </c>
      <c r="AQ365" s="38" t="s">
        <v>3988</v>
      </c>
      <c r="AR365" s="285" t="s">
        <v>3989</v>
      </c>
      <c r="AS365" s="250">
        <v>45782</v>
      </c>
      <c r="AT365" s="250">
        <v>46146</v>
      </c>
      <c r="AU365" s="350">
        <v>34851</v>
      </c>
      <c r="AV365" s="107" t="s">
        <v>1352</v>
      </c>
      <c r="AW365" s="31" t="s">
        <v>32</v>
      </c>
      <c r="AX365" s="10" t="s">
        <v>30</v>
      </c>
      <c r="AY365" s="76" t="s">
        <v>1904</v>
      </c>
      <c r="AZ365" s="30" t="s">
        <v>26</v>
      </c>
      <c r="BA365" s="23" t="s">
        <v>151</v>
      </c>
      <c r="BB365" s="30" t="s">
        <v>34</v>
      </c>
      <c r="BC365" s="22"/>
    </row>
    <row r="366" spans="1:55" x14ac:dyDescent="0.25">
      <c r="A366" s="10">
        <f t="shared" si="13"/>
        <v>365</v>
      </c>
      <c r="B366" s="31" t="s">
        <v>1214</v>
      </c>
      <c r="C366" s="30" t="s">
        <v>34</v>
      </c>
      <c r="D366" s="114">
        <v>401325</v>
      </c>
      <c r="E366" s="31" t="s">
        <v>192</v>
      </c>
      <c r="F366" s="14" t="s">
        <v>1215</v>
      </c>
      <c r="G366" s="36"/>
      <c r="H366" s="115"/>
      <c r="I366" s="115"/>
      <c r="J366" s="115"/>
      <c r="K366" s="21" t="s">
        <v>334</v>
      </c>
      <c r="L366" s="34" t="s">
        <v>1216</v>
      </c>
      <c r="M366" s="59" t="s">
        <v>26</v>
      </c>
      <c r="N366" s="23" t="s">
        <v>38</v>
      </c>
      <c r="O366" s="23" t="s">
        <v>1321</v>
      </c>
      <c r="P366" s="161">
        <v>45908</v>
      </c>
      <c r="Q366" s="161">
        <v>45908</v>
      </c>
      <c r="R366" s="161">
        <v>46637</v>
      </c>
      <c r="S366" s="161">
        <v>46638</v>
      </c>
      <c r="T366" s="36">
        <v>1989</v>
      </c>
      <c r="U366" s="34" t="s">
        <v>935</v>
      </c>
      <c r="V366" s="36">
        <v>1994</v>
      </c>
      <c r="W366" s="29" t="s">
        <v>935</v>
      </c>
      <c r="X366" s="27" t="s">
        <v>1451</v>
      </c>
      <c r="Y366" s="35" t="s">
        <v>907</v>
      </c>
      <c r="Z366" s="407">
        <v>47644</v>
      </c>
      <c r="AA366" s="29" t="s">
        <v>1323</v>
      </c>
      <c r="AB366" s="161">
        <v>45363</v>
      </c>
      <c r="AC366" s="161">
        <v>47188</v>
      </c>
      <c r="AD366" s="36">
        <v>9830024193</v>
      </c>
      <c r="AE366" s="387" t="s">
        <v>1217</v>
      </c>
      <c r="AF366" s="34" t="s">
        <v>1410</v>
      </c>
      <c r="AG366" s="388" t="s">
        <v>4612</v>
      </c>
      <c r="AH366" s="31" t="s">
        <v>4613</v>
      </c>
      <c r="AI366" s="31" t="s">
        <v>4614</v>
      </c>
      <c r="AJ366" s="174" t="s">
        <v>4615</v>
      </c>
      <c r="AK366" s="30" t="s">
        <v>4616</v>
      </c>
      <c r="AL366" s="389"/>
      <c r="AM366" s="389"/>
      <c r="AN366" s="29"/>
      <c r="AO366" s="35" t="s">
        <v>4617</v>
      </c>
      <c r="AP366" s="10">
        <f t="shared" ca="1" si="14"/>
        <v>60</v>
      </c>
      <c r="AQ366" s="33" t="s">
        <v>1416</v>
      </c>
      <c r="AR366" s="409" t="s">
        <v>4618</v>
      </c>
      <c r="AS366" s="389">
        <v>45862</v>
      </c>
      <c r="AT366" s="389">
        <v>46226</v>
      </c>
      <c r="AU366" s="355">
        <v>23767</v>
      </c>
      <c r="AV366" s="27" t="s">
        <v>1352</v>
      </c>
      <c r="AW366" s="31" t="s">
        <v>32</v>
      </c>
      <c r="AX366" s="10" t="s">
        <v>30</v>
      </c>
      <c r="AY366" s="34" t="s">
        <v>30</v>
      </c>
      <c r="AZ366" s="30" t="s">
        <v>26</v>
      </c>
      <c r="BA366" s="23" t="s">
        <v>151</v>
      </c>
      <c r="BB366" s="30" t="s">
        <v>34</v>
      </c>
      <c r="BC366" s="33"/>
    </row>
    <row r="367" spans="1:55" x14ac:dyDescent="0.25">
      <c r="A367" s="10">
        <f t="shared" si="13"/>
        <v>366</v>
      </c>
      <c r="B367" s="31" t="s">
        <v>4619</v>
      </c>
      <c r="C367" s="30" t="s">
        <v>34</v>
      </c>
      <c r="D367" s="118">
        <v>401326</v>
      </c>
      <c r="E367" s="31" t="s">
        <v>36</v>
      </c>
      <c r="F367" s="14" t="s">
        <v>4620</v>
      </c>
      <c r="G367" s="36">
        <v>6</v>
      </c>
      <c r="H367" s="115">
        <v>0.72916666666666663</v>
      </c>
      <c r="I367" s="115">
        <v>0.89583333333333337</v>
      </c>
      <c r="J367" s="66">
        <v>0.16666666666666666</v>
      </c>
      <c r="K367" s="21" t="s">
        <v>287</v>
      </c>
      <c r="L367" s="34" t="s">
        <v>30</v>
      </c>
      <c r="M367" s="34" t="s">
        <v>2097</v>
      </c>
      <c r="N367" s="23" t="s">
        <v>2098</v>
      </c>
      <c r="O367" s="35" t="s">
        <v>1357</v>
      </c>
      <c r="P367" s="161">
        <v>45908</v>
      </c>
      <c r="Q367" s="161">
        <v>45908</v>
      </c>
      <c r="R367" s="161">
        <v>46637</v>
      </c>
      <c r="S367" s="161">
        <v>46638</v>
      </c>
      <c r="T367" s="36">
        <v>2019</v>
      </c>
      <c r="U367" s="34" t="s">
        <v>141</v>
      </c>
      <c r="V367" s="36">
        <v>2025</v>
      </c>
      <c r="W367" s="29" t="s">
        <v>4621</v>
      </c>
      <c r="X367" s="27" t="s">
        <v>30</v>
      </c>
      <c r="Y367" s="29" t="s">
        <v>2099</v>
      </c>
      <c r="Z367" s="407" t="s">
        <v>4622</v>
      </c>
      <c r="AA367" s="23" t="s">
        <v>1841</v>
      </c>
      <c r="AB367" s="161">
        <v>45762</v>
      </c>
      <c r="AC367" s="161">
        <v>47587</v>
      </c>
      <c r="AD367" s="412">
        <v>9848168587</v>
      </c>
      <c r="AE367" s="413" t="s">
        <v>4623</v>
      </c>
      <c r="AF367" s="28" t="s">
        <v>1495</v>
      </c>
      <c r="AG367" s="388" t="s">
        <v>4624</v>
      </c>
      <c r="AH367" s="31" t="s">
        <v>4625</v>
      </c>
      <c r="AI367" s="31" t="s">
        <v>4626</v>
      </c>
      <c r="AJ367" s="174" t="s">
        <v>4627</v>
      </c>
      <c r="AK367" s="30" t="s">
        <v>4628</v>
      </c>
      <c r="AL367" s="389"/>
      <c r="AM367" s="389"/>
      <c r="AN367" s="29"/>
      <c r="AO367" s="35" t="s">
        <v>4629</v>
      </c>
      <c r="AP367" s="10">
        <f t="shared" ca="1" si="14"/>
        <v>28</v>
      </c>
      <c r="AQ367" s="29"/>
      <c r="AR367" s="391"/>
      <c r="AS367" s="389"/>
      <c r="AT367" s="389"/>
      <c r="AU367" s="355">
        <v>35445</v>
      </c>
      <c r="AV367" s="27" t="s">
        <v>1352</v>
      </c>
      <c r="AW367" s="27" t="s">
        <v>32</v>
      </c>
      <c r="AX367" s="10">
        <v>4</v>
      </c>
      <c r="AY367" s="14" t="s">
        <v>1881</v>
      </c>
      <c r="AZ367" s="30" t="s">
        <v>1373</v>
      </c>
      <c r="BA367" s="23" t="s">
        <v>151</v>
      </c>
      <c r="BB367" s="30" t="s">
        <v>34</v>
      </c>
      <c r="BC367" s="22"/>
    </row>
    <row r="368" spans="1:55" x14ac:dyDescent="0.25">
      <c r="A368" s="10">
        <f t="shared" si="13"/>
        <v>367</v>
      </c>
      <c r="B368" s="31" t="s">
        <v>1218</v>
      </c>
      <c r="C368" s="30" t="s">
        <v>34</v>
      </c>
      <c r="D368" s="118">
        <v>401328</v>
      </c>
      <c r="E368" s="31" t="s">
        <v>268</v>
      </c>
      <c r="F368" s="14" t="s">
        <v>1219</v>
      </c>
      <c r="G368" s="16">
        <v>6</v>
      </c>
      <c r="H368" s="66">
        <v>0.45833333333333331</v>
      </c>
      <c r="I368" s="119">
        <v>0.79166666666666663</v>
      </c>
      <c r="J368" s="66">
        <v>0.33333333333333331</v>
      </c>
      <c r="K368" s="21" t="s">
        <v>652</v>
      </c>
      <c r="L368" s="59" t="s">
        <v>1220</v>
      </c>
      <c r="M368" s="108" t="s">
        <v>26</v>
      </c>
      <c r="N368" s="23" t="s">
        <v>38</v>
      </c>
      <c r="O368" s="23" t="s">
        <v>1321</v>
      </c>
      <c r="P368" s="161">
        <v>45910</v>
      </c>
      <c r="Q368" s="161">
        <v>45910</v>
      </c>
      <c r="R368" s="161">
        <v>46639</v>
      </c>
      <c r="S368" s="161">
        <v>46640</v>
      </c>
      <c r="T368" s="16">
        <v>2018</v>
      </c>
      <c r="U368" s="15" t="s">
        <v>343</v>
      </c>
      <c r="V368" s="16">
        <v>2023</v>
      </c>
      <c r="W368" s="21" t="s">
        <v>343</v>
      </c>
      <c r="X368" s="27" t="s">
        <v>30</v>
      </c>
      <c r="Y368" s="35" t="s">
        <v>49</v>
      </c>
      <c r="Z368" s="217">
        <v>185912</v>
      </c>
      <c r="AA368" s="30" t="s">
        <v>1560</v>
      </c>
      <c r="AB368" s="161">
        <v>45845</v>
      </c>
      <c r="AC368" s="161">
        <v>47671</v>
      </c>
      <c r="AD368" s="16">
        <v>8309222316</v>
      </c>
      <c r="AE368" s="411" t="s">
        <v>1221</v>
      </c>
      <c r="AF368" s="28" t="s">
        <v>1495</v>
      </c>
      <c r="AG368" s="393" t="s">
        <v>4630</v>
      </c>
      <c r="AH368" s="72" t="s">
        <v>2660</v>
      </c>
      <c r="AI368" s="72" t="s">
        <v>4631</v>
      </c>
      <c r="AJ368" s="174" t="s">
        <v>4632</v>
      </c>
      <c r="AK368" s="75" t="s">
        <v>4633</v>
      </c>
      <c r="AL368" s="160"/>
      <c r="AM368" s="160"/>
      <c r="AN368" s="21"/>
      <c r="AO368" s="38" t="s">
        <v>4634</v>
      </c>
      <c r="AP368" s="10">
        <f t="shared" ca="1" si="14"/>
        <v>29</v>
      </c>
      <c r="AQ368" s="21"/>
      <c r="AR368" s="395"/>
      <c r="AS368" s="160"/>
      <c r="AT368" s="160"/>
      <c r="AU368" s="396">
        <v>35220</v>
      </c>
      <c r="AV368" s="24" t="s">
        <v>1389</v>
      </c>
      <c r="AW368" s="27" t="s">
        <v>68</v>
      </c>
      <c r="AX368" s="16">
        <v>8</v>
      </c>
      <c r="AY368" s="14" t="s">
        <v>3225</v>
      </c>
      <c r="AZ368" s="34" t="s">
        <v>26</v>
      </c>
      <c r="BA368" s="23" t="s">
        <v>151</v>
      </c>
      <c r="BB368" s="30" t="s">
        <v>34</v>
      </c>
      <c r="BC368" s="22"/>
    </row>
    <row r="369" spans="1:55" x14ac:dyDescent="0.25">
      <c r="A369" s="10">
        <f t="shared" si="13"/>
        <v>368</v>
      </c>
      <c r="B369" s="31" t="s">
        <v>1119</v>
      </c>
      <c r="C369" s="30" t="s">
        <v>34</v>
      </c>
      <c r="D369" s="118">
        <v>401329</v>
      </c>
      <c r="E369" s="31" t="s">
        <v>192</v>
      </c>
      <c r="F369" s="14" t="s">
        <v>1120</v>
      </c>
      <c r="G369" s="10"/>
      <c r="H369" s="68"/>
      <c r="I369" s="66"/>
      <c r="J369" s="66"/>
      <c r="K369" s="21" t="s">
        <v>334</v>
      </c>
      <c r="L369" s="59" t="s">
        <v>1121</v>
      </c>
      <c r="M369" s="30" t="s">
        <v>26</v>
      </c>
      <c r="N369" s="23" t="s">
        <v>38</v>
      </c>
      <c r="O369" s="23" t="s">
        <v>1321</v>
      </c>
      <c r="P369" s="161">
        <v>45911</v>
      </c>
      <c r="Q369" s="161">
        <v>45911</v>
      </c>
      <c r="R369" s="161">
        <v>46642</v>
      </c>
      <c r="S369" s="161">
        <v>46641</v>
      </c>
      <c r="T369" s="10">
        <v>2018</v>
      </c>
      <c r="U369" s="30" t="s">
        <v>812</v>
      </c>
      <c r="V369" s="10">
        <v>2024</v>
      </c>
      <c r="W369" s="30" t="s">
        <v>1122</v>
      </c>
      <c r="X369" s="64" t="s">
        <v>30</v>
      </c>
      <c r="Y369" s="35" t="s">
        <v>49</v>
      </c>
      <c r="Z369" s="59" t="s">
        <v>4302</v>
      </c>
      <c r="AA369" s="30" t="s">
        <v>1886</v>
      </c>
      <c r="AB369" s="219">
        <v>45783</v>
      </c>
      <c r="AC369" s="219">
        <v>47608</v>
      </c>
      <c r="AD369" s="10">
        <v>8985066333</v>
      </c>
      <c r="AE369" s="236" t="s">
        <v>1123</v>
      </c>
      <c r="AF369" s="28" t="s">
        <v>1495</v>
      </c>
      <c r="AG369" s="221" t="s">
        <v>4303</v>
      </c>
      <c r="AH369" s="31" t="s">
        <v>4304</v>
      </c>
      <c r="AI369" s="31" t="s">
        <v>4305</v>
      </c>
      <c r="AJ369" s="174" t="s">
        <v>4306</v>
      </c>
      <c r="AK369" s="30" t="s">
        <v>4307</v>
      </c>
      <c r="AL369" s="210"/>
      <c r="AM369" s="210"/>
      <c r="AN369" s="35"/>
      <c r="AO369" s="35" t="s">
        <v>4309</v>
      </c>
      <c r="AP369" s="10">
        <f t="shared" ca="1" si="14"/>
        <v>30</v>
      </c>
      <c r="AQ369" s="35" t="s">
        <v>1605</v>
      </c>
      <c r="AR369" s="222" t="s">
        <v>4310</v>
      </c>
      <c r="AS369" s="166">
        <v>45911</v>
      </c>
      <c r="AT369" s="166">
        <v>46275</v>
      </c>
      <c r="AU369" s="223">
        <v>34938</v>
      </c>
      <c r="AV369" s="31" t="s">
        <v>1352</v>
      </c>
      <c r="AW369" s="31" t="s">
        <v>32</v>
      </c>
      <c r="AX369" s="10" t="s">
        <v>30</v>
      </c>
      <c r="AY369" s="14" t="s">
        <v>1920</v>
      </c>
      <c r="AZ369" s="30" t="s">
        <v>26</v>
      </c>
      <c r="BA369" s="23" t="s">
        <v>151</v>
      </c>
      <c r="BB369" s="30" t="s">
        <v>34</v>
      </c>
      <c r="BC369" s="22"/>
    </row>
    <row r="370" spans="1:55" ht="15.75" x14ac:dyDescent="0.25">
      <c r="A370" s="10">
        <f t="shared" si="13"/>
        <v>369</v>
      </c>
      <c r="B370" s="378" t="s">
        <v>4635</v>
      </c>
      <c r="C370" s="594" t="s">
        <v>1407</v>
      </c>
      <c r="D370" s="379">
        <v>401330</v>
      </c>
      <c r="E370" s="378" t="s">
        <v>192</v>
      </c>
      <c r="F370" s="311" t="s">
        <v>4636</v>
      </c>
      <c r="G370" s="307"/>
      <c r="H370" s="380"/>
      <c r="I370" s="380"/>
      <c r="J370" s="380"/>
      <c r="K370" s="316" t="s">
        <v>334</v>
      </c>
      <c r="L370" s="414" t="s">
        <v>4637</v>
      </c>
      <c r="M370" s="328" t="s">
        <v>26</v>
      </c>
      <c r="N370" s="318" t="s">
        <v>38</v>
      </c>
      <c r="O370" s="318" t="s">
        <v>1321</v>
      </c>
      <c r="P370" s="306">
        <v>45913</v>
      </c>
      <c r="Q370" s="306">
        <v>45913</v>
      </c>
      <c r="R370" s="306">
        <v>46640</v>
      </c>
      <c r="S370" s="306">
        <v>46640</v>
      </c>
      <c r="T370" s="307"/>
      <c r="U370" s="328"/>
      <c r="V370" s="307"/>
      <c r="W370" s="319"/>
      <c r="X370" s="378" t="s">
        <v>30</v>
      </c>
      <c r="Y370" s="319"/>
      <c r="Z370" s="415"/>
      <c r="AA370" s="328"/>
      <c r="AB370" s="378"/>
      <c r="AC370" s="378"/>
      <c r="AD370" s="416" t="s">
        <v>4638</v>
      </c>
      <c r="AE370" s="417" t="s">
        <v>4639</v>
      </c>
      <c r="AF370" s="328" t="s">
        <v>1805</v>
      </c>
      <c r="AG370" s="418" t="s">
        <v>4640</v>
      </c>
      <c r="AH370" s="378" t="s">
        <v>4641</v>
      </c>
      <c r="AI370" s="378" t="s">
        <v>4642</v>
      </c>
      <c r="AJ370" s="419" t="s">
        <v>4643</v>
      </c>
      <c r="AK370" s="328" t="s">
        <v>4644</v>
      </c>
      <c r="AL370" s="383">
        <v>45943</v>
      </c>
      <c r="AM370" s="383" t="s">
        <v>30</v>
      </c>
      <c r="AN370" s="319" t="s">
        <v>4645</v>
      </c>
      <c r="AO370" s="319" t="s">
        <v>4646</v>
      </c>
      <c r="AP370" s="307"/>
      <c r="AQ370" s="319"/>
      <c r="AR370" s="318"/>
      <c r="AS370" s="383"/>
      <c r="AT370" s="383"/>
      <c r="AU370" s="385">
        <v>34499</v>
      </c>
      <c r="AV370" s="378" t="s">
        <v>1352</v>
      </c>
      <c r="AW370" s="378" t="s">
        <v>32</v>
      </c>
      <c r="AX370" s="307"/>
      <c r="AY370" s="328" t="s">
        <v>30</v>
      </c>
      <c r="AZ370" s="328" t="s">
        <v>26</v>
      </c>
      <c r="BA370" s="318" t="s">
        <v>151</v>
      </c>
      <c r="BB370" s="328" t="s">
        <v>1407</v>
      </c>
      <c r="BC370" s="33"/>
    </row>
    <row r="371" spans="1:55" x14ac:dyDescent="0.25">
      <c r="A371" s="10">
        <f t="shared" si="13"/>
        <v>370</v>
      </c>
      <c r="B371" s="10" t="s">
        <v>1222</v>
      </c>
      <c r="C371" s="30" t="s">
        <v>34</v>
      </c>
      <c r="D371" s="65">
        <v>401331</v>
      </c>
      <c r="E371" s="31" t="s">
        <v>36</v>
      </c>
      <c r="F371" s="14" t="s">
        <v>1223</v>
      </c>
      <c r="G371" s="64">
        <v>6</v>
      </c>
      <c r="H371" s="66">
        <v>0.375</v>
      </c>
      <c r="I371" s="68" t="s">
        <v>989</v>
      </c>
      <c r="J371" s="66">
        <v>0.33333333333333331</v>
      </c>
      <c r="K371" s="21" t="s">
        <v>1224</v>
      </c>
      <c r="L371" s="59" t="s">
        <v>1225</v>
      </c>
      <c r="M371" s="59" t="s">
        <v>26</v>
      </c>
      <c r="N371" s="23" t="s">
        <v>38</v>
      </c>
      <c r="O371" s="23" t="s">
        <v>1321</v>
      </c>
      <c r="P371" s="258">
        <v>45915</v>
      </c>
      <c r="Q371" s="258">
        <v>45792</v>
      </c>
      <c r="R371" s="258">
        <v>46521</v>
      </c>
      <c r="S371" s="258">
        <v>46522</v>
      </c>
      <c r="T371" s="79">
        <v>2018</v>
      </c>
      <c r="U371" s="59" t="s">
        <v>169</v>
      </c>
      <c r="V371" s="64">
        <v>2023</v>
      </c>
      <c r="W371" s="59" t="s">
        <v>924</v>
      </c>
      <c r="X371" s="64" t="s">
        <v>30</v>
      </c>
      <c r="Y371" s="35" t="s">
        <v>49</v>
      </c>
      <c r="Z371" s="59" t="s">
        <v>4647</v>
      </c>
      <c r="AA371" s="14" t="s">
        <v>1841</v>
      </c>
      <c r="AB371" s="273">
        <v>45687</v>
      </c>
      <c r="AC371" s="273">
        <v>47512</v>
      </c>
      <c r="AD371" s="10">
        <v>9441185397</v>
      </c>
      <c r="AE371" s="224" t="s">
        <v>1226</v>
      </c>
      <c r="AF371" s="35" t="s">
        <v>1690</v>
      </c>
      <c r="AG371" s="221" t="s">
        <v>4648</v>
      </c>
      <c r="AH371" s="31" t="s">
        <v>4649</v>
      </c>
      <c r="AI371" s="31" t="s">
        <v>4650</v>
      </c>
      <c r="AJ371" s="221" t="s">
        <v>4651</v>
      </c>
      <c r="AK371" s="30" t="s">
        <v>4652</v>
      </c>
      <c r="AL371" s="210"/>
      <c r="AM371" s="210"/>
      <c r="AN371" s="35"/>
      <c r="AO371" s="35" t="s">
        <v>4653</v>
      </c>
      <c r="AP371" s="10">
        <f t="shared" ref="AP371:AP383" ca="1" si="15">ROUNDDOWN((TODAY() -AU371)/365.25,0)</f>
        <v>30</v>
      </c>
      <c r="AQ371" s="35" t="s">
        <v>1605</v>
      </c>
      <c r="AR371" s="23" t="s">
        <v>4654</v>
      </c>
      <c r="AS371" s="210">
        <v>45790</v>
      </c>
      <c r="AT371" s="210">
        <v>46154</v>
      </c>
      <c r="AU371" s="273">
        <v>34989</v>
      </c>
      <c r="AV371" s="64" t="s">
        <v>1352</v>
      </c>
      <c r="AW371" s="64" t="s">
        <v>68</v>
      </c>
      <c r="AX371" s="25">
        <v>8</v>
      </c>
      <c r="AY371" s="35" t="s">
        <v>2006</v>
      </c>
      <c r="AZ371" s="30" t="s">
        <v>26</v>
      </c>
      <c r="BA371" s="23" t="s">
        <v>151</v>
      </c>
      <c r="BB371" s="30" t="s">
        <v>34</v>
      </c>
      <c r="BC371" s="22"/>
    </row>
    <row r="372" spans="1:55" x14ac:dyDescent="0.25">
      <c r="A372" s="10">
        <f t="shared" si="13"/>
        <v>371</v>
      </c>
      <c r="B372" s="31" t="s">
        <v>4655</v>
      </c>
      <c r="C372" s="30" t="s">
        <v>34</v>
      </c>
      <c r="D372" s="65">
        <v>401332</v>
      </c>
      <c r="E372" s="31" t="s">
        <v>36</v>
      </c>
      <c r="F372" s="99" t="s">
        <v>4656</v>
      </c>
      <c r="G372" s="64">
        <v>6</v>
      </c>
      <c r="H372" s="66">
        <v>0.33333333333333331</v>
      </c>
      <c r="I372" s="68" t="s">
        <v>978</v>
      </c>
      <c r="J372" s="66">
        <v>0.33333333333333331</v>
      </c>
      <c r="K372" s="29" t="s">
        <v>593</v>
      </c>
      <c r="L372" s="59" t="s">
        <v>30</v>
      </c>
      <c r="M372" s="59" t="s">
        <v>1355</v>
      </c>
      <c r="N372" s="23" t="s">
        <v>1520</v>
      </c>
      <c r="O372" s="35" t="s">
        <v>2016</v>
      </c>
      <c r="P372" s="258">
        <v>45922</v>
      </c>
      <c r="Q372" s="258">
        <v>45922</v>
      </c>
      <c r="R372" s="258">
        <v>46651</v>
      </c>
      <c r="S372" s="258">
        <v>46652</v>
      </c>
      <c r="T372" s="79">
        <v>2017</v>
      </c>
      <c r="U372" s="59" t="s">
        <v>4657</v>
      </c>
      <c r="V372" s="64">
        <v>2023</v>
      </c>
      <c r="W372" s="59" t="s">
        <v>4657</v>
      </c>
      <c r="X372" s="64" t="s">
        <v>30</v>
      </c>
      <c r="Y372" s="35" t="s">
        <v>1360</v>
      </c>
      <c r="Z372" s="28" t="s">
        <v>4658</v>
      </c>
      <c r="AA372" s="28" t="s">
        <v>2910</v>
      </c>
      <c r="AB372" s="420"/>
      <c r="AC372" s="420"/>
      <c r="AD372" s="421" t="s">
        <v>4659</v>
      </c>
      <c r="AE372" s="413" t="s">
        <v>4660</v>
      </c>
      <c r="AF372" s="233" t="s">
        <v>1495</v>
      </c>
      <c r="AG372" s="422" t="s">
        <v>4661</v>
      </c>
      <c r="AH372" s="31" t="s">
        <v>4662</v>
      </c>
      <c r="AI372" s="31" t="s">
        <v>4663</v>
      </c>
      <c r="AJ372" s="230" t="s">
        <v>4664</v>
      </c>
      <c r="AK372" s="30" t="s">
        <v>4665</v>
      </c>
      <c r="AL372" s="210"/>
      <c r="AM372" s="210"/>
      <c r="AN372" s="35"/>
      <c r="AO372" s="35" t="s">
        <v>4666</v>
      </c>
      <c r="AP372" s="10">
        <f t="shared" ca="1" si="15"/>
        <v>31</v>
      </c>
      <c r="AQ372" s="35"/>
      <c r="AR372" s="23"/>
      <c r="AS372" s="210"/>
      <c r="AT372" s="210"/>
      <c r="AU372" s="273">
        <v>34359</v>
      </c>
      <c r="AV372" s="64" t="s">
        <v>1389</v>
      </c>
      <c r="AW372" s="64" t="s">
        <v>68</v>
      </c>
      <c r="AX372" s="10">
        <v>8</v>
      </c>
      <c r="AY372" s="35" t="s">
        <v>1920</v>
      </c>
      <c r="AZ372" s="30" t="s">
        <v>1355</v>
      </c>
      <c r="BA372" s="23" t="s">
        <v>151</v>
      </c>
      <c r="BB372" s="30" t="s">
        <v>34</v>
      </c>
      <c r="BC372" s="33"/>
    </row>
    <row r="373" spans="1:55" x14ac:dyDescent="0.25">
      <c r="A373" s="10">
        <f t="shared" si="13"/>
        <v>372</v>
      </c>
      <c r="B373" s="31" t="s">
        <v>1227</v>
      </c>
      <c r="C373" s="30" t="s">
        <v>34</v>
      </c>
      <c r="D373" s="80">
        <v>401333</v>
      </c>
      <c r="E373" s="40" t="s">
        <v>36</v>
      </c>
      <c r="F373" s="120" t="s">
        <v>1228</v>
      </c>
      <c r="G373" s="121">
        <v>6</v>
      </c>
      <c r="H373" s="122">
        <v>0.375</v>
      </c>
      <c r="I373" s="123">
        <v>0.58333333333333337</v>
      </c>
      <c r="J373" s="122">
        <v>0.20833333333333334</v>
      </c>
      <c r="K373" s="22" t="s">
        <v>1081</v>
      </c>
      <c r="L373" s="124" t="s">
        <v>1229</v>
      </c>
      <c r="M373" s="125" t="s">
        <v>26</v>
      </c>
      <c r="N373" s="23" t="s">
        <v>38</v>
      </c>
      <c r="O373" s="23" t="s">
        <v>1321</v>
      </c>
      <c r="P373" s="423">
        <v>45922</v>
      </c>
      <c r="Q373" s="423">
        <v>45922</v>
      </c>
      <c r="R373" s="423">
        <v>46651</v>
      </c>
      <c r="S373" s="423">
        <v>46652</v>
      </c>
      <c r="T373" s="126">
        <v>2016</v>
      </c>
      <c r="U373" s="125" t="s">
        <v>1230</v>
      </c>
      <c r="V373" s="121">
        <v>2023</v>
      </c>
      <c r="W373" s="125" t="s">
        <v>251</v>
      </c>
      <c r="X373" s="121" t="s">
        <v>30</v>
      </c>
      <c r="Y373" s="39" t="s">
        <v>49</v>
      </c>
      <c r="Z373" s="127" t="s">
        <v>4667</v>
      </c>
      <c r="AA373" s="70" t="s">
        <v>1841</v>
      </c>
      <c r="AB373" s="424">
        <v>45240</v>
      </c>
      <c r="AC373" s="424">
        <v>47066</v>
      </c>
      <c r="AD373" s="425">
        <v>9849523451</v>
      </c>
      <c r="AE373" s="426" t="s">
        <v>1231</v>
      </c>
      <c r="AF373" s="278" t="s">
        <v>1410</v>
      </c>
      <c r="AG373" s="427" t="s">
        <v>4668</v>
      </c>
      <c r="AH373" s="13" t="s">
        <v>4669</v>
      </c>
      <c r="AI373" s="40" t="s">
        <v>4670</v>
      </c>
      <c r="AJ373" s="178" t="s">
        <v>4671</v>
      </c>
      <c r="AK373" s="39" t="s">
        <v>4672</v>
      </c>
      <c r="AL373" s="182"/>
      <c r="AM373" s="182"/>
      <c r="AN373" s="40"/>
      <c r="AO373" s="70" t="s">
        <v>4673</v>
      </c>
      <c r="AP373" s="87">
        <f t="shared" ca="1" si="15"/>
        <v>32</v>
      </c>
      <c r="AQ373" s="40"/>
      <c r="AR373" s="87"/>
      <c r="AS373" s="182"/>
      <c r="AT373" s="182"/>
      <c r="AU373" s="424">
        <v>34186</v>
      </c>
      <c r="AV373" s="121" t="s">
        <v>1389</v>
      </c>
      <c r="AW373" s="121" t="s">
        <v>32</v>
      </c>
      <c r="AX373" s="93">
        <v>5</v>
      </c>
      <c r="AY373" s="40" t="s">
        <v>1881</v>
      </c>
      <c r="AZ373" s="39" t="s">
        <v>26</v>
      </c>
      <c r="BA373" s="128" t="s">
        <v>151</v>
      </c>
      <c r="BB373" s="30" t="s">
        <v>34</v>
      </c>
      <c r="BC373" s="13"/>
    </row>
    <row r="374" spans="1:55" x14ac:dyDescent="0.25">
      <c r="A374" s="10">
        <f t="shared" si="13"/>
        <v>373</v>
      </c>
      <c r="B374" s="31" t="s">
        <v>4674</v>
      </c>
      <c r="C374" s="30" t="s">
        <v>34</v>
      </c>
      <c r="D374" s="80">
        <v>401334</v>
      </c>
      <c r="E374" s="40" t="s">
        <v>36</v>
      </c>
      <c r="F374" s="120" t="s">
        <v>4675</v>
      </c>
      <c r="G374" s="121">
        <v>6</v>
      </c>
      <c r="H374" s="122">
        <v>0.41666666666666669</v>
      </c>
      <c r="I374" s="123">
        <v>0.58333333333333337</v>
      </c>
      <c r="J374" s="122">
        <v>0.16666666666666666</v>
      </c>
      <c r="K374" s="33" t="s">
        <v>1884</v>
      </c>
      <c r="L374" s="125" t="s">
        <v>30</v>
      </c>
      <c r="M374" s="125" t="s">
        <v>1355</v>
      </c>
      <c r="N374" s="23" t="s">
        <v>1520</v>
      </c>
      <c r="O374" s="35" t="s">
        <v>1357</v>
      </c>
      <c r="P374" s="423">
        <v>45924</v>
      </c>
      <c r="Q374" s="423">
        <v>45924</v>
      </c>
      <c r="R374" s="423">
        <v>46653</v>
      </c>
      <c r="S374" s="423">
        <v>46654</v>
      </c>
      <c r="T374" s="126">
        <v>2015</v>
      </c>
      <c r="U374" s="125" t="s">
        <v>715</v>
      </c>
      <c r="V374" s="121">
        <v>2022</v>
      </c>
      <c r="W374" s="125" t="s">
        <v>786</v>
      </c>
      <c r="X374" s="121" t="s">
        <v>30</v>
      </c>
      <c r="Y374" s="39" t="s">
        <v>1360</v>
      </c>
      <c r="Z374" s="130" t="s">
        <v>4676</v>
      </c>
      <c r="AA374" s="28" t="s">
        <v>1886</v>
      </c>
      <c r="AB374" s="424">
        <v>45560</v>
      </c>
      <c r="AC374" s="424">
        <v>47385</v>
      </c>
      <c r="AD374" s="421">
        <v>8977007320</v>
      </c>
      <c r="AE374" s="428" t="s">
        <v>4677</v>
      </c>
      <c r="AF374" s="278" t="s">
        <v>1928</v>
      </c>
      <c r="AG374" s="427" t="s">
        <v>4678</v>
      </c>
      <c r="AH374" s="26" t="s">
        <v>4679</v>
      </c>
      <c r="AI374" s="40" t="s">
        <v>4680</v>
      </c>
      <c r="AJ374" s="173" t="s">
        <v>4681</v>
      </c>
      <c r="AK374" s="39" t="s">
        <v>4682</v>
      </c>
      <c r="AL374" s="182"/>
      <c r="AM374" s="182"/>
      <c r="AN374" s="40"/>
      <c r="AO374" s="28" t="s">
        <v>4683</v>
      </c>
      <c r="AP374" s="87">
        <f t="shared" ca="1" si="15"/>
        <v>33</v>
      </c>
      <c r="AQ374" s="33" t="s">
        <v>4684</v>
      </c>
      <c r="AR374" s="429" t="s">
        <v>4685</v>
      </c>
      <c r="AS374" s="171">
        <v>45922</v>
      </c>
      <c r="AT374" s="171">
        <v>46286</v>
      </c>
      <c r="AU374" s="424">
        <v>33799</v>
      </c>
      <c r="AV374" s="121" t="s">
        <v>1389</v>
      </c>
      <c r="AW374" s="121" t="s">
        <v>32</v>
      </c>
      <c r="AX374" s="87">
        <v>4</v>
      </c>
      <c r="AY374" s="39" t="s">
        <v>1895</v>
      </c>
      <c r="AZ374" s="39" t="s">
        <v>1373</v>
      </c>
      <c r="BA374" s="128" t="s">
        <v>151</v>
      </c>
      <c r="BB374" s="30" t="s">
        <v>34</v>
      </c>
      <c r="BC374" s="26"/>
    </row>
    <row r="375" spans="1:55" ht="15.75" x14ac:dyDescent="0.25">
      <c r="A375" s="10">
        <f t="shared" si="13"/>
        <v>374</v>
      </c>
      <c r="B375" s="31" t="s">
        <v>1232</v>
      </c>
      <c r="C375" s="30" t="s">
        <v>34</v>
      </c>
      <c r="D375" s="80">
        <v>401335</v>
      </c>
      <c r="E375" s="40" t="s">
        <v>192</v>
      </c>
      <c r="F375" s="120" t="s">
        <v>1233</v>
      </c>
      <c r="G375" s="121"/>
      <c r="H375" s="122"/>
      <c r="I375" s="123"/>
      <c r="J375" s="122"/>
      <c r="K375" s="21" t="s">
        <v>334</v>
      </c>
      <c r="L375" s="125" t="s">
        <v>1234</v>
      </c>
      <c r="M375" s="125" t="s">
        <v>26</v>
      </c>
      <c r="N375" s="23" t="s">
        <v>38</v>
      </c>
      <c r="O375" s="23" t="s">
        <v>1321</v>
      </c>
      <c r="P375" s="423">
        <v>45925</v>
      </c>
      <c r="Q375" s="423">
        <v>45925</v>
      </c>
      <c r="R375" s="423">
        <v>46654</v>
      </c>
      <c r="S375" s="423">
        <v>46655</v>
      </c>
      <c r="T375" s="126">
        <v>2003</v>
      </c>
      <c r="U375" s="60" t="s">
        <v>1235</v>
      </c>
      <c r="V375" s="64">
        <v>2018</v>
      </c>
      <c r="W375" s="60" t="s">
        <v>1128</v>
      </c>
      <c r="X375" s="27" t="s">
        <v>30</v>
      </c>
      <c r="Y375" s="39" t="s">
        <v>1236</v>
      </c>
      <c r="Z375" s="410" t="s">
        <v>4686</v>
      </c>
      <c r="AA375" s="28" t="s">
        <v>1841</v>
      </c>
      <c r="AB375" s="424">
        <v>44236</v>
      </c>
      <c r="AC375" s="424">
        <v>46061</v>
      </c>
      <c r="AD375" s="430">
        <v>8639079405</v>
      </c>
      <c r="AE375" s="431" t="s">
        <v>1237</v>
      </c>
      <c r="AF375" s="278" t="s">
        <v>1364</v>
      </c>
      <c r="AG375" s="427" t="s">
        <v>4687</v>
      </c>
      <c r="AH375" s="26" t="s">
        <v>4688</v>
      </c>
      <c r="AI375" s="40" t="s">
        <v>4689</v>
      </c>
      <c r="AJ375" s="173" t="s">
        <v>4690</v>
      </c>
      <c r="AK375" s="39" t="s">
        <v>4691</v>
      </c>
      <c r="AL375" s="182"/>
      <c r="AM375" s="182"/>
      <c r="AN375" s="40"/>
      <c r="AO375" s="28" t="s">
        <v>4692</v>
      </c>
      <c r="AP375" s="87">
        <f t="shared" ca="1" si="15"/>
        <v>48</v>
      </c>
      <c r="AQ375" s="33"/>
      <c r="AR375" s="429"/>
      <c r="AS375" s="171"/>
      <c r="AT375" s="171"/>
      <c r="AU375" s="424">
        <v>28278</v>
      </c>
      <c r="AV375" s="121" t="s">
        <v>1389</v>
      </c>
      <c r="AW375" s="31" t="s">
        <v>32</v>
      </c>
      <c r="AX375" s="87" t="s">
        <v>30</v>
      </c>
      <c r="AY375" s="39" t="s">
        <v>4693</v>
      </c>
      <c r="AZ375" s="39" t="s">
        <v>26</v>
      </c>
      <c r="BA375" s="128" t="s">
        <v>151</v>
      </c>
      <c r="BB375" s="30" t="s">
        <v>34</v>
      </c>
      <c r="BC375" s="26"/>
    </row>
    <row r="376" spans="1:55" x14ac:dyDescent="0.25">
      <c r="A376" s="10">
        <f t="shared" si="13"/>
        <v>375</v>
      </c>
      <c r="B376" s="31" t="s">
        <v>1165</v>
      </c>
      <c r="C376" s="30" t="s">
        <v>34</v>
      </c>
      <c r="D376" s="129">
        <v>401336</v>
      </c>
      <c r="E376" s="40" t="s">
        <v>36</v>
      </c>
      <c r="F376" s="130" t="s">
        <v>1166</v>
      </c>
      <c r="G376" s="36">
        <v>6</v>
      </c>
      <c r="H376" s="115">
        <v>0.375</v>
      </c>
      <c r="I376" s="115">
        <v>0.70833333333333337</v>
      </c>
      <c r="J376" s="66">
        <v>0.33333333333333331</v>
      </c>
      <c r="K376" s="29" t="s">
        <v>422</v>
      </c>
      <c r="L376" s="59" t="s">
        <v>1167</v>
      </c>
      <c r="M376" s="30" t="s">
        <v>26</v>
      </c>
      <c r="N376" s="23" t="s">
        <v>38</v>
      </c>
      <c r="O376" s="23" t="s">
        <v>1321</v>
      </c>
      <c r="P376" s="161">
        <v>45931</v>
      </c>
      <c r="Q376" s="161">
        <v>45931</v>
      </c>
      <c r="R376" s="161">
        <v>46660</v>
      </c>
      <c r="S376" s="161">
        <v>46661</v>
      </c>
      <c r="T376" s="36">
        <v>2021</v>
      </c>
      <c r="U376" s="34" t="s">
        <v>406</v>
      </c>
      <c r="V376" s="36">
        <v>2025</v>
      </c>
      <c r="W376" s="29" t="s">
        <v>250</v>
      </c>
      <c r="X376" s="27" t="s">
        <v>30</v>
      </c>
      <c r="Y376" s="35" t="s">
        <v>49</v>
      </c>
      <c r="Z376" s="34" t="s">
        <v>4503</v>
      </c>
      <c r="AA376" s="29" t="s">
        <v>1886</v>
      </c>
      <c r="AB376" s="161">
        <v>45888</v>
      </c>
      <c r="AC376" s="161">
        <v>47713</v>
      </c>
      <c r="AD376" s="36">
        <v>9949355557</v>
      </c>
      <c r="AE376" s="387" t="s">
        <v>1168</v>
      </c>
      <c r="AF376" s="30" t="s">
        <v>1410</v>
      </c>
      <c r="AG376" s="388" t="s">
        <v>4504</v>
      </c>
      <c r="AH376" s="31" t="s">
        <v>4505</v>
      </c>
      <c r="AI376" s="31" t="s">
        <v>4506</v>
      </c>
      <c r="AJ376" s="209">
        <v>335203246096</v>
      </c>
      <c r="AK376" s="30" t="s">
        <v>4507</v>
      </c>
      <c r="AL376" s="389"/>
      <c r="AM376" s="389"/>
      <c r="AN376" s="29"/>
      <c r="AO376" s="35" t="s">
        <v>4508</v>
      </c>
      <c r="AP376" s="10">
        <f t="shared" ca="1" si="15"/>
        <v>28</v>
      </c>
      <c r="AQ376" s="35" t="s">
        <v>1605</v>
      </c>
      <c r="AR376" s="390" t="s">
        <v>4509</v>
      </c>
      <c r="AS376" s="389">
        <v>45888</v>
      </c>
      <c r="AT376" s="389">
        <v>46983</v>
      </c>
      <c r="AU376" s="355">
        <v>35540</v>
      </c>
      <c r="AV376" s="27" t="s">
        <v>1389</v>
      </c>
      <c r="AW376" s="31" t="s">
        <v>68</v>
      </c>
      <c r="AX376" s="36">
        <v>8</v>
      </c>
      <c r="AY376" s="34" t="s">
        <v>2262</v>
      </c>
      <c r="AZ376" s="30" t="s">
        <v>26</v>
      </c>
      <c r="BA376" s="23" t="s">
        <v>151</v>
      </c>
      <c r="BB376" s="30" t="s">
        <v>34</v>
      </c>
      <c r="BC376" s="26"/>
    </row>
    <row r="377" spans="1:55" x14ac:dyDescent="0.25">
      <c r="A377" s="10">
        <f t="shared" si="13"/>
        <v>376</v>
      </c>
      <c r="B377" s="31" t="s">
        <v>4694</v>
      </c>
      <c r="C377" s="30" t="s">
        <v>34</v>
      </c>
      <c r="D377" s="131">
        <v>401337</v>
      </c>
      <c r="E377" s="31" t="s">
        <v>36</v>
      </c>
      <c r="F377" s="132" t="s">
        <v>4695</v>
      </c>
      <c r="G377" s="64">
        <v>6</v>
      </c>
      <c r="H377" s="66">
        <v>0.77083333333333337</v>
      </c>
      <c r="I377" s="68">
        <v>0.83333333333333337</v>
      </c>
      <c r="J377" s="66">
        <v>6.25E-2</v>
      </c>
      <c r="K377" s="29" t="s">
        <v>1151</v>
      </c>
      <c r="L377" s="59" t="s">
        <v>30</v>
      </c>
      <c r="M377" s="59" t="s">
        <v>1544</v>
      </c>
      <c r="N377" s="23" t="s">
        <v>1992</v>
      </c>
      <c r="O377" s="35" t="s">
        <v>1357</v>
      </c>
      <c r="P377" s="258">
        <v>45933</v>
      </c>
      <c r="Q377" s="258">
        <v>45933</v>
      </c>
      <c r="R377" s="258">
        <v>46662</v>
      </c>
      <c r="S377" s="258">
        <v>46663</v>
      </c>
      <c r="T377" s="79">
        <v>2007</v>
      </c>
      <c r="U377" s="133" t="s">
        <v>343</v>
      </c>
      <c r="V377" s="64">
        <v>2015</v>
      </c>
      <c r="W377" s="133" t="s">
        <v>786</v>
      </c>
      <c r="X377" s="27" t="s">
        <v>30</v>
      </c>
      <c r="Y377" s="30" t="s">
        <v>1549</v>
      </c>
      <c r="Z377" s="132">
        <v>57773</v>
      </c>
      <c r="AA377" s="34" t="s">
        <v>1886</v>
      </c>
      <c r="AB377" s="273">
        <v>44187</v>
      </c>
      <c r="AC377" s="273">
        <v>46012</v>
      </c>
      <c r="AD377" s="421" t="s">
        <v>4696</v>
      </c>
      <c r="AE377" s="413" t="s">
        <v>4697</v>
      </c>
      <c r="AF377" s="432" t="s">
        <v>1495</v>
      </c>
      <c r="AG377" s="422" t="s">
        <v>4698</v>
      </c>
      <c r="AH377" s="27" t="s">
        <v>4699</v>
      </c>
      <c r="AI377" s="31" t="s">
        <v>4700</v>
      </c>
      <c r="AJ377" s="433" t="s">
        <v>4701</v>
      </c>
      <c r="AK377" s="30" t="s">
        <v>4702</v>
      </c>
      <c r="AL377" s="210"/>
      <c r="AM377" s="210"/>
      <c r="AN377" s="31"/>
      <c r="AO377" s="34" t="s">
        <v>4703</v>
      </c>
      <c r="AP377" s="10">
        <f t="shared" ca="1" si="15"/>
        <v>42</v>
      </c>
      <c r="AQ377" s="29"/>
      <c r="AR377" s="104"/>
      <c r="AS377" s="389"/>
      <c r="AT377" s="389"/>
      <c r="AU377" s="273">
        <v>30271</v>
      </c>
      <c r="AV377" s="64" t="s">
        <v>1352</v>
      </c>
      <c r="AW377" s="64" t="s">
        <v>32</v>
      </c>
      <c r="AX377" s="10">
        <v>1.5</v>
      </c>
      <c r="AY377" s="30" t="s">
        <v>1895</v>
      </c>
      <c r="AZ377" s="30" t="s">
        <v>1373</v>
      </c>
      <c r="BA377" s="23" t="s">
        <v>151</v>
      </c>
      <c r="BB377" s="30" t="s">
        <v>34</v>
      </c>
      <c r="BC377" s="27"/>
    </row>
    <row r="378" spans="1:55" x14ac:dyDescent="0.25">
      <c r="A378" s="10">
        <f t="shared" si="13"/>
        <v>377</v>
      </c>
      <c r="B378" s="31" t="e">
        <v>#N/A</v>
      </c>
      <c r="C378" s="30" t="s">
        <v>34</v>
      </c>
      <c r="D378" s="131">
        <v>401338</v>
      </c>
      <c r="E378" s="31" t="s">
        <v>192</v>
      </c>
      <c r="F378" s="132" t="s">
        <v>1238</v>
      </c>
      <c r="G378" s="64"/>
      <c r="H378" s="66"/>
      <c r="I378" s="68"/>
      <c r="J378" s="66"/>
      <c r="K378" s="29" t="s">
        <v>334</v>
      </c>
      <c r="L378" s="59" t="s">
        <v>201</v>
      </c>
      <c r="M378" s="30" t="s">
        <v>26</v>
      </c>
      <c r="N378" s="23" t="s">
        <v>38</v>
      </c>
      <c r="O378" s="23" t="s">
        <v>1321</v>
      </c>
      <c r="P378" s="258">
        <v>45940</v>
      </c>
      <c r="Q378" s="258">
        <v>45940</v>
      </c>
      <c r="R378" s="258">
        <v>46304</v>
      </c>
      <c r="S378" s="258">
        <v>46670</v>
      </c>
      <c r="T378" s="79"/>
      <c r="U378" s="133"/>
      <c r="V378" s="64"/>
      <c r="W378" s="133"/>
      <c r="X378" s="27"/>
      <c r="Y378" s="30"/>
      <c r="Z378" s="132"/>
      <c r="AA378" s="34"/>
      <c r="AB378" s="420"/>
      <c r="AC378" s="420"/>
      <c r="AD378" s="421">
        <v>9848018982</v>
      </c>
      <c r="AE378" s="413" t="s">
        <v>1239</v>
      </c>
      <c r="AF378" s="432" t="s">
        <v>1430</v>
      </c>
      <c r="AG378" s="422" t="s">
        <v>4704</v>
      </c>
      <c r="AH378" s="27" t="s">
        <v>3805</v>
      </c>
      <c r="AI378" s="31" t="s">
        <v>4705</v>
      </c>
      <c r="AJ378" s="433" t="s">
        <v>4706</v>
      </c>
      <c r="AK378" s="30" t="s">
        <v>4707</v>
      </c>
      <c r="AL378" s="210"/>
      <c r="AM378" s="210"/>
      <c r="AN378" s="31"/>
      <c r="AO378" s="34" t="s">
        <v>4708</v>
      </c>
      <c r="AP378" s="10">
        <f t="shared" ca="1" si="15"/>
        <v>50</v>
      </c>
      <c r="AQ378" s="29"/>
      <c r="AR378" s="104"/>
      <c r="AS378" s="389"/>
      <c r="AT378" s="389"/>
      <c r="AU378" s="273">
        <v>27559</v>
      </c>
      <c r="AV378" s="64" t="s">
        <v>1352</v>
      </c>
      <c r="AW378" s="64" t="s">
        <v>32</v>
      </c>
      <c r="AX378" s="10" t="s">
        <v>30</v>
      </c>
      <c r="AY378" s="30" t="s">
        <v>4693</v>
      </c>
      <c r="AZ378" s="30" t="s">
        <v>26</v>
      </c>
      <c r="BA378" s="23" t="s">
        <v>151</v>
      </c>
      <c r="BB378" s="30" t="s">
        <v>34</v>
      </c>
      <c r="BC378" s="27"/>
    </row>
    <row r="379" spans="1:55" x14ac:dyDescent="0.25">
      <c r="A379" s="10">
        <f t="shared" si="13"/>
        <v>378</v>
      </c>
      <c r="B379" s="31" t="s">
        <v>4709</v>
      </c>
      <c r="C379" s="30" t="s">
        <v>34</v>
      </c>
      <c r="D379" s="137">
        <v>401339</v>
      </c>
      <c r="E379" s="31" t="s">
        <v>36</v>
      </c>
      <c r="F379" s="135" t="s">
        <v>4710</v>
      </c>
      <c r="G379" s="64">
        <v>6</v>
      </c>
      <c r="H379" s="66">
        <v>0.66666666666666663</v>
      </c>
      <c r="I379" s="68">
        <v>0.75</v>
      </c>
      <c r="J379" s="66">
        <v>8.3333333333333329E-2</v>
      </c>
      <c r="K379" s="29" t="s">
        <v>220</v>
      </c>
      <c r="L379" s="59" t="s">
        <v>30</v>
      </c>
      <c r="M379" s="30" t="s">
        <v>1376</v>
      </c>
      <c r="N379" s="23" t="s">
        <v>1393</v>
      </c>
      <c r="O379" s="23" t="s">
        <v>30</v>
      </c>
      <c r="P379" s="258">
        <v>45945</v>
      </c>
      <c r="Q379" s="258">
        <v>45945</v>
      </c>
      <c r="R379" s="258">
        <v>46674</v>
      </c>
      <c r="S379" s="258">
        <v>46675</v>
      </c>
      <c r="T379" s="79">
        <v>1978</v>
      </c>
      <c r="U379" s="434" t="s">
        <v>1137</v>
      </c>
      <c r="V379" s="64" t="s">
        <v>30</v>
      </c>
      <c r="W379" s="434" t="s">
        <v>30</v>
      </c>
      <c r="X379" s="27" t="s">
        <v>30</v>
      </c>
      <c r="Y379" s="30" t="s">
        <v>226</v>
      </c>
      <c r="Z379" s="135">
        <v>9037</v>
      </c>
      <c r="AA379" s="34" t="s">
        <v>1841</v>
      </c>
      <c r="AB379" s="273">
        <v>45939</v>
      </c>
      <c r="AC379" s="273" t="s">
        <v>30</v>
      </c>
      <c r="AD379" s="421" t="s">
        <v>4711</v>
      </c>
      <c r="AE379" s="435" t="s">
        <v>4712</v>
      </c>
      <c r="AF379" s="432" t="s">
        <v>1495</v>
      </c>
      <c r="AG379" s="422" t="s">
        <v>4713</v>
      </c>
      <c r="AH379" s="27" t="s">
        <v>4714</v>
      </c>
      <c r="AI379" s="31" t="s">
        <v>4715</v>
      </c>
      <c r="AJ379" s="433" t="s">
        <v>4716</v>
      </c>
      <c r="AK379" s="30" t="s">
        <v>4717</v>
      </c>
      <c r="AL379" s="210"/>
      <c r="AM379" s="210"/>
      <c r="AN379" s="31"/>
      <c r="AO379" s="34" t="s">
        <v>4718</v>
      </c>
      <c r="AP379" s="10">
        <f t="shared" ca="1" si="15"/>
        <v>73</v>
      </c>
      <c r="AQ379" s="29"/>
      <c r="AR379" s="104"/>
      <c r="AS379" s="389"/>
      <c r="AT379" s="389"/>
      <c r="AU379" s="273">
        <v>19005</v>
      </c>
      <c r="AV379" s="64" t="s">
        <v>1352</v>
      </c>
      <c r="AW379" s="64" t="s">
        <v>32</v>
      </c>
      <c r="AX379" s="10">
        <v>2</v>
      </c>
      <c r="AY379" s="35" t="s">
        <v>2006</v>
      </c>
      <c r="AZ379" s="30" t="s">
        <v>1390</v>
      </c>
      <c r="BA379" s="23" t="s">
        <v>151</v>
      </c>
      <c r="BB379" s="30" t="s">
        <v>34</v>
      </c>
      <c r="BC379" s="27"/>
    </row>
    <row r="380" spans="1:55" x14ac:dyDescent="0.25">
      <c r="A380" s="10">
        <f t="shared" si="13"/>
        <v>379</v>
      </c>
      <c r="B380" s="31" t="e">
        <v>#N/A</v>
      </c>
      <c r="C380" s="30" t="s">
        <v>34</v>
      </c>
      <c r="D380" s="131">
        <v>401340</v>
      </c>
      <c r="E380" s="31" t="s">
        <v>192</v>
      </c>
      <c r="F380" s="132" t="s">
        <v>1240</v>
      </c>
      <c r="G380" s="64"/>
      <c r="H380" s="66"/>
      <c r="I380" s="68"/>
      <c r="J380" s="66"/>
      <c r="K380" s="29" t="s">
        <v>11081</v>
      </c>
      <c r="L380" s="59" t="s">
        <v>1241</v>
      </c>
      <c r="M380" s="30" t="s">
        <v>26</v>
      </c>
      <c r="N380" s="23" t="s">
        <v>38</v>
      </c>
      <c r="O380" s="23" t="s">
        <v>1321</v>
      </c>
      <c r="P380" s="258">
        <v>45945</v>
      </c>
      <c r="Q380" s="258">
        <v>45945</v>
      </c>
      <c r="R380" s="258">
        <v>46674</v>
      </c>
      <c r="S380" s="258">
        <v>46675</v>
      </c>
      <c r="T380" s="79">
        <v>1985</v>
      </c>
      <c r="U380" s="134" t="s">
        <v>1242</v>
      </c>
      <c r="V380" s="64">
        <v>1996</v>
      </c>
      <c r="W380" s="134" t="s">
        <v>1243</v>
      </c>
      <c r="X380" s="27" t="s">
        <v>1451</v>
      </c>
      <c r="Y380" s="30" t="s">
        <v>1244</v>
      </c>
      <c r="Z380" s="436">
        <v>45506</v>
      </c>
      <c r="AA380" s="34" t="s">
        <v>1323</v>
      </c>
      <c r="AB380" s="273">
        <v>44562</v>
      </c>
      <c r="AC380" s="273">
        <v>46387</v>
      </c>
      <c r="AD380" s="13">
        <v>9830092244</v>
      </c>
      <c r="AE380" s="437" t="s">
        <v>1245</v>
      </c>
      <c r="AF380" s="432"/>
      <c r="AG380" s="422"/>
      <c r="AH380" s="27"/>
      <c r="AI380" s="31" t="s">
        <v>4719</v>
      </c>
      <c r="AJ380" s="433" t="s">
        <v>4720</v>
      </c>
      <c r="AK380" s="30" t="s">
        <v>4721</v>
      </c>
      <c r="AL380" s="210"/>
      <c r="AM380" s="210"/>
      <c r="AN380" s="31"/>
      <c r="AO380" s="34" t="s">
        <v>4722</v>
      </c>
      <c r="AP380" s="10">
        <f t="shared" ca="1" si="15"/>
        <v>63</v>
      </c>
      <c r="AQ380" s="29"/>
      <c r="AR380" s="104"/>
      <c r="AS380" s="389"/>
      <c r="AT380" s="389"/>
      <c r="AU380" s="273">
        <v>22635</v>
      </c>
      <c r="AV380" s="64" t="s">
        <v>1352</v>
      </c>
      <c r="AW380" s="64" t="s">
        <v>32</v>
      </c>
      <c r="AX380" s="10" t="s">
        <v>30</v>
      </c>
      <c r="AY380" s="30" t="s">
        <v>2703</v>
      </c>
      <c r="AZ380" s="30" t="s">
        <v>26</v>
      </c>
      <c r="BA380" s="23" t="s">
        <v>151</v>
      </c>
      <c r="BB380" s="30" t="s">
        <v>34</v>
      </c>
      <c r="BC380" s="27"/>
    </row>
    <row r="381" spans="1:55" x14ac:dyDescent="0.25">
      <c r="A381" s="10">
        <f t="shared" si="13"/>
        <v>380</v>
      </c>
      <c r="B381" s="31" t="s">
        <v>1246</v>
      </c>
      <c r="C381" s="30" t="s">
        <v>34</v>
      </c>
      <c r="D381" s="131">
        <v>401341</v>
      </c>
      <c r="E381" s="31" t="s">
        <v>36</v>
      </c>
      <c r="F381" s="135" t="s">
        <v>1247</v>
      </c>
      <c r="G381" s="64">
        <v>6</v>
      </c>
      <c r="H381" s="66">
        <v>0.70833333333333337</v>
      </c>
      <c r="I381" s="68">
        <v>0.83333333333333337</v>
      </c>
      <c r="J381" s="66">
        <v>0.125</v>
      </c>
      <c r="K381" s="29" t="s">
        <v>187</v>
      </c>
      <c r="L381" s="59" t="s">
        <v>1248</v>
      </c>
      <c r="M381" s="30" t="s">
        <v>26</v>
      </c>
      <c r="N381" s="23" t="s">
        <v>38</v>
      </c>
      <c r="O381" s="23" t="s">
        <v>1321</v>
      </c>
      <c r="P381" s="258">
        <v>45946</v>
      </c>
      <c r="Q381" s="258">
        <v>45946</v>
      </c>
      <c r="R381" s="258">
        <v>46675</v>
      </c>
      <c r="S381" s="258">
        <v>46676</v>
      </c>
      <c r="T381" s="79">
        <v>2017</v>
      </c>
      <c r="U381" s="136" t="s">
        <v>1249</v>
      </c>
      <c r="V381" s="64">
        <v>2025</v>
      </c>
      <c r="W381" s="136" t="s">
        <v>1154</v>
      </c>
      <c r="X381" s="27" t="s">
        <v>30</v>
      </c>
      <c r="Y381" s="35" t="s">
        <v>49</v>
      </c>
      <c r="Z381" s="407" t="s">
        <v>4723</v>
      </c>
      <c r="AA381" s="34" t="s">
        <v>1841</v>
      </c>
      <c r="AB381" s="273">
        <v>45768</v>
      </c>
      <c r="AC381" s="273">
        <v>47593</v>
      </c>
      <c r="AD381" s="412">
        <v>8884443798</v>
      </c>
      <c r="AE381" s="435" t="s">
        <v>1250</v>
      </c>
      <c r="AF381" s="432" t="s">
        <v>1640</v>
      </c>
      <c r="AG381" s="422" t="s">
        <v>4724</v>
      </c>
      <c r="AH381" s="438" t="s">
        <v>4593</v>
      </c>
      <c r="AI381" s="31" t="s">
        <v>4725</v>
      </c>
      <c r="AJ381" s="433" t="s">
        <v>4726</v>
      </c>
      <c r="AK381" s="30" t="s">
        <v>4727</v>
      </c>
      <c r="AL381" s="210"/>
      <c r="AM381" s="210"/>
      <c r="AN381" s="31"/>
      <c r="AO381" s="34" t="s">
        <v>4728</v>
      </c>
      <c r="AP381" s="10">
        <f t="shared" ca="1" si="15"/>
        <v>31</v>
      </c>
      <c r="AQ381" s="29"/>
      <c r="AR381" s="104"/>
      <c r="AS381" s="389"/>
      <c r="AT381" s="389"/>
      <c r="AU381" s="273">
        <v>34622</v>
      </c>
      <c r="AV381" s="64" t="s">
        <v>1389</v>
      </c>
      <c r="AW381" s="64" t="s">
        <v>32</v>
      </c>
      <c r="AX381" s="10">
        <v>3</v>
      </c>
      <c r="AY381" s="30" t="s">
        <v>1959</v>
      </c>
      <c r="AZ381" s="30" t="s">
        <v>26</v>
      </c>
      <c r="BA381" s="23" t="s">
        <v>151</v>
      </c>
      <c r="BB381" s="30" t="s">
        <v>34</v>
      </c>
      <c r="BC381" s="27"/>
    </row>
    <row r="382" spans="1:55" x14ac:dyDescent="0.25">
      <c r="A382" s="10">
        <f t="shared" si="13"/>
        <v>381</v>
      </c>
      <c r="B382" s="31" t="s">
        <v>4729</v>
      </c>
      <c r="C382" s="30" t="s">
        <v>34</v>
      </c>
      <c r="D382" s="137">
        <v>401342</v>
      </c>
      <c r="E382" s="31" t="s">
        <v>36</v>
      </c>
      <c r="F382" s="146" t="s">
        <v>4730</v>
      </c>
      <c r="G382" s="64">
        <v>6</v>
      </c>
      <c r="H382" s="66">
        <v>0.70833333333333337</v>
      </c>
      <c r="I382" s="68" t="s">
        <v>4731</v>
      </c>
      <c r="J382" s="66">
        <v>0.1875</v>
      </c>
      <c r="K382" s="587" t="s">
        <v>11082</v>
      </c>
      <c r="L382" s="59" t="s">
        <v>30</v>
      </c>
      <c r="M382" s="30" t="s">
        <v>1355</v>
      </c>
      <c r="N382" s="23" t="s">
        <v>1520</v>
      </c>
      <c r="O382" s="35" t="s">
        <v>1357</v>
      </c>
      <c r="P382" s="258">
        <v>45954</v>
      </c>
      <c r="Q382" s="258">
        <v>45954</v>
      </c>
      <c r="R382" s="258">
        <v>46683</v>
      </c>
      <c r="S382" s="258">
        <v>46684</v>
      </c>
      <c r="T382" s="79">
        <v>2013</v>
      </c>
      <c r="U382" s="60" t="s">
        <v>250</v>
      </c>
      <c r="V382" s="64">
        <v>2020</v>
      </c>
      <c r="W382" s="60" t="s">
        <v>209</v>
      </c>
      <c r="X382" s="27" t="s">
        <v>30</v>
      </c>
      <c r="Y382" s="39" t="s">
        <v>1360</v>
      </c>
      <c r="Z382" s="410" t="s">
        <v>4732</v>
      </c>
      <c r="AA382" s="34" t="s">
        <v>1841</v>
      </c>
      <c r="AB382" s="273">
        <v>45539</v>
      </c>
      <c r="AC382" s="273">
        <v>47364</v>
      </c>
      <c r="AD382" s="566">
        <v>9703773232</v>
      </c>
      <c r="AE382" s="567" t="s">
        <v>4733</v>
      </c>
      <c r="AF382" s="432" t="s">
        <v>1430</v>
      </c>
      <c r="AG382" s="422" t="s">
        <v>4734</v>
      </c>
      <c r="AH382" s="438" t="s">
        <v>4735</v>
      </c>
      <c r="AI382" s="31" t="s">
        <v>4736</v>
      </c>
      <c r="AJ382" s="433" t="s">
        <v>4737</v>
      </c>
      <c r="AK382" s="30" t="s">
        <v>4738</v>
      </c>
      <c r="AL382" s="210"/>
      <c r="AM382" s="210"/>
      <c r="AN382" s="31"/>
      <c r="AO382" s="34" t="s">
        <v>4739</v>
      </c>
      <c r="AP382" s="10">
        <f t="shared" ca="1" si="15"/>
        <v>34</v>
      </c>
      <c r="AQ382" s="29"/>
      <c r="AR382" s="104"/>
      <c r="AS382" s="389"/>
      <c r="AT382" s="389"/>
      <c r="AU382" s="273">
        <v>33200</v>
      </c>
      <c r="AV382" s="64" t="s">
        <v>1352</v>
      </c>
      <c r="AW382" s="64" t="s">
        <v>32</v>
      </c>
      <c r="AX382" s="10">
        <v>4.5</v>
      </c>
      <c r="AY382" s="30" t="s">
        <v>2053</v>
      </c>
      <c r="AZ382" s="30" t="s">
        <v>1373</v>
      </c>
      <c r="BA382" s="23" t="s">
        <v>151</v>
      </c>
      <c r="BB382" s="30" t="s">
        <v>34</v>
      </c>
      <c r="BC382" s="27"/>
    </row>
    <row r="383" spans="1:55" x14ac:dyDescent="0.25">
      <c r="A383" s="10">
        <f t="shared" si="13"/>
        <v>382</v>
      </c>
      <c r="B383" s="31" t="s">
        <v>4740</v>
      </c>
      <c r="C383" s="30" t="s">
        <v>34</v>
      </c>
      <c r="D383" s="131">
        <v>401343</v>
      </c>
      <c r="E383" s="31" t="s">
        <v>36</v>
      </c>
      <c r="F383" s="135" t="s">
        <v>4741</v>
      </c>
      <c r="G383" s="64">
        <v>6</v>
      </c>
      <c r="H383" s="66">
        <v>0.625</v>
      </c>
      <c r="I383" s="115">
        <v>0.70833333333333337</v>
      </c>
      <c r="J383" s="66">
        <v>8.3333333333333329E-2</v>
      </c>
      <c r="K383" s="587" t="s">
        <v>11082</v>
      </c>
      <c r="L383" s="59" t="s">
        <v>30</v>
      </c>
      <c r="M383" s="30" t="s">
        <v>1544</v>
      </c>
      <c r="N383" s="23" t="s">
        <v>1992</v>
      </c>
      <c r="O383" s="35" t="s">
        <v>1357</v>
      </c>
      <c r="P383" s="258">
        <v>45954</v>
      </c>
      <c r="Q383" s="258">
        <v>45954</v>
      </c>
      <c r="R383" s="258">
        <v>46683</v>
      </c>
      <c r="S383" s="258">
        <v>46684</v>
      </c>
      <c r="T383" s="79">
        <v>2007</v>
      </c>
      <c r="U383" s="136" t="s">
        <v>4742</v>
      </c>
      <c r="V383" s="64">
        <v>2018</v>
      </c>
      <c r="W383" s="136" t="s">
        <v>209</v>
      </c>
      <c r="X383" s="27" t="s">
        <v>30</v>
      </c>
      <c r="Y383" s="30" t="s">
        <v>1549</v>
      </c>
      <c r="Z383" s="407">
        <v>61282</v>
      </c>
      <c r="AA383" s="34" t="s">
        <v>1841</v>
      </c>
      <c r="AB383" s="273">
        <v>45236</v>
      </c>
      <c r="AC383" s="273">
        <v>47062</v>
      </c>
      <c r="AD383" s="439">
        <v>8919534313</v>
      </c>
      <c r="AE383" s="440" t="s">
        <v>4743</v>
      </c>
      <c r="AF383" s="432" t="s">
        <v>1805</v>
      </c>
      <c r="AG383" s="422" t="s">
        <v>4744</v>
      </c>
      <c r="AH383" s="438" t="s">
        <v>3300</v>
      </c>
      <c r="AI383" s="31" t="s">
        <v>4745</v>
      </c>
      <c r="AJ383" s="433" t="s">
        <v>4746</v>
      </c>
      <c r="AK383" s="30" t="s">
        <v>4747</v>
      </c>
      <c r="AL383" s="210"/>
      <c r="AM383" s="210"/>
      <c r="AN383" s="31"/>
      <c r="AO383" s="438" t="s">
        <v>4748</v>
      </c>
      <c r="AP383" s="10">
        <f t="shared" ca="1" si="15"/>
        <v>42</v>
      </c>
      <c r="AQ383" s="29"/>
      <c r="AR383" s="104"/>
      <c r="AS383" s="389"/>
      <c r="AT383" s="389"/>
      <c r="AU383" s="273">
        <v>30540</v>
      </c>
      <c r="AV383" s="64" t="s">
        <v>1389</v>
      </c>
      <c r="AW383" s="64" t="s">
        <v>32</v>
      </c>
      <c r="AX383" s="10">
        <v>2</v>
      </c>
      <c r="AY383" s="30" t="s">
        <v>2053</v>
      </c>
      <c r="AZ383" s="30" t="s">
        <v>1373</v>
      </c>
      <c r="BA383" s="23" t="s">
        <v>151</v>
      </c>
      <c r="BB383" s="30" t="s">
        <v>34</v>
      </c>
      <c r="BC383" s="27"/>
    </row>
    <row r="384" spans="1:55" x14ac:dyDescent="0.25">
      <c r="A384" s="10">
        <f t="shared" si="13"/>
        <v>383</v>
      </c>
      <c r="B384" s="22"/>
      <c r="C384" s="22" t="s">
        <v>34</v>
      </c>
      <c r="D384" s="441">
        <v>104150</v>
      </c>
      <c r="E384" s="62" t="s">
        <v>4749</v>
      </c>
      <c r="F384" s="442" t="s">
        <v>4750</v>
      </c>
      <c r="G384" s="139">
        <v>6</v>
      </c>
      <c r="H384" s="443">
        <v>0.375</v>
      </c>
      <c r="I384" s="443" t="s">
        <v>948</v>
      </c>
      <c r="J384" s="141">
        <v>0.375</v>
      </c>
      <c r="K384" s="21" t="s">
        <v>147</v>
      </c>
      <c r="L384" s="59" t="s">
        <v>30</v>
      </c>
      <c r="M384" s="444" t="s">
        <v>1355</v>
      </c>
      <c r="N384" s="445" t="s">
        <v>4751</v>
      </c>
      <c r="O384" s="100" t="s">
        <v>4752</v>
      </c>
      <c r="P384" s="446">
        <v>43339</v>
      </c>
      <c r="Q384" s="176" t="s">
        <v>30</v>
      </c>
      <c r="R384" s="176" t="s">
        <v>30</v>
      </c>
      <c r="S384" s="176" t="s">
        <v>30</v>
      </c>
      <c r="T384" s="13">
        <f>VLOOKUP(D384,[2]Sheet1!$B$1:$I$14,8,0)</f>
        <v>1997</v>
      </c>
      <c r="U384" s="70" t="str">
        <f>VLOOKUP(D384,[2]Sheet1!$B$1:$J$14,9,0)</f>
        <v>University Of Health Sciences</v>
      </c>
      <c r="V384" s="13">
        <f>VLOOKUP(D384,[2]Sheet1!$B$1:$K$14,10,0)</f>
        <v>2003</v>
      </c>
      <c r="W384" s="22" t="str">
        <f>VLOOKUP(D384,[2]Sheet1!$B$1:$L$14,11,0)</f>
        <v>Kakatiya Medical College ( Warangal)</v>
      </c>
      <c r="X384" s="62" t="s">
        <v>30</v>
      </c>
      <c r="Y384" s="22"/>
      <c r="Z384" s="70"/>
      <c r="AA384" s="70"/>
      <c r="AB384" s="13"/>
      <c r="AC384" s="166"/>
      <c r="AD384" s="13" t="s">
        <v>4753</v>
      </c>
      <c r="AE384" s="70" t="s">
        <v>4754</v>
      </c>
      <c r="AF384" s="22"/>
      <c r="AG384" s="13"/>
      <c r="AH384" s="22"/>
      <c r="AI384" s="13" t="s">
        <v>4755</v>
      </c>
      <c r="AJ384" s="13" t="s">
        <v>4756</v>
      </c>
      <c r="AK384" s="22"/>
      <c r="AL384" s="22"/>
      <c r="AM384" s="22"/>
      <c r="AN384" s="22"/>
      <c r="AO384" s="22"/>
      <c r="AP384" s="22"/>
      <c r="AQ384" s="22"/>
      <c r="AR384" s="22"/>
      <c r="AS384" s="166"/>
      <c r="AT384" s="166"/>
      <c r="AU384" s="273">
        <v>26708</v>
      </c>
      <c r="AV384" s="22" t="s">
        <v>1343</v>
      </c>
      <c r="AW384" s="13" t="s">
        <v>68</v>
      </c>
      <c r="AX384" s="13">
        <v>9</v>
      </c>
      <c r="AY384" s="22" t="s">
        <v>147</v>
      </c>
      <c r="AZ384" s="58" t="s">
        <v>1373</v>
      </c>
      <c r="BA384" s="22" t="s">
        <v>151</v>
      </c>
      <c r="BB384" s="22" t="s">
        <v>34</v>
      </c>
      <c r="BC384" s="22"/>
    </row>
    <row r="385" spans="1:55" x14ac:dyDescent="0.25">
      <c r="A385" s="10">
        <f t="shared" si="13"/>
        <v>384</v>
      </c>
      <c r="B385" s="22"/>
      <c r="C385" s="22" t="s">
        <v>34</v>
      </c>
      <c r="D385" s="447">
        <v>104061</v>
      </c>
      <c r="E385" s="62" t="s">
        <v>4749</v>
      </c>
      <c r="F385" s="442" t="s">
        <v>4757</v>
      </c>
      <c r="G385" s="139">
        <v>6</v>
      </c>
      <c r="H385" s="443">
        <v>0.375</v>
      </c>
      <c r="I385" s="443" t="s">
        <v>948</v>
      </c>
      <c r="J385" s="141">
        <v>0.375</v>
      </c>
      <c r="K385" s="21" t="s">
        <v>147</v>
      </c>
      <c r="L385" s="59" t="s">
        <v>30</v>
      </c>
      <c r="M385" s="15" t="s">
        <v>2097</v>
      </c>
      <c r="N385" s="445" t="s">
        <v>4758</v>
      </c>
      <c r="O385" s="143" t="s">
        <v>4752</v>
      </c>
      <c r="P385" s="446">
        <v>43300</v>
      </c>
      <c r="Q385" s="176" t="s">
        <v>30</v>
      </c>
      <c r="R385" s="176" t="s">
        <v>30</v>
      </c>
      <c r="S385" s="176" t="s">
        <v>30</v>
      </c>
      <c r="T385" s="13">
        <f>VLOOKUP(D385,[2]Sheet1!$B$1:$I$14,8,0)</f>
        <v>1996</v>
      </c>
      <c r="U385" s="70" t="str">
        <f>VLOOKUP(D385,[2]Sheet1!$B$1:$J$14,9,0)</f>
        <v>Sambalpur University (Odisha)</v>
      </c>
      <c r="V385" s="13">
        <f>VLOOKUP(D385,[2]Sheet1!$B$1:$K$14,10,0)</f>
        <v>2003</v>
      </c>
      <c r="W385" s="22" t="str">
        <f>VLOOKUP(D385,[2]Sheet1!$B$1:$L$14,11,0)</f>
        <v>VSS Medical College</v>
      </c>
      <c r="X385" s="62" t="s">
        <v>30</v>
      </c>
      <c r="Y385" s="22"/>
      <c r="Z385" s="70"/>
      <c r="AA385" s="70"/>
      <c r="AB385" s="13"/>
      <c r="AC385" s="166"/>
      <c r="AD385" s="13">
        <v>9884431919</v>
      </c>
      <c r="AE385" s="70" t="s">
        <v>4759</v>
      </c>
      <c r="AF385" s="22"/>
      <c r="AG385" s="13"/>
      <c r="AH385" s="22"/>
      <c r="AI385" s="13" t="s">
        <v>4760</v>
      </c>
      <c r="AJ385" s="13" t="s">
        <v>4761</v>
      </c>
      <c r="AK385" s="22">
        <v>0</v>
      </c>
      <c r="AL385" s="22"/>
      <c r="AM385" s="22"/>
      <c r="AN385" s="22"/>
      <c r="AO385" s="22"/>
      <c r="AP385" s="22"/>
      <c r="AQ385" s="22"/>
      <c r="AR385" s="22"/>
      <c r="AS385" s="166"/>
      <c r="AT385" s="166"/>
      <c r="AU385" s="273">
        <v>26933</v>
      </c>
      <c r="AV385" s="22" t="s">
        <v>1332</v>
      </c>
      <c r="AW385" s="13" t="s">
        <v>68</v>
      </c>
      <c r="AX385" s="13">
        <v>9</v>
      </c>
      <c r="AY385" s="22" t="s">
        <v>147</v>
      </c>
      <c r="AZ385" s="58" t="s">
        <v>1373</v>
      </c>
      <c r="BA385" s="22" t="s">
        <v>151</v>
      </c>
      <c r="BB385" s="22" t="s">
        <v>34</v>
      </c>
      <c r="BC385" s="22"/>
    </row>
    <row r="386" spans="1:55" x14ac:dyDescent="0.25">
      <c r="A386" s="10">
        <f t="shared" si="13"/>
        <v>385</v>
      </c>
      <c r="B386" s="22"/>
      <c r="C386" s="22" t="s">
        <v>34</v>
      </c>
      <c r="D386" s="447">
        <v>100984</v>
      </c>
      <c r="E386" s="62" t="s">
        <v>4749</v>
      </c>
      <c r="F386" s="448" t="s">
        <v>4762</v>
      </c>
      <c r="G386" s="139">
        <v>6</v>
      </c>
      <c r="H386" s="443">
        <v>0.375</v>
      </c>
      <c r="I386" s="443" t="s">
        <v>948</v>
      </c>
      <c r="J386" s="141">
        <v>0.375</v>
      </c>
      <c r="K386" s="21" t="s">
        <v>147</v>
      </c>
      <c r="L386" s="59" t="s">
        <v>30</v>
      </c>
      <c r="M386" s="15" t="s">
        <v>3507</v>
      </c>
      <c r="N386" s="445" t="s">
        <v>4763</v>
      </c>
      <c r="O386" s="143" t="s">
        <v>4752</v>
      </c>
      <c r="P386" s="446">
        <v>41275</v>
      </c>
      <c r="Q386" s="176" t="s">
        <v>30</v>
      </c>
      <c r="R386" s="176" t="s">
        <v>30</v>
      </c>
      <c r="S386" s="176" t="s">
        <v>30</v>
      </c>
      <c r="T386" s="13">
        <f>VLOOKUP(D386,[2]Sheet1!$B$1:$I$14,8,0)</f>
        <v>1997</v>
      </c>
      <c r="U386" s="70" t="str">
        <f>VLOOKUP(D386,[2]Sheet1!$B$1:$J$14,9,0)</f>
        <v>Al-Ameen Medical College(Bijapur)</v>
      </c>
      <c r="V386" s="13">
        <f>VLOOKUP(D386,[2]Sheet1!$B$1:$K$14,10,0)</f>
        <v>2005</v>
      </c>
      <c r="W386" s="22" t="str">
        <f>VLOOKUP(D386,[2]Sheet1!$B$1:$L$14,11,0)</f>
        <v>Mahadevappa Rampure Medical College &amp; research Centre(Karnataka)</v>
      </c>
      <c r="X386" s="62" t="s">
        <v>30</v>
      </c>
      <c r="Y386" s="22"/>
      <c r="Z386" s="70"/>
      <c r="AA386" s="70"/>
      <c r="AB386" s="13"/>
      <c r="AC386" s="166"/>
      <c r="AD386" s="13" t="s">
        <v>4764</v>
      </c>
      <c r="AE386" s="70" t="s">
        <v>4765</v>
      </c>
      <c r="AF386" s="22"/>
      <c r="AG386" s="13"/>
      <c r="AH386" s="22"/>
      <c r="AI386" s="13" t="s">
        <v>4766</v>
      </c>
      <c r="AJ386" s="13" t="s">
        <v>4767</v>
      </c>
      <c r="AK386" s="22">
        <v>0</v>
      </c>
      <c r="AL386" s="22"/>
      <c r="AM386" s="22"/>
      <c r="AN386" s="22"/>
      <c r="AO386" s="22"/>
      <c r="AP386" s="22"/>
      <c r="AQ386" s="22"/>
      <c r="AR386" s="22"/>
      <c r="AS386" s="166"/>
      <c r="AT386" s="166"/>
      <c r="AU386" s="273">
        <v>26649</v>
      </c>
      <c r="AV386" s="22" t="s">
        <v>1343</v>
      </c>
      <c r="AW386" s="13" t="s">
        <v>68</v>
      </c>
      <c r="AX386" s="13">
        <v>9</v>
      </c>
      <c r="AY386" s="22" t="s">
        <v>147</v>
      </c>
      <c r="AZ386" s="58" t="s">
        <v>1373</v>
      </c>
      <c r="BA386" s="22" t="s">
        <v>151</v>
      </c>
      <c r="BB386" s="22" t="s">
        <v>34</v>
      </c>
      <c r="BC386" s="22"/>
    </row>
    <row r="387" spans="1:55" x14ac:dyDescent="0.25">
      <c r="A387" s="10">
        <f t="shared" si="13"/>
        <v>386</v>
      </c>
      <c r="B387" s="22"/>
      <c r="C387" s="22" t="s">
        <v>34</v>
      </c>
      <c r="D387" s="447">
        <v>110279</v>
      </c>
      <c r="E387" s="62" t="s">
        <v>4749</v>
      </c>
      <c r="F387" s="448" t="s">
        <v>1357</v>
      </c>
      <c r="G387" s="139">
        <v>6</v>
      </c>
      <c r="H387" s="443">
        <v>0.375</v>
      </c>
      <c r="I387" s="443" t="s">
        <v>948</v>
      </c>
      <c r="J387" s="141">
        <v>0.375</v>
      </c>
      <c r="K387" s="21" t="s">
        <v>147</v>
      </c>
      <c r="L387" s="59" t="s">
        <v>30</v>
      </c>
      <c r="M387" s="15" t="s">
        <v>4768</v>
      </c>
      <c r="N387" s="445" t="s">
        <v>4769</v>
      </c>
      <c r="O387" s="143" t="s">
        <v>4770</v>
      </c>
      <c r="P387" s="446">
        <v>45565</v>
      </c>
      <c r="Q387" s="176" t="s">
        <v>30</v>
      </c>
      <c r="R387" s="176" t="s">
        <v>30</v>
      </c>
      <c r="S387" s="176" t="s">
        <v>30</v>
      </c>
      <c r="T387" s="13">
        <f>VLOOKUP(D387,[2]Sheet1!$B$1:$I$14,8,0)</f>
        <v>2001</v>
      </c>
      <c r="U387" s="70" t="str">
        <f>VLOOKUP(D387,[2]Sheet1!$B$1:$J$14,9,0)</f>
        <v>Nagpur University</v>
      </c>
      <c r="V387" s="13">
        <f>VLOOKUP(D387,[2]Sheet1!$B$1:$K$14,10,0)</f>
        <v>2007</v>
      </c>
      <c r="W387" s="22" t="str">
        <f>VLOOKUP(D387,[2]Sheet1!$B$1:$L$14,11,0)</f>
        <v>Mumbai University</v>
      </c>
      <c r="X387" s="62" t="s">
        <v>30</v>
      </c>
      <c r="Y387" s="22"/>
      <c r="Z387" s="70"/>
      <c r="AA387" s="70"/>
      <c r="AB387" s="13"/>
      <c r="AC387" s="166"/>
      <c r="AD387" s="13" t="s">
        <v>4771</v>
      </c>
      <c r="AE387" s="70" t="s">
        <v>4772</v>
      </c>
      <c r="AF387" s="22"/>
      <c r="AG387" s="13"/>
      <c r="AH387" s="22"/>
      <c r="AI387" s="13" t="s">
        <v>4773</v>
      </c>
      <c r="AJ387" s="13" t="s">
        <v>4774</v>
      </c>
      <c r="AK387" s="22" t="s">
        <v>4775</v>
      </c>
      <c r="AL387" s="22"/>
      <c r="AM387" s="22"/>
      <c r="AN387" s="22"/>
      <c r="AO387" s="22"/>
      <c r="AP387" s="22"/>
      <c r="AQ387" s="22"/>
      <c r="AR387" s="22"/>
      <c r="AS387" s="166"/>
      <c r="AT387" s="166"/>
      <c r="AU387" s="273">
        <v>0</v>
      </c>
      <c r="AV387" s="22" t="s">
        <v>1332</v>
      </c>
      <c r="AW387" s="13" t="s">
        <v>68</v>
      </c>
      <c r="AX387" s="13">
        <v>9</v>
      </c>
      <c r="AY387" s="22" t="s">
        <v>147</v>
      </c>
      <c r="AZ387" s="58" t="s">
        <v>1373</v>
      </c>
      <c r="BA387" s="22" t="s">
        <v>151</v>
      </c>
      <c r="BB387" s="22" t="s">
        <v>34</v>
      </c>
      <c r="BC387" s="22"/>
    </row>
    <row r="388" spans="1:55" x14ac:dyDescent="0.25">
      <c r="A388" s="10">
        <f t="shared" ref="A388:A451" si="16">A387+1</f>
        <v>387</v>
      </c>
      <c r="B388" s="22"/>
      <c r="C388" s="22" t="s">
        <v>34</v>
      </c>
      <c r="D388" s="449">
        <v>110310</v>
      </c>
      <c r="E388" s="62" t="s">
        <v>4749</v>
      </c>
      <c r="F388" s="442" t="s">
        <v>4776</v>
      </c>
      <c r="G388" s="139">
        <v>6</v>
      </c>
      <c r="H388" s="443">
        <v>0.375</v>
      </c>
      <c r="I388" s="443" t="s">
        <v>948</v>
      </c>
      <c r="J388" s="141">
        <v>0.375</v>
      </c>
      <c r="K388" s="21" t="s">
        <v>147</v>
      </c>
      <c r="L388" s="59" t="s">
        <v>30</v>
      </c>
      <c r="M388" s="444" t="s">
        <v>1544</v>
      </c>
      <c r="N388" s="445" t="s">
        <v>4777</v>
      </c>
      <c r="O388" s="143" t="s">
        <v>4752</v>
      </c>
      <c r="P388" s="446">
        <v>45576</v>
      </c>
      <c r="Q388" s="176" t="s">
        <v>30</v>
      </c>
      <c r="R388" s="176" t="s">
        <v>30</v>
      </c>
      <c r="S388" s="176" t="s">
        <v>30</v>
      </c>
      <c r="T388" s="13">
        <f>VLOOKUP(D388,[2]Sheet1!$B$1:$I$14,8,0)</f>
        <v>2002</v>
      </c>
      <c r="U388" s="70" t="str">
        <f>VLOOKUP(D388,[2]Sheet1!$B$1:$J$14,9,0)</f>
        <v>NTR University Of Health Sciences</v>
      </c>
      <c r="V388" s="13">
        <f>VLOOKUP(D388,[2]Sheet1!$B$1:$K$14,10,0)</f>
        <v>2009</v>
      </c>
      <c r="W388" s="22" t="str">
        <f>VLOOKUP(D388,[2]Sheet1!$B$1:$L$14,11,0)</f>
        <v>Dr NTR University Of Heallth Sciences</v>
      </c>
      <c r="X388" s="62" t="s">
        <v>30</v>
      </c>
      <c r="Y388" s="22"/>
      <c r="Z388" s="70"/>
      <c r="AA388" s="70"/>
      <c r="AB388" s="13"/>
      <c r="AC388" s="166"/>
      <c r="AD388" s="13" t="s">
        <v>4778</v>
      </c>
      <c r="AE388" s="70" t="s">
        <v>4779</v>
      </c>
      <c r="AF388" s="22"/>
      <c r="AG388" s="13"/>
      <c r="AH388" s="22"/>
      <c r="AI388" s="13" t="s">
        <v>4780</v>
      </c>
      <c r="AJ388" s="13" t="s">
        <v>4781</v>
      </c>
      <c r="AK388" s="22">
        <v>0</v>
      </c>
      <c r="AL388" s="22"/>
      <c r="AM388" s="22"/>
      <c r="AN388" s="22"/>
      <c r="AO388" s="22"/>
      <c r="AP388" s="22"/>
      <c r="AQ388" s="22"/>
      <c r="AR388" s="22"/>
      <c r="AS388" s="166"/>
      <c r="AT388" s="166"/>
      <c r="AU388" s="273">
        <v>0</v>
      </c>
      <c r="AV388" s="22" t="s">
        <v>1343</v>
      </c>
      <c r="AW388" s="13" t="s">
        <v>68</v>
      </c>
      <c r="AX388" s="13">
        <v>9</v>
      </c>
      <c r="AY388" s="22" t="s">
        <v>147</v>
      </c>
      <c r="AZ388" s="58" t="s">
        <v>1373</v>
      </c>
      <c r="BA388" s="22" t="s">
        <v>151</v>
      </c>
      <c r="BB388" s="22" t="s">
        <v>34</v>
      </c>
      <c r="BC388" s="22"/>
    </row>
    <row r="389" spans="1:55" x14ac:dyDescent="0.25">
      <c r="A389" s="10">
        <f t="shared" si="16"/>
        <v>388</v>
      </c>
      <c r="B389" s="22"/>
      <c r="C389" s="22" t="s">
        <v>34</v>
      </c>
      <c r="D389" s="449">
        <v>104001</v>
      </c>
      <c r="E389" s="62" t="s">
        <v>4749</v>
      </c>
      <c r="F389" s="442" t="s">
        <v>4782</v>
      </c>
      <c r="G389" s="139">
        <v>6</v>
      </c>
      <c r="H389" s="443">
        <v>0.375</v>
      </c>
      <c r="I389" s="443" t="s">
        <v>948</v>
      </c>
      <c r="J389" s="141">
        <v>0.375</v>
      </c>
      <c r="K389" s="21" t="s">
        <v>147</v>
      </c>
      <c r="L389" s="59" t="s">
        <v>30</v>
      </c>
      <c r="M389" s="444" t="s">
        <v>2097</v>
      </c>
      <c r="N389" s="445" t="s">
        <v>4777</v>
      </c>
      <c r="O389" s="444" t="s">
        <v>4757</v>
      </c>
      <c r="P389" s="446">
        <v>43269</v>
      </c>
      <c r="Q389" s="176" t="s">
        <v>30</v>
      </c>
      <c r="R389" s="176" t="s">
        <v>30</v>
      </c>
      <c r="S389" s="176" t="s">
        <v>30</v>
      </c>
      <c r="T389" s="13">
        <f>VLOOKUP(D389,[2]Sheet1!$B$1:$I$14,8,0)</f>
        <v>2007</v>
      </c>
      <c r="U389" s="70" t="str">
        <f>VLOOKUP(D389,[2]Sheet1!$B$1:$J$14,9,0)</f>
        <v>NTR University Of Health Sciences</v>
      </c>
      <c r="V389" s="13">
        <f>VLOOKUP(D389,[2]Sheet1!$B$1:$K$14,10,0)</f>
        <v>2013</v>
      </c>
      <c r="W389" s="22" t="str">
        <f>VLOOKUP(D389,[2]Sheet1!$B$1:$L$14,11,0)</f>
        <v>Osmania Medical College(Hyderabad)</v>
      </c>
      <c r="X389" s="62" t="s">
        <v>30</v>
      </c>
      <c r="Y389" s="22"/>
      <c r="Z389" s="70"/>
      <c r="AA389" s="70"/>
      <c r="AB389" s="13"/>
      <c r="AC389" s="166"/>
      <c r="AD389" s="13" t="s">
        <v>4783</v>
      </c>
      <c r="AE389" s="70" t="s">
        <v>4784</v>
      </c>
      <c r="AF389" s="22"/>
      <c r="AG389" s="13"/>
      <c r="AH389" s="22"/>
      <c r="AI389" s="13" t="s">
        <v>4785</v>
      </c>
      <c r="AJ389" s="13" t="s">
        <v>4786</v>
      </c>
      <c r="AK389" s="22">
        <v>0</v>
      </c>
      <c r="AL389" s="22"/>
      <c r="AM389" s="22"/>
      <c r="AN389" s="22"/>
      <c r="AO389" s="22"/>
      <c r="AP389" s="22"/>
      <c r="AQ389" s="22"/>
      <c r="AR389" s="22"/>
      <c r="AS389" s="166"/>
      <c r="AT389" s="166"/>
      <c r="AU389" s="273">
        <v>30814</v>
      </c>
      <c r="AV389" s="22" t="s">
        <v>1332</v>
      </c>
      <c r="AW389" s="13" t="s">
        <v>68</v>
      </c>
      <c r="AX389" s="13">
        <v>9</v>
      </c>
      <c r="AY389" s="22" t="s">
        <v>147</v>
      </c>
      <c r="AZ389" s="58" t="s">
        <v>1373</v>
      </c>
      <c r="BA389" s="22" t="s">
        <v>151</v>
      </c>
      <c r="BB389" s="22" t="s">
        <v>34</v>
      </c>
      <c r="BC389" s="22"/>
    </row>
    <row r="390" spans="1:55" x14ac:dyDescent="0.25">
      <c r="A390" s="10">
        <f t="shared" si="16"/>
        <v>389</v>
      </c>
      <c r="B390" s="22"/>
      <c r="C390" s="22" t="s">
        <v>34</v>
      </c>
      <c r="D390" s="449">
        <v>103341</v>
      </c>
      <c r="E390" s="62" t="s">
        <v>4749</v>
      </c>
      <c r="F390" s="442" t="s">
        <v>4787</v>
      </c>
      <c r="G390" s="139">
        <v>6</v>
      </c>
      <c r="H390" s="443">
        <v>0.375</v>
      </c>
      <c r="I390" s="443" t="s">
        <v>948</v>
      </c>
      <c r="J390" s="141">
        <v>0.375</v>
      </c>
      <c r="K390" s="21" t="s">
        <v>147</v>
      </c>
      <c r="L390" s="59" t="s">
        <v>30</v>
      </c>
      <c r="M390" s="444" t="s">
        <v>1355</v>
      </c>
      <c r="N390" s="445" t="s">
        <v>4777</v>
      </c>
      <c r="O390" s="143" t="s">
        <v>4752</v>
      </c>
      <c r="P390" s="446">
        <v>42857</v>
      </c>
      <c r="Q390" s="176" t="s">
        <v>30</v>
      </c>
      <c r="R390" s="176" t="s">
        <v>30</v>
      </c>
      <c r="S390" s="176" t="s">
        <v>30</v>
      </c>
      <c r="T390" s="13">
        <f>VLOOKUP(D390,[2]Sheet1!$B$1:$I$14,8,0)</f>
        <v>2007</v>
      </c>
      <c r="U390" s="70" t="str">
        <f>VLOOKUP(D390,[2]Sheet1!$B$1:$J$14,9,0)</f>
        <v>Government Medical College(Akola)</v>
      </c>
      <c r="V390" s="13">
        <f>VLOOKUP(D390,[2]Sheet1!$B$1:$K$14,10,0)</f>
        <v>2014</v>
      </c>
      <c r="W390" s="22" t="str">
        <f>VLOOKUP(D390,[2]Sheet1!$B$1:$L$14,11,0)</f>
        <v>Government Medical College(Patiala)</v>
      </c>
      <c r="X390" s="62" t="s">
        <v>30</v>
      </c>
      <c r="Y390" s="22"/>
      <c r="Z390" s="70"/>
      <c r="AA390" s="70"/>
      <c r="AB390" s="13"/>
      <c r="AC390" s="166"/>
      <c r="AD390" s="13" t="s">
        <v>4788</v>
      </c>
      <c r="AE390" s="70" t="s">
        <v>4789</v>
      </c>
      <c r="AF390" s="22"/>
      <c r="AG390" s="13"/>
      <c r="AH390" s="22"/>
      <c r="AI390" s="13" t="s">
        <v>4790</v>
      </c>
      <c r="AJ390" s="13" t="s">
        <v>4791</v>
      </c>
      <c r="AK390" s="22">
        <v>0</v>
      </c>
      <c r="AL390" s="22"/>
      <c r="AM390" s="22">
        <v>45889</v>
      </c>
      <c r="AN390" s="22"/>
      <c r="AO390" s="22"/>
      <c r="AP390" s="22"/>
      <c r="AQ390" s="22"/>
      <c r="AR390" s="22"/>
      <c r="AS390" s="166"/>
      <c r="AT390" s="166"/>
      <c r="AU390" s="273">
        <v>30984</v>
      </c>
      <c r="AV390" s="22" t="s">
        <v>1343</v>
      </c>
      <c r="AW390" s="13" t="s">
        <v>68</v>
      </c>
      <c r="AX390" s="13">
        <v>9</v>
      </c>
      <c r="AY390" s="22" t="s">
        <v>147</v>
      </c>
      <c r="AZ390" s="58" t="s">
        <v>1373</v>
      </c>
      <c r="BA390" s="22" t="s">
        <v>151</v>
      </c>
      <c r="BB390" s="22" t="s">
        <v>34</v>
      </c>
      <c r="BC390" s="22"/>
    </row>
    <row r="391" spans="1:55" x14ac:dyDescent="0.25">
      <c r="A391" s="10">
        <f t="shared" si="16"/>
        <v>390</v>
      </c>
      <c r="B391" s="22"/>
      <c r="C391" s="22" t="s">
        <v>34</v>
      </c>
      <c r="D391" s="449">
        <v>104708</v>
      </c>
      <c r="E391" s="62" t="s">
        <v>4749</v>
      </c>
      <c r="F391" s="442" t="s">
        <v>4792</v>
      </c>
      <c r="G391" s="139">
        <v>6</v>
      </c>
      <c r="H391" s="443">
        <v>0.375</v>
      </c>
      <c r="I391" s="443" t="s">
        <v>948</v>
      </c>
      <c r="J391" s="141">
        <v>0.375</v>
      </c>
      <c r="K391" s="21" t="s">
        <v>147</v>
      </c>
      <c r="L391" s="59" t="s">
        <v>30</v>
      </c>
      <c r="M391" s="444" t="s">
        <v>1544</v>
      </c>
      <c r="N391" s="445" t="s">
        <v>4751</v>
      </c>
      <c r="O391" s="143" t="s">
        <v>4752</v>
      </c>
      <c r="P391" s="446">
        <v>43556</v>
      </c>
      <c r="Q391" s="176" t="s">
        <v>30</v>
      </c>
      <c r="R391" s="176" t="s">
        <v>30</v>
      </c>
      <c r="S391" s="176" t="s">
        <v>30</v>
      </c>
      <c r="T391" s="13">
        <f>VLOOKUP(D391,[2]Sheet1!$B$1:$I$14,8,0)</f>
        <v>2001</v>
      </c>
      <c r="U391" s="70" t="str">
        <f>VLOOKUP(D391,[2]Sheet1!$B$1:$J$14,9,0)</f>
        <v>Kuvempu University</v>
      </c>
      <c r="V391" s="13">
        <f>VLOOKUP(D391,[2]Sheet1!$B$1:$K$14,10,0)</f>
        <v>2015</v>
      </c>
      <c r="W391" s="22" t="str">
        <f>VLOOKUP(D391,[2]Sheet1!$B$1:$L$14,11,0)</f>
        <v>Chalmeda Anand Rao Institute Of Medical Sciences(Karimnagar)</v>
      </c>
      <c r="X391" s="62" t="s">
        <v>30</v>
      </c>
      <c r="Y391" s="22"/>
      <c r="Z391" s="70"/>
      <c r="AA391" s="70"/>
      <c r="AB391" s="13"/>
      <c r="AC391" s="166"/>
      <c r="AD391" s="13" t="s">
        <v>4793</v>
      </c>
      <c r="AE391" s="70" t="s">
        <v>4794</v>
      </c>
      <c r="AF391" s="22"/>
      <c r="AG391" s="13"/>
      <c r="AH391" s="22"/>
      <c r="AI391" s="13" t="s">
        <v>4795</v>
      </c>
      <c r="AJ391" s="13" t="s">
        <v>4796</v>
      </c>
      <c r="AK391" s="22">
        <v>0</v>
      </c>
      <c r="AL391" s="22"/>
      <c r="AM391" s="22"/>
      <c r="AN391" s="22"/>
      <c r="AO391" s="22"/>
      <c r="AP391" s="22"/>
      <c r="AQ391" s="22"/>
      <c r="AR391" s="22"/>
      <c r="AS391" s="166"/>
      <c r="AT391" s="166"/>
      <c r="AU391" s="273">
        <v>28131</v>
      </c>
      <c r="AV391" s="22" t="s">
        <v>1343</v>
      </c>
      <c r="AW391" s="13" t="s">
        <v>68</v>
      </c>
      <c r="AX391" s="13">
        <v>9</v>
      </c>
      <c r="AY391" s="22" t="s">
        <v>147</v>
      </c>
      <c r="AZ391" s="58" t="s">
        <v>1373</v>
      </c>
      <c r="BA391" s="22" t="s">
        <v>151</v>
      </c>
      <c r="BB391" s="22" t="s">
        <v>34</v>
      </c>
      <c r="BC391" s="22"/>
    </row>
    <row r="392" spans="1:55" x14ac:dyDescent="0.25">
      <c r="A392" s="10">
        <f t="shared" si="16"/>
        <v>391</v>
      </c>
      <c r="B392" s="22"/>
      <c r="C392" s="22" t="s">
        <v>34</v>
      </c>
      <c r="D392" s="449">
        <v>105720</v>
      </c>
      <c r="E392" s="62" t="s">
        <v>4749</v>
      </c>
      <c r="F392" s="442" t="s">
        <v>4797</v>
      </c>
      <c r="G392" s="139">
        <v>6</v>
      </c>
      <c r="H392" s="443">
        <v>0.375</v>
      </c>
      <c r="I392" s="443" t="s">
        <v>948</v>
      </c>
      <c r="J392" s="141">
        <v>0.375</v>
      </c>
      <c r="K392" s="21" t="s">
        <v>147</v>
      </c>
      <c r="L392" s="59" t="s">
        <v>30</v>
      </c>
      <c r="M392" s="444" t="s">
        <v>4798</v>
      </c>
      <c r="N392" s="445" t="s">
        <v>4751</v>
      </c>
      <c r="O392" s="143" t="s">
        <v>4752</v>
      </c>
      <c r="P392" s="446">
        <v>44049</v>
      </c>
      <c r="Q392" s="176" t="s">
        <v>30</v>
      </c>
      <c r="R392" s="176" t="s">
        <v>30</v>
      </c>
      <c r="S392" s="176" t="s">
        <v>30</v>
      </c>
      <c r="T392" s="13">
        <f>VLOOKUP(D392,[2]Sheet1!$B$1:$I$14,8,0)</f>
        <v>2009</v>
      </c>
      <c r="U392" s="70" t="str">
        <f>VLOOKUP(D392,[2]Sheet1!$B$1:$J$14,9,0)</f>
        <v>Kakatiya Medical College(Warangal)</v>
      </c>
      <c r="V392" s="13">
        <f>VLOOKUP(D392,[2]Sheet1!$B$1:$K$14,10,0)</f>
        <v>2017</v>
      </c>
      <c r="W392" s="22" t="str">
        <f>VLOOKUP(D392,[2]Sheet1!$B$1:$L$14,11,0)</f>
        <v>Osmania Medical College(Hyderabad)</v>
      </c>
      <c r="X392" s="62" t="s">
        <v>30</v>
      </c>
      <c r="Y392" s="22"/>
      <c r="Z392" s="70"/>
      <c r="AA392" s="70"/>
      <c r="AB392" s="13"/>
      <c r="AC392" s="166"/>
      <c r="AD392" s="13" t="s">
        <v>4799</v>
      </c>
      <c r="AE392" s="70" t="s">
        <v>4800</v>
      </c>
      <c r="AF392" s="22"/>
      <c r="AG392" s="13"/>
      <c r="AH392" s="22"/>
      <c r="AI392" s="13" t="s">
        <v>4801</v>
      </c>
      <c r="AJ392" s="13" t="s">
        <v>4802</v>
      </c>
      <c r="AK392" s="22" t="s">
        <v>4803</v>
      </c>
      <c r="AL392" s="22"/>
      <c r="AM392" s="22"/>
      <c r="AN392" s="22"/>
      <c r="AO392" s="22"/>
      <c r="AP392" s="22"/>
      <c r="AQ392" s="22"/>
      <c r="AR392" s="22"/>
      <c r="AS392" s="166"/>
      <c r="AT392" s="166"/>
      <c r="AU392" s="273">
        <v>31475</v>
      </c>
      <c r="AV392" s="22" t="s">
        <v>1343</v>
      </c>
      <c r="AW392" s="13" t="s">
        <v>68</v>
      </c>
      <c r="AX392" s="13">
        <v>9</v>
      </c>
      <c r="AY392" s="22" t="s">
        <v>147</v>
      </c>
      <c r="AZ392" s="58" t="s">
        <v>1373</v>
      </c>
      <c r="BA392" s="22" t="s">
        <v>151</v>
      </c>
      <c r="BB392" s="22" t="s">
        <v>34</v>
      </c>
      <c r="BC392" s="22"/>
    </row>
    <row r="393" spans="1:55" x14ac:dyDescent="0.25">
      <c r="A393" s="10">
        <f t="shared" si="16"/>
        <v>392</v>
      </c>
      <c r="B393" s="22"/>
      <c r="C393" s="22" t="s">
        <v>34</v>
      </c>
      <c r="D393" s="449">
        <v>109017</v>
      </c>
      <c r="E393" s="62" t="s">
        <v>4749</v>
      </c>
      <c r="F393" s="442" t="s">
        <v>4804</v>
      </c>
      <c r="G393" s="139">
        <v>6</v>
      </c>
      <c r="H393" s="443">
        <v>0.375</v>
      </c>
      <c r="I393" s="443" t="s">
        <v>948</v>
      </c>
      <c r="J393" s="141">
        <v>0.375</v>
      </c>
      <c r="K393" s="21" t="s">
        <v>287</v>
      </c>
      <c r="L393" s="59" t="s">
        <v>30</v>
      </c>
      <c r="M393" s="444" t="s">
        <v>1582</v>
      </c>
      <c r="N393" s="450" t="s">
        <v>4751</v>
      </c>
      <c r="O393" s="143" t="s">
        <v>4752</v>
      </c>
      <c r="P393" s="446">
        <v>45148</v>
      </c>
      <c r="Q393" s="176" t="s">
        <v>30</v>
      </c>
      <c r="R393" s="176" t="s">
        <v>30</v>
      </c>
      <c r="S393" s="176" t="s">
        <v>30</v>
      </c>
      <c r="T393" s="13">
        <f>VLOOKUP(D393,[2]Sheet1!$B$1:$I$14,8,0)</f>
        <v>2010</v>
      </c>
      <c r="U393" s="70" t="str">
        <f>VLOOKUP(D393,[2]Sheet1!$B$1:$J$14,9,0)</f>
        <v>Jiamusi University(China)</v>
      </c>
      <c r="V393" s="13">
        <f>VLOOKUP(D393,[2]Sheet1!$B$1:$K$14,10,0)</f>
        <v>2017</v>
      </c>
      <c r="W393" s="22" t="str">
        <f>VLOOKUP(D393,[2]Sheet1!$B$1:$L$14,11,0)</f>
        <v>GSL Medical College(Rajahmundry)</v>
      </c>
      <c r="X393" s="62" t="s">
        <v>30</v>
      </c>
      <c r="Y393" s="22"/>
      <c r="Z393" s="70"/>
      <c r="AA393" s="70"/>
      <c r="AB393" s="13"/>
      <c r="AC393" s="166"/>
      <c r="AD393" s="13" t="s">
        <v>4805</v>
      </c>
      <c r="AE393" s="70" t="s">
        <v>4806</v>
      </c>
      <c r="AF393" s="22"/>
      <c r="AG393" s="13"/>
      <c r="AH393" s="22"/>
      <c r="AI393" s="13"/>
      <c r="AJ393" s="13" t="s">
        <v>4807</v>
      </c>
      <c r="AK393" s="22" t="s">
        <v>4808</v>
      </c>
      <c r="AL393" s="22"/>
      <c r="AM393" s="22"/>
      <c r="AN393" s="22"/>
      <c r="AO393" s="22"/>
      <c r="AP393" s="22"/>
      <c r="AQ393" s="22"/>
      <c r="AR393" s="22"/>
      <c r="AS393" s="166"/>
      <c r="AT393" s="166"/>
      <c r="AU393" s="273"/>
      <c r="AV393" s="22" t="s">
        <v>1343</v>
      </c>
      <c r="AW393" s="13" t="s">
        <v>68</v>
      </c>
      <c r="AX393" s="13">
        <v>9</v>
      </c>
      <c r="AY393" s="22" t="s">
        <v>287</v>
      </c>
      <c r="AZ393" s="58" t="s">
        <v>1373</v>
      </c>
      <c r="BA393" s="22" t="s">
        <v>151</v>
      </c>
      <c r="BB393" s="22" t="s">
        <v>34</v>
      </c>
      <c r="BC393" s="22"/>
    </row>
    <row r="394" spans="1:55" x14ac:dyDescent="0.25">
      <c r="A394" s="10">
        <f t="shared" si="16"/>
        <v>393</v>
      </c>
      <c r="B394" s="22"/>
      <c r="C394" s="22" t="s">
        <v>34</v>
      </c>
      <c r="D394" s="449">
        <v>110242</v>
      </c>
      <c r="E394" s="62" t="s">
        <v>4749</v>
      </c>
      <c r="F394" s="442" t="s">
        <v>4809</v>
      </c>
      <c r="G394" s="139">
        <v>6</v>
      </c>
      <c r="H394" s="443">
        <v>0.375</v>
      </c>
      <c r="I394" s="443" t="s">
        <v>948</v>
      </c>
      <c r="J394" s="141">
        <v>0.375</v>
      </c>
      <c r="K394" s="21" t="s">
        <v>147</v>
      </c>
      <c r="L394" s="59" t="s">
        <v>30</v>
      </c>
      <c r="M394" s="444" t="s">
        <v>1544</v>
      </c>
      <c r="N394" s="450" t="s">
        <v>4751</v>
      </c>
      <c r="O394" s="143" t="s">
        <v>4752</v>
      </c>
      <c r="P394" s="446">
        <v>45548</v>
      </c>
      <c r="Q394" s="176" t="s">
        <v>30</v>
      </c>
      <c r="R394" s="176" t="s">
        <v>30</v>
      </c>
      <c r="S394" s="176" t="s">
        <v>30</v>
      </c>
      <c r="T394" s="13">
        <f>VLOOKUP(D394,[2]Sheet1!$B$1:$I$14,8,0)</f>
        <v>2006</v>
      </c>
      <c r="U394" s="70" t="str">
        <f>VLOOKUP(D394,[2]Sheet1!$B$1:$J$14,9,0)</f>
        <v>NTR University Of Health Sciences</v>
      </c>
      <c r="V394" s="13">
        <f>VLOOKUP(D394,[2]Sheet1!$B$1:$K$14,10,0)</f>
        <v>2023</v>
      </c>
      <c r="W394" s="22" t="str">
        <f>VLOOKUP(D394,[2]Sheet1!$B$1:$L$14,11,0)</f>
        <v>Guntur Medical College</v>
      </c>
      <c r="X394" s="62" t="s">
        <v>30</v>
      </c>
      <c r="Y394" s="22"/>
      <c r="Z394" s="70"/>
      <c r="AA394" s="70"/>
      <c r="AB394" s="13"/>
      <c r="AC394" s="166"/>
      <c r="AD394" s="13" t="s">
        <v>4810</v>
      </c>
      <c r="AE394" s="70" t="s">
        <v>4811</v>
      </c>
      <c r="AF394" s="22"/>
      <c r="AG394" s="13"/>
      <c r="AH394" s="22"/>
      <c r="AI394" s="13" t="s">
        <v>4812</v>
      </c>
      <c r="AJ394" s="13" t="s">
        <v>4813</v>
      </c>
      <c r="AK394" s="22" t="s">
        <v>4814</v>
      </c>
      <c r="AL394" s="22"/>
      <c r="AM394" s="22"/>
      <c r="AN394" s="22"/>
      <c r="AO394" s="22"/>
      <c r="AP394" s="22"/>
      <c r="AQ394" s="22"/>
      <c r="AR394" s="22"/>
      <c r="AS394" s="166"/>
      <c r="AT394" s="166"/>
      <c r="AU394" s="273"/>
      <c r="AV394" s="22" t="s">
        <v>1343</v>
      </c>
      <c r="AW394" s="13" t="s">
        <v>68</v>
      </c>
      <c r="AX394" s="13">
        <v>9</v>
      </c>
      <c r="AY394" s="22" t="s">
        <v>147</v>
      </c>
      <c r="AZ394" s="58" t="s">
        <v>1373</v>
      </c>
      <c r="BA394" s="22" t="s">
        <v>151</v>
      </c>
      <c r="BB394" s="22" t="s">
        <v>34</v>
      </c>
      <c r="BC394" s="22"/>
    </row>
    <row r="395" spans="1:55" x14ac:dyDescent="0.25">
      <c r="A395" s="10">
        <f t="shared" si="16"/>
        <v>394</v>
      </c>
      <c r="B395" s="22"/>
      <c r="C395" s="22" t="s">
        <v>34</v>
      </c>
      <c r="D395" s="449">
        <v>110765</v>
      </c>
      <c r="E395" s="62" t="s">
        <v>4749</v>
      </c>
      <c r="F395" s="442" t="s">
        <v>4815</v>
      </c>
      <c r="G395" s="139">
        <v>6</v>
      </c>
      <c r="H395" s="443">
        <v>0.375</v>
      </c>
      <c r="I395" s="443" t="s">
        <v>948</v>
      </c>
      <c r="J395" s="141">
        <v>0.375</v>
      </c>
      <c r="K395" s="21" t="s">
        <v>147</v>
      </c>
      <c r="L395" s="59" t="s">
        <v>30</v>
      </c>
      <c r="M395" s="444" t="s">
        <v>1355</v>
      </c>
      <c r="N395" s="450" t="s">
        <v>4777</v>
      </c>
      <c r="O395" s="143" t="s">
        <v>4752</v>
      </c>
      <c r="P395" s="446">
        <v>45726</v>
      </c>
      <c r="Q395" s="176" t="s">
        <v>30</v>
      </c>
      <c r="R395" s="176" t="s">
        <v>30</v>
      </c>
      <c r="S395" s="176" t="s">
        <v>30</v>
      </c>
      <c r="T395" s="13">
        <f>VLOOKUP(D395,[2]Sheet1!$B$1:$I$14,8,0)</f>
        <v>2013</v>
      </c>
      <c r="U395" s="70" t="str">
        <f>VLOOKUP(D395,[2]Sheet1!$B$1:$J$14,9,0)</f>
        <v>Pondicherry University</v>
      </c>
      <c r="V395" s="13">
        <f>VLOOKUP(D395,[2]Sheet1!$B$1:$K$14,10,0)</f>
        <v>2025</v>
      </c>
      <c r="W395" s="22" t="str">
        <f>VLOOKUP(D395,[2]Sheet1!$B$1:$L$14,11,0)</f>
        <v>Armed Forces Medical College(Pune)</v>
      </c>
      <c r="X395" s="62" t="s">
        <v>30</v>
      </c>
      <c r="Y395" s="22"/>
      <c r="Z395" s="70"/>
      <c r="AA395" s="70"/>
      <c r="AB395" s="13"/>
      <c r="AC395" s="166"/>
      <c r="AD395" s="13" t="s">
        <v>4816</v>
      </c>
      <c r="AE395" s="70" t="s">
        <v>4817</v>
      </c>
      <c r="AF395" s="22"/>
      <c r="AG395" s="13"/>
      <c r="AH395" s="22"/>
      <c r="AI395" s="13" t="s">
        <v>4818</v>
      </c>
      <c r="AJ395" s="13" t="s">
        <v>4819</v>
      </c>
      <c r="AK395" s="22" t="s">
        <v>4820</v>
      </c>
      <c r="AL395" s="22"/>
      <c r="AM395" s="22"/>
      <c r="AN395" s="22"/>
      <c r="AO395" s="22"/>
      <c r="AP395" s="22"/>
      <c r="AQ395" s="22"/>
      <c r="AR395" s="22"/>
      <c r="AS395" s="166"/>
      <c r="AT395" s="166"/>
      <c r="AU395" s="273"/>
      <c r="AV395" s="22" t="s">
        <v>1332</v>
      </c>
      <c r="AW395" s="13" t="s">
        <v>68</v>
      </c>
      <c r="AX395" s="13">
        <v>9</v>
      </c>
      <c r="AY395" s="22" t="s">
        <v>147</v>
      </c>
      <c r="AZ395" s="58" t="s">
        <v>1373</v>
      </c>
      <c r="BA395" s="22" t="s">
        <v>151</v>
      </c>
      <c r="BB395" s="22" t="s">
        <v>34</v>
      </c>
      <c r="BC395" s="22"/>
    </row>
    <row r="396" spans="1:55" x14ac:dyDescent="0.25">
      <c r="A396" s="10">
        <f t="shared" si="16"/>
        <v>395</v>
      </c>
      <c r="B396" s="10" t="s">
        <v>4821</v>
      </c>
      <c r="C396" s="593" t="s">
        <v>1407</v>
      </c>
      <c r="D396" s="65">
        <v>400778</v>
      </c>
      <c r="E396" s="31" t="s">
        <v>36</v>
      </c>
      <c r="F396" s="14" t="s">
        <v>4822</v>
      </c>
      <c r="G396" s="10">
        <v>6</v>
      </c>
      <c r="H396" s="66">
        <v>0.70833333333333337</v>
      </c>
      <c r="I396" s="66">
        <v>0.83333333333333337</v>
      </c>
      <c r="J396" s="66">
        <v>0.125</v>
      </c>
      <c r="K396" s="35" t="s">
        <v>593</v>
      </c>
      <c r="L396" s="30" t="s">
        <v>1424</v>
      </c>
      <c r="M396" s="30" t="s">
        <v>2097</v>
      </c>
      <c r="N396" s="23" t="s">
        <v>2098</v>
      </c>
      <c r="O396" s="35" t="s">
        <v>2016</v>
      </c>
      <c r="P396" s="161">
        <v>45092</v>
      </c>
      <c r="Q396" s="161">
        <v>45823</v>
      </c>
      <c r="R396" s="161">
        <v>46552</v>
      </c>
      <c r="S396" s="161">
        <v>46553</v>
      </c>
      <c r="T396" s="10">
        <v>2016</v>
      </c>
      <c r="U396" s="30" t="s">
        <v>230</v>
      </c>
      <c r="V396" s="10">
        <v>2022</v>
      </c>
      <c r="W396" s="23" t="s">
        <v>473</v>
      </c>
      <c r="X396" s="31" t="s">
        <v>1424</v>
      </c>
      <c r="Y396" s="35" t="s">
        <v>2099</v>
      </c>
      <c r="Z396" s="14" t="s">
        <v>4823</v>
      </c>
      <c r="AA396" s="35" t="s">
        <v>1886</v>
      </c>
      <c r="AB396" s="161">
        <v>45090</v>
      </c>
      <c r="AC396" s="161">
        <v>46916</v>
      </c>
      <c r="AD396" s="220" t="s">
        <v>4824</v>
      </c>
      <c r="AE396" s="236" t="s">
        <v>4825</v>
      </c>
      <c r="AF396" s="30" t="s">
        <v>1466</v>
      </c>
      <c r="AG396" s="221" t="s">
        <v>4826</v>
      </c>
      <c r="AH396" s="31" t="s">
        <v>4827</v>
      </c>
      <c r="AI396" s="31" t="s">
        <v>4828</v>
      </c>
      <c r="AJ396" s="221" t="s">
        <v>4829</v>
      </c>
      <c r="AK396" s="35" t="s">
        <v>4830</v>
      </c>
      <c r="AL396" s="210">
        <v>45913</v>
      </c>
      <c r="AM396" s="210" t="s">
        <v>30</v>
      </c>
      <c r="AN396" s="35" t="s">
        <v>4831</v>
      </c>
      <c r="AO396" s="35" t="s">
        <v>4832</v>
      </c>
      <c r="AP396" s="10">
        <f t="shared" ref="AP396:AP404" ca="1" si="17">ROUNDDOWN((TODAY() -AU396)/365.25,0)</f>
        <v>32</v>
      </c>
      <c r="AQ396" s="35"/>
      <c r="AR396" s="23"/>
      <c r="AS396" s="210"/>
      <c r="AT396" s="210"/>
      <c r="AU396" s="223">
        <v>34180</v>
      </c>
      <c r="AV396" s="31" t="s">
        <v>1389</v>
      </c>
      <c r="AW396" s="31" t="s">
        <v>32</v>
      </c>
      <c r="AX396" s="10">
        <v>3</v>
      </c>
      <c r="AY396" s="14" t="s">
        <v>1920</v>
      </c>
      <c r="AZ396" s="30" t="s">
        <v>1373</v>
      </c>
      <c r="BA396" s="23" t="s">
        <v>151</v>
      </c>
      <c r="BB396" s="30" t="s">
        <v>1407</v>
      </c>
      <c r="BC396" s="43"/>
    </row>
    <row r="397" spans="1:55" x14ac:dyDescent="0.25">
      <c r="A397" s="10">
        <f t="shared" si="16"/>
        <v>396</v>
      </c>
      <c r="B397" s="10" t="s">
        <v>4833</v>
      </c>
      <c r="C397" s="593" t="s">
        <v>1407</v>
      </c>
      <c r="D397" s="65">
        <v>400785</v>
      </c>
      <c r="E397" s="31" t="s">
        <v>36</v>
      </c>
      <c r="F397" s="14" t="s">
        <v>2482</v>
      </c>
      <c r="G397" s="10">
        <v>5</v>
      </c>
      <c r="H397" s="66">
        <v>0.33333333333333331</v>
      </c>
      <c r="I397" s="66">
        <v>0.625</v>
      </c>
      <c r="J397" s="66">
        <v>0.29166666666666669</v>
      </c>
      <c r="K397" s="35" t="s">
        <v>147</v>
      </c>
      <c r="L397" s="30" t="s">
        <v>1424</v>
      </c>
      <c r="M397" s="30" t="s">
        <v>1908</v>
      </c>
      <c r="N397" s="23" t="s">
        <v>4834</v>
      </c>
      <c r="O397" s="30" t="s">
        <v>3290</v>
      </c>
      <c r="P397" s="161">
        <v>45103</v>
      </c>
      <c r="Q397" s="161">
        <v>45834</v>
      </c>
      <c r="R397" s="161">
        <v>46563</v>
      </c>
      <c r="S397" s="161">
        <v>46564</v>
      </c>
      <c r="T397" s="10">
        <v>2004</v>
      </c>
      <c r="U397" s="30" t="s">
        <v>4835</v>
      </c>
      <c r="V397" s="10">
        <v>2008</v>
      </c>
      <c r="W397" s="14" t="s">
        <v>4836</v>
      </c>
      <c r="X397" s="10" t="s">
        <v>1424</v>
      </c>
      <c r="Y397" s="35" t="s">
        <v>4837</v>
      </c>
      <c r="Z397" s="14" t="s">
        <v>4838</v>
      </c>
      <c r="AA397" s="23" t="s">
        <v>1841</v>
      </c>
      <c r="AB397" s="161">
        <v>45372</v>
      </c>
      <c r="AC397" s="161">
        <v>47197</v>
      </c>
      <c r="AD397" s="220">
        <v>8008855001</v>
      </c>
      <c r="AE397" s="224" t="s">
        <v>4839</v>
      </c>
      <c r="AF397" s="30" t="s">
        <v>1430</v>
      </c>
      <c r="AG397" s="221" t="s">
        <v>4840</v>
      </c>
      <c r="AH397" s="31" t="s">
        <v>2323</v>
      </c>
      <c r="AI397" s="31" t="s">
        <v>4841</v>
      </c>
      <c r="AJ397" s="221" t="s">
        <v>4842</v>
      </c>
      <c r="AK397" s="30" t="s">
        <v>4843</v>
      </c>
      <c r="AL397" s="210">
        <v>45925</v>
      </c>
      <c r="AM397" s="210" t="s">
        <v>4844</v>
      </c>
      <c r="AN397" s="35" t="s">
        <v>4845</v>
      </c>
      <c r="AO397" s="35"/>
      <c r="AP397" s="10">
        <f t="shared" ca="1" si="17"/>
        <v>45</v>
      </c>
      <c r="AQ397" s="35"/>
      <c r="AR397" s="23"/>
      <c r="AS397" s="210"/>
      <c r="AT397" s="210"/>
      <c r="AU397" s="223">
        <v>29297</v>
      </c>
      <c r="AV397" s="31" t="s">
        <v>1352</v>
      </c>
      <c r="AW397" s="31" t="s">
        <v>32</v>
      </c>
      <c r="AX397" s="10">
        <v>7</v>
      </c>
      <c r="AY397" s="14" t="s">
        <v>1849</v>
      </c>
      <c r="AZ397" s="30" t="s">
        <v>1908</v>
      </c>
      <c r="BA397" s="23" t="s">
        <v>151</v>
      </c>
      <c r="BB397" s="30" t="s">
        <v>1407</v>
      </c>
      <c r="BC397" s="43"/>
    </row>
    <row r="398" spans="1:55" x14ac:dyDescent="0.25">
      <c r="A398" s="10">
        <f t="shared" si="16"/>
        <v>397</v>
      </c>
      <c r="B398" s="10" t="s">
        <v>4846</v>
      </c>
      <c r="C398" s="593" t="s">
        <v>1407</v>
      </c>
      <c r="D398" s="65">
        <v>401040</v>
      </c>
      <c r="E398" s="31" t="s">
        <v>36</v>
      </c>
      <c r="F398" s="14" t="s">
        <v>4847</v>
      </c>
      <c r="G398" s="64">
        <v>6</v>
      </c>
      <c r="H398" s="66">
        <v>0.375</v>
      </c>
      <c r="I398" s="66">
        <v>0.70833333333333337</v>
      </c>
      <c r="J398" s="66">
        <v>0.33333333333333331</v>
      </c>
      <c r="K398" s="35" t="s">
        <v>784</v>
      </c>
      <c r="L398" s="30" t="s">
        <v>4848</v>
      </c>
      <c r="M398" s="30" t="s">
        <v>26</v>
      </c>
      <c r="N398" s="23" t="s">
        <v>38</v>
      </c>
      <c r="O398" s="23" t="s">
        <v>1321</v>
      </c>
      <c r="P398" s="258">
        <v>45505</v>
      </c>
      <c r="Q398" s="183">
        <v>45537</v>
      </c>
      <c r="R398" s="161">
        <v>46234</v>
      </c>
      <c r="S398" s="161">
        <v>46235</v>
      </c>
      <c r="T398" s="10">
        <v>2018</v>
      </c>
      <c r="U398" s="30" t="s">
        <v>516</v>
      </c>
      <c r="V398" s="10">
        <v>2023</v>
      </c>
      <c r="W398" s="35" t="s">
        <v>516</v>
      </c>
      <c r="X398" s="31" t="s">
        <v>30</v>
      </c>
      <c r="Y398" s="35" t="s">
        <v>49</v>
      </c>
      <c r="Z398" s="14" t="s">
        <v>4849</v>
      </c>
      <c r="AA398" s="35" t="s">
        <v>1886</v>
      </c>
      <c r="AB398" s="161">
        <v>45327</v>
      </c>
      <c r="AC398" s="161">
        <v>47153</v>
      </c>
      <c r="AD398" s="220">
        <v>8019479719</v>
      </c>
      <c r="AE398" s="236" t="s">
        <v>4850</v>
      </c>
      <c r="AF398" s="30" t="s">
        <v>1430</v>
      </c>
      <c r="AG398" s="221" t="s">
        <v>4851</v>
      </c>
      <c r="AH398" s="31" t="s">
        <v>4852</v>
      </c>
      <c r="AI398" s="31" t="s">
        <v>4853</v>
      </c>
      <c r="AJ398" s="221" t="s">
        <v>4854</v>
      </c>
      <c r="AK398" s="35" t="s">
        <v>4855</v>
      </c>
      <c r="AL398" s="210">
        <v>45930</v>
      </c>
      <c r="AM398" s="210">
        <v>45869</v>
      </c>
      <c r="AN398" s="35" t="s">
        <v>4856</v>
      </c>
      <c r="AO398" s="35" t="s">
        <v>4857</v>
      </c>
      <c r="AP398" s="10">
        <f t="shared" ca="1" si="17"/>
        <v>30</v>
      </c>
      <c r="AQ398" s="35" t="s">
        <v>1966</v>
      </c>
      <c r="AR398" s="23" t="s">
        <v>4858</v>
      </c>
      <c r="AS398" s="210">
        <v>45514</v>
      </c>
      <c r="AT398" s="210">
        <v>45878</v>
      </c>
      <c r="AU398" s="223">
        <v>34938</v>
      </c>
      <c r="AV398" s="31" t="s">
        <v>1352</v>
      </c>
      <c r="AW398" s="31" t="s">
        <v>68</v>
      </c>
      <c r="AX398" s="10">
        <v>8</v>
      </c>
      <c r="AY398" s="14" t="s">
        <v>2262</v>
      </c>
      <c r="AZ398" s="30" t="s">
        <v>26</v>
      </c>
      <c r="BA398" s="23" t="s">
        <v>151</v>
      </c>
      <c r="BB398" s="30" t="s">
        <v>1407</v>
      </c>
      <c r="BC398" s="43"/>
    </row>
    <row r="399" spans="1:55" x14ac:dyDescent="0.25">
      <c r="A399" s="10">
        <f t="shared" si="16"/>
        <v>398</v>
      </c>
      <c r="B399" s="61" t="s">
        <v>4859</v>
      </c>
      <c r="C399" s="593" t="s">
        <v>1407</v>
      </c>
      <c r="D399" s="96">
        <v>401100</v>
      </c>
      <c r="E399" s="62" t="s">
        <v>36</v>
      </c>
      <c r="F399" s="97" t="s">
        <v>4860</v>
      </c>
      <c r="G399" s="139">
        <v>6</v>
      </c>
      <c r="H399" s="98">
        <v>0.70833333333333337</v>
      </c>
      <c r="I399" s="98">
        <v>0.875</v>
      </c>
      <c r="J399" s="98">
        <v>0.16666666666666663</v>
      </c>
      <c r="K399" s="100" t="s">
        <v>287</v>
      </c>
      <c r="L399" s="63" t="s">
        <v>30</v>
      </c>
      <c r="M399" s="63" t="s">
        <v>2097</v>
      </c>
      <c r="N399" s="23" t="s">
        <v>2098</v>
      </c>
      <c r="O399" s="35" t="s">
        <v>1357</v>
      </c>
      <c r="P399" s="258">
        <v>45589</v>
      </c>
      <c r="Q399" s="446">
        <v>45589</v>
      </c>
      <c r="R399" s="446">
        <v>46318</v>
      </c>
      <c r="S399" s="446">
        <v>46319</v>
      </c>
      <c r="T399" s="61">
        <v>2007</v>
      </c>
      <c r="U399" s="63" t="s">
        <v>169</v>
      </c>
      <c r="V399" s="61">
        <v>2013</v>
      </c>
      <c r="W399" s="143" t="s">
        <v>4861</v>
      </c>
      <c r="X399" s="61" t="s">
        <v>30</v>
      </c>
      <c r="Y399" s="62" t="s">
        <v>4862</v>
      </c>
      <c r="Z399" s="99">
        <v>60608</v>
      </c>
      <c r="AA399" s="143" t="s">
        <v>1841</v>
      </c>
      <c r="AB399" s="451">
        <v>44141</v>
      </c>
      <c r="AC399" s="451">
        <v>45966</v>
      </c>
      <c r="AD399" s="220">
        <v>9908971331</v>
      </c>
      <c r="AE399" s="452" t="s">
        <v>4863</v>
      </c>
      <c r="AF399" s="63" t="s">
        <v>1430</v>
      </c>
      <c r="AG399" s="337" t="s">
        <v>4864</v>
      </c>
      <c r="AH399" s="62" t="s">
        <v>4865</v>
      </c>
      <c r="AI399" s="62" t="s">
        <v>4866</v>
      </c>
      <c r="AJ399" s="337" t="s">
        <v>4867</v>
      </c>
      <c r="AK399" s="63" t="s">
        <v>4868</v>
      </c>
      <c r="AL399" s="338">
        <v>45903</v>
      </c>
      <c r="AM399" s="338">
        <v>45842</v>
      </c>
      <c r="AN399" s="100" t="s">
        <v>1592</v>
      </c>
      <c r="AO399" s="100" t="s">
        <v>4869</v>
      </c>
      <c r="AP399" s="61">
        <f t="shared" ca="1" si="17"/>
        <v>42</v>
      </c>
      <c r="AQ399" s="100"/>
      <c r="AR399" s="143"/>
      <c r="AS399" s="338"/>
      <c r="AT399" s="338"/>
      <c r="AU399" s="453">
        <v>30483</v>
      </c>
      <c r="AV399" s="62" t="s">
        <v>1352</v>
      </c>
      <c r="AW399" s="31" t="s">
        <v>32</v>
      </c>
      <c r="AX399" s="61">
        <v>4</v>
      </c>
      <c r="AY399" s="99" t="s">
        <v>1881</v>
      </c>
      <c r="AZ399" s="99" t="s">
        <v>1373</v>
      </c>
      <c r="BA399" s="100" t="s">
        <v>151</v>
      </c>
      <c r="BB399" s="30" t="s">
        <v>1407</v>
      </c>
      <c r="BC399" s="100"/>
    </row>
    <row r="400" spans="1:55" x14ac:dyDescent="0.25">
      <c r="A400" s="10">
        <f t="shared" si="16"/>
        <v>399</v>
      </c>
      <c r="B400" s="10" t="s">
        <v>4870</v>
      </c>
      <c r="C400" s="593" t="s">
        <v>1407</v>
      </c>
      <c r="D400" s="65">
        <v>401127</v>
      </c>
      <c r="E400" s="31" t="s">
        <v>36</v>
      </c>
      <c r="F400" s="14" t="s">
        <v>4871</v>
      </c>
      <c r="G400" s="10">
        <v>6</v>
      </c>
      <c r="H400" s="66">
        <v>0.33333333333333331</v>
      </c>
      <c r="I400" s="66">
        <v>0.875</v>
      </c>
      <c r="J400" s="68">
        <v>0.33333333333333331</v>
      </c>
      <c r="K400" s="35" t="s">
        <v>147</v>
      </c>
      <c r="L400" s="30" t="s">
        <v>30</v>
      </c>
      <c r="M400" s="30" t="s">
        <v>1582</v>
      </c>
      <c r="N400" s="23" t="s">
        <v>1583</v>
      </c>
      <c r="O400" s="35" t="s">
        <v>1357</v>
      </c>
      <c r="P400" s="258">
        <v>45614</v>
      </c>
      <c r="Q400" s="161">
        <v>45614</v>
      </c>
      <c r="R400" s="161">
        <v>46343</v>
      </c>
      <c r="S400" s="161">
        <v>46344</v>
      </c>
      <c r="T400" s="10">
        <v>2014</v>
      </c>
      <c r="U400" s="14" t="s">
        <v>4872</v>
      </c>
      <c r="V400" s="10">
        <v>2022</v>
      </c>
      <c r="W400" s="23" t="s">
        <v>3709</v>
      </c>
      <c r="X400" s="64" t="s">
        <v>30</v>
      </c>
      <c r="Y400" s="23" t="s">
        <v>1360</v>
      </c>
      <c r="Z400" s="14" t="s">
        <v>4873</v>
      </c>
      <c r="AA400" s="23" t="s">
        <v>1841</v>
      </c>
      <c r="AB400" s="161">
        <v>45617</v>
      </c>
      <c r="AC400" s="161">
        <v>47442</v>
      </c>
      <c r="AD400" s="220">
        <v>9713949759</v>
      </c>
      <c r="AE400" s="236" t="s">
        <v>4874</v>
      </c>
      <c r="AF400" s="39" t="s">
        <v>1495</v>
      </c>
      <c r="AG400" s="221" t="s">
        <v>4875</v>
      </c>
      <c r="AH400" s="31" t="s">
        <v>4876</v>
      </c>
      <c r="AI400" s="31" t="s">
        <v>4877</v>
      </c>
      <c r="AJ400" s="221" t="s">
        <v>4878</v>
      </c>
      <c r="AK400" s="35" t="s">
        <v>4879</v>
      </c>
      <c r="AL400" s="210">
        <v>45924</v>
      </c>
      <c r="AM400" s="210">
        <v>45863</v>
      </c>
      <c r="AN400" s="35" t="s">
        <v>4856</v>
      </c>
      <c r="AO400" s="35" t="s">
        <v>4880</v>
      </c>
      <c r="AP400" s="10">
        <f t="shared" ca="1" si="17"/>
        <v>36</v>
      </c>
      <c r="AQ400" s="35"/>
      <c r="AR400" s="23"/>
      <c r="AS400" s="210"/>
      <c r="AT400" s="210"/>
      <c r="AU400" s="223">
        <v>32652</v>
      </c>
      <c r="AV400" s="31" t="s">
        <v>1389</v>
      </c>
      <c r="AW400" s="31" t="s">
        <v>68</v>
      </c>
      <c r="AX400" s="10">
        <v>8</v>
      </c>
      <c r="AY400" s="14" t="s">
        <v>1849</v>
      </c>
      <c r="AZ400" s="30" t="s">
        <v>1373</v>
      </c>
      <c r="BA400" s="23" t="s">
        <v>151</v>
      </c>
      <c r="BB400" s="30" t="s">
        <v>1407</v>
      </c>
      <c r="BC400" s="43"/>
    </row>
    <row r="401" spans="1:55" x14ac:dyDescent="0.25">
      <c r="A401" s="10">
        <f t="shared" si="16"/>
        <v>400</v>
      </c>
      <c r="B401" s="10" t="s">
        <v>4881</v>
      </c>
      <c r="C401" s="593" t="s">
        <v>1407</v>
      </c>
      <c r="D401" s="65">
        <v>401156</v>
      </c>
      <c r="E401" s="31" t="s">
        <v>36</v>
      </c>
      <c r="F401" s="14" t="s">
        <v>4882</v>
      </c>
      <c r="G401" s="10">
        <v>6</v>
      </c>
      <c r="H401" s="66">
        <v>0.70833333333333337</v>
      </c>
      <c r="I401" s="66">
        <v>0.79166666666666663</v>
      </c>
      <c r="J401" s="66">
        <v>8.3333333333333329E-2</v>
      </c>
      <c r="K401" s="35" t="s">
        <v>1187</v>
      </c>
      <c r="L401" s="30" t="s">
        <v>30</v>
      </c>
      <c r="M401" s="30" t="s">
        <v>1376</v>
      </c>
      <c r="N401" s="23" t="s">
        <v>1393</v>
      </c>
      <c r="O401" s="35" t="s">
        <v>30</v>
      </c>
      <c r="P401" s="258">
        <v>45652</v>
      </c>
      <c r="Q401" s="161">
        <v>45652</v>
      </c>
      <c r="R401" s="161">
        <v>46381</v>
      </c>
      <c r="S401" s="161">
        <v>46382</v>
      </c>
      <c r="T401" s="10">
        <v>2023</v>
      </c>
      <c r="U401" s="14" t="s">
        <v>4883</v>
      </c>
      <c r="V401" s="10" t="s">
        <v>30</v>
      </c>
      <c r="W401" s="23" t="s">
        <v>30</v>
      </c>
      <c r="X401" s="31" t="s">
        <v>30</v>
      </c>
      <c r="Y401" s="35" t="s">
        <v>226</v>
      </c>
      <c r="Z401" s="14" t="s">
        <v>4884</v>
      </c>
      <c r="AA401" s="23" t="s">
        <v>1841</v>
      </c>
      <c r="AB401" s="161">
        <v>45626</v>
      </c>
      <c r="AC401" s="161">
        <v>47451</v>
      </c>
      <c r="AD401" s="10">
        <v>7659984388</v>
      </c>
      <c r="AE401" s="272" t="s">
        <v>4885</v>
      </c>
      <c r="AF401" s="30" t="s">
        <v>1640</v>
      </c>
      <c r="AG401" s="221" t="s">
        <v>4886</v>
      </c>
      <c r="AH401" s="31" t="s">
        <v>4887</v>
      </c>
      <c r="AI401" s="31" t="s">
        <v>4888</v>
      </c>
      <c r="AJ401" s="221" t="s">
        <v>4889</v>
      </c>
      <c r="AK401" s="30" t="s">
        <v>4890</v>
      </c>
      <c r="AL401" s="210">
        <v>45880</v>
      </c>
      <c r="AM401" s="210" t="s">
        <v>30</v>
      </c>
      <c r="AN401" s="35" t="s">
        <v>4891</v>
      </c>
      <c r="AO401" s="35" t="s">
        <v>4892</v>
      </c>
      <c r="AP401" s="10">
        <f t="shared" ca="1" si="17"/>
        <v>25</v>
      </c>
      <c r="AQ401" s="35"/>
      <c r="AR401" s="23"/>
      <c r="AS401" s="210"/>
      <c r="AT401" s="210"/>
      <c r="AU401" s="223">
        <v>36643</v>
      </c>
      <c r="AV401" s="31" t="s">
        <v>1352</v>
      </c>
      <c r="AW401" s="31" t="s">
        <v>32</v>
      </c>
      <c r="AX401" s="10">
        <v>2</v>
      </c>
      <c r="AY401" s="14" t="s">
        <v>2006</v>
      </c>
      <c r="AZ401" s="30" t="s">
        <v>1390</v>
      </c>
      <c r="BA401" s="23" t="s">
        <v>151</v>
      </c>
      <c r="BB401" s="30" t="s">
        <v>1407</v>
      </c>
      <c r="BC401" s="43"/>
    </row>
    <row r="402" spans="1:55" x14ac:dyDescent="0.25">
      <c r="A402" s="10">
        <f t="shared" si="16"/>
        <v>401</v>
      </c>
      <c r="B402" s="10" t="s">
        <v>4893</v>
      </c>
      <c r="C402" s="593" t="s">
        <v>1407</v>
      </c>
      <c r="D402" s="65">
        <v>401168</v>
      </c>
      <c r="E402" s="31" t="s">
        <v>36</v>
      </c>
      <c r="F402" s="14" t="s">
        <v>4894</v>
      </c>
      <c r="G402" s="10">
        <v>6</v>
      </c>
      <c r="H402" s="66">
        <v>0.33333333333333331</v>
      </c>
      <c r="I402" s="66">
        <v>0.375</v>
      </c>
      <c r="J402" s="66">
        <v>4.1666666666666664E-2</v>
      </c>
      <c r="K402" s="35" t="s">
        <v>287</v>
      </c>
      <c r="L402" s="30" t="s">
        <v>30</v>
      </c>
      <c r="M402" s="30" t="s">
        <v>1376</v>
      </c>
      <c r="N402" s="23" t="s">
        <v>1393</v>
      </c>
      <c r="O402" s="35" t="s">
        <v>30</v>
      </c>
      <c r="P402" s="161">
        <v>45684</v>
      </c>
      <c r="Q402" s="161">
        <v>45684</v>
      </c>
      <c r="R402" s="161">
        <v>46413</v>
      </c>
      <c r="S402" s="161">
        <v>46414</v>
      </c>
      <c r="T402" s="10">
        <v>1988</v>
      </c>
      <c r="U402" s="30" t="s">
        <v>230</v>
      </c>
      <c r="V402" s="10" t="s">
        <v>30</v>
      </c>
      <c r="W402" s="23" t="s">
        <v>30</v>
      </c>
      <c r="X402" s="31" t="s">
        <v>30</v>
      </c>
      <c r="Y402" s="35" t="s">
        <v>226</v>
      </c>
      <c r="Z402" s="86" t="s">
        <v>4895</v>
      </c>
      <c r="AA402" s="23" t="s">
        <v>1841</v>
      </c>
      <c r="AB402" s="161">
        <v>44459</v>
      </c>
      <c r="AC402" s="161">
        <v>46284</v>
      </c>
      <c r="AD402" s="87">
        <v>9676883581</v>
      </c>
      <c r="AE402" s="296" t="s">
        <v>4896</v>
      </c>
      <c r="AF402" s="30" t="s">
        <v>1430</v>
      </c>
      <c r="AG402" s="221" t="s">
        <v>4897</v>
      </c>
      <c r="AH402" s="31" t="s">
        <v>4898</v>
      </c>
      <c r="AI402" s="31" t="s">
        <v>4899</v>
      </c>
      <c r="AJ402" s="221" t="s">
        <v>4900</v>
      </c>
      <c r="AK402" s="30" t="s">
        <v>4901</v>
      </c>
      <c r="AL402" s="210">
        <v>45901</v>
      </c>
      <c r="AM402" s="210">
        <v>45908</v>
      </c>
      <c r="AN402" s="35" t="s">
        <v>4363</v>
      </c>
      <c r="AO402" s="35" t="s">
        <v>4902</v>
      </c>
      <c r="AP402" s="10">
        <f t="shared" ca="1" si="17"/>
        <v>62</v>
      </c>
      <c r="AQ402" s="35"/>
      <c r="AR402" s="23"/>
      <c r="AS402" s="210"/>
      <c r="AT402" s="210"/>
      <c r="AU402" s="223">
        <v>23121</v>
      </c>
      <c r="AV402" s="31" t="s">
        <v>1352</v>
      </c>
      <c r="AW402" s="31" t="s">
        <v>32</v>
      </c>
      <c r="AX402" s="10">
        <v>1</v>
      </c>
      <c r="AY402" s="14" t="s">
        <v>1881</v>
      </c>
      <c r="AZ402" s="30" t="s">
        <v>1390</v>
      </c>
      <c r="BA402" s="23" t="s">
        <v>151</v>
      </c>
      <c r="BB402" s="30" t="s">
        <v>1407</v>
      </c>
      <c r="BC402" s="43"/>
    </row>
    <row r="403" spans="1:55" x14ac:dyDescent="0.25">
      <c r="A403" s="10">
        <f t="shared" si="16"/>
        <v>402</v>
      </c>
      <c r="B403" s="10" t="s">
        <v>4903</v>
      </c>
      <c r="C403" s="593" t="s">
        <v>1407</v>
      </c>
      <c r="D403" s="65">
        <v>401203</v>
      </c>
      <c r="E403" s="31" t="s">
        <v>36</v>
      </c>
      <c r="F403" s="14" t="s">
        <v>4904</v>
      </c>
      <c r="G403" s="10">
        <v>6</v>
      </c>
      <c r="H403" s="66">
        <v>0.375</v>
      </c>
      <c r="I403" s="66">
        <v>0.54166666666666663</v>
      </c>
      <c r="J403" s="66">
        <v>0.16666666666666666</v>
      </c>
      <c r="K403" s="35" t="s">
        <v>4905</v>
      </c>
      <c r="L403" s="30" t="s">
        <v>4906</v>
      </c>
      <c r="M403" s="30" t="s">
        <v>26</v>
      </c>
      <c r="N403" s="23" t="s">
        <v>38</v>
      </c>
      <c r="O403" s="23" t="s">
        <v>1321</v>
      </c>
      <c r="P403" s="258">
        <v>45754</v>
      </c>
      <c r="Q403" s="258">
        <v>45754</v>
      </c>
      <c r="R403" s="258">
        <v>46483</v>
      </c>
      <c r="S403" s="258">
        <v>46484</v>
      </c>
      <c r="T403" s="10">
        <v>2018</v>
      </c>
      <c r="U403" s="30" t="s">
        <v>3198</v>
      </c>
      <c r="V403" s="10">
        <v>2025</v>
      </c>
      <c r="W403" s="35" t="s">
        <v>4907</v>
      </c>
      <c r="X403" s="31" t="s">
        <v>30</v>
      </c>
      <c r="Y403" s="35" t="s">
        <v>97</v>
      </c>
      <c r="Z403" s="333" t="s">
        <v>4908</v>
      </c>
      <c r="AA403" s="23" t="s">
        <v>1841</v>
      </c>
      <c r="AB403" s="161">
        <v>45734</v>
      </c>
      <c r="AC403" s="161">
        <v>47559</v>
      </c>
      <c r="AD403" s="10">
        <v>7386857420</v>
      </c>
      <c r="AE403" s="236" t="s">
        <v>4909</v>
      </c>
      <c r="AF403" s="35" t="s">
        <v>2545</v>
      </c>
      <c r="AG403" s="230" t="s">
        <v>4910</v>
      </c>
      <c r="AH403" s="31" t="s">
        <v>4911</v>
      </c>
      <c r="AI403" s="31" t="s">
        <v>4912</v>
      </c>
      <c r="AJ403" s="221" t="s">
        <v>4913</v>
      </c>
      <c r="AK403" s="35" t="s">
        <v>4914</v>
      </c>
      <c r="AL403" s="210">
        <v>45927</v>
      </c>
      <c r="AM403" s="210">
        <v>45867</v>
      </c>
      <c r="AN403" s="35" t="s">
        <v>895</v>
      </c>
      <c r="AO403" s="35" t="s">
        <v>4915</v>
      </c>
      <c r="AP403" s="10">
        <f t="shared" ca="1" si="17"/>
        <v>30</v>
      </c>
      <c r="AQ403" s="35"/>
      <c r="AR403" s="23"/>
      <c r="AS403" s="210"/>
      <c r="AT403" s="210"/>
      <c r="AU403" s="223">
        <v>34839</v>
      </c>
      <c r="AV403" s="31" t="s">
        <v>1389</v>
      </c>
      <c r="AW403" s="31" t="s">
        <v>32</v>
      </c>
      <c r="AX403" s="10">
        <v>4</v>
      </c>
      <c r="AY403" s="14" t="s">
        <v>1968</v>
      </c>
      <c r="AZ403" s="30" t="s">
        <v>26</v>
      </c>
      <c r="BA403" s="23" t="s">
        <v>151</v>
      </c>
      <c r="BB403" s="30" t="s">
        <v>1407</v>
      </c>
      <c r="BC403" s="43"/>
    </row>
    <row r="404" spans="1:55" x14ac:dyDescent="0.25">
      <c r="A404" s="10">
        <f t="shared" si="16"/>
        <v>403</v>
      </c>
      <c r="B404" s="55" t="s">
        <v>4916</v>
      </c>
      <c r="C404" s="594" t="s">
        <v>1407</v>
      </c>
      <c r="D404" s="78">
        <v>401207</v>
      </c>
      <c r="E404" s="54" t="s">
        <v>36</v>
      </c>
      <c r="F404" s="48" t="s">
        <v>4917</v>
      </c>
      <c r="G404" s="55">
        <v>6</v>
      </c>
      <c r="H404" s="77">
        <v>0.39583333333333331</v>
      </c>
      <c r="I404" s="77">
        <v>0.60416666666666663</v>
      </c>
      <c r="J404" s="90">
        <v>0.20833333333333334</v>
      </c>
      <c r="K404" s="51" t="s">
        <v>4918</v>
      </c>
      <c r="L404" s="56" t="s">
        <v>4919</v>
      </c>
      <c r="M404" s="56" t="s">
        <v>26</v>
      </c>
      <c r="N404" s="52" t="s">
        <v>38</v>
      </c>
      <c r="O404" s="52" t="s">
        <v>1321</v>
      </c>
      <c r="P404" s="303">
        <v>45761</v>
      </c>
      <c r="Q404" s="303">
        <v>45761</v>
      </c>
      <c r="R404" s="303">
        <v>46490</v>
      </c>
      <c r="S404" s="303">
        <v>46491</v>
      </c>
      <c r="T404" s="55">
        <v>2019</v>
      </c>
      <c r="U404" s="56" t="s">
        <v>4920</v>
      </c>
      <c r="V404" s="55">
        <v>2025</v>
      </c>
      <c r="W404" s="51" t="s">
        <v>499</v>
      </c>
      <c r="X404" s="54" t="s">
        <v>30</v>
      </c>
      <c r="Y404" s="51" t="s">
        <v>97</v>
      </c>
      <c r="Z404" s="347" t="s">
        <v>4921</v>
      </c>
      <c r="AA404" s="52" t="s">
        <v>1841</v>
      </c>
      <c r="AB404" s="238">
        <v>45751</v>
      </c>
      <c r="AC404" s="238">
        <v>47576</v>
      </c>
      <c r="AD404" s="55">
        <v>9908405399</v>
      </c>
      <c r="AE404" s="240" t="s">
        <v>4922</v>
      </c>
      <c r="AF404" s="56" t="s">
        <v>1690</v>
      </c>
      <c r="AG404" s="198" t="s">
        <v>4923</v>
      </c>
      <c r="AH404" s="54" t="s">
        <v>4924</v>
      </c>
      <c r="AI404" s="54" t="s">
        <v>4925</v>
      </c>
      <c r="AJ404" s="198" t="s">
        <v>4926</v>
      </c>
      <c r="AK404" s="56" t="s">
        <v>4927</v>
      </c>
      <c r="AL404" s="199">
        <v>45930</v>
      </c>
      <c r="AM404" s="199" t="s">
        <v>30</v>
      </c>
      <c r="AN404" s="51" t="s">
        <v>4363</v>
      </c>
      <c r="AO404" s="51" t="s">
        <v>4928</v>
      </c>
      <c r="AP404" s="55">
        <f t="shared" ca="1" si="17"/>
        <v>28</v>
      </c>
      <c r="AQ404" s="53"/>
      <c r="AR404" s="52"/>
      <c r="AS404" s="199"/>
      <c r="AT404" s="199"/>
      <c r="AU404" s="242">
        <v>35407</v>
      </c>
      <c r="AV404" s="54" t="s">
        <v>1389</v>
      </c>
      <c r="AW404" s="54" t="s">
        <v>32</v>
      </c>
      <c r="AX404" s="55">
        <v>5</v>
      </c>
      <c r="AY404" s="48" t="s">
        <v>2469</v>
      </c>
      <c r="AZ404" s="56" t="s">
        <v>26</v>
      </c>
      <c r="BA404" s="52" t="s">
        <v>151</v>
      </c>
      <c r="BB404" s="56" t="s">
        <v>1407</v>
      </c>
      <c r="BC404" s="53"/>
    </row>
    <row r="405" spans="1:55" x14ac:dyDescent="0.25">
      <c r="A405" s="10">
        <f t="shared" si="16"/>
        <v>404</v>
      </c>
      <c r="B405" s="10" t="s">
        <v>4929</v>
      </c>
      <c r="C405" s="593" t="s">
        <v>1407</v>
      </c>
      <c r="D405" s="65">
        <v>401209</v>
      </c>
      <c r="E405" s="181" t="s">
        <v>9124</v>
      </c>
      <c r="F405" s="14" t="s">
        <v>4930</v>
      </c>
      <c r="G405" s="10">
        <v>6</v>
      </c>
      <c r="H405" s="122" t="s">
        <v>4931</v>
      </c>
      <c r="I405" s="66" t="s">
        <v>219</v>
      </c>
      <c r="J405" s="68">
        <v>0.33333333333333331</v>
      </c>
      <c r="K405" s="35" t="s">
        <v>1884</v>
      </c>
      <c r="L405" s="30" t="s">
        <v>30</v>
      </c>
      <c r="M405" s="30" t="s">
        <v>1355</v>
      </c>
      <c r="N405" s="23" t="s">
        <v>1520</v>
      </c>
      <c r="O405" s="35" t="s">
        <v>1357</v>
      </c>
      <c r="P405" s="258">
        <v>45761</v>
      </c>
      <c r="Q405" s="258">
        <v>45761</v>
      </c>
      <c r="R405" s="258">
        <v>46490</v>
      </c>
      <c r="S405" s="258">
        <v>46491</v>
      </c>
      <c r="T405" s="10">
        <v>2016</v>
      </c>
      <c r="U405" s="39" t="s">
        <v>343</v>
      </c>
      <c r="V405" s="10">
        <v>2024</v>
      </c>
      <c r="W405" s="39" t="s">
        <v>4932</v>
      </c>
      <c r="X405" s="454" t="s">
        <v>30</v>
      </c>
      <c r="Y405" s="266" t="s">
        <v>1360</v>
      </c>
      <c r="Z405" s="455" t="s">
        <v>4933</v>
      </c>
      <c r="AA405" s="400" t="s">
        <v>1886</v>
      </c>
      <c r="AB405" s="456">
        <v>45749</v>
      </c>
      <c r="AC405" s="456">
        <v>47574</v>
      </c>
      <c r="AD405" s="87">
        <v>7382960283</v>
      </c>
      <c r="AE405" s="354" t="s">
        <v>4934</v>
      </c>
      <c r="AF405" s="39" t="s">
        <v>1495</v>
      </c>
      <c r="AG405" s="221" t="s">
        <v>4935</v>
      </c>
      <c r="AH405" s="31" t="s">
        <v>4936</v>
      </c>
      <c r="AI405" s="31" t="s">
        <v>4937</v>
      </c>
      <c r="AJ405" s="221" t="s">
        <v>4938</v>
      </c>
      <c r="AK405" s="30" t="s">
        <v>4939</v>
      </c>
      <c r="AL405" s="210">
        <v>45916</v>
      </c>
      <c r="AM405" s="210" t="s">
        <v>30</v>
      </c>
      <c r="AN405" s="35" t="s">
        <v>4940</v>
      </c>
      <c r="AO405" s="35" t="s">
        <v>4941</v>
      </c>
      <c r="AP405" s="87">
        <f ca="1">ROUNDDOWN((TODAY() - AU405)/365.25,0)</f>
        <v>32</v>
      </c>
      <c r="AQ405" s="35"/>
      <c r="AR405" s="23"/>
      <c r="AS405" s="210"/>
      <c r="AT405" s="210"/>
      <c r="AU405" s="223">
        <v>34200</v>
      </c>
      <c r="AV405" s="31" t="s">
        <v>1389</v>
      </c>
      <c r="AW405" s="31" t="s">
        <v>68</v>
      </c>
      <c r="AX405" s="10">
        <v>8</v>
      </c>
      <c r="AY405" s="14" t="s">
        <v>1895</v>
      </c>
      <c r="AZ405" s="30" t="s">
        <v>1373</v>
      </c>
      <c r="BA405" s="23" t="s">
        <v>151</v>
      </c>
      <c r="BB405" s="30" t="s">
        <v>1407</v>
      </c>
      <c r="BC405" s="43"/>
    </row>
    <row r="406" spans="1:55" x14ac:dyDescent="0.25">
      <c r="A406" s="10">
        <f t="shared" si="16"/>
        <v>405</v>
      </c>
      <c r="B406" s="10" t="s">
        <v>4942</v>
      </c>
      <c r="C406" s="593" t="s">
        <v>1407</v>
      </c>
      <c r="D406" s="81">
        <v>401233</v>
      </c>
      <c r="E406" s="31" t="s">
        <v>36</v>
      </c>
      <c r="F406" s="14" t="s">
        <v>4943</v>
      </c>
      <c r="G406" s="64">
        <v>6</v>
      </c>
      <c r="H406" s="66">
        <v>0.72916666666666663</v>
      </c>
      <c r="I406" s="66">
        <v>0.79166666666666663</v>
      </c>
      <c r="J406" s="66">
        <v>6.25E-2</v>
      </c>
      <c r="K406" s="35" t="s">
        <v>1266</v>
      </c>
      <c r="L406" s="59" t="s">
        <v>4944</v>
      </c>
      <c r="M406" s="59" t="s">
        <v>26</v>
      </c>
      <c r="N406" s="23" t="s">
        <v>38</v>
      </c>
      <c r="O406" s="23" t="s">
        <v>1321</v>
      </c>
      <c r="P406" s="258">
        <v>45789</v>
      </c>
      <c r="Q406" s="258">
        <v>45789</v>
      </c>
      <c r="R406" s="258">
        <v>46518</v>
      </c>
      <c r="S406" s="258">
        <v>46519</v>
      </c>
      <c r="T406" s="79">
        <v>2013</v>
      </c>
      <c r="U406" s="59" t="s">
        <v>4945</v>
      </c>
      <c r="V406" s="64">
        <v>2018</v>
      </c>
      <c r="W406" s="59" t="s">
        <v>4946</v>
      </c>
      <c r="X406" s="64" t="s">
        <v>30</v>
      </c>
      <c r="Y406" s="35" t="s">
        <v>49</v>
      </c>
      <c r="Z406" s="59" t="s">
        <v>4947</v>
      </c>
      <c r="AA406" s="23" t="s">
        <v>1841</v>
      </c>
      <c r="AB406" s="161">
        <v>44599</v>
      </c>
      <c r="AC406" s="161">
        <v>46424</v>
      </c>
      <c r="AD406" s="87">
        <v>8008416988</v>
      </c>
      <c r="AE406" s="43" t="s">
        <v>4948</v>
      </c>
      <c r="AF406" s="30" t="s">
        <v>4605</v>
      </c>
      <c r="AG406" s="221" t="s">
        <v>4949</v>
      </c>
      <c r="AH406" s="43" t="s">
        <v>4950</v>
      </c>
      <c r="AI406" s="31" t="s">
        <v>4951</v>
      </c>
      <c r="AJ406" s="221" t="s">
        <v>4952</v>
      </c>
      <c r="AK406" s="30" t="s">
        <v>4953</v>
      </c>
      <c r="AL406" s="210">
        <v>45930</v>
      </c>
      <c r="AM406" s="210">
        <v>45930</v>
      </c>
      <c r="AN406" s="35" t="s">
        <v>4954</v>
      </c>
      <c r="AO406" s="35" t="s">
        <v>4955</v>
      </c>
      <c r="AP406" s="10">
        <f t="shared" ref="AP406:AP415" ca="1" si="18">ROUNDDOWN((TODAY() -AU406)/365.25,0)</f>
        <v>34</v>
      </c>
      <c r="AQ406" s="35" t="s">
        <v>1605</v>
      </c>
      <c r="AR406" s="23" t="s">
        <v>4956</v>
      </c>
      <c r="AS406" s="210">
        <v>45696</v>
      </c>
      <c r="AT406" s="210">
        <v>46060</v>
      </c>
      <c r="AU406" s="273">
        <v>33296</v>
      </c>
      <c r="AV406" s="64" t="s">
        <v>1352</v>
      </c>
      <c r="AW406" s="31" t="s">
        <v>32</v>
      </c>
      <c r="AX406" s="64">
        <v>1.5</v>
      </c>
      <c r="AY406" s="14" t="s">
        <v>1904</v>
      </c>
      <c r="AZ406" s="30" t="s">
        <v>26</v>
      </c>
      <c r="BA406" s="23" t="s">
        <v>151</v>
      </c>
      <c r="BB406" s="30" t="s">
        <v>1407</v>
      </c>
      <c r="BC406" s="43"/>
    </row>
    <row r="407" spans="1:55" x14ac:dyDescent="0.25">
      <c r="A407" s="10">
        <f t="shared" si="16"/>
        <v>406</v>
      </c>
      <c r="B407" s="10" t="s">
        <v>462</v>
      </c>
      <c r="C407" s="593" t="s">
        <v>1407</v>
      </c>
      <c r="D407" s="65">
        <v>401240</v>
      </c>
      <c r="E407" s="31" t="s">
        <v>36</v>
      </c>
      <c r="F407" s="14" t="s">
        <v>463</v>
      </c>
      <c r="G407" s="10">
        <v>6</v>
      </c>
      <c r="H407" s="66">
        <v>0.33333333333333331</v>
      </c>
      <c r="I407" s="66">
        <v>0.45833333333333331</v>
      </c>
      <c r="J407" s="66">
        <v>0.125</v>
      </c>
      <c r="K407" s="35" t="s">
        <v>952</v>
      </c>
      <c r="L407" s="30" t="s">
        <v>467</v>
      </c>
      <c r="M407" s="30" t="s">
        <v>26</v>
      </c>
      <c r="N407" s="23" t="s">
        <v>38</v>
      </c>
      <c r="O407" s="23" t="s">
        <v>1321</v>
      </c>
      <c r="P407" s="258">
        <v>45792</v>
      </c>
      <c r="Q407" s="258">
        <v>45792</v>
      </c>
      <c r="R407" s="258">
        <v>46521</v>
      </c>
      <c r="S407" s="258">
        <v>46522</v>
      </c>
      <c r="T407" s="10">
        <v>2005</v>
      </c>
      <c r="U407" s="30" t="s">
        <v>468</v>
      </c>
      <c r="V407" s="10">
        <v>2018</v>
      </c>
      <c r="W407" s="14" t="s">
        <v>4957</v>
      </c>
      <c r="X407" s="64" t="s">
        <v>30</v>
      </c>
      <c r="Y407" s="35" t="s">
        <v>49</v>
      </c>
      <c r="Z407" s="14">
        <v>60333</v>
      </c>
      <c r="AA407" s="35" t="s">
        <v>1323</v>
      </c>
      <c r="AB407" s="161">
        <v>38338</v>
      </c>
      <c r="AC407" s="161">
        <v>55153</v>
      </c>
      <c r="AD407" s="220">
        <v>9498382561</v>
      </c>
      <c r="AE407" s="224" t="s">
        <v>470</v>
      </c>
      <c r="AF407" s="30" t="s">
        <v>2207</v>
      </c>
      <c r="AG407" s="221" t="s">
        <v>2704</v>
      </c>
      <c r="AH407" s="31" t="s">
        <v>2705</v>
      </c>
      <c r="AI407" s="31" t="s">
        <v>2706</v>
      </c>
      <c r="AJ407" s="221" t="s">
        <v>2707</v>
      </c>
      <c r="AK407" s="30" t="s">
        <v>2708</v>
      </c>
      <c r="AL407" s="210">
        <v>45914</v>
      </c>
      <c r="AM407" s="210" t="s">
        <v>30</v>
      </c>
      <c r="AN407" s="35" t="s">
        <v>4958</v>
      </c>
      <c r="AO407" s="35" t="s">
        <v>2709</v>
      </c>
      <c r="AP407" s="10">
        <f t="shared" ca="1" si="18"/>
        <v>45</v>
      </c>
      <c r="AQ407" s="35"/>
      <c r="AR407" s="23"/>
      <c r="AS407" s="210"/>
      <c r="AT407" s="210"/>
      <c r="AU407" s="223">
        <v>29313</v>
      </c>
      <c r="AV407" s="31" t="s">
        <v>1352</v>
      </c>
      <c r="AW407" s="31" t="s">
        <v>32</v>
      </c>
      <c r="AX407" s="10">
        <v>3</v>
      </c>
      <c r="AY407" s="14" t="s">
        <v>2703</v>
      </c>
      <c r="AZ407" s="30" t="s">
        <v>26</v>
      </c>
      <c r="BA407" s="23" t="s">
        <v>151</v>
      </c>
      <c r="BB407" s="30" t="s">
        <v>1407</v>
      </c>
      <c r="BC407" s="43"/>
    </row>
    <row r="408" spans="1:55" x14ac:dyDescent="0.25">
      <c r="A408" s="10">
        <f t="shared" si="16"/>
        <v>407</v>
      </c>
      <c r="B408" s="10" t="s">
        <v>4959</v>
      </c>
      <c r="C408" s="593" t="s">
        <v>1407</v>
      </c>
      <c r="D408" s="65">
        <v>401241</v>
      </c>
      <c r="E408" s="31" t="s">
        <v>36</v>
      </c>
      <c r="F408" s="14" t="s">
        <v>4960</v>
      </c>
      <c r="G408" s="64">
        <v>6</v>
      </c>
      <c r="H408" s="66">
        <v>0.375</v>
      </c>
      <c r="I408" s="68" t="s">
        <v>989</v>
      </c>
      <c r="J408" s="66">
        <v>0.33333333333333331</v>
      </c>
      <c r="K408" s="43" t="s">
        <v>4961</v>
      </c>
      <c r="L408" s="59" t="s">
        <v>4962</v>
      </c>
      <c r="M408" s="30" t="s">
        <v>26</v>
      </c>
      <c r="N408" s="23" t="s">
        <v>38</v>
      </c>
      <c r="O408" s="23" t="s">
        <v>1321</v>
      </c>
      <c r="P408" s="258">
        <v>45793</v>
      </c>
      <c r="Q408" s="258">
        <v>45793</v>
      </c>
      <c r="R408" s="258">
        <v>46522</v>
      </c>
      <c r="S408" s="258">
        <v>46523</v>
      </c>
      <c r="T408" s="79">
        <v>2019</v>
      </c>
      <c r="U408" s="59" t="s">
        <v>141</v>
      </c>
      <c r="V408" s="64">
        <v>2024</v>
      </c>
      <c r="W408" s="271" t="s">
        <v>245</v>
      </c>
      <c r="X408" s="64" t="s">
        <v>30</v>
      </c>
      <c r="Y408" s="35" t="s">
        <v>183</v>
      </c>
      <c r="Z408" s="59" t="s">
        <v>4963</v>
      </c>
      <c r="AA408" s="23" t="s">
        <v>1841</v>
      </c>
      <c r="AB408" s="161">
        <v>45845</v>
      </c>
      <c r="AC408" s="161">
        <v>47670</v>
      </c>
      <c r="AD408" s="220">
        <v>9000586939</v>
      </c>
      <c r="AE408" s="236" t="s">
        <v>4964</v>
      </c>
      <c r="AF408" s="30" t="s">
        <v>1430</v>
      </c>
      <c r="AG408" s="221" t="s">
        <v>4965</v>
      </c>
      <c r="AH408" s="31" t="s">
        <v>2323</v>
      </c>
      <c r="AI408" s="31" t="s">
        <v>4966</v>
      </c>
      <c r="AJ408" s="221" t="s">
        <v>4967</v>
      </c>
      <c r="AK408" s="35" t="s">
        <v>4968</v>
      </c>
      <c r="AL408" s="210">
        <v>45915</v>
      </c>
      <c r="AM408" s="210">
        <v>45907</v>
      </c>
      <c r="AN408" s="35" t="s">
        <v>4969</v>
      </c>
      <c r="AO408" s="35" t="s">
        <v>4970</v>
      </c>
      <c r="AP408" s="10">
        <f t="shared" ca="1" si="18"/>
        <v>28</v>
      </c>
      <c r="AQ408" s="35"/>
      <c r="AR408" s="23"/>
      <c r="AS408" s="210"/>
      <c r="AT408" s="210"/>
      <c r="AU408" s="273">
        <v>35402</v>
      </c>
      <c r="AV408" s="64" t="s">
        <v>1389</v>
      </c>
      <c r="AW408" s="31" t="s">
        <v>68</v>
      </c>
      <c r="AX408" s="64">
        <v>8</v>
      </c>
      <c r="AY408" s="14" t="s">
        <v>2189</v>
      </c>
      <c r="AZ408" s="30" t="s">
        <v>26</v>
      </c>
      <c r="BA408" s="23" t="s">
        <v>151</v>
      </c>
      <c r="BB408" s="30" t="s">
        <v>1407</v>
      </c>
      <c r="BC408" s="43"/>
    </row>
    <row r="409" spans="1:55" x14ac:dyDescent="0.25">
      <c r="A409" s="10">
        <f t="shared" si="16"/>
        <v>408</v>
      </c>
      <c r="B409" s="10" t="s">
        <v>4971</v>
      </c>
      <c r="C409" s="593" t="s">
        <v>1407</v>
      </c>
      <c r="D409" s="80">
        <v>401248</v>
      </c>
      <c r="E409" s="31" t="s">
        <v>36</v>
      </c>
      <c r="F409" s="14" t="s">
        <v>4972</v>
      </c>
      <c r="G409" s="64">
        <v>6</v>
      </c>
      <c r="H409" s="66">
        <v>0.75</v>
      </c>
      <c r="I409" s="66">
        <v>0.83333333333333337</v>
      </c>
      <c r="J409" s="66">
        <v>8.3333333333333329E-2</v>
      </c>
      <c r="K409" s="35" t="s">
        <v>866</v>
      </c>
      <c r="L409" s="59" t="s">
        <v>4973</v>
      </c>
      <c r="M409" s="30" t="s">
        <v>26</v>
      </c>
      <c r="N409" s="23" t="s">
        <v>38</v>
      </c>
      <c r="O409" s="23" t="s">
        <v>1321</v>
      </c>
      <c r="P409" s="258">
        <v>45812</v>
      </c>
      <c r="Q409" s="258">
        <v>45812</v>
      </c>
      <c r="R409" s="258">
        <v>46541</v>
      </c>
      <c r="S409" s="258">
        <v>46542</v>
      </c>
      <c r="T409" s="79">
        <v>2020</v>
      </c>
      <c r="U409" s="59" t="s">
        <v>516</v>
      </c>
      <c r="V409" s="64">
        <v>2025</v>
      </c>
      <c r="W409" s="59" t="s">
        <v>380</v>
      </c>
      <c r="X409" s="64" t="s">
        <v>30</v>
      </c>
      <c r="Y409" s="35" t="s">
        <v>49</v>
      </c>
      <c r="Z409" s="39" t="s">
        <v>4974</v>
      </c>
      <c r="AA409" s="23" t="s">
        <v>1841</v>
      </c>
      <c r="AB409" s="161">
        <v>45801</v>
      </c>
      <c r="AC409" s="161">
        <v>47626</v>
      </c>
      <c r="AD409" s="220">
        <v>7036843575</v>
      </c>
      <c r="AE409" s="236" t="s">
        <v>4975</v>
      </c>
      <c r="AF409" s="39" t="s">
        <v>1495</v>
      </c>
      <c r="AG409" s="221" t="s">
        <v>4976</v>
      </c>
      <c r="AH409" s="31" t="s">
        <v>2293</v>
      </c>
      <c r="AI409" s="31" t="s">
        <v>4977</v>
      </c>
      <c r="AJ409" s="221" t="s">
        <v>4978</v>
      </c>
      <c r="AK409" s="30" t="s">
        <v>4979</v>
      </c>
      <c r="AL409" s="210">
        <v>45930</v>
      </c>
      <c r="AM409" s="210">
        <v>45926</v>
      </c>
      <c r="AN409" s="35" t="s">
        <v>4980</v>
      </c>
      <c r="AO409" s="35" t="s">
        <v>4981</v>
      </c>
      <c r="AP409" s="10">
        <f t="shared" ca="1" si="18"/>
        <v>27</v>
      </c>
      <c r="AQ409" s="35" t="s">
        <v>3988</v>
      </c>
      <c r="AR409" s="23"/>
      <c r="AS409" s="210">
        <v>45812</v>
      </c>
      <c r="AT409" s="210">
        <v>46176</v>
      </c>
      <c r="AU409" s="273">
        <v>35871</v>
      </c>
      <c r="AV409" s="64" t="s">
        <v>1389</v>
      </c>
      <c r="AW409" s="31" t="s">
        <v>32</v>
      </c>
      <c r="AX409" s="64">
        <v>2</v>
      </c>
      <c r="AY409" s="14" t="s">
        <v>2189</v>
      </c>
      <c r="AZ409" s="30" t="s">
        <v>26</v>
      </c>
      <c r="BA409" s="23" t="s">
        <v>151</v>
      </c>
      <c r="BB409" s="30" t="s">
        <v>1407</v>
      </c>
      <c r="BC409" s="43"/>
    </row>
    <row r="410" spans="1:55" x14ac:dyDescent="0.25">
      <c r="A410" s="10">
        <f t="shared" si="16"/>
        <v>409</v>
      </c>
      <c r="B410" s="10" t="s">
        <v>4982</v>
      </c>
      <c r="C410" s="593" t="s">
        <v>1407</v>
      </c>
      <c r="D410" s="65">
        <v>401257</v>
      </c>
      <c r="E410" s="31" t="s">
        <v>36</v>
      </c>
      <c r="F410" s="14" t="s">
        <v>4983</v>
      </c>
      <c r="G410" s="64">
        <v>6</v>
      </c>
      <c r="H410" s="68" t="s">
        <v>948</v>
      </c>
      <c r="I410" s="66">
        <v>0.83333333333333337</v>
      </c>
      <c r="J410" s="66">
        <v>8.3333333333333329E-2</v>
      </c>
      <c r="K410" s="35" t="s">
        <v>4984</v>
      </c>
      <c r="L410" s="59" t="s">
        <v>4985</v>
      </c>
      <c r="M410" s="30" t="s">
        <v>26</v>
      </c>
      <c r="N410" s="23" t="s">
        <v>38</v>
      </c>
      <c r="O410" s="23" t="s">
        <v>1321</v>
      </c>
      <c r="P410" s="258">
        <v>45817</v>
      </c>
      <c r="Q410" s="258">
        <v>45817</v>
      </c>
      <c r="R410" s="258">
        <v>46546</v>
      </c>
      <c r="S410" s="258">
        <v>46547</v>
      </c>
      <c r="T410" s="79">
        <v>2018</v>
      </c>
      <c r="U410" s="59" t="s">
        <v>350</v>
      </c>
      <c r="V410" s="64">
        <v>2025</v>
      </c>
      <c r="W410" s="59" t="s">
        <v>3417</v>
      </c>
      <c r="X410" s="64" t="s">
        <v>30</v>
      </c>
      <c r="Y410" s="35" t="s">
        <v>49</v>
      </c>
      <c r="Z410" s="59" t="s">
        <v>4986</v>
      </c>
      <c r="AA410" s="23" t="s">
        <v>1841</v>
      </c>
      <c r="AB410" s="161">
        <v>45801</v>
      </c>
      <c r="AC410" s="161">
        <v>47596</v>
      </c>
      <c r="AD410" s="10">
        <v>7989870991</v>
      </c>
      <c r="AE410" s="236" t="s">
        <v>4987</v>
      </c>
      <c r="AF410" s="39" t="s">
        <v>1495</v>
      </c>
      <c r="AG410" s="221" t="s">
        <v>4988</v>
      </c>
      <c r="AH410" s="31" t="s">
        <v>4989</v>
      </c>
      <c r="AI410" s="31" t="s">
        <v>4990</v>
      </c>
      <c r="AJ410" s="221" t="s">
        <v>4991</v>
      </c>
      <c r="AK410" s="30" t="s">
        <v>4992</v>
      </c>
      <c r="AL410" s="210">
        <v>45926</v>
      </c>
      <c r="AM410" s="210">
        <v>45925</v>
      </c>
      <c r="AN410" s="35" t="s">
        <v>4363</v>
      </c>
      <c r="AO410" s="35" t="s">
        <v>4993</v>
      </c>
      <c r="AP410" s="10">
        <f t="shared" ca="1" si="18"/>
        <v>30</v>
      </c>
      <c r="AQ410" s="35"/>
      <c r="AR410" s="23"/>
      <c r="AS410" s="210"/>
      <c r="AT410" s="210"/>
      <c r="AU410" s="273">
        <v>34786</v>
      </c>
      <c r="AV410" s="64" t="s">
        <v>1389</v>
      </c>
      <c r="AW410" s="31" t="s">
        <v>32</v>
      </c>
      <c r="AX410" s="64">
        <v>2</v>
      </c>
      <c r="AY410" s="14" t="s">
        <v>1904</v>
      </c>
      <c r="AZ410" s="30" t="s">
        <v>26</v>
      </c>
      <c r="BA410" s="23" t="s">
        <v>151</v>
      </c>
      <c r="BB410" s="30" t="s">
        <v>1407</v>
      </c>
      <c r="BC410" s="43"/>
    </row>
    <row r="411" spans="1:55" x14ac:dyDescent="0.25">
      <c r="A411" s="10">
        <f t="shared" si="16"/>
        <v>410</v>
      </c>
      <c r="B411" s="10" t="s">
        <v>4994</v>
      </c>
      <c r="C411" s="593" t="s">
        <v>1407</v>
      </c>
      <c r="D411" s="80">
        <v>401260</v>
      </c>
      <c r="E411" s="31" t="s">
        <v>36</v>
      </c>
      <c r="F411" s="14" t="s">
        <v>4995</v>
      </c>
      <c r="G411" s="64">
        <v>6</v>
      </c>
      <c r="H411" s="68" t="s">
        <v>989</v>
      </c>
      <c r="I411" s="66">
        <v>0.83333333333333337</v>
      </c>
      <c r="J411" s="66">
        <v>0.125</v>
      </c>
      <c r="K411" s="35" t="s">
        <v>4996</v>
      </c>
      <c r="L411" s="59" t="s">
        <v>4997</v>
      </c>
      <c r="M411" s="30" t="s">
        <v>26</v>
      </c>
      <c r="N411" s="23" t="s">
        <v>38</v>
      </c>
      <c r="O411" s="23" t="s">
        <v>1321</v>
      </c>
      <c r="P411" s="258">
        <v>45817</v>
      </c>
      <c r="Q411" s="258">
        <v>45817</v>
      </c>
      <c r="R411" s="258">
        <v>46546</v>
      </c>
      <c r="S411" s="258">
        <v>46547</v>
      </c>
      <c r="T411" s="79">
        <v>2019</v>
      </c>
      <c r="U411" s="59" t="s">
        <v>4998</v>
      </c>
      <c r="V411" s="64">
        <v>2025</v>
      </c>
      <c r="W411" s="59" t="s">
        <v>924</v>
      </c>
      <c r="X411" s="64" t="s">
        <v>30</v>
      </c>
      <c r="Y411" s="35" t="s">
        <v>49</v>
      </c>
      <c r="Z411" s="39" t="s">
        <v>4999</v>
      </c>
      <c r="AA411" s="23" t="s">
        <v>1841</v>
      </c>
      <c r="AB411" s="161">
        <v>45758</v>
      </c>
      <c r="AC411" s="161">
        <v>47583</v>
      </c>
      <c r="AD411" s="10" t="s">
        <v>5000</v>
      </c>
      <c r="AE411" s="236" t="s">
        <v>5001</v>
      </c>
      <c r="AF411" s="39" t="s">
        <v>1495</v>
      </c>
      <c r="AG411" s="221" t="s">
        <v>5002</v>
      </c>
      <c r="AH411" s="31" t="s">
        <v>5003</v>
      </c>
      <c r="AI411" s="31" t="s">
        <v>5004</v>
      </c>
      <c r="AJ411" s="221" t="s">
        <v>5005</v>
      </c>
      <c r="AK411" s="30" t="s">
        <v>5006</v>
      </c>
      <c r="AL411" s="210">
        <v>45930</v>
      </c>
      <c r="AM411" s="210">
        <v>45924</v>
      </c>
      <c r="AN411" s="35" t="s">
        <v>4178</v>
      </c>
      <c r="AO411" s="35" t="s">
        <v>5007</v>
      </c>
      <c r="AP411" s="10">
        <f t="shared" ca="1" si="18"/>
        <v>30</v>
      </c>
      <c r="AQ411" s="35"/>
      <c r="AR411" s="23"/>
      <c r="AS411" s="210"/>
      <c r="AT411" s="210"/>
      <c r="AU411" s="273">
        <v>34972</v>
      </c>
      <c r="AV411" s="64" t="s">
        <v>1389</v>
      </c>
      <c r="AW411" s="31" t="s">
        <v>32</v>
      </c>
      <c r="AX411" s="64">
        <v>3</v>
      </c>
      <c r="AY411" s="14" t="s">
        <v>1904</v>
      </c>
      <c r="AZ411" s="30" t="s">
        <v>26</v>
      </c>
      <c r="BA411" s="23" t="s">
        <v>151</v>
      </c>
      <c r="BB411" s="30" t="s">
        <v>1407</v>
      </c>
      <c r="BC411" s="43"/>
    </row>
    <row r="412" spans="1:55" x14ac:dyDescent="0.25">
      <c r="A412" s="10">
        <f t="shared" si="16"/>
        <v>411</v>
      </c>
      <c r="B412" s="10" t="s">
        <v>5008</v>
      </c>
      <c r="C412" s="593" t="s">
        <v>1407</v>
      </c>
      <c r="D412" s="65">
        <v>401267</v>
      </c>
      <c r="E412" s="31" t="s">
        <v>36</v>
      </c>
      <c r="F412" s="14" t="s">
        <v>5009</v>
      </c>
      <c r="G412" s="10">
        <v>6</v>
      </c>
      <c r="H412" s="66">
        <v>0.35416666666666669</v>
      </c>
      <c r="I412" s="68" t="s">
        <v>146</v>
      </c>
      <c r="J412" s="66">
        <v>0.33333333333333331</v>
      </c>
      <c r="K412" s="35" t="s">
        <v>1266</v>
      </c>
      <c r="L412" s="59" t="s">
        <v>5010</v>
      </c>
      <c r="M412" s="30" t="s">
        <v>26</v>
      </c>
      <c r="N412" s="23" t="s">
        <v>38</v>
      </c>
      <c r="O412" s="23" t="s">
        <v>1321</v>
      </c>
      <c r="P412" s="258">
        <v>45824</v>
      </c>
      <c r="Q412" s="258">
        <v>45824</v>
      </c>
      <c r="R412" s="258">
        <v>46553</v>
      </c>
      <c r="S412" s="258">
        <v>46554</v>
      </c>
      <c r="T412" s="79">
        <v>2018</v>
      </c>
      <c r="U412" s="59" t="s">
        <v>5011</v>
      </c>
      <c r="V412" s="64">
        <v>2023</v>
      </c>
      <c r="W412" s="271" t="s">
        <v>5012</v>
      </c>
      <c r="X412" s="64" t="s">
        <v>30</v>
      </c>
      <c r="Y412" s="35" t="s">
        <v>49</v>
      </c>
      <c r="Z412" s="30" t="s">
        <v>5013</v>
      </c>
      <c r="AA412" s="23" t="s">
        <v>1841</v>
      </c>
      <c r="AB412" s="161">
        <v>45547</v>
      </c>
      <c r="AC412" s="161">
        <v>47372</v>
      </c>
      <c r="AD412" s="10">
        <v>9848660060</v>
      </c>
      <c r="AE412" s="236" t="s">
        <v>5014</v>
      </c>
      <c r="AF412" s="39" t="s">
        <v>1495</v>
      </c>
      <c r="AG412" s="221" t="s">
        <v>5015</v>
      </c>
      <c r="AH412" s="31" t="s">
        <v>5016</v>
      </c>
      <c r="AI412" s="31" t="s">
        <v>5017</v>
      </c>
      <c r="AJ412" s="221" t="s">
        <v>5018</v>
      </c>
      <c r="AK412" s="35" t="s">
        <v>5019</v>
      </c>
      <c r="AL412" s="210">
        <v>45930</v>
      </c>
      <c r="AM412" s="210">
        <v>45912</v>
      </c>
      <c r="AN412" s="35" t="s">
        <v>895</v>
      </c>
      <c r="AO412" s="35" t="s">
        <v>5020</v>
      </c>
      <c r="AP412" s="10">
        <f t="shared" ca="1" si="18"/>
        <v>29</v>
      </c>
      <c r="AQ412" s="35" t="s">
        <v>1605</v>
      </c>
      <c r="AR412" s="35" t="s">
        <v>5021</v>
      </c>
      <c r="AS412" s="210">
        <v>45545</v>
      </c>
      <c r="AT412" s="210">
        <v>45909</v>
      </c>
      <c r="AU412" s="273">
        <v>35170</v>
      </c>
      <c r="AV412" s="64" t="s">
        <v>1389</v>
      </c>
      <c r="AW412" s="31" t="s">
        <v>68</v>
      </c>
      <c r="AX412" s="10">
        <v>8</v>
      </c>
      <c r="AY412" s="14" t="s">
        <v>1904</v>
      </c>
      <c r="AZ412" s="30" t="s">
        <v>26</v>
      </c>
      <c r="BA412" s="23" t="s">
        <v>151</v>
      </c>
      <c r="BB412" s="30" t="s">
        <v>1407</v>
      </c>
      <c r="BC412" s="43"/>
    </row>
    <row r="413" spans="1:55" x14ac:dyDescent="0.25">
      <c r="A413" s="10">
        <f t="shared" si="16"/>
        <v>412</v>
      </c>
      <c r="B413" s="54" t="s">
        <v>5022</v>
      </c>
      <c r="C413" s="594" t="s">
        <v>1407</v>
      </c>
      <c r="D413" s="78">
        <v>401274</v>
      </c>
      <c r="E413" s="54" t="s">
        <v>36</v>
      </c>
      <c r="F413" s="48" t="s">
        <v>5023</v>
      </c>
      <c r="G413" s="111">
        <v>6</v>
      </c>
      <c r="H413" s="90" t="s">
        <v>989</v>
      </c>
      <c r="I413" s="77">
        <v>0.83333333333333337</v>
      </c>
      <c r="J413" s="77">
        <v>0.125</v>
      </c>
      <c r="K413" s="51" t="s">
        <v>187</v>
      </c>
      <c r="L413" s="113" t="s">
        <v>5024</v>
      </c>
      <c r="M413" s="56" t="s">
        <v>26</v>
      </c>
      <c r="N413" s="52" t="s">
        <v>38</v>
      </c>
      <c r="O413" s="52" t="s">
        <v>1321</v>
      </c>
      <c r="P413" s="303">
        <v>45831</v>
      </c>
      <c r="Q413" s="303">
        <v>45831</v>
      </c>
      <c r="R413" s="303">
        <v>46560</v>
      </c>
      <c r="S413" s="303">
        <v>46561</v>
      </c>
      <c r="T413" s="112">
        <v>2019</v>
      </c>
      <c r="U413" s="56" t="s">
        <v>695</v>
      </c>
      <c r="V413" s="111">
        <v>2024</v>
      </c>
      <c r="W413" s="48" t="s">
        <v>5025</v>
      </c>
      <c r="X413" s="111" t="s">
        <v>30</v>
      </c>
      <c r="Y413" s="51" t="s">
        <v>49</v>
      </c>
      <c r="Z413" s="56" t="s">
        <v>5026</v>
      </c>
      <c r="AA413" s="52" t="s">
        <v>1841</v>
      </c>
      <c r="AB413" s="238">
        <v>45821</v>
      </c>
      <c r="AC413" s="238">
        <v>47646</v>
      </c>
      <c r="AD413" s="55">
        <v>8374465588</v>
      </c>
      <c r="AE413" s="240" t="s">
        <v>5027</v>
      </c>
      <c r="AF413" s="56" t="s">
        <v>1430</v>
      </c>
      <c r="AG413" s="352" t="s">
        <v>5028</v>
      </c>
      <c r="AH413" s="54" t="s">
        <v>5029</v>
      </c>
      <c r="AI413" s="54" t="s">
        <v>5030</v>
      </c>
      <c r="AJ413" s="352" t="s">
        <v>5031</v>
      </c>
      <c r="AK413" s="56" t="s">
        <v>5032</v>
      </c>
      <c r="AL413" s="199">
        <v>45930</v>
      </c>
      <c r="AM413" s="199" t="s">
        <v>30</v>
      </c>
      <c r="AN413" s="51" t="s">
        <v>5033</v>
      </c>
      <c r="AO413" s="51" t="s">
        <v>5034</v>
      </c>
      <c r="AP413" s="55">
        <f t="shared" ca="1" si="18"/>
        <v>30</v>
      </c>
      <c r="AQ413" s="51"/>
      <c r="AR413" s="52"/>
      <c r="AS413" s="199"/>
      <c r="AT413" s="199"/>
      <c r="AU413" s="351">
        <v>34860</v>
      </c>
      <c r="AV413" s="111" t="s">
        <v>1389</v>
      </c>
      <c r="AW413" s="111" t="s">
        <v>32</v>
      </c>
      <c r="AX413" s="111">
        <v>3</v>
      </c>
      <c r="AY413" s="48" t="s">
        <v>1959</v>
      </c>
      <c r="AZ413" s="56" t="s">
        <v>26</v>
      </c>
      <c r="BA413" s="52" t="s">
        <v>151</v>
      </c>
      <c r="BB413" s="56" t="s">
        <v>1407</v>
      </c>
      <c r="BC413" s="53"/>
    </row>
    <row r="414" spans="1:55" x14ac:dyDescent="0.25">
      <c r="A414" s="10">
        <f t="shared" si="16"/>
        <v>413</v>
      </c>
      <c r="B414" s="31" t="s">
        <v>5035</v>
      </c>
      <c r="C414" s="593" t="s">
        <v>1407</v>
      </c>
      <c r="D414" s="65">
        <v>401278</v>
      </c>
      <c r="E414" s="31" t="s">
        <v>36</v>
      </c>
      <c r="F414" s="14" t="s">
        <v>5036</v>
      </c>
      <c r="G414" s="64">
        <v>6</v>
      </c>
      <c r="H414" s="66">
        <v>0.35416666666666669</v>
      </c>
      <c r="I414" s="68" t="s">
        <v>146</v>
      </c>
      <c r="J414" s="66">
        <v>0.33333333333333331</v>
      </c>
      <c r="K414" s="35" t="s">
        <v>4984</v>
      </c>
      <c r="L414" s="59" t="s">
        <v>5037</v>
      </c>
      <c r="M414" s="30" t="s">
        <v>26</v>
      </c>
      <c r="N414" s="23" t="s">
        <v>38</v>
      </c>
      <c r="O414" s="23" t="s">
        <v>1321</v>
      </c>
      <c r="P414" s="258">
        <v>45841</v>
      </c>
      <c r="Q414" s="258">
        <v>45841</v>
      </c>
      <c r="R414" s="258">
        <v>46570</v>
      </c>
      <c r="S414" s="258">
        <v>46571</v>
      </c>
      <c r="T414" s="79">
        <v>2016</v>
      </c>
      <c r="U414" s="30" t="s">
        <v>209</v>
      </c>
      <c r="V414" s="64">
        <v>2022</v>
      </c>
      <c r="W414" s="35" t="s">
        <v>196</v>
      </c>
      <c r="X414" s="64" t="s">
        <v>30</v>
      </c>
      <c r="Y414" s="35" t="s">
        <v>49</v>
      </c>
      <c r="Z414" s="14" t="s">
        <v>5038</v>
      </c>
      <c r="AA414" s="23" t="s">
        <v>1841</v>
      </c>
      <c r="AB414" s="161">
        <v>44962</v>
      </c>
      <c r="AC414" s="161">
        <v>46787</v>
      </c>
      <c r="AD414" s="10">
        <v>9493039967</v>
      </c>
      <c r="AE414" s="236" t="s">
        <v>5039</v>
      </c>
      <c r="AF414" s="39" t="s">
        <v>1495</v>
      </c>
      <c r="AG414" s="208" t="s">
        <v>5040</v>
      </c>
      <c r="AH414" s="31" t="s">
        <v>5041</v>
      </c>
      <c r="AI414" s="31" t="s">
        <v>5042</v>
      </c>
      <c r="AJ414" s="221" t="s">
        <v>5043</v>
      </c>
      <c r="AK414" s="35" t="s">
        <v>5044</v>
      </c>
      <c r="AL414" s="210">
        <v>45902</v>
      </c>
      <c r="AM414" s="210">
        <v>45883</v>
      </c>
      <c r="AN414" s="35" t="s">
        <v>5045</v>
      </c>
      <c r="AO414" s="35" t="s">
        <v>5046</v>
      </c>
      <c r="AP414" s="10">
        <f t="shared" ca="1" si="18"/>
        <v>31</v>
      </c>
      <c r="AQ414" s="35" t="s">
        <v>1605</v>
      </c>
      <c r="AR414" s="222" t="s">
        <v>5047</v>
      </c>
      <c r="AS414" s="210">
        <v>45677</v>
      </c>
      <c r="AT414" s="210">
        <v>46771</v>
      </c>
      <c r="AU414" s="273">
        <v>34560</v>
      </c>
      <c r="AV414" s="64" t="s">
        <v>1352</v>
      </c>
      <c r="AW414" s="31" t="s">
        <v>68</v>
      </c>
      <c r="AX414" s="64">
        <v>8</v>
      </c>
      <c r="AY414" s="14" t="s">
        <v>1904</v>
      </c>
      <c r="AZ414" s="30" t="s">
        <v>26</v>
      </c>
      <c r="BA414" s="23" t="s">
        <v>151</v>
      </c>
      <c r="BB414" s="30" t="s">
        <v>1407</v>
      </c>
      <c r="BC414" s="43"/>
    </row>
    <row r="415" spans="1:55" x14ac:dyDescent="0.25">
      <c r="A415" s="10">
        <f t="shared" si="16"/>
        <v>414</v>
      </c>
      <c r="B415" s="10" t="s">
        <v>4893</v>
      </c>
      <c r="C415" s="593" t="s">
        <v>1407</v>
      </c>
      <c r="D415" s="65">
        <v>401279</v>
      </c>
      <c r="E415" s="31" t="s">
        <v>36</v>
      </c>
      <c r="F415" s="14" t="s">
        <v>4894</v>
      </c>
      <c r="G415" s="10">
        <v>6</v>
      </c>
      <c r="H415" s="66">
        <v>0.72916666666666663</v>
      </c>
      <c r="I415" s="66">
        <v>0.77083333333333337</v>
      </c>
      <c r="J415" s="66">
        <v>4.1666666666666664E-2</v>
      </c>
      <c r="K415" s="35" t="s">
        <v>850</v>
      </c>
      <c r="L415" s="30" t="s">
        <v>30</v>
      </c>
      <c r="M415" s="30" t="s">
        <v>1376</v>
      </c>
      <c r="N415" s="23" t="s">
        <v>1393</v>
      </c>
      <c r="O415" s="35" t="s">
        <v>30</v>
      </c>
      <c r="P415" s="258">
        <v>45841</v>
      </c>
      <c r="Q415" s="258">
        <v>45841</v>
      </c>
      <c r="R415" s="258">
        <v>46570</v>
      </c>
      <c r="S415" s="258">
        <v>46571</v>
      </c>
      <c r="T415" s="10">
        <v>1988</v>
      </c>
      <c r="U415" s="30" t="s">
        <v>230</v>
      </c>
      <c r="V415" s="10" t="s">
        <v>30</v>
      </c>
      <c r="W415" s="23" t="s">
        <v>30</v>
      </c>
      <c r="X415" s="31" t="s">
        <v>30</v>
      </c>
      <c r="Y415" s="35" t="s">
        <v>226</v>
      </c>
      <c r="Z415" s="86" t="s">
        <v>4895</v>
      </c>
      <c r="AA415" s="23" t="s">
        <v>1841</v>
      </c>
      <c r="AB415" s="161">
        <v>44459</v>
      </c>
      <c r="AC415" s="161">
        <v>46284</v>
      </c>
      <c r="AD415" s="87">
        <v>9676883581</v>
      </c>
      <c r="AE415" s="296" t="s">
        <v>4896</v>
      </c>
      <c r="AF415" s="30" t="s">
        <v>1430</v>
      </c>
      <c r="AG415" s="221" t="s">
        <v>4897</v>
      </c>
      <c r="AH415" s="31" t="s">
        <v>4898</v>
      </c>
      <c r="AI415" s="31" t="s">
        <v>4899</v>
      </c>
      <c r="AJ415" s="221" t="s">
        <v>4900</v>
      </c>
      <c r="AK415" s="30" t="s">
        <v>4901</v>
      </c>
      <c r="AL415" s="210">
        <v>45902</v>
      </c>
      <c r="AM415" s="210">
        <v>45908</v>
      </c>
      <c r="AN415" s="35" t="s">
        <v>4363</v>
      </c>
      <c r="AO415" s="35" t="s">
        <v>4902</v>
      </c>
      <c r="AP415" s="10">
        <f t="shared" ca="1" si="18"/>
        <v>62</v>
      </c>
      <c r="AQ415" s="35"/>
      <c r="AR415" s="23"/>
      <c r="AS415" s="210"/>
      <c r="AT415" s="210"/>
      <c r="AU415" s="223">
        <v>23121</v>
      </c>
      <c r="AV415" s="31" t="s">
        <v>1352</v>
      </c>
      <c r="AW415" s="31" t="s">
        <v>32</v>
      </c>
      <c r="AX415" s="10">
        <v>1</v>
      </c>
      <c r="AY415" s="14" t="s">
        <v>1904</v>
      </c>
      <c r="AZ415" s="30" t="s">
        <v>1390</v>
      </c>
      <c r="BA415" s="23" t="s">
        <v>151</v>
      </c>
      <c r="BB415" s="30" t="s">
        <v>1407</v>
      </c>
      <c r="BC415" s="43"/>
    </row>
    <row r="416" spans="1:55" x14ac:dyDescent="0.25">
      <c r="A416" s="10">
        <f t="shared" si="16"/>
        <v>415</v>
      </c>
      <c r="B416" s="181" t="s">
        <v>2619</v>
      </c>
      <c r="C416" s="592" t="s">
        <v>1407</v>
      </c>
      <c r="D416" s="457">
        <v>400003</v>
      </c>
      <c r="E416" s="181" t="s">
        <v>36</v>
      </c>
      <c r="F416" s="97" t="s">
        <v>5048</v>
      </c>
      <c r="G416" s="139">
        <v>6</v>
      </c>
      <c r="H416" s="458">
        <v>0.35416666666666669</v>
      </c>
      <c r="I416" s="458">
        <v>0.39583333333333331</v>
      </c>
      <c r="J416" s="458">
        <v>4.1666666666666664E-2</v>
      </c>
      <c r="K416" s="100" t="s">
        <v>194</v>
      </c>
      <c r="L416" s="97"/>
      <c r="M416" s="97" t="s">
        <v>1376</v>
      </c>
      <c r="N416" s="58" t="s">
        <v>1393</v>
      </c>
      <c r="O416" s="58"/>
      <c r="P416" s="206">
        <v>40634</v>
      </c>
      <c r="Q416" s="460">
        <v>44088</v>
      </c>
      <c r="R416" s="460">
        <v>44817</v>
      </c>
      <c r="S416" s="461">
        <f>R416+1</f>
        <v>44818</v>
      </c>
      <c r="T416" s="139"/>
      <c r="U416" s="139"/>
      <c r="V416" s="139"/>
      <c r="W416" s="139"/>
      <c r="X416" s="139"/>
      <c r="Y416" s="462" t="s">
        <v>226</v>
      </c>
      <c r="Z416" s="140" t="s">
        <v>2621</v>
      </c>
      <c r="AA416" s="140" t="s">
        <v>1886</v>
      </c>
      <c r="AB416" s="460">
        <v>43909</v>
      </c>
      <c r="AC416" s="460">
        <v>45734</v>
      </c>
      <c r="AD416" s="139">
        <v>8125970427</v>
      </c>
      <c r="AE416" s="140" t="s">
        <v>2622</v>
      </c>
      <c r="AF416" s="139" t="s">
        <v>1928</v>
      </c>
      <c r="AG416" s="463" t="s">
        <v>2623</v>
      </c>
      <c r="AH416" s="139" t="s">
        <v>2624</v>
      </c>
      <c r="AI416" s="139" t="s">
        <v>2625</v>
      </c>
      <c r="AJ416" s="464">
        <v>282383241335</v>
      </c>
      <c r="AK416" s="140" t="s">
        <v>2627</v>
      </c>
      <c r="AL416" s="206"/>
      <c r="AM416" s="206"/>
      <c r="AN416" s="465"/>
      <c r="AO416" s="140"/>
      <c r="AP416" s="139"/>
      <c r="AQ416" s="139"/>
      <c r="AR416" s="181"/>
      <c r="AS416" s="458"/>
      <c r="AT416" s="458"/>
      <c r="AU416" s="461">
        <v>19860</v>
      </c>
      <c r="AV416" s="181" t="s">
        <v>1352</v>
      </c>
      <c r="AW416" s="31" t="s">
        <v>32</v>
      </c>
      <c r="AX416" s="139">
        <v>1</v>
      </c>
      <c r="AY416" s="466">
        <f>VLOOKUP(K416,[3]Master!M393:BA776,40,0)</f>
        <v>1</v>
      </c>
      <c r="AZ416" s="58" t="s">
        <v>1390</v>
      </c>
      <c r="BA416" s="58" t="s">
        <v>151</v>
      </c>
      <c r="BB416" s="58" t="s">
        <v>1407</v>
      </c>
      <c r="BC416" s="58"/>
    </row>
    <row r="417" spans="1:55" x14ac:dyDescent="0.25">
      <c r="A417" s="10">
        <f t="shared" si="16"/>
        <v>416</v>
      </c>
      <c r="B417" s="181" t="s">
        <v>339</v>
      </c>
      <c r="C417" s="592" t="s">
        <v>1407</v>
      </c>
      <c r="D417" s="457">
        <v>400010</v>
      </c>
      <c r="E417" s="181" t="s">
        <v>42</v>
      </c>
      <c r="F417" s="97" t="s">
        <v>340</v>
      </c>
      <c r="G417" s="139">
        <v>6</v>
      </c>
      <c r="H417" s="458" t="s">
        <v>5049</v>
      </c>
      <c r="I417" s="458" t="s">
        <v>5049</v>
      </c>
      <c r="J417" s="458" t="s">
        <v>5049</v>
      </c>
      <c r="K417" s="58" t="s">
        <v>341</v>
      </c>
      <c r="L417" s="97"/>
      <c r="M417" s="97" t="s">
        <v>26</v>
      </c>
      <c r="N417" s="58" t="s">
        <v>38</v>
      </c>
      <c r="O417" s="58" t="s">
        <v>5050</v>
      </c>
      <c r="P417" s="460">
        <v>43497</v>
      </c>
      <c r="Q417" s="460">
        <v>43497</v>
      </c>
      <c r="R417" s="460">
        <v>44227</v>
      </c>
      <c r="S417" s="461">
        <f>R417+1</f>
        <v>44228</v>
      </c>
      <c r="T417" s="139"/>
      <c r="U417" s="139" t="s">
        <v>343</v>
      </c>
      <c r="V417" s="139">
        <v>2003</v>
      </c>
      <c r="W417" s="139">
        <v>0</v>
      </c>
      <c r="X417" s="139"/>
      <c r="Y417" s="462" t="s">
        <v>1236</v>
      </c>
      <c r="Z417" s="140">
        <v>46248</v>
      </c>
      <c r="AA417" s="140" t="s">
        <v>1886</v>
      </c>
      <c r="AB417" s="460"/>
      <c r="AC417" s="460"/>
      <c r="AD417" s="139">
        <v>9441417778</v>
      </c>
      <c r="AE417" s="467" t="s">
        <v>345</v>
      </c>
      <c r="AF417" s="139" t="s">
        <v>1364</v>
      </c>
      <c r="AG417" s="463" t="s">
        <v>5051</v>
      </c>
      <c r="AH417" s="139" t="s">
        <v>2350</v>
      </c>
      <c r="AI417" s="139" t="s">
        <v>2351</v>
      </c>
      <c r="AJ417" s="464"/>
      <c r="AK417" s="140" t="s">
        <v>2353</v>
      </c>
      <c r="AL417" s="461">
        <v>44713</v>
      </c>
      <c r="AM417" s="206">
        <v>44682</v>
      </c>
      <c r="AN417" s="465"/>
      <c r="AO417" s="140"/>
      <c r="AP417" s="139"/>
      <c r="AQ417" s="139"/>
      <c r="AR417" s="181"/>
      <c r="AS417" s="468"/>
      <c r="AT417" s="468"/>
      <c r="AU417" s="461">
        <v>28497</v>
      </c>
      <c r="AV417" s="181" t="s">
        <v>1352</v>
      </c>
      <c r="AW417" s="31" t="s">
        <v>32</v>
      </c>
      <c r="AX417" s="139"/>
      <c r="AY417" s="466">
        <f>VLOOKUP(K417,[3]Master!M394:BA777,40,0)</f>
        <v>0</v>
      </c>
      <c r="AZ417" s="58" t="s">
        <v>26</v>
      </c>
      <c r="BA417" s="58" t="s">
        <v>151</v>
      </c>
      <c r="BB417" s="58" t="s">
        <v>1407</v>
      </c>
      <c r="BC417" s="58"/>
    </row>
    <row r="418" spans="1:55" x14ac:dyDescent="0.25">
      <c r="A418" s="10">
        <f t="shared" si="16"/>
        <v>417</v>
      </c>
      <c r="B418" s="181" t="s">
        <v>5052</v>
      </c>
      <c r="C418" s="592" t="s">
        <v>1407</v>
      </c>
      <c r="D418" s="457">
        <v>400012</v>
      </c>
      <c r="E418" s="181" t="s">
        <v>36</v>
      </c>
      <c r="F418" s="97" t="s">
        <v>5053</v>
      </c>
      <c r="G418" s="139">
        <v>6</v>
      </c>
      <c r="H418" s="458">
        <v>0.39583333333333331</v>
      </c>
      <c r="I418" s="458">
        <v>0.4375</v>
      </c>
      <c r="J418" s="458">
        <v>4.1666666666666664E-2</v>
      </c>
      <c r="K418" s="58" t="s">
        <v>341</v>
      </c>
      <c r="L418" s="97"/>
      <c r="M418" s="97" t="s">
        <v>1376</v>
      </c>
      <c r="N418" s="58" t="s">
        <v>1393</v>
      </c>
      <c r="O418" s="58"/>
      <c r="P418" s="206">
        <v>41900</v>
      </c>
      <c r="Q418" s="460">
        <v>44092</v>
      </c>
      <c r="R418" s="460">
        <v>44821</v>
      </c>
      <c r="S418" s="461">
        <f>R418+1</f>
        <v>44822</v>
      </c>
      <c r="T418" s="139"/>
      <c r="U418" s="139"/>
      <c r="V418" s="139"/>
      <c r="W418" s="139"/>
      <c r="X418" s="139"/>
      <c r="Y418" s="462" t="s">
        <v>226</v>
      </c>
      <c r="Z418" s="140">
        <v>65265</v>
      </c>
      <c r="AA418" s="140" t="s">
        <v>1841</v>
      </c>
      <c r="AB418" s="460">
        <v>42397</v>
      </c>
      <c r="AC418" s="460">
        <v>44223</v>
      </c>
      <c r="AD418" s="139">
        <v>9491104973</v>
      </c>
      <c r="AE418" s="140" t="s">
        <v>5054</v>
      </c>
      <c r="AF418" s="139" t="s">
        <v>5055</v>
      </c>
      <c r="AG418" s="463" t="s">
        <v>5056</v>
      </c>
      <c r="AH418" s="139" t="s">
        <v>5057</v>
      </c>
      <c r="AI418" s="139" t="s">
        <v>5058</v>
      </c>
      <c r="AJ418" s="464">
        <v>901765351356</v>
      </c>
      <c r="AK418" s="140" t="s">
        <v>5059</v>
      </c>
      <c r="AL418" s="206">
        <v>44302</v>
      </c>
      <c r="AM418" s="206"/>
      <c r="AN418" s="465"/>
      <c r="AO418" s="140"/>
      <c r="AP418" s="139"/>
      <c r="AQ418" s="139"/>
      <c r="AR418" s="181"/>
      <c r="AS418" s="458"/>
      <c r="AT418" s="458"/>
      <c r="AU418" s="461">
        <v>31284</v>
      </c>
      <c r="AV418" s="181" t="s">
        <v>1389</v>
      </c>
      <c r="AW418" s="31" t="s">
        <v>32</v>
      </c>
      <c r="AX418" s="139">
        <v>1</v>
      </c>
      <c r="AY418" s="466">
        <f>VLOOKUP(K418,[3]Master!M395:BA778,40,0)</f>
        <v>0</v>
      </c>
      <c r="AZ418" s="58" t="s">
        <v>1390</v>
      </c>
      <c r="BA418" s="58" t="s">
        <v>151</v>
      </c>
      <c r="BB418" s="58" t="s">
        <v>1407</v>
      </c>
      <c r="BC418" s="58"/>
    </row>
    <row r="419" spans="1:55" x14ac:dyDescent="0.25">
      <c r="A419" s="10">
        <f t="shared" si="16"/>
        <v>418</v>
      </c>
      <c r="B419" s="181" t="s">
        <v>5060</v>
      </c>
      <c r="C419" s="592" t="s">
        <v>1407</v>
      </c>
      <c r="D419" s="457">
        <v>400961</v>
      </c>
      <c r="E419" s="181" t="s">
        <v>36</v>
      </c>
      <c r="F419" s="97" t="s">
        <v>5061</v>
      </c>
      <c r="G419" s="139">
        <v>6</v>
      </c>
      <c r="H419" s="469">
        <v>0.70833333333333337</v>
      </c>
      <c r="I419" s="469">
        <v>0.875</v>
      </c>
      <c r="J419" s="458">
        <f>I419-H419</f>
        <v>0.16666666666666663</v>
      </c>
      <c r="K419" s="58" t="s">
        <v>693</v>
      </c>
      <c r="L419" s="97" t="s">
        <v>5062</v>
      </c>
      <c r="M419" s="97" t="s">
        <v>26</v>
      </c>
      <c r="N419" s="58" t="s">
        <v>38</v>
      </c>
      <c r="O419" s="58" t="s">
        <v>5063</v>
      </c>
      <c r="P419" s="206">
        <v>45355</v>
      </c>
      <c r="Q419" s="206">
        <v>45355</v>
      </c>
      <c r="R419" s="206">
        <v>46084</v>
      </c>
      <c r="S419" s="461">
        <v>46085</v>
      </c>
      <c r="T419" s="139">
        <v>2015</v>
      </c>
      <c r="U419" s="181" t="s">
        <v>5064</v>
      </c>
      <c r="V419" s="139">
        <v>2022</v>
      </c>
      <c r="W419" s="97" t="s">
        <v>5065</v>
      </c>
      <c r="X419" s="181" t="s">
        <v>30</v>
      </c>
      <c r="Y419" s="58" t="s">
        <v>5066</v>
      </c>
      <c r="Z419" s="140" t="s">
        <v>5067</v>
      </c>
      <c r="AA419" s="470" t="s">
        <v>1841</v>
      </c>
      <c r="AB419" s="471">
        <v>45037</v>
      </c>
      <c r="AC419" s="471">
        <v>46863</v>
      </c>
      <c r="AD419" s="472">
        <v>9966214584</v>
      </c>
      <c r="AE419" s="473" t="s">
        <v>5068</v>
      </c>
      <c r="AF419" s="474" t="s">
        <v>1805</v>
      </c>
      <c r="AG419" s="475" t="s">
        <v>5069</v>
      </c>
      <c r="AH419" s="181" t="s">
        <v>5070</v>
      </c>
      <c r="AI419" s="139" t="s">
        <v>5071</v>
      </c>
      <c r="AJ419" s="476">
        <v>457203691347</v>
      </c>
      <c r="AK419" s="470"/>
      <c r="AL419" s="461">
        <v>45445</v>
      </c>
      <c r="AM419" s="477" t="s">
        <v>30</v>
      </c>
      <c r="AN419" s="478" t="s">
        <v>5072</v>
      </c>
      <c r="AO419" s="140" t="s">
        <v>5073</v>
      </c>
      <c r="AP419" s="58"/>
      <c r="AQ419" s="97" t="s">
        <v>5073</v>
      </c>
      <c r="AR419" s="462"/>
      <c r="AS419" s="479">
        <v>0.70833333333333337</v>
      </c>
      <c r="AT419" s="479">
        <v>0.875</v>
      </c>
      <c r="AU419" s="480">
        <v>33348</v>
      </c>
      <c r="AV419" s="181" t="s">
        <v>1352</v>
      </c>
      <c r="AW419" s="31" t="s">
        <v>32</v>
      </c>
      <c r="AX419" s="139">
        <v>4</v>
      </c>
      <c r="AY419" s="58" t="s">
        <v>2469</v>
      </c>
      <c r="AZ419" s="58" t="s">
        <v>26</v>
      </c>
      <c r="BA419" s="58" t="s">
        <v>151</v>
      </c>
      <c r="BB419" s="58" t="s">
        <v>1407</v>
      </c>
      <c r="BC419" s="58"/>
    </row>
    <row r="420" spans="1:55" x14ac:dyDescent="0.25">
      <c r="A420" s="10">
        <f t="shared" si="16"/>
        <v>419</v>
      </c>
      <c r="B420" s="181" t="s">
        <v>5074</v>
      </c>
      <c r="C420" s="592" t="s">
        <v>1407</v>
      </c>
      <c r="D420" s="457">
        <v>400015</v>
      </c>
      <c r="E420" s="181" t="s">
        <v>42</v>
      </c>
      <c r="F420" s="97" t="s">
        <v>5075</v>
      </c>
      <c r="G420" s="139">
        <v>6</v>
      </c>
      <c r="H420" s="458">
        <v>0.375</v>
      </c>
      <c r="I420" s="458">
        <v>0.70833333333333337</v>
      </c>
      <c r="J420" s="458">
        <f>I420-H420</f>
        <v>0.33333333333333337</v>
      </c>
      <c r="K420" s="462" t="s">
        <v>154</v>
      </c>
      <c r="L420" s="97" t="s">
        <v>155</v>
      </c>
      <c r="M420" s="97" t="s">
        <v>26</v>
      </c>
      <c r="N420" s="58" t="s">
        <v>38</v>
      </c>
      <c r="O420" s="58" t="s">
        <v>5076</v>
      </c>
      <c r="P420" s="206">
        <v>41981</v>
      </c>
      <c r="Q420" s="460">
        <v>44805</v>
      </c>
      <c r="R420" s="460">
        <v>45535</v>
      </c>
      <c r="S420" s="461">
        <f>R420+1</f>
        <v>45536</v>
      </c>
      <c r="T420" s="139"/>
      <c r="U420" s="139" t="s">
        <v>5077</v>
      </c>
      <c r="V420" s="139">
        <v>1997</v>
      </c>
      <c r="W420" s="139" t="s">
        <v>210</v>
      </c>
      <c r="X420" s="139" t="s">
        <v>30</v>
      </c>
      <c r="Y420" s="462" t="s">
        <v>5078</v>
      </c>
      <c r="Z420" s="140">
        <v>35316</v>
      </c>
      <c r="AA420" s="140" t="s">
        <v>1841</v>
      </c>
      <c r="AB420" s="460">
        <v>44278</v>
      </c>
      <c r="AC420" s="460">
        <v>46103</v>
      </c>
      <c r="AD420" s="139">
        <v>9849025321</v>
      </c>
      <c r="AE420" s="467" t="s">
        <v>5079</v>
      </c>
      <c r="AF420" s="139" t="s">
        <v>1324</v>
      </c>
      <c r="AG420" s="463" t="s">
        <v>5080</v>
      </c>
      <c r="AH420" s="139" t="s">
        <v>5081</v>
      </c>
      <c r="AI420" s="139" t="s">
        <v>5082</v>
      </c>
      <c r="AJ420" s="464">
        <v>0</v>
      </c>
      <c r="AK420" s="140" t="s">
        <v>5083</v>
      </c>
      <c r="AL420" s="461"/>
      <c r="AM420" s="206"/>
      <c r="AN420" s="465"/>
      <c r="AO420" s="140"/>
      <c r="AP420" s="139"/>
      <c r="AQ420" s="139"/>
      <c r="AR420" s="181"/>
      <c r="AS420" s="458"/>
      <c r="AT420" s="458"/>
      <c r="AU420" s="461">
        <v>24822</v>
      </c>
      <c r="AV420" s="181" t="s">
        <v>1352</v>
      </c>
      <c r="AW420" s="31" t="s">
        <v>32</v>
      </c>
      <c r="AX420" s="139">
        <v>8</v>
      </c>
      <c r="AY420" s="466">
        <f>VLOOKUP(K420,[3]Master!M397:BA780,40,0)</f>
        <v>8</v>
      </c>
      <c r="AZ420" s="58" t="s">
        <v>26</v>
      </c>
      <c r="BA420" s="58" t="s">
        <v>151</v>
      </c>
      <c r="BB420" s="58" t="s">
        <v>1407</v>
      </c>
      <c r="BC420" s="58"/>
    </row>
    <row r="421" spans="1:55" x14ac:dyDescent="0.25">
      <c r="A421" s="10">
        <f t="shared" si="16"/>
        <v>420</v>
      </c>
      <c r="B421" s="181" t="s">
        <v>530</v>
      </c>
      <c r="C421" s="592" t="s">
        <v>1407</v>
      </c>
      <c r="D421" s="457">
        <v>400016</v>
      </c>
      <c r="E421" s="181" t="s">
        <v>36</v>
      </c>
      <c r="F421" s="97" t="s">
        <v>531</v>
      </c>
      <c r="G421" s="139">
        <v>6</v>
      </c>
      <c r="H421" s="458">
        <v>0.375</v>
      </c>
      <c r="I421" s="458">
        <v>0.625</v>
      </c>
      <c r="J421" s="458">
        <v>0.25</v>
      </c>
      <c r="K421" s="271" t="s">
        <v>5084</v>
      </c>
      <c r="L421" s="97" t="s">
        <v>5085</v>
      </c>
      <c r="M421" s="97" t="s">
        <v>26</v>
      </c>
      <c r="N421" s="58" t="s">
        <v>38</v>
      </c>
      <c r="O421" s="58" t="s">
        <v>5050</v>
      </c>
      <c r="P421" s="206">
        <v>41990</v>
      </c>
      <c r="Q421" s="460">
        <v>44166</v>
      </c>
      <c r="R421" s="460">
        <v>44895</v>
      </c>
      <c r="S421" s="461">
        <f>R421+1</f>
        <v>44896</v>
      </c>
      <c r="T421" s="139"/>
      <c r="U421" s="139"/>
      <c r="V421" s="139"/>
      <c r="W421" s="139"/>
      <c r="X421" s="139"/>
      <c r="Y421" s="462" t="s">
        <v>1236</v>
      </c>
      <c r="Z421" s="140">
        <v>48101</v>
      </c>
      <c r="AA421" s="140" t="s">
        <v>1886</v>
      </c>
      <c r="AB421" s="460">
        <v>44225</v>
      </c>
      <c r="AC421" s="460">
        <v>46050</v>
      </c>
      <c r="AD421" s="139">
        <v>9963027099</v>
      </c>
      <c r="AE421" s="140" t="s">
        <v>535</v>
      </c>
      <c r="AF421" s="139" t="s">
        <v>5086</v>
      </c>
      <c r="AG421" s="463" t="s">
        <v>2890</v>
      </c>
      <c r="AH421" s="139" t="s">
        <v>2891</v>
      </c>
      <c r="AI421" s="139" t="s">
        <v>2892</v>
      </c>
      <c r="AJ421" s="464">
        <v>947530840924</v>
      </c>
      <c r="AK421" s="140" t="s">
        <v>2894</v>
      </c>
      <c r="AL421" s="461">
        <v>44305</v>
      </c>
      <c r="AM421" s="206"/>
      <c r="AN421" s="465"/>
      <c r="AO421" s="140"/>
      <c r="AP421" s="139"/>
      <c r="AQ421" s="139"/>
      <c r="AR421" s="181"/>
      <c r="AS421" s="458"/>
      <c r="AT421" s="458"/>
      <c r="AU421" s="461">
        <v>29051</v>
      </c>
      <c r="AV421" s="181" t="s">
        <v>1389</v>
      </c>
      <c r="AW421" s="31" t="s">
        <v>32</v>
      </c>
      <c r="AX421" s="139">
        <v>6</v>
      </c>
      <c r="AY421" s="58" t="s">
        <v>1849</v>
      </c>
      <c r="AZ421" s="58" t="s">
        <v>26</v>
      </c>
      <c r="BA421" s="58" t="s">
        <v>151</v>
      </c>
      <c r="BB421" s="58" t="s">
        <v>1407</v>
      </c>
      <c r="BC421" s="58"/>
    </row>
    <row r="422" spans="1:55" x14ac:dyDescent="0.25">
      <c r="A422" s="10">
        <f t="shared" si="16"/>
        <v>421</v>
      </c>
      <c r="B422" s="181" t="s">
        <v>5087</v>
      </c>
      <c r="C422" s="592" t="s">
        <v>1407</v>
      </c>
      <c r="D422" s="457">
        <v>400890</v>
      </c>
      <c r="E422" s="181" t="s">
        <v>36</v>
      </c>
      <c r="F422" s="97" t="s">
        <v>5088</v>
      </c>
      <c r="G422" s="139">
        <v>6</v>
      </c>
      <c r="H422" s="469" t="s">
        <v>5089</v>
      </c>
      <c r="I422" s="469" t="s">
        <v>5090</v>
      </c>
      <c r="J422" s="458">
        <f>I422-H422</f>
        <v>0.16666666666666669</v>
      </c>
      <c r="K422" s="462" t="s">
        <v>582</v>
      </c>
      <c r="L422" s="97" t="s">
        <v>5091</v>
      </c>
      <c r="M422" s="97" t="s">
        <v>26</v>
      </c>
      <c r="N422" s="58" t="s">
        <v>38</v>
      </c>
      <c r="O422" s="58" t="s">
        <v>5063</v>
      </c>
      <c r="P422" s="206">
        <v>45264</v>
      </c>
      <c r="Q422" s="206">
        <v>45264</v>
      </c>
      <c r="R422" s="206">
        <v>45994</v>
      </c>
      <c r="S422" s="461">
        <v>45995</v>
      </c>
      <c r="T422" s="139">
        <v>2015</v>
      </c>
      <c r="U422" s="181" t="s">
        <v>424</v>
      </c>
      <c r="V422" s="139">
        <v>2021</v>
      </c>
      <c r="W422" s="140" t="s">
        <v>5092</v>
      </c>
      <c r="X422" s="181" t="s">
        <v>30</v>
      </c>
      <c r="Y422" s="58" t="s">
        <v>5066</v>
      </c>
      <c r="Z422" s="140" t="s">
        <v>5093</v>
      </c>
      <c r="AA422" s="470" t="s">
        <v>1841</v>
      </c>
      <c r="AB422" s="471">
        <v>45041</v>
      </c>
      <c r="AC422" s="471">
        <v>46867</v>
      </c>
      <c r="AD422" s="472">
        <v>8555974536</v>
      </c>
      <c r="AE422" s="473" t="s">
        <v>5094</v>
      </c>
      <c r="AF422" s="474" t="s">
        <v>5086</v>
      </c>
      <c r="AG422" s="481" t="s">
        <v>5095</v>
      </c>
      <c r="AH422" s="181" t="s">
        <v>5096</v>
      </c>
      <c r="AI422" s="139" t="s">
        <v>5097</v>
      </c>
      <c r="AJ422" s="476">
        <v>988582441116</v>
      </c>
      <c r="AK422" s="470"/>
      <c r="AL422" s="480">
        <v>45449</v>
      </c>
      <c r="AM422" s="477">
        <v>45334</v>
      </c>
      <c r="AN422" s="478" t="s">
        <v>5098</v>
      </c>
      <c r="AO422" s="140" t="s">
        <v>5099</v>
      </c>
      <c r="AP422" s="58"/>
      <c r="AQ422" s="97" t="s">
        <v>5099</v>
      </c>
      <c r="AR422" s="462"/>
      <c r="AS422" s="479">
        <v>0.35416666666666669</v>
      </c>
      <c r="AT422" s="479">
        <v>0.52083333333333337</v>
      </c>
      <c r="AU422" s="480">
        <v>33296</v>
      </c>
      <c r="AV422" s="181" t="s">
        <v>1352</v>
      </c>
      <c r="AW422" s="31" t="s">
        <v>32</v>
      </c>
      <c r="AX422" s="139">
        <v>4</v>
      </c>
      <c r="AY422" s="58" t="s">
        <v>1904</v>
      </c>
      <c r="AZ422" s="58" t="s">
        <v>26</v>
      </c>
      <c r="BA422" s="58" t="s">
        <v>151</v>
      </c>
      <c r="BB422" s="58" t="s">
        <v>1407</v>
      </c>
      <c r="BC422" s="58"/>
    </row>
    <row r="423" spans="1:55" x14ac:dyDescent="0.25">
      <c r="A423" s="10">
        <f t="shared" si="16"/>
        <v>422</v>
      </c>
      <c r="B423" s="181" t="s">
        <v>5100</v>
      </c>
      <c r="C423" s="592" t="s">
        <v>1407</v>
      </c>
      <c r="D423" s="457">
        <v>400021</v>
      </c>
      <c r="E423" s="181" t="s">
        <v>42</v>
      </c>
      <c r="F423" s="97" t="s">
        <v>5101</v>
      </c>
      <c r="G423" s="139">
        <v>6</v>
      </c>
      <c r="H423" s="458">
        <v>0.375</v>
      </c>
      <c r="I423" s="458">
        <v>0.70833333333333337</v>
      </c>
      <c r="J423" s="458">
        <f>I423-H423</f>
        <v>0.33333333333333337</v>
      </c>
      <c r="K423" s="143" t="s">
        <v>207</v>
      </c>
      <c r="L423" s="97" t="s">
        <v>5102</v>
      </c>
      <c r="M423" s="97" t="s">
        <v>26</v>
      </c>
      <c r="N423" s="58" t="s">
        <v>38</v>
      </c>
      <c r="O423" s="58" t="s">
        <v>5076</v>
      </c>
      <c r="P423" s="206">
        <v>42258</v>
      </c>
      <c r="Q423" s="460">
        <v>44287</v>
      </c>
      <c r="R423" s="460">
        <v>45016</v>
      </c>
      <c r="S423" s="461">
        <f>R423+1</f>
        <v>45017</v>
      </c>
      <c r="T423" s="139">
        <v>2011</v>
      </c>
      <c r="U423" s="139" t="s">
        <v>868</v>
      </c>
      <c r="V423" s="139">
        <v>2014</v>
      </c>
      <c r="W423" s="139" t="s">
        <v>5103</v>
      </c>
      <c r="X423" s="139" t="s">
        <v>30</v>
      </c>
      <c r="Y423" s="462" t="s">
        <v>1236</v>
      </c>
      <c r="Z423" s="140">
        <v>72812</v>
      </c>
      <c r="AA423" s="140" t="s">
        <v>1886</v>
      </c>
      <c r="AB423" s="460">
        <v>44372</v>
      </c>
      <c r="AC423" s="460">
        <v>46197</v>
      </c>
      <c r="AD423" s="139">
        <v>9182219698</v>
      </c>
      <c r="AE423" s="467" t="s">
        <v>5104</v>
      </c>
      <c r="AF423" s="139" t="s">
        <v>1400</v>
      </c>
      <c r="AG423" s="463" t="s">
        <v>5105</v>
      </c>
      <c r="AH423" s="139" t="s">
        <v>5106</v>
      </c>
      <c r="AI423" s="139" t="s">
        <v>5107</v>
      </c>
      <c r="AJ423" s="464">
        <v>586079396729</v>
      </c>
      <c r="AK423" s="140" t="s">
        <v>5108</v>
      </c>
      <c r="AL423" s="461"/>
      <c r="AM423" s="206"/>
      <c r="AN423" s="465"/>
      <c r="AO423" s="140"/>
      <c r="AP423" s="139"/>
      <c r="AQ423" s="139"/>
      <c r="AR423" s="181"/>
      <c r="AS423" s="458"/>
      <c r="AT423" s="458"/>
      <c r="AU423" s="461">
        <v>31192</v>
      </c>
      <c r="AV423" s="181" t="s">
        <v>1352</v>
      </c>
      <c r="AW423" s="31" t="s">
        <v>68</v>
      </c>
      <c r="AX423" s="139">
        <v>8</v>
      </c>
      <c r="AY423" s="466">
        <f>VLOOKUP(K423,[3]Master!M400:BA783,40,0)</f>
        <v>8</v>
      </c>
      <c r="AZ423" s="58" t="s">
        <v>26</v>
      </c>
      <c r="BA423" s="58" t="s">
        <v>151</v>
      </c>
      <c r="BB423" s="58" t="s">
        <v>1407</v>
      </c>
      <c r="BC423" s="58"/>
    </row>
    <row r="424" spans="1:55" x14ac:dyDescent="0.25">
      <c r="A424" s="10">
        <f t="shared" si="16"/>
        <v>423</v>
      </c>
      <c r="B424" s="181" t="s">
        <v>5109</v>
      </c>
      <c r="C424" s="592" t="s">
        <v>1407</v>
      </c>
      <c r="D424" s="457">
        <v>400854</v>
      </c>
      <c r="E424" s="181" t="s">
        <v>36</v>
      </c>
      <c r="F424" s="97" t="s">
        <v>5110</v>
      </c>
      <c r="G424" s="139">
        <v>6</v>
      </c>
      <c r="H424" s="469" t="s">
        <v>235</v>
      </c>
      <c r="I424" s="469" t="s">
        <v>4228</v>
      </c>
      <c r="J424" s="458">
        <f>I424-H424</f>
        <v>0.33333333333333331</v>
      </c>
      <c r="K424" s="143" t="s">
        <v>513</v>
      </c>
      <c r="L424" s="97" t="s">
        <v>1424</v>
      </c>
      <c r="M424" s="97" t="s">
        <v>2097</v>
      </c>
      <c r="N424" s="58" t="s">
        <v>2098</v>
      </c>
      <c r="O424" s="58" t="s">
        <v>5111</v>
      </c>
      <c r="P424" s="206">
        <v>45208</v>
      </c>
      <c r="Q424" s="206">
        <v>45208</v>
      </c>
      <c r="R424" s="206">
        <v>45938</v>
      </c>
      <c r="S424" s="461">
        <v>45939</v>
      </c>
      <c r="T424" s="139">
        <v>2002</v>
      </c>
      <c r="U424" s="181" t="s">
        <v>5112</v>
      </c>
      <c r="V424" s="139">
        <v>2022</v>
      </c>
      <c r="W424" s="140" t="s">
        <v>473</v>
      </c>
      <c r="X424" s="181" t="s">
        <v>30</v>
      </c>
      <c r="Y424" s="58" t="s">
        <v>5066</v>
      </c>
      <c r="Z424" s="140" t="s">
        <v>5113</v>
      </c>
      <c r="AA424" s="97" t="s">
        <v>1841</v>
      </c>
      <c r="AB424" s="471">
        <v>45203</v>
      </c>
      <c r="AC424" s="471">
        <v>47029</v>
      </c>
      <c r="AD424" s="472">
        <v>9849652890</v>
      </c>
      <c r="AE424" s="473" t="s">
        <v>5114</v>
      </c>
      <c r="AF424" s="97" t="s">
        <v>1805</v>
      </c>
      <c r="AG424" s="482" t="s">
        <v>5115</v>
      </c>
      <c r="AH424" s="181" t="s">
        <v>3669</v>
      </c>
      <c r="AI424" s="139" t="s">
        <v>5116</v>
      </c>
      <c r="AJ424" s="464">
        <v>809343888208</v>
      </c>
      <c r="AK424" s="97"/>
      <c r="AL424" s="206">
        <v>45451</v>
      </c>
      <c r="AM424" s="477">
        <v>45461</v>
      </c>
      <c r="AN424" s="465" t="s">
        <v>1657</v>
      </c>
      <c r="AO424" s="140" t="s">
        <v>5117</v>
      </c>
      <c r="AP424" s="58"/>
      <c r="AQ424" s="483" t="s">
        <v>5117</v>
      </c>
      <c r="AR424" s="462"/>
      <c r="AS424" s="479">
        <v>0.33333333333333331</v>
      </c>
      <c r="AT424" s="479">
        <v>0.66666666666666663</v>
      </c>
      <c r="AU424" s="461">
        <v>26857</v>
      </c>
      <c r="AV424" s="181" t="s">
        <v>1352</v>
      </c>
      <c r="AW424" s="31" t="s">
        <v>68</v>
      </c>
      <c r="AX424" s="139">
        <v>8</v>
      </c>
      <c r="AY424" s="58" t="s">
        <v>1959</v>
      </c>
      <c r="AZ424" s="58" t="s">
        <v>1373</v>
      </c>
      <c r="BA424" s="58" t="s">
        <v>151</v>
      </c>
      <c r="BB424" s="58" t="s">
        <v>1407</v>
      </c>
      <c r="BC424" s="58"/>
    </row>
    <row r="425" spans="1:55" x14ac:dyDescent="0.25">
      <c r="A425" s="10">
        <f t="shared" si="16"/>
        <v>424</v>
      </c>
      <c r="B425" s="181" t="s">
        <v>1218</v>
      </c>
      <c r="C425" s="592" t="s">
        <v>1407</v>
      </c>
      <c r="D425" s="457">
        <v>400839</v>
      </c>
      <c r="E425" s="181" t="s">
        <v>36</v>
      </c>
      <c r="F425" s="97" t="s">
        <v>1219</v>
      </c>
      <c r="G425" s="139">
        <v>6</v>
      </c>
      <c r="H425" s="469" t="s">
        <v>5118</v>
      </c>
      <c r="I425" s="469" t="s">
        <v>989</v>
      </c>
      <c r="J425" s="458">
        <f>I425-H425</f>
        <v>0.29166666666666669</v>
      </c>
      <c r="K425" s="100" t="s">
        <v>563</v>
      </c>
      <c r="L425" s="97" t="s">
        <v>5119</v>
      </c>
      <c r="M425" s="97" t="s">
        <v>26</v>
      </c>
      <c r="N425" s="58" t="s">
        <v>38</v>
      </c>
      <c r="O425" s="58" t="s">
        <v>5063</v>
      </c>
      <c r="P425" s="206">
        <v>45173</v>
      </c>
      <c r="Q425" s="206">
        <v>45173</v>
      </c>
      <c r="R425" s="206">
        <v>45903</v>
      </c>
      <c r="S425" s="461">
        <v>45904</v>
      </c>
      <c r="T425" s="139">
        <v>2018</v>
      </c>
      <c r="U425" s="181" t="s">
        <v>5120</v>
      </c>
      <c r="V425" s="139">
        <v>2023</v>
      </c>
      <c r="W425" s="140" t="s">
        <v>5120</v>
      </c>
      <c r="X425" s="181" t="s">
        <v>30</v>
      </c>
      <c r="Y425" s="58" t="s">
        <v>5066</v>
      </c>
      <c r="Z425" s="140" t="s">
        <v>5121</v>
      </c>
      <c r="AA425" s="97" t="s">
        <v>1886</v>
      </c>
      <c r="AB425" s="471">
        <v>45168</v>
      </c>
      <c r="AC425" s="471">
        <v>46994</v>
      </c>
      <c r="AD425" s="472">
        <v>8309222316</v>
      </c>
      <c r="AE425" s="473" t="s">
        <v>5122</v>
      </c>
      <c r="AF425" s="97" t="s">
        <v>5086</v>
      </c>
      <c r="AG425" s="482">
        <v>33140756824</v>
      </c>
      <c r="AH425" s="181" t="s">
        <v>2660</v>
      </c>
      <c r="AI425" s="139" t="s">
        <v>4631</v>
      </c>
      <c r="AJ425" s="464">
        <v>848227087891</v>
      </c>
      <c r="AK425" s="97"/>
      <c r="AL425" s="461">
        <v>45453</v>
      </c>
      <c r="AM425" s="477">
        <v>45393</v>
      </c>
      <c r="AN425" s="465" t="s">
        <v>5098</v>
      </c>
      <c r="AO425" s="140" t="s">
        <v>5123</v>
      </c>
      <c r="AP425" s="58"/>
      <c r="AQ425" s="483" t="s">
        <v>5123</v>
      </c>
      <c r="AR425" s="462"/>
      <c r="AS425" s="479">
        <v>0.41666666666666669</v>
      </c>
      <c r="AT425" s="479">
        <v>0.70833333333333337</v>
      </c>
      <c r="AU425" s="461">
        <v>35220</v>
      </c>
      <c r="AV425" s="181" t="s">
        <v>1389</v>
      </c>
      <c r="AW425" s="31" t="s">
        <v>68</v>
      </c>
      <c r="AX425" s="139">
        <v>7</v>
      </c>
      <c r="AY425" s="58" t="s">
        <v>1895</v>
      </c>
      <c r="AZ425" s="58" t="s">
        <v>26</v>
      </c>
      <c r="BA425" s="58" t="s">
        <v>151</v>
      </c>
      <c r="BB425" s="58" t="s">
        <v>1407</v>
      </c>
      <c r="BC425" s="58"/>
    </row>
    <row r="426" spans="1:55" x14ac:dyDescent="0.25">
      <c r="A426" s="10">
        <f t="shared" si="16"/>
        <v>425</v>
      </c>
      <c r="B426" s="181" t="s">
        <v>4833</v>
      </c>
      <c r="C426" s="592" t="s">
        <v>1407</v>
      </c>
      <c r="D426" s="457">
        <v>400030</v>
      </c>
      <c r="E426" s="181" t="s">
        <v>42</v>
      </c>
      <c r="F426" s="97" t="s">
        <v>2482</v>
      </c>
      <c r="G426" s="139">
        <v>6</v>
      </c>
      <c r="H426" s="458">
        <v>0.33333333333333331</v>
      </c>
      <c r="I426" s="458">
        <v>0.875</v>
      </c>
      <c r="J426" s="458">
        <v>0.33333333333333331</v>
      </c>
      <c r="K426" s="58" t="s">
        <v>147</v>
      </c>
      <c r="L426" s="97"/>
      <c r="M426" s="484" t="s">
        <v>1908</v>
      </c>
      <c r="N426" s="58" t="s">
        <v>5124</v>
      </c>
      <c r="O426" s="58"/>
      <c r="P426" s="206">
        <v>40210</v>
      </c>
      <c r="Q426" s="460">
        <v>44136</v>
      </c>
      <c r="R426" s="460">
        <v>44865</v>
      </c>
      <c r="S426" s="461">
        <f>R426+1</f>
        <v>44866</v>
      </c>
      <c r="T426" s="139"/>
      <c r="U426" s="139" t="s">
        <v>4835</v>
      </c>
      <c r="V426" s="139">
        <v>2008</v>
      </c>
      <c r="W426" s="139" t="s">
        <v>5125</v>
      </c>
      <c r="X426" s="139"/>
      <c r="Y426" s="462" t="s">
        <v>1911</v>
      </c>
      <c r="Z426" s="140" t="s">
        <v>4838</v>
      </c>
      <c r="AA426" s="140" t="s">
        <v>1841</v>
      </c>
      <c r="AB426" s="460">
        <v>43361</v>
      </c>
      <c r="AC426" s="460">
        <v>45186</v>
      </c>
      <c r="AD426" s="139">
        <v>8008855001</v>
      </c>
      <c r="AE426" s="467" t="s">
        <v>4839</v>
      </c>
      <c r="AF426" s="139" t="s">
        <v>1430</v>
      </c>
      <c r="AG426" s="463" t="s">
        <v>5126</v>
      </c>
      <c r="AH426" s="139" t="s">
        <v>2323</v>
      </c>
      <c r="AI426" s="139" t="s">
        <v>4841</v>
      </c>
      <c r="AJ426" s="464">
        <v>617719829898</v>
      </c>
      <c r="AK426" s="140" t="s">
        <v>4843</v>
      </c>
      <c r="AL426" s="206">
        <v>44865</v>
      </c>
      <c r="AM426" s="206">
        <v>44805</v>
      </c>
      <c r="AN426" s="465"/>
      <c r="AO426" s="140"/>
      <c r="AP426" s="139"/>
      <c r="AQ426" s="139" t="e">
        <v>#REF!</v>
      </c>
      <c r="AR426" s="181"/>
      <c r="AS426" s="458"/>
      <c r="AT426" s="458"/>
      <c r="AU426" s="461">
        <v>29297</v>
      </c>
      <c r="AV426" s="181" t="s">
        <v>1352</v>
      </c>
      <c r="AW426" s="31" t="s">
        <v>32</v>
      </c>
      <c r="AX426" s="139">
        <v>8</v>
      </c>
      <c r="AY426" s="466">
        <f>VLOOKUP(K426,[3]Master!M403:BA786,40,0)</f>
        <v>8</v>
      </c>
      <c r="AZ426" s="484" t="s">
        <v>1908</v>
      </c>
      <c r="BA426" s="58" t="s">
        <v>151</v>
      </c>
      <c r="BB426" s="58" t="s">
        <v>1407</v>
      </c>
      <c r="BC426" s="58"/>
    </row>
    <row r="427" spans="1:55" x14ac:dyDescent="0.25">
      <c r="A427" s="10">
        <f t="shared" si="16"/>
        <v>426</v>
      </c>
      <c r="B427" s="181" t="s">
        <v>5127</v>
      </c>
      <c r="C427" s="592" t="s">
        <v>1407</v>
      </c>
      <c r="D427" s="457">
        <v>400033</v>
      </c>
      <c r="E427" s="181" t="s">
        <v>5128</v>
      </c>
      <c r="F427" s="97" t="s">
        <v>5129</v>
      </c>
      <c r="G427" s="139">
        <v>6</v>
      </c>
      <c r="H427" s="458"/>
      <c r="I427" s="458"/>
      <c r="J427" s="458"/>
      <c r="K427" s="58"/>
      <c r="L427" s="97" t="s">
        <v>155</v>
      </c>
      <c r="M427" s="485" t="s">
        <v>26</v>
      </c>
      <c r="N427" s="58" t="s">
        <v>38</v>
      </c>
      <c r="O427" s="58" t="s">
        <v>5050</v>
      </c>
      <c r="P427" s="206"/>
      <c r="Q427" s="460"/>
      <c r="R427" s="460"/>
      <c r="S427" s="461"/>
      <c r="T427" s="139"/>
      <c r="U427" s="139"/>
      <c r="V427" s="139"/>
      <c r="W427" s="139"/>
      <c r="X427" s="139"/>
      <c r="Y427" s="462"/>
      <c r="Z427" s="140"/>
      <c r="AA427" s="140"/>
      <c r="AB427" s="460"/>
      <c r="AC427" s="460"/>
      <c r="AD427" s="139"/>
      <c r="AE427" s="140"/>
      <c r="AF427" s="139" t="s">
        <v>1364</v>
      </c>
      <c r="AG427" s="463" t="s">
        <v>5130</v>
      </c>
      <c r="AH427" s="139" t="s">
        <v>2456</v>
      </c>
      <c r="AI427" s="139" t="s">
        <v>5131</v>
      </c>
      <c r="AJ427" s="464"/>
      <c r="AK427" s="140"/>
      <c r="AL427" s="461">
        <v>44391</v>
      </c>
      <c r="AM427" s="206"/>
      <c r="AN427" s="465"/>
      <c r="AO427" s="140"/>
      <c r="AP427" s="139"/>
      <c r="AQ427" s="139"/>
      <c r="AR427" s="181"/>
      <c r="AS427" s="458"/>
      <c r="AT427" s="458"/>
      <c r="AU427" s="461">
        <v>22754</v>
      </c>
      <c r="AV427" s="181" t="s">
        <v>1352</v>
      </c>
      <c r="AW427" s="181"/>
      <c r="AX427" s="139"/>
      <c r="AY427" s="58"/>
      <c r="AZ427" s="58" t="s">
        <v>26</v>
      </c>
      <c r="BA427" s="58" t="s">
        <v>151</v>
      </c>
      <c r="BB427" s="58" t="s">
        <v>1407</v>
      </c>
      <c r="BC427" s="58"/>
    </row>
    <row r="428" spans="1:55" x14ac:dyDescent="0.25">
      <c r="A428" s="10">
        <f t="shared" si="16"/>
        <v>427</v>
      </c>
      <c r="B428" s="181" t="s">
        <v>5132</v>
      </c>
      <c r="C428" s="592" t="s">
        <v>1407</v>
      </c>
      <c r="D428" s="457">
        <v>400036</v>
      </c>
      <c r="E428" s="181" t="s">
        <v>42</v>
      </c>
      <c r="F428" s="97" t="s">
        <v>5133</v>
      </c>
      <c r="G428" s="139">
        <v>6</v>
      </c>
      <c r="H428" s="458">
        <v>0.54166666666666663</v>
      </c>
      <c r="I428" s="458">
        <v>0.875</v>
      </c>
      <c r="J428" s="458">
        <f>I428-H428</f>
        <v>0.33333333333333337</v>
      </c>
      <c r="K428" s="143" t="s">
        <v>220</v>
      </c>
      <c r="L428" s="97" t="s">
        <v>208</v>
      </c>
      <c r="M428" s="97" t="s">
        <v>26</v>
      </c>
      <c r="N428" s="58" t="s">
        <v>38</v>
      </c>
      <c r="O428" s="58" t="s">
        <v>5076</v>
      </c>
      <c r="P428" s="206">
        <v>42754</v>
      </c>
      <c r="Q428" s="460">
        <v>44927</v>
      </c>
      <c r="R428" s="460">
        <v>45657</v>
      </c>
      <c r="S428" s="461">
        <v>45658</v>
      </c>
      <c r="T428" s="139">
        <v>2010</v>
      </c>
      <c r="U428" s="139" t="s">
        <v>209</v>
      </c>
      <c r="V428" s="139">
        <v>2015</v>
      </c>
      <c r="W428" s="139" t="s">
        <v>210</v>
      </c>
      <c r="X428" s="139" t="s">
        <v>30</v>
      </c>
      <c r="Y428" s="462" t="s">
        <v>5078</v>
      </c>
      <c r="Z428" s="140" t="s">
        <v>5134</v>
      </c>
      <c r="AA428" s="140" t="s">
        <v>1841</v>
      </c>
      <c r="AB428" s="460">
        <v>43328</v>
      </c>
      <c r="AC428" s="460">
        <v>44789</v>
      </c>
      <c r="AD428" s="139">
        <v>9177845158</v>
      </c>
      <c r="AE428" s="467" t="s">
        <v>5135</v>
      </c>
      <c r="AF428" s="139" t="s">
        <v>1345</v>
      </c>
      <c r="AG428" s="463" t="s">
        <v>5136</v>
      </c>
      <c r="AH428" s="139" t="s">
        <v>5137</v>
      </c>
      <c r="AI428" s="139" t="s">
        <v>5138</v>
      </c>
      <c r="AJ428" s="464">
        <v>231186383475</v>
      </c>
      <c r="AK428" s="140" t="s">
        <v>5139</v>
      </c>
      <c r="AL428" s="461">
        <v>45079</v>
      </c>
      <c r="AM428" s="206"/>
      <c r="AN428" s="465"/>
      <c r="AO428" s="140"/>
      <c r="AP428" s="139"/>
      <c r="AQ428" s="139"/>
      <c r="AR428" s="181"/>
      <c r="AS428" s="458"/>
      <c r="AT428" s="458"/>
      <c r="AU428" s="461">
        <v>32048</v>
      </c>
      <c r="AV428" s="181" t="s">
        <v>1352</v>
      </c>
      <c r="AW428" s="31" t="s">
        <v>68</v>
      </c>
      <c r="AX428" s="139">
        <v>8</v>
      </c>
      <c r="AY428" s="466">
        <f>VLOOKUP(K428,[3]Master!M405:BA788,40,0)</f>
        <v>8</v>
      </c>
      <c r="AZ428" s="58" t="s">
        <v>26</v>
      </c>
      <c r="BA428" s="58" t="s">
        <v>151</v>
      </c>
      <c r="BB428" s="58" t="s">
        <v>1407</v>
      </c>
      <c r="BC428" s="58"/>
    </row>
    <row r="429" spans="1:55" x14ac:dyDescent="0.25">
      <c r="A429" s="10">
        <f t="shared" si="16"/>
        <v>428</v>
      </c>
      <c r="B429" s="181"/>
      <c r="C429" s="592" t="s">
        <v>1407</v>
      </c>
      <c r="D429" s="457">
        <v>400043</v>
      </c>
      <c r="E429" s="181" t="s">
        <v>36</v>
      </c>
      <c r="F429" s="97" t="s">
        <v>5140</v>
      </c>
      <c r="G429" s="139">
        <v>6</v>
      </c>
      <c r="H429" s="458">
        <v>0.4375</v>
      </c>
      <c r="I429" s="458">
        <v>0.64583333333333337</v>
      </c>
      <c r="J429" s="458">
        <v>0.20833333333333334</v>
      </c>
      <c r="K429" s="58" t="s">
        <v>446</v>
      </c>
      <c r="L429" s="97" t="s">
        <v>195</v>
      </c>
      <c r="M429" s="97" t="s">
        <v>26</v>
      </c>
      <c r="N429" s="58" t="s">
        <v>38</v>
      </c>
      <c r="O429" s="58" t="s">
        <v>5050</v>
      </c>
      <c r="P429" s="206">
        <v>42826</v>
      </c>
      <c r="Q429" s="460">
        <v>43739</v>
      </c>
      <c r="R429" s="460">
        <v>44469</v>
      </c>
      <c r="S429" s="461">
        <f>R429+1</f>
        <v>44470</v>
      </c>
      <c r="T429" s="139"/>
      <c r="U429" s="139"/>
      <c r="V429" s="139"/>
      <c r="W429" s="139"/>
      <c r="X429" s="139"/>
      <c r="Y429" s="462" t="s">
        <v>5141</v>
      </c>
      <c r="Z429" s="140" t="s">
        <v>5142</v>
      </c>
      <c r="AA429" s="140" t="s">
        <v>1841</v>
      </c>
      <c r="AB429" s="460">
        <v>43507</v>
      </c>
      <c r="AC429" s="460">
        <v>45332</v>
      </c>
      <c r="AD429" s="139">
        <v>9493226677</v>
      </c>
      <c r="AE429" s="140" t="s">
        <v>5143</v>
      </c>
      <c r="AF429" s="139" t="s">
        <v>5086</v>
      </c>
      <c r="AG429" s="463" t="s">
        <v>5144</v>
      </c>
      <c r="AH429" s="139" t="s">
        <v>1984</v>
      </c>
      <c r="AI429" s="139">
        <v>0</v>
      </c>
      <c r="AJ429" s="464">
        <v>0</v>
      </c>
      <c r="AK429" s="140" t="s">
        <v>5145</v>
      </c>
      <c r="AL429" s="461">
        <v>44307</v>
      </c>
      <c r="AM429" s="206"/>
      <c r="AN429" s="465"/>
      <c r="AO429" s="140"/>
      <c r="AP429" s="139"/>
      <c r="AQ429" s="139"/>
      <c r="AR429" s="181"/>
      <c r="AS429" s="458"/>
      <c r="AT429" s="458"/>
      <c r="AU429" s="461">
        <v>27261</v>
      </c>
      <c r="AV429" s="181" t="s">
        <v>1389</v>
      </c>
      <c r="AW429" s="31" t="s">
        <v>32</v>
      </c>
      <c r="AX429" s="139">
        <v>5</v>
      </c>
      <c r="AY429" s="466">
        <f>VLOOKUP(K429,[3]Master!M406:BA789,40,0)</f>
        <v>5</v>
      </c>
      <c r="AZ429" s="58" t="s">
        <v>26</v>
      </c>
      <c r="BA429" s="58" t="s">
        <v>151</v>
      </c>
      <c r="BB429" s="58" t="s">
        <v>1407</v>
      </c>
      <c r="BC429" s="58"/>
    </row>
    <row r="430" spans="1:55" x14ac:dyDescent="0.25">
      <c r="A430" s="10">
        <f t="shared" si="16"/>
        <v>429</v>
      </c>
      <c r="B430" s="181" t="s">
        <v>5146</v>
      </c>
      <c r="C430" s="592" t="s">
        <v>1407</v>
      </c>
      <c r="D430" s="457">
        <v>400199</v>
      </c>
      <c r="E430" s="181" t="s">
        <v>36</v>
      </c>
      <c r="F430" s="97" t="s">
        <v>5147</v>
      </c>
      <c r="G430" s="139">
        <v>6</v>
      </c>
      <c r="H430" s="469" t="s">
        <v>235</v>
      </c>
      <c r="I430" s="469" t="s">
        <v>4228</v>
      </c>
      <c r="J430" s="458">
        <f>I430-H430</f>
        <v>0.33333333333333331</v>
      </c>
      <c r="K430" s="143" t="s">
        <v>1266</v>
      </c>
      <c r="L430" s="97" t="s">
        <v>295</v>
      </c>
      <c r="M430" s="97" t="s">
        <v>26</v>
      </c>
      <c r="N430" s="58" t="s">
        <v>38</v>
      </c>
      <c r="O430" s="58" t="s">
        <v>5063</v>
      </c>
      <c r="P430" s="206">
        <v>43922</v>
      </c>
      <c r="Q430" s="206">
        <v>45017</v>
      </c>
      <c r="R430" s="206">
        <v>45747</v>
      </c>
      <c r="S430" s="461">
        <v>45748</v>
      </c>
      <c r="T430" s="139">
        <v>2012</v>
      </c>
      <c r="U430" s="181" t="s">
        <v>5148</v>
      </c>
      <c r="V430" s="139" t="s">
        <v>5149</v>
      </c>
      <c r="W430" s="140" t="s">
        <v>5150</v>
      </c>
      <c r="X430" s="181" t="s">
        <v>30</v>
      </c>
      <c r="Y430" s="58" t="s">
        <v>5151</v>
      </c>
      <c r="Z430" s="140" t="s">
        <v>5152</v>
      </c>
      <c r="AA430" s="97" t="s">
        <v>1841</v>
      </c>
      <c r="AB430" s="471">
        <v>45172</v>
      </c>
      <c r="AC430" s="471">
        <v>46998</v>
      </c>
      <c r="AD430" s="472">
        <v>7661977627</v>
      </c>
      <c r="AE430" s="473" t="s">
        <v>5153</v>
      </c>
      <c r="AF430" s="97" t="s">
        <v>1430</v>
      </c>
      <c r="AG430" s="482" t="s">
        <v>5154</v>
      </c>
      <c r="AH430" s="181" t="s">
        <v>5155</v>
      </c>
      <c r="AI430" s="139" t="s">
        <v>5156</v>
      </c>
      <c r="AJ430" s="464">
        <v>949509135798</v>
      </c>
      <c r="AK430" s="97" t="s">
        <v>5157</v>
      </c>
      <c r="AL430" s="461">
        <v>45459</v>
      </c>
      <c r="AM430" s="477">
        <v>45399</v>
      </c>
      <c r="AN430" s="465" t="s">
        <v>5158</v>
      </c>
      <c r="AO430" s="97"/>
      <c r="AP430" s="58"/>
      <c r="AQ430" s="486"/>
      <c r="AR430" s="462"/>
      <c r="AS430" s="479">
        <v>0.33333333333333331</v>
      </c>
      <c r="AT430" s="479">
        <v>0.66666666666666663</v>
      </c>
      <c r="AU430" s="461">
        <v>32786</v>
      </c>
      <c r="AV430" s="181" t="s">
        <v>1389</v>
      </c>
      <c r="AW430" s="31" t="s">
        <v>68</v>
      </c>
      <c r="AX430" s="139">
        <v>8</v>
      </c>
      <c r="AY430" s="466">
        <f>VLOOKUP(K430,[3]Master!M407:BA790,40,0)</f>
        <v>8</v>
      </c>
      <c r="AZ430" s="58" t="s">
        <v>26</v>
      </c>
      <c r="BA430" s="58" t="s">
        <v>151</v>
      </c>
      <c r="BB430" s="58" t="s">
        <v>1407</v>
      </c>
      <c r="BC430" s="58"/>
    </row>
    <row r="431" spans="1:55" x14ac:dyDescent="0.25">
      <c r="A431" s="10">
        <f t="shared" si="16"/>
        <v>430</v>
      </c>
      <c r="B431" s="181" t="s">
        <v>5159</v>
      </c>
      <c r="C431" s="592" t="s">
        <v>1407</v>
      </c>
      <c r="D431" s="457">
        <v>400052</v>
      </c>
      <c r="E431" s="181" t="s">
        <v>36</v>
      </c>
      <c r="F431" s="97" t="s">
        <v>5160</v>
      </c>
      <c r="G431" s="139">
        <v>6</v>
      </c>
      <c r="H431" s="458">
        <v>0.33333333333333331</v>
      </c>
      <c r="I431" s="458">
        <v>0.66666666666666663</v>
      </c>
      <c r="J431" s="458">
        <f>I431-H431</f>
        <v>0.33333333333333331</v>
      </c>
      <c r="K431" s="58" t="s">
        <v>693</v>
      </c>
      <c r="L431" s="97" t="s">
        <v>281</v>
      </c>
      <c r="M431" s="97" t="s">
        <v>26</v>
      </c>
      <c r="N431" s="58" t="s">
        <v>38</v>
      </c>
      <c r="O431" s="58" t="s">
        <v>5076</v>
      </c>
      <c r="P431" s="206">
        <v>42947</v>
      </c>
      <c r="Q431" s="460">
        <v>44440</v>
      </c>
      <c r="R431" s="460">
        <v>45169</v>
      </c>
      <c r="S431" s="461">
        <v>45170</v>
      </c>
      <c r="T431" s="139">
        <v>2009</v>
      </c>
      <c r="U431" s="139" t="s">
        <v>230</v>
      </c>
      <c r="V431" s="139">
        <v>2011</v>
      </c>
      <c r="W431" s="139" t="s">
        <v>209</v>
      </c>
      <c r="X431" s="139" t="s">
        <v>30</v>
      </c>
      <c r="Y431" s="462" t="s">
        <v>5078</v>
      </c>
      <c r="Z431" s="140">
        <v>68292</v>
      </c>
      <c r="AA431" s="140" t="s">
        <v>1841</v>
      </c>
      <c r="AB431" s="460">
        <v>42663</v>
      </c>
      <c r="AC431" s="460">
        <v>44488</v>
      </c>
      <c r="AD431" s="139">
        <v>9666676234</v>
      </c>
      <c r="AE431" s="467" t="s">
        <v>5161</v>
      </c>
      <c r="AF431" s="139" t="s">
        <v>1430</v>
      </c>
      <c r="AG431" s="463" t="s">
        <v>5162</v>
      </c>
      <c r="AH431" s="139" t="s">
        <v>5163</v>
      </c>
      <c r="AI431" s="139" t="s">
        <v>5164</v>
      </c>
      <c r="AJ431" s="464">
        <v>895074864280</v>
      </c>
      <c r="AK431" s="140" t="s">
        <v>5165</v>
      </c>
      <c r="AL431" s="461">
        <v>45068</v>
      </c>
      <c r="AM431" s="206"/>
      <c r="AN431" s="465"/>
      <c r="AO431" s="140"/>
      <c r="AP431" s="139"/>
      <c r="AQ431" s="139"/>
      <c r="AR431" s="181"/>
      <c r="AS431" s="458"/>
      <c r="AT431" s="458"/>
      <c r="AU431" s="461">
        <v>31930</v>
      </c>
      <c r="AV431" s="181" t="s">
        <v>1389</v>
      </c>
      <c r="AW431" s="31" t="s">
        <v>68</v>
      </c>
      <c r="AX431" s="139">
        <v>8</v>
      </c>
      <c r="AY431" s="466">
        <f>VLOOKUP(K431,[3]Master!M408:BA791,40,0)</f>
        <v>4</v>
      </c>
      <c r="AZ431" s="58" t="s">
        <v>26</v>
      </c>
      <c r="BA431" s="58" t="s">
        <v>151</v>
      </c>
      <c r="BB431" s="58" t="s">
        <v>1407</v>
      </c>
      <c r="BC431" s="58"/>
    </row>
    <row r="432" spans="1:55" x14ac:dyDescent="0.25">
      <c r="A432" s="10">
        <f t="shared" si="16"/>
        <v>431</v>
      </c>
      <c r="B432" s="181" t="s">
        <v>5166</v>
      </c>
      <c r="C432" s="592" t="s">
        <v>1407</v>
      </c>
      <c r="D432" s="457">
        <v>400055</v>
      </c>
      <c r="E432" s="181" t="s">
        <v>36</v>
      </c>
      <c r="F432" s="97" t="s">
        <v>5167</v>
      </c>
      <c r="G432" s="139">
        <v>6</v>
      </c>
      <c r="H432" s="458">
        <v>0.75</v>
      </c>
      <c r="I432" s="458">
        <v>0.875</v>
      </c>
      <c r="J432" s="458">
        <f>I432-H432</f>
        <v>0.125</v>
      </c>
      <c r="K432" s="143" t="s">
        <v>477</v>
      </c>
      <c r="L432" s="97"/>
      <c r="M432" s="63" t="s">
        <v>1355</v>
      </c>
      <c r="N432" s="100" t="s">
        <v>1520</v>
      </c>
      <c r="O432" s="58" t="s">
        <v>5168</v>
      </c>
      <c r="P432" s="206">
        <v>42985</v>
      </c>
      <c r="Q432" s="460">
        <v>44446</v>
      </c>
      <c r="R432" s="460">
        <v>45175</v>
      </c>
      <c r="S432" s="461">
        <v>45176</v>
      </c>
      <c r="T432" s="139">
        <v>1986</v>
      </c>
      <c r="U432" s="139" t="s">
        <v>196</v>
      </c>
      <c r="V432" s="139">
        <v>2012</v>
      </c>
      <c r="W432" s="139" t="s">
        <v>250</v>
      </c>
      <c r="X432" s="139" t="s">
        <v>30</v>
      </c>
      <c r="Y432" s="462" t="s">
        <v>5169</v>
      </c>
      <c r="Z432" s="140" t="s">
        <v>5170</v>
      </c>
      <c r="AA432" s="140" t="s">
        <v>1841</v>
      </c>
      <c r="AB432" s="460">
        <v>43855</v>
      </c>
      <c r="AC432" s="460">
        <v>45315</v>
      </c>
      <c r="AD432" s="139">
        <v>9989291415</v>
      </c>
      <c r="AE432" s="467" t="s">
        <v>5171</v>
      </c>
      <c r="AF432" s="139" t="s">
        <v>1805</v>
      </c>
      <c r="AG432" s="463" t="s">
        <v>5172</v>
      </c>
      <c r="AH432" s="139" t="s">
        <v>5173</v>
      </c>
      <c r="AI432" s="139" t="s">
        <v>5174</v>
      </c>
      <c r="AJ432" s="464">
        <v>564169752027</v>
      </c>
      <c r="AK432" s="140" t="s">
        <v>5175</v>
      </c>
      <c r="AL432" s="206"/>
      <c r="AM432" s="206"/>
      <c r="AN432" s="465"/>
      <c r="AO432" s="140"/>
      <c r="AP432" s="139"/>
      <c r="AQ432" s="139"/>
      <c r="AR432" s="181"/>
      <c r="AS432" s="458"/>
      <c r="AT432" s="458"/>
      <c r="AU432" s="461">
        <v>21535</v>
      </c>
      <c r="AV432" s="181" t="s">
        <v>1352</v>
      </c>
      <c r="AW432" s="31" t="s">
        <v>32</v>
      </c>
      <c r="AX432" s="139">
        <v>3</v>
      </c>
      <c r="AY432" s="466">
        <f>VLOOKUP(K432,[3]Master!M409:BA792,40,0)</f>
        <v>3</v>
      </c>
      <c r="AZ432" s="58" t="s">
        <v>1373</v>
      </c>
      <c r="BA432" s="58" t="s">
        <v>151</v>
      </c>
      <c r="BB432" s="58" t="s">
        <v>1407</v>
      </c>
      <c r="BC432" s="58"/>
    </row>
    <row r="433" spans="1:55" x14ac:dyDescent="0.25">
      <c r="A433" s="10">
        <f t="shared" si="16"/>
        <v>432</v>
      </c>
      <c r="B433" s="181" t="s">
        <v>5176</v>
      </c>
      <c r="C433" s="592" t="s">
        <v>1407</v>
      </c>
      <c r="D433" s="457">
        <v>400978</v>
      </c>
      <c r="E433" s="181" t="s">
        <v>36</v>
      </c>
      <c r="F433" s="97" t="s">
        <v>5177</v>
      </c>
      <c r="G433" s="139">
        <v>6</v>
      </c>
      <c r="H433" s="469">
        <v>0.375</v>
      </c>
      <c r="I433" s="469">
        <v>0.70833333333333337</v>
      </c>
      <c r="J433" s="458">
        <f>I433-H433</f>
        <v>0.33333333333333337</v>
      </c>
      <c r="K433" s="58" t="s">
        <v>147</v>
      </c>
      <c r="L433" s="97" t="s">
        <v>5178</v>
      </c>
      <c r="M433" s="97" t="s">
        <v>26</v>
      </c>
      <c r="N433" s="58" t="s">
        <v>5179</v>
      </c>
      <c r="O433" s="58" t="s">
        <v>5063</v>
      </c>
      <c r="P433" s="206">
        <v>45383</v>
      </c>
      <c r="Q433" s="206">
        <v>45383</v>
      </c>
      <c r="R433" s="206">
        <v>45747</v>
      </c>
      <c r="S433" s="461">
        <v>45748</v>
      </c>
      <c r="T433" s="139">
        <v>2014</v>
      </c>
      <c r="U433" s="181" t="s">
        <v>5180</v>
      </c>
      <c r="V433" s="139">
        <v>2020</v>
      </c>
      <c r="W433" s="97" t="s">
        <v>64</v>
      </c>
      <c r="X433" s="181" t="s">
        <v>30</v>
      </c>
      <c r="Y433" s="58" t="s">
        <v>5066</v>
      </c>
      <c r="Z433" s="140" t="s">
        <v>5181</v>
      </c>
      <c r="AA433" s="470" t="s">
        <v>1841</v>
      </c>
      <c r="AB433" s="471">
        <v>45379</v>
      </c>
      <c r="AC433" s="471">
        <v>47204</v>
      </c>
      <c r="AD433" s="472">
        <v>8484995498</v>
      </c>
      <c r="AE433" s="473" t="s">
        <v>5182</v>
      </c>
      <c r="AF433" s="474" t="s">
        <v>5183</v>
      </c>
      <c r="AG433" s="475" t="s">
        <v>5184</v>
      </c>
      <c r="AH433" s="181" t="s">
        <v>5185</v>
      </c>
      <c r="AI433" s="139" t="s">
        <v>5186</v>
      </c>
      <c r="AJ433" s="476">
        <v>956418370490</v>
      </c>
      <c r="AK433" s="470"/>
      <c r="AL433" s="461">
        <v>45459</v>
      </c>
      <c r="AM433" s="477" t="s">
        <v>30</v>
      </c>
      <c r="AN433" s="478" t="s">
        <v>5187</v>
      </c>
      <c r="AO433" s="140" t="s">
        <v>5188</v>
      </c>
      <c r="AP433" s="58"/>
      <c r="AQ433" s="140" t="s">
        <v>5188</v>
      </c>
      <c r="AR433" s="462"/>
      <c r="AS433" s="479">
        <v>0.375</v>
      </c>
      <c r="AT433" s="479">
        <v>0.70833333333333337</v>
      </c>
      <c r="AU433" s="480">
        <v>33724</v>
      </c>
      <c r="AV433" s="181" t="s">
        <v>1389</v>
      </c>
      <c r="AW433" s="31" t="s">
        <v>68</v>
      </c>
      <c r="AX433" s="139">
        <v>8</v>
      </c>
      <c r="AY433" s="58" t="s">
        <v>1849</v>
      </c>
      <c r="AZ433" s="58" t="s">
        <v>26</v>
      </c>
      <c r="BA433" s="58" t="s">
        <v>151</v>
      </c>
      <c r="BB433" s="58" t="s">
        <v>1407</v>
      </c>
      <c r="BC433" s="58"/>
    </row>
    <row r="434" spans="1:55" x14ac:dyDescent="0.25">
      <c r="A434" s="10">
        <f t="shared" si="16"/>
        <v>433</v>
      </c>
      <c r="B434" s="181"/>
      <c r="C434" s="592" t="s">
        <v>1407</v>
      </c>
      <c r="D434" s="457">
        <v>400061</v>
      </c>
      <c r="E434" s="181" t="s">
        <v>42</v>
      </c>
      <c r="F434" s="97" t="s">
        <v>5189</v>
      </c>
      <c r="G434" s="139">
        <v>6</v>
      </c>
      <c r="H434" s="458"/>
      <c r="I434" s="458"/>
      <c r="J434" s="458"/>
      <c r="K434" s="462" t="s">
        <v>5190</v>
      </c>
      <c r="L434" s="97"/>
      <c r="M434" s="97" t="s">
        <v>1865</v>
      </c>
      <c r="N434" s="58" t="s">
        <v>1866</v>
      </c>
      <c r="O434" s="487"/>
      <c r="P434" s="460"/>
      <c r="Q434" s="460"/>
      <c r="R434" s="461"/>
      <c r="S434" s="461"/>
      <c r="T434" s="139"/>
      <c r="U434" s="139"/>
      <c r="V434" s="139"/>
      <c r="W434" s="139"/>
      <c r="X434" s="139">
        <v>0</v>
      </c>
      <c r="Y434" s="462"/>
      <c r="Z434" s="140"/>
      <c r="AA434" s="460"/>
      <c r="AB434" s="460"/>
      <c r="AC434" s="488">
        <v>9949364084</v>
      </c>
      <c r="AD434" s="139" t="s">
        <v>5191</v>
      </c>
      <c r="AE434" s="140" t="s">
        <v>1430</v>
      </c>
      <c r="AF434" s="463" t="s">
        <v>5192</v>
      </c>
      <c r="AG434" s="139" t="s">
        <v>5193</v>
      </c>
      <c r="AH434" s="139" t="s">
        <v>5194</v>
      </c>
      <c r="AI434" s="464">
        <v>0</v>
      </c>
      <c r="AJ434" s="139"/>
      <c r="AK434" s="465"/>
      <c r="AL434" s="206" t="s">
        <v>30</v>
      </c>
      <c r="AM434" s="477"/>
      <c r="AN434" s="140"/>
      <c r="AO434" s="140"/>
      <c r="AP434" s="139"/>
      <c r="AQ434" s="58"/>
      <c r="AR434" s="489"/>
      <c r="AS434" s="458"/>
      <c r="AT434" s="458"/>
      <c r="AU434" s="461">
        <v>29221</v>
      </c>
      <c r="AV434" s="181" t="s">
        <v>1352</v>
      </c>
      <c r="AW434" s="181"/>
      <c r="AX434" s="139"/>
      <c r="AY434" s="58" t="s">
        <v>2068</v>
      </c>
      <c r="AZ434" s="58" t="s">
        <v>1865</v>
      </c>
      <c r="BA434" s="58" t="s">
        <v>151</v>
      </c>
      <c r="BB434" s="58" t="s">
        <v>1407</v>
      </c>
      <c r="BC434" s="58"/>
    </row>
    <row r="435" spans="1:55" x14ac:dyDescent="0.25">
      <c r="A435" s="10">
        <f t="shared" si="16"/>
        <v>434</v>
      </c>
      <c r="B435" s="181" t="s">
        <v>5195</v>
      </c>
      <c r="C435" s="592" t="s">
        <v>1407</v>
      </c>
      <c r="D435" s="457">
        <v>400063</v>
      </c>
      <c r="E435" s="181" t="s">
        <v>42</v>
      </c>
      <c r="F435" s="97" t="s">
        <v>5196</v>
      </c>
      <c r="G435" s="139">
        <v>6</v>
      </c>
      <c r="H435" s="458">
        <v>0.41666666666666669</v>
      </c>
      <c r="I435" s="458">
        <v>0.75</v>
      </c>
      <c r="J435" s="458">
        <v>0.33333333333333331</v>
      </c>
      <c r="K435" s="100" t="s">
        <v>563</v>
      </c>
      <c r="L435" s="97" t="s">
        <v>5197</v>
      </c>
      <c r="M435" s="97" t="s">
        <v>26</v>
      </c>
      <c r="N435" s="58" t="s">
        <v>38</v>
      </c>
      <c r="O435" s="58" t="s">
        <v>5050</v>
      </c>
      <c r="P435" s="206">
        <v>43185</v>
      </c>
      <c r="Q435" s="460">
        <v>43916</v>
      </c>
      <c r="R435" s="460">
        <v>44645</v>
      </c>
      <c r="S435" s="461">
        <f>R435+1</f>
        <v>44646</v>
      </c>
      <c r="T435" s="139">
        <v>2008</v>
      </c>
      <c r="U435" s="139" t="s">
        <v>306</v>
      </c>
      <c r="V435" s="139">
        <v>2014</v>
      </c>
      <c r="W435" s="139" t="s">
        <v>5198</v>
      </c>
      <c r="X435" s="139"/>
      <c r="Y435" s="462" t="s">
        <v>5141</v>
      </c>
      <c r="Z435" s="140">
        <v>62948</v>
      </c>
      <c r="AA435" s="140" t="s">
        <v>1886</v>
      </c>
      <c r="AB435" s="460">
        <v>43270</v>
      </c>
      <c r="AC435" s="460">
        <v>45095</v>
      </c>
      <c r="AD435" s="139">
        <v>8106023889</v>
      </c>
      <c r="AE435" s="140" t="s">
        <v>5199</v>
      </c>
      <c r="AF435" s="139" t="s">
        <v>5086</v>
      </c>
      <c r="AG435" s="463" t="s">
        <v>5200</v>
      </c>
      <c r="AH435" s="139" t="s">
        <v>4198</v>
      </c>
      <c r="AI435" s="139" t="s">
        <v>5201</v>
      </c>
      <c r="AJ435" s="464">
        <v>776014768841</v>
      </c>
      <c r="AK435" s="140" t="s">
        <v>5202</v>
      </c>
      <c r="AL435" s="461">
        <v>44479</v>
      </c>
      <c r="AM435" s="477"/>
      <c r="AN435" s="465"/>
      <c r="AO435" s="140"/>
      <c r="AP435" s="139"/>
      <c r="AQ435" s="139"/>
      <c r="AR435" s="181"/>
      <c r="AS435" s="458"/>
      <c r="AT435" s="458"/>
      <c r="AU435" s="461">
        <v>30879</v>
      </c>
      <c r="AV435" s="181" t="s">
        <v>1389</v>
      </c>
      <c r="AW435" s="31" t="s">
        <v>68</v>
      </c>
      <c r="AX435" s="139">
        <v>8</v>
      </c>
      <c r="AY435" s="466">
        <f>VLOOKUP(K435,[3]Master!M412:BA795,40,0)</f>
        <v>7</v>
      </c>
      <c r="AZ435" s="58" t="s">
        <v>26</v>
      </c>
      <c r="BA435" s="58" t="s">
        <v>151</v>
      </c>
      <c r="BB435" s="58" t="s">
        <v>1407</v>
      </c>
      <c r="BC435" s="58"/>
    </row>
    <row r="436" spans="1:55" x14ac:dyDescent="0.25">
      <c r="A436" s="10">
        <f t="shared" si="16"/>
        <v>435</v>
      </c>
      <c r="B436" s="181" t="s">
        <v>5203</v>
      </c>
      <c r="C436" s="592" t="s">
        <v>1407</v>
      </c>
      <c r="D436" s="457">
        <v>400069</v>
      </c>
      <c r="E436" s="181" t="s">
        <v>36</v>
      </c>
      <c r="F436" s="97" t="s">
        <v>5204</v>
      </c>
      <c r="G436" s="139">
        <v>6</v>
      </c>
      <c r="H436" s="458">
        <v>0.45833333333333331</v>
      </c>
      <c r="I436" s="458">
        <v>0.79166666666666663</v>
      </c>
      <c r="J436" s="458">
        <f>I436-H436</f>
        <v>0.33333333333333331</v>
      </c>
      <c r="K436" s="58" t="s">
        <v>147</v>
      </c>
      <c r="L436" s="97" t="s">
        <v>5205</v>
      </c>
      <c r="M436" s="97" t="s">
        <v>1908</v>
      </c>
      <c r="N436" s="58" t="s">
        <v>1909</v>
      </c>
      <c r="O436" s="58" t="s">
        <v>5076</v>
      </c>
      <c r="P436" s="206">
        <v>43271</v>
      </c>
      <c r="Q436" s="460">
        <v>44774</v>
      </c>
      <c r="R436" s="460">
        <v>45504</v>
      </c>
      <c r="S436" s="461">
        <v>45505</v>
      </c>
      <c r="T436" s="139">
        <v>2002</v>
      </c>
      <c r="U436" s="139" t="s">
        <v>4215</v>
      </c>
      <c r="V436" s="139">
        <v>2010</v>
      </c>
      <c r="W436" s="139" t="s">
        <v>231</v>
      </c>
      <c r="X436" s="139" t="s">
        <v>30</v>
      </c>
      <c r="Y436" s="462" t="s">
        <v>5206</v>
      </c>
      <c r="Z436" s="140">
        <v>50940</v>
      </c>
      <c r="AA436" s="140" t="s">
        <v>1841</v>
      </c>
      <c r="AB436" s="460">
        <v>43896</v>
      </c>
      <c r="AC436" s="460">
        <v>45721</v>
      </c>
      <c r="AD436" s="488">
        <v>9440385500</v>
      </c>
      <c r="AE436" s="140" t="s">
        <v>5207</v>
      </c>
      <c r="AF436" s="139" t="s">
        <v>5086</v>
      </c>
      <c r="AG436" s="463" t="s">
        <v>5208</v>
      </c>
      <c r="AH436" s="139" t="s">
        <v>5209</v>
      </c>
      <c r="AI436" s="139" t="s">
        <v>5210</v>
      </c>
      <c r="AJ436" s="464">
        <v>454950405957</v>
      </c>
      <c r="AK436" s="140" t="s">
        <v>5211</v>
      </c>
      <c r="AL436" s="206">
        <v>45121</v>
      </c>
      <c r="AM436" s="477" t="s">
        <v>30</v>
      </c>
      <c r="AN436" s="490"/>
      <c r="AO436" s="140"/>
      <c r="AP436" s="139"/>
      <c r="AQ436" s="139"/>
      <c r="AR436" s="58"/>
      <c r="AS436" s="458"/>
      <c r="AT436" s="458"/>
      <c r="AU436" s="461">
        <v>28520</v>
      </c>
      <c r="AV436" s="181" t="s">
        <v>1352</v>
      </c>
      <c r="AW436" s="31" t="s">
        <v>68</v>
      </c>
      <c r="AX436" s="139">
        <v>8</v>
      </c>
      <c r="AY436" s="466">
        <f>VLOOKUP(K436,[3]Master!M413:BA796,40,0)</f>
        <v>8</v>
      </c>
      <c r="AZ436" s="484" t="s">
        <v>1908</v>
      </c>
      <c r="BA436" s="58" t="s">
        <v>151</v>
      </c>
      <c r="BB436" s="58" t="s">
        <v>1407</v>
      </c>
      <c r="BC436" s="58"/>
    </row>
    <row r="437" spans="1:55" x14ac:dyDescent="0.25">
      <c r="A437" s="10">
        <f t="shared" si="16"/>
        <v>436</v>
      </c>
      <c r="B437" s="181" t="s">
        <v>5212</v>
      </c>
      <c r="C437" s="592" t="s">
        <v>1407</v>
      </c>
      <c r="D437" s="457">
        <v>400076</v>
      </c>
      <c r="E437" s="181" t="s">
        <v>36</v>
      </c>
      <c r="F437" s="97" t="s">
        <v>5213</v>
      </c>
      <c r="G437" s="139">
        <v>6</v>
      </c>
      <c r="H437" s="458">
        <v>0.5625</v>
      </c>
      <c r="I437" s="458">
        <v>0.89583333333333337</v>
      </c>
      <c r="J437" s="458">
        <f>I437-H437</f>
        <v>0.33333333333333337</v>
      </c>
      <c r="K437" s="462" t="s">
        <v>154</v>
      </c>
      <c r="L437" s="97" t="s">
        <v>2015</v>
      </c>
      <c r="M437" s="63" t="s">
        <v>1355</v>
      </c>
      <c r="N437" s="58" t="s">
        <v>4426</v>
      </c>
      <c r="O437" s="58" t="s">
        <v>5168</v>
      </c>
      <c r="P437" s="206">
        <v>43353</v>
      </c>
      <c r="Q437" s="460">
        <v>44814</v>
      </c>
      <c r="R437" s="460">
        <v>45544</v>
      </c>
      <c r="S437" s="461">
        <v>45545</v>
      </c>
      <c r="T437" s="139">
        <v>1996</v>
      </c>
      <c r="U437" s="139" t="s">
        <v>196</v>
      </c>
      <c r="V437" s="139">
        <v>2001</v>
      </c>
      <c r="W437" s="139" t="s">
        <v>141</v>
      </c>
      <c r="X437" s="139" t="s">
        <v>30</v>
      </c>
      <c r="Y437" s="462" t="s">
        <v>5214</v>
      </c>
      <c r="Z437" s="140">
        <v>39618</v>
      </c>
      <c r="AA437" s="140" t="s">
        <v>1841</v>
      </c>
      <c r="AB437" s="460">
        <v>44231</v>
      </c>
      <c r="AC437" s="460">
        <v>46056</v>
      </c>
      <c r="AD437" s="139">
        <v>9949056850</v>
      </c>
      <c r="AE437" s="467" t="s">
        <v>5215</v>
      </c>
      <c r="AF437" s="139" t="s">
        <v>5086</v>
      </c>
      <c r="AG437" s="463" t="s">
        <v>5216</v>
      </c>
      <c r="AH437" s="139" t="s">
        <v>5217</v>
      </c>
      <c r="AI437" s="139" t="s">
        <v>5218</v>
      </c>
      <c r="AJ437" s="464">
        <v>331437155278</v>
      </c>
      <c r="AK437" s="140" t="s">
        <v>5219</v>
      </c>
      <c r="AL437" s="206">
        <v>45105</v>
      </c>
      <c r="AM437" s="477" t="s">
        <v>30</v>
      </c>
      <c r="AN437" s="490"/>
      <c r="AO437" s="140"/>
      <c r="AP437" s="139"/>
      <c r="AQ437" s="139" t="e">
        <v>#N/A</v>
      </c>
      <c r="AR437" s="181"/>
      <c r="AS437" s="458"/>
      <c r="AT437" s="458"/>
      <c r="AU437" s="461">
        <v>26232</v>
      </c>
      <c r="AV437" s="181" t="s">
        <v>1389</v>
      </c>
      <c r="AW437" s="31" t="s">
        <v>68</v>
      </c>
      <c r="AX437" s="139">
        <v>8</v>
      </c>
      <c r="AY437" s="466">
        <f>VLOOKUP(K437,[3]Master!M414:BA797,40,0)</f>
        <v>8</v>
      </c>
      <c r="AZ437" s="58" t="s">
        <v>1373</v>
      </c>
      <c r="BA437" s="58" t="s">
        <v>151</v>
      </c>
      <c r="BB437" s="58" t="s">
        <v>1407</v>
      </c>
      <c r="BC437" s="58"/>
    </row>
    <row r="438" spans="1:55" x14ac:dyDescent="0.25">
      <c r="A438" s="10">
        <f t="shared" si="16"/>
        <v>437</v>
      </c>
      <c r="B438" s="181" t="s">
        <v>5220</v>
      </c>
      <c r="C438" s="592" t="s">
        <v>1407</v>
      </c>
      <c r="D438" s="457">
        <v>401002</v>
      </c>
      <c r="E438" s="181" t="s">
        <v>36</v>
      </c>
      <c r="F438" s="97" t="s">
        <v>5221</v>
      </c>
      <c r="G438" s="139">
        <v>6</v>
      </c>
      <c r="H438" s="469" t="s">
        <v>5222</v>
      </c>
      <c r="I438" s="469" t="s">
        <v>5223</v>
      </c>
      <c r="J438" s="458">
        <v>4.1666666666666664E-2</v>
      </c>
      <c r="K438" s="462" t="s">
        <v>700</v>
      </c>
      <c r="L438" s="97" t="s">
        <v>1424</v>
      </c>
      <c r="M438" s="97" t="s">
        <v>1376</v>
      </c>
      <c r="N438" s="58" t="s">
        <v>1393</v>
      </c>
      <c r="O438" s="58" t="s">
        <v>1424</v>
      </c>
      <c r="P438" s="206">
        <v>45435</v>
      </c>
      <c r="Q438" s="206">
        <v>45435</v>
      </c>
      <c r="R438" s="206">
        <v>46164</v>
      </c>
      <c r="S438" s="461">
        <v>46165</v>
      </c>
      <c r="T438" s="139">
        <v>2018</v>
      </c>
      <c r="U438" s="181" t="s">
        <v>5224</v>
      </c>
      <c r="V438" s="139" t="s">
        <v>30</v>
      </c>
      <c r="W438" s="97" t="s">
        <v>1424</v>
      </c>
      <c r="X438" s="181" t="s">
        <v>30</v>
      </c>
      <c r="Y438" s="58" t="s">
        <v>226</v>
      </c>
      <c r="Z438" s="140" t="s">
        <v>5225</v>
      </c>
      <c r="AA438" s="470" t="s">
        <v>1841</v>
      </c>
      <c r="AB438" s="471">
        <v>45149</v>
      </c>
      <c r="AC438" s="471">
        <v>46975</v>
      </c>
      <c r="AD438" s="472">
        <v>8433951585</v>
      </c>
      <c r="AE438" s="473" t="s">
        <v>5226</v>
      </c>
      <c r="AF438" s="474" t="s">
        <v>1364</v>
      </c>
      <c r="AG438" s="475" t="s">
        <v>5227</v>
      </c>
      <c r="AH438" s="181" t="s">
        <v>5228</v>
      </c>
      <c r="AI438" s="139" t="s">
        <v>5229</v>
      </c>
      <c r="AJ438" s="476">
        <v>638949087942</v>
      </c>
      <c r="AK438" s="470"/>
      <c r="AL438" s="206">
        <v>45462</v>
      </c>
      <c r="AM438" s="477" t="s">
        <v>30</v>
      </c>
      <c r="AN438" s="478" t="s">
        <v>5072</v>
      </c>
      <c r="AO438" s="140" t="s">
        <v>5230</v>
      </c>
      <c r="AP438" s="58"/>
      <c r="AQ438" s="97" t="s">
        <v>5230</v>
      </c>
      <c r="AR438" s="462"/>
      <c r="AS438" s="479"/>
      <c r="AT438" s="479"/>
      <c r="AU438" s="480">
        <v>36841</v>
      </c>
      <c r="AV438" s="181" t="s">
        <v>1389</v>
      </c>
      <c r="AW438" s="31" t="s">
        <v>32</v>
      </c>
      <c r="AX438" s="139">
        <v>1</v>
      </c>
      <c r="AY438" s="58" t="s">
        <v>2469</v>
      </c>
      <c r="AZ438" s="58" t="s">
        <v>1390</v>
      </c>
      <c r="BA438" s="58" t="s">
        <v>151</v>
      </c>
      <c r="BB438" s="58" t="s">
        <v>1407</v>
      </c>
      <c r="BC438" s="58"/>
    </row>
    <row r="439" spans="1:55" x14ac:dyDescent="0.25">
      <c r="A439" s="10">
        <f t="shared" si="16"/>
        <v>438</v>
      </c>
      <c r="B439" s="181" t="s">
        <v>5231</v>
      </c>
      <c r="C439" s="592" t="s">
        <v>1407</v>
      </c>
      <c r="D439" s="457">
        <v>400084</v>
      </c>
      <c r="E439" s="181" t="s">
        <v>42</v>
      </c>
      <c r="F439" s="97" t="s">
        <v>5232</v>
      </c>
      <c r="G439" s="139" t="s">
        <v>5233</v>
      </c>
      <c r="H439" s="458">
        <v>0.39583333333333331</v>
      </c>
      <c r="I439" s="458">
        <v>0.47916666666666669</v>
      </c>
      <c r="J439" s="458">
        <v>8.3333333333333329E-2</v>
      </c>
      <c r="K439" s="35" t="s">
        <v>770</v>
      </c>
      <c r="L439" s="97" t="s">
        <v>5234</v>
      </c>
      <c r="M439" s="97" t="s">
        <v>26</v>
      </c>
      <c r="N439" s="58" t="s">
        <v>38</v>
      </c>
      <c r="O439" s="58" t="s">
        <v>5050</v>
      </c>
      <c r="P439" s="206">
        <v>43435</v>
      </c>
      <c r="Q439" s="460">
        <v>44277</v>
      </c>
      <c r="R439" s="460">
        <v>45006</v>
      </c>
      <c r="S439" s="461">
        <f>R439+1</f>
        <v>45007</v>
      </c>
      <c r="T439" s="139"/>
      <c r="U439" s="139"/>
      <c r="V439" s="139"/>
      <c r="W439" s="139"/>
      <c r="X439" s="139"/>
      <c r="Y439" s="462" t="s">
        <v>5235</v>
      </c>
      <c r="Z439" s="140" t="s">
        <v>5236</v>
      </c>
      <c r="AA439" s="140" t="s">
        <v>1841</v>
      </c>
      <c r="AB439" s="460">
        <v>43348</v>
      </c>
      <c r="AC439" s="460">
        <v>45173</v>
      </c>
      <c r="AD439" s="139">
        <v>9959546834</v>
      </c>
      <c r="AE439" s="140" t="s">
        <v>5237</v>
      </c>
      <c r="AF439" s="139" t="s">
        <v>1364</v>
      </c>
      <c r="AG439" s="463" t="s">
        <v>5238</v>
      </c>
      <c r="AH439" s="139" t="s">
        <v>5239</v>
      </c>
      <c r="AI439" s="139" t="s">
        <v>5240</v>
      </c>
      <c r="AJ439" s="464">
        <v>664862865826</v>
      </c>
      <c r="AK439" s="140" t="s">
        <v>5241</v>
      </c>
      <c r="AL439" s="461">
        <v>44262</v>
      </c>
      <c r="AM439" s="477"/>
      <c r="AN439" s="465"/>
      <c r="AO439" s="140"/>
      <c r="AP439" s="139"/>
      <c r="AQ439" s="139"/>
      <c r="AR439" s="181"/>
      <c r="AS439" s="458"/>
      <c r="AT439" s="458"/>
      <c r="AU439" s="461">
        <v>32821</v>
      </c>
      <c r="AV439" s="181" t="s">
        <v>1352</v>
      </c>
      <c r="AW439" s="31" t="s">
        <v>32</v>
      </c>
      <c r="AX439" s="139">
        <v>2</v>
      </c>
      <c r="AY439" s="466">
        <f>VLOOKUP(K439,[3]Master!M416:BA799,40,0)</f>
        <v>2</v>
      </c>
      <c r="AZ439" s="58" t="s">
        <v>26</v>
      </c>
      <c r="BA439" s="58" t="s">
        <v>151</v>
      </c>
      <c r="BB439" s="58" t="s">
        <v>1407</v>
      </c>
      <c r="BC439" s="58"/>
    </row>
    <row r="440" spans="1:55" x14ac:dyDescent="0.25">
      <c r="A440" s="10">
        <f t="shared" si="16"/>
        <v>439</v>
      </c>
      <c r="B440" s="181" t="s">
        <v>5242</v>
      </c>
      <c r="C440" s="592" t="s">
        <v>1407</v>
      </c>
      <c r="D440" s="457">
        <v>400085</v>
      </c>
      <c r="E440" s="181" t="s">
        <v>36</v>
      </c>
      <c r="F440" s="97" t="s">
        <v>5243</v>
      </c>
      <c r="G440" s="139">
        <v>6</v>
      </c>
      <c r="H440" s="458">
        <v>0.625</v>
      </c>
      <c r="I440" s="458">
        <v>0.75</v>
      </c>
      <c r="J440" s="458">
        <v>0.125</v>
      </c>
      <c r="K440" s="35" t="s">
        <v>1884</v>
      </c>
      <c r="L440" s="97"/>
      <c r="M440" s="97" t="s">
        <v>1544</v>
      </c>
      <c r="N440" s="58" t="s">
        <v>1992</v>
      </c>
      <c r="O440" s="58" t="s">
        <v>5244</v>
      </c>
      <c r="P440" s="206">
        <v>43437</v>
      </c>
      <c r="Q440" s="460">
        <v>44013</v>
      </c>
      <c r="R440" s="460">
        <v>44742</v>
      </c>
      <c r="S440" s="461">
        <f>R440+1</f>
        <v>44743</v>
      </c>
      <c r="T440" s="139">
        <v>2007</v>
      </c>
      <c r="U440" s="139" t="s">
        <v>5245</v>
      </c>
      <c r="V440" s="139">
        <v>2012</v>
      </c>
      <c r="W440" s="139" t="s">
        <v>741</v>
      </c>
      <c r="X440" s="139"/>
      <c r="Y440" s="462" t="s">
        <v>5246</v>
      </c>
      <c r="Z440" s="140" t="s">
        <v>5247</v>
      </c>
      <c r="AA440" s="140" t="s">
        <v>1886</v>
      </c>
      <c r="AB440" s="460">
        <v>41339</v>
      </c>
      <c r="AC440" s="460">
        <v>43165</v>
      </c>
      <c r="AD440" s="139">
        <v>9030286811</v>
      </c>
      <c r="AE440" s="140" t="s">
        <v>5248</v>
      </c>
      <c r="AF440" s="139" t="s">
        <v>3467</v>
      </c>
      <c r="AG440" s="463" t="s">
        <v>5249</v>
      </c>
      <c r="AH440" s="139" t="s">
        <v>5250</v>
      </c>
      <c r="AI440" s="139" t="s">
        <v>5251</v>
      </c>
      <c r="AJ440" s="464">
        <v>607739322200</v>
      </c>
      <c r="AK440" s="140" t="s">
        <v>5252</v>
      </c>
      <c r="AL440" s="206">
        <v>44312</v>
      </c>
      <c r="AM440" s="477"/>
      <c r="AN440" s="465"/>
      <c r="AO440" s="140"/>
      <c r="AP440" s="139"/>
      <c r="AQ440" s="139"/>
      <c r="AR440" s="181"/>
      <c r="AS440" s="458"/>
      <c r="AT440" s="458"/>
      <c r="AU440" s="461">
        <v>30134</v>
      </c>
      <c r="AV440" s="181" t="s">
        <v>1389</v>
      </c>
      <c r="AW440" s="31" t="s">
        <v>32</v>
      </c>
      <c r="AX440" s="139">
        <v>3</v>
      </c>
      <c r="AY440" s="466">
        <f>VLOOKUP(K440,[3]Master!M417:BA800,40,0)</f>
        <v>3</v>
      </c>
      <c r="AZ440" s="58" t="s">
        <v>1373</v>
      </c>
      <c r="BA440" s="58" t="s">
        <v>151</v>
      </c>
      <c r="BB440" s="58" t="s">
        <v>1407</v>
      </c>
      <c r="BC440" s="58"/>
    </row>
    <row r="441" spans="1:55" x14ac:dyDescent="0.25">
      <c r="A441" s="10">
        <f t="shared" si="16"/>
        <v>440</v>
      </c>
      <c r="B441" s="181" t="s">
        <v>5253</v>
      </c>
      <c r="C441" s="592" t="s">
        <v>1407</v>
      </c>
      <c r="D441" s="457">
        <v>400086</v>
      </c>
      <c r="E441" s="181" t="s">
        <v>36</v>
      </c>
      <c r="F441" s="97" t="s">
        <v>5254</v>
      </c>
      <c r="G441" s="139">
        <v>6</v>
      </c>
      <c r="H441" s="458">
        <v>0.66666666666666663</v>
      </c>
      <c r="I441" s="458">
        <v>0.875</v>
      </c>
      <c r="J441" s="458">
        <f>I441-H441</f>
        <v>0.20833333333333337</v>
      </c>
      <c r="K441" s="35" t="s">
        <v>593</v>
      </c>
      <c r="L441" s="97"/>
      <c r="M441" s="97" t="s">
        <v>2097</v>
      </c>
      <c r="N441" s="58" t="s">
        <v>2098</v>
      </c>
      <c r="O441" s="58" t="s">
        <v>5111</v>
      </c>
      <c r="P441" s="206">
        <v>43437</v>
      </c>
      <c r="Q441" s="460">
        <v>44898</v>
      </c>
      <c r="R441" s="460">
        <v>45628</v>
      </c>
      <c r="S441" s="461">
        <v>45629</v>
      </c>
      <c r="T441" s="139">
        <v>2005</v>
      </c>
      <c r="U441" s="139" t="s">
        <v>306</v>
      </c>
      <c r="V441" s="139">
        <v>2016</v>
      </c>
      <c r="W441" s="139" t="s">
        <v>230</v>
      </c>
      <c r="X441" s="139" t="s">
        <v>30</v>
      </c>
      <c r="Y441" s="462" t="s">
        <v>4862</v>
      </c>
      <c r="Z441" s="140">
        <v>54226</v>
      </c>
      <c r="AA441" s="140" t="s">
        <v>1886</v>
      </c>
      <c r="AB441" s="460">
        <v>43333</v>
      </c>
      <c r="AC441" s="460">
        <v>45159</v>
      </c>
      <c r="AD441" s="139">
        <v>9652458873</v>
      </c>
      <c r="AE441" s="467" t="s">
        <v>5255</v>
      </c>
      <c r="AF441" s="139" t="s">
        <v>5086</v>
      </c>
      <c r="AG441" s="463" t="s">
        <v>5256</v>
      </c>
      <c r="AH441" s="139" t="s">
        <v>5257</v>
      </c>
      <c r="AI441" s="139" t="s">
        <v>5258</v>
      </c>
      <c r="AJ441" s="464">
        <v>537988692970</v>
      </c>
      <c r="AK441" s="140" t="s">
        <v>5259</v>
      </c>
      <c r="AL441" s="206">
        <v>45045</v>
      </c>
      <c r="AM441" s="477"/>
      <c r="AN441" s="465"/>
      <c r="AO441" s="140"/>
      <c r="AP441" s="139"/>
      <c r="AQ441" s="139"/>
      <c r="AR441" s="181"/>
      <c r="AS441" s="458"/>
      <c r="AT441" s="458"/>
      <c r="AU441" s="461">
        <v>30056</v>
      </c>
      <c r="AV441" s="181" t="s">
        <v>1389</v>
      </c>
      <c r="AW441" s="31" t="s">
        <v>68</v>
      </c>
      <c r="AX441" s="139">
        <v>5</v>
      </c>
      <c r="AY441" s="466">
        <f>VLOOKUP(K441,[3]Master!M418:BA801,40,0)</f>
        <v>5</v>
      </c>
      <c r="AZ441" s="58" t="s">
        <v>1373</v>
      </c>
      <c r="BA441" s="58" t="s">
        <v>151</v>
      </c>
      <c r="BB441" s="58" t="s">
        <v>1407</v>
      </c>
      <c r="BC441" s="58"/>
    </row>
    <row r="442" spans="1:55" x14ac:dyDescent="0.25">
      <c r="A442" s="10">
        <f t="shared" si="16"/>
        <v>441</v>
      </c>
      <c r="B442" s="181" t="s">
        <v>5260</v>
      </c>
      <c r="C442" s="592" t="s">
        <v>1407</v>
      </c>
      <c r="D442" s="457">
        <v>400090</v>
      </c>
      <c r="E442" s="181" t="s">
        <v>42</v>
      </c>
      <c r="F442" s="97" t="s">
        <v>5261</v>
      </c>
      <c r="G442" s="139">
        <v>6</v>
      </c>
      <c r="H442" s="458">
        <v>0.28125</v>
      </c>
      <c r="I442" s="458">
        <v>0.36458333333333331</v>
      </c>
      <c r="J442" s="458">
        <v>8.3333333333333329E-2</v>
      </c>
      <c r="K442" s="462" t="s">
        <v>154</v>
      </c>
      <c r="L442" s="97"/>
      <c r="M442" s="97" t="s">
        <v>5262</v>
      </c>
      <c r="N442" s="58" t="s">
        <v>5263</v>
      </c>
      <c r="O442" s="58"/>
      <c r="P442" s="206">
        <v>43467</v>
      </c>
      <c r="Q442" s="460">
        <v>43467</v>
      </c>
      <c r="R442" s="460">
        <v>44197</v>
      </c>
      <c r="S442" s="461">
        <f>R442+1</f>
        <v>44198</v>
      </c>
      <c r="T442" s="139"/>
      <c r="U442" s="139"/>
      <c r="V442" s="139"/>
      <c r="W442" s="139"/>
      <c r="X442" s="139"/>
      <c r="Y442" s="462" t="s">
        <v>196</v>
      </c>
      <c r="Z442" s="140">
        <v>69745</v>
      </c>
      <c r="AA442" s="140" t="s">
        <v>1886</v>
      </c>
      <c r="AB442" s="460">
        <v>40578</v>
      </c>
      <c r="AC442" s="460">
        <v>42404</v>
      </c>
      <c r="AD442" s="139">
        <v>9866530350</v>
      </c>
      <c r="AE442" s="140" t="s">
        <v>5264</v>
      </c>
      <c r="AF442" s="139" t="s">
        <v>5086</v>
      </c>
      <c r="AG442" s="463" t="s">
        <v>5265</v>
      </c>
      <c r="AH442" s="139" t="s">
        <v>5266</v>
      </c>
      <c r="AI442" s="139" t="s">
        <v>5267</v>
      </c>
      <c r="AJ442" s="464">
        <v>720550104062</v>
      </c>
      <c r="AK442" s="140"/>
      <c r="AL442" s="206">
        <v>44347</v>
      </c>
      <c r="AM442" s="477"/>
      <c r="AN442" s="465"/>
      <c r="AO442" s="140"/>
      <c r="AP442" s="139"/>
      <c r="AQ442" s="139"/>
      <c r="AR442" s="181"/>
      <c r="AS442" s="458"/>
      <c r="AT442" s="458"/>
      <c r="AU442" s="461">
        <v>31777</v>
      </c>
      <c r="AV442" s="181" t="s">
        <v>1352</v>
      </c>
      <c r="AW442" s="31" t="s">
        <v>32</v>
      </c>
      <c r="AX442" s="139">
        <v>2</v>
      </c>
      <c r="AY442" s="466">
        <f>VLOOKUP(K442,[3]Master!M419:BA802,40,0)</f>
        <v>8</v>
      </c>
      <c r="AZ442" s="58" t="s">
        <v>5262</v>
      </c>
      <c r="BA442" s="58" t="s">
        <v>151</v>
      </c>
      <c r="BB442" s="58" t="s">
        <v>1407</v>
      </c>
      <c r="BC442" s="58"/>
    </row>
    <row r="443" spans="1:55" x14ac:dyDescent="0.25">
      <c r="A443" s="10">
        <f t="shared" si="16"/>
        <v>442</v>
      </c>
      <c r="B443" s="181" t="s">
        <v>5268</v>
      </c>
      <c r="C443" s="592" t="s">
        <v>1407</v>
      </c>
      <c r="D443" s="457">
        <v>400091</v>
      </c>
      <c r="E443" s="181" t="s">
        <v>36</v>
      </c>
      <c r="F443" s="97" t="s">
        <v>5269</v>
      </c>
      <c r="G443" s="139">
        <v>6</v>
      </c>
      <c r="H443" s="458">
        <v>0.33333333333333331</v>
      </c>
      <c r="I443" s="458">
        <v>0.875</v>
      </c>
      <c r="J443" s="458">
        <v>0.33333333333333331</v>
      </c>
      <c r="K443" s="58" t="s">
        <v>147</v>
      </c>
      <c r="L443" s="97"/>
      <c r="M443" s="63" t="s">
        <v>1355</v>
      </c>
      <c r="N443" s="100" t="s">
        <v>1520</v>
      </c>
      <c r="O443" s="58" t="s">
        <v>5270</v>
      </c>
      <c r="P443" s="206">
        <v>43476</v>
      </c>
      <c r="Q443" s="460">
        <v>44207</v>
      </c>
      <c r="R443" s="460">
        <v>44936</v>
      </c>
      <c r="S443" s="461">
        <f>R443+1</f>
        <v>44937</v>
      </c>
      <c r="T443" s="139"/>
      <c r="U443" s="139"/>
      <c r="V443" s="139"/>
      <c r="W443" s="139"/>
      <c r="X443" s="139"/>
      <c r="Y443" s="462" t="s">
        <v>5214</v>
      </c>
      <c r="Z443" s="140" t="s">
        <v>5271</v>
      </c>
      <c r="AA443" s="140" t="s">
        <v>1841</v>
      </c>
      <c r="AB443" s="460">
        <v>43470</v>
      </c>
      <c r="AC443" s="460">
        <v>45295</v>
      </c>
      <c r="AD443" s="139">
        <v>9849338483</v>
      </c>
      <c r="AE443" s="140" t="s">
        <v>5272</v>
      </c>
      <c r="AF443" s="139" t="s">
        <v>5086</v>
      </c>
      <c r="AG443" s="463" t="s">
        <v>5273</v>
      </c>
      <c r="AH443" s="139" t="s">
        <v>5274</v>
      </c>
      <c r="AI443" s="139" t="s">
        <v>5275</v>
      </c>
      <c r="AJ443" s="464">
        <v>361923570517</v>
      </c>
      <c r="AK443" s="140" t="s">
        <v>5276</v>
      </c>
      <c r="AL443" s="206">
        <v>44347</v>
      </c>
      <c r="AM443" s="477"/>
      <c r="AN443" s="465"/>
      <c r="AO443" s="140"/>
      <c r="AP443" s="139"/>
      <c r="AQ443" s="139"/>
      <c r="AR443" s="181"/>
      <c r="AS443" s="458"/>
      <c r="AT443" s="458"/>
      <c r="AU443" s="461">
        <v>31745</v>
      </c>
      <c r="AV443" s="181" t="s">
        <v>1352</v>
      </c>
      <c r="AW443" s="31" t="s">
        <v>68</v>
      </c>
      <c r="AX443" s="139">
        <v>8</v>
      </c>
      <c r="AY443" s="466">
        <f>VLOOKUP(K443,[3]Master!M420:BA803,40,0)</f>
        <v>8</v>
      </c>
      <c r="AZ443" s="58" t="s">
        <v>1373</v>
      </c>
      <c r="BA443" s="58" t="s">
        <v>151</v>
      </c>
      <c r="BB443" s="58" t="s">
        <v>1407</v>
      </c>
      <c r="BC443" s="58"/>
    </row>
    <row r="444" spans="1:55" x14ac:dyDescent="0.25">
      <c r="A444" s="10">
        <f t="shared" si="16"/>
        <v>443</v>
      </c>
      <c r="B444" s="181" t="s">
        <v>5277</v>
      </c>
      <c r="C444" s="592" t="s">
        <v>1407</v>
      </c>
      <c r="D444" s="457">
        <v>400094</v>
      </c>
      <c r="E444" s="181" t="s">
        <v>36</v>
      </c>
      <c r="F444" s="97" t="s">
        <v>5278</v>
      </c>
      <c r="G444" s="139">
        <v>6</v>
      </c>
      <c r="H444" s="458">
        <v>0.70833333333333337</v>
      </c>
      <c r="I444" s="458">
        <v>0.875</v>
      </c>
      <c r="J444" s="458">
        <v>0.16666666666666666</v>
      </c>
      <c r="K444" s="100" t="s">
        <v>287</v>
      </c>
      <c r="L444" s="97"/>
      <c r="M444" s="63" t="s">
        <v>1355</v>
      </c>
      <c r="N444" s="100" t="s">
        <v>1520</v>
      </c>
      <c r="O444" s="58" t="s">
        <v>5270</v>
      </c>
      <c r="P444" s="206">
        <v>43497</v>
      </c>
      <c r="Q444" s="460">
        <v>44228</v>
      </c>
      <c r="R444" s="460">
        <v>44957</v>
      </c>
      <c r="S444" s="461"/>
      <c r="T444" s="139">
        <v>2012</v>
      </c>
      <c r="U444" s="139" t="s">
        <v>380</v>
      </c>
      <c r="V444" s="139">
        <v>2018</v>
      </c>
      <c r="W444" s="139" t="s">
        <v>283</v>
      </c>
      <c r="X444" s="139"/>
      <c r="Y444" s="462" t="s">
        <v>5214</v>
      </c>
      <c r="Z444" s="140" t="s">
        <v>5279</v>
      </c>
      <c r="AA444" s="140" t="s">
        <v>1841</v>
      </c>
      <c r="AB444" s="460">
        <v>43336</v>
      </c>
      <c r="AC444" s="460">
        <v>45162</v>
      </c>
      <c r="AD444" s="139">
        <v>7416695925</v>
      </c>
      <c r="AE444" s="140" t="s">
        <v>5280</v>
      </c>
      <c r="AF444" s="139" t="s">
        <v>1430</v>
      </c>
      <c r="AG444" s="463" t="s">
        <v>5281</v>
      </c>
      <c r="AH444" s="139" t="s">
        <v>3246</v>
      </c>
      <c r="AI444" s="139" t="s">
        <v>5282</v>
      </c>
      <c r="AJ444" s="464">
        <v>588020753876</v>
      </c>
      <c r="AK444" s="140" t="s">
        <v>5283</v>
      </c>
      <c r="AL444" s="206">
        <v>44608</v>
      </c>
      <c r="AM444" s="477"/>
      <c r="AN444" s="465"/>
      <c r="AO444" s="140"/>
      <c r="AP444" s="139"/>
      <c r="AQ444" s="139"/>
      <c r="AR444" s="181"/>
      <c r="AS444" s="458"/>
      <c r="AT444" s="458"/>
      <c r="AU444" s="461">
        <v>33224</v>
      </c>
      <c r="AV444" s="181" t="s">
        <v>1352</v>
      </c>
      <c r="AW444" s="31" t="s">
        <v>32</v>
      </c>
      <c r="AX444" s="139">
        <v>4</v>
      </c>
      <c r="AY444" s="466">
        <f>VLOOKUP(K444,[3]Master!M421:BA804,40,0)</f>
        <v>4</v>
      </c>
      <c r="AZ444" s="58" t="s">
        <v>1373</v>
      </c>
      <c r="BA444" s="58" t="s">
        <v>151</v>
      </c>
      <c r="BB444" s="58" t="s">
        <v>1407</v>
      </c>
      <c r="BC444" s="58"/>
    </row>
    <row r="445" spans="1:55" x14ac:dyDescent="0.25">
      <c r="A445" s="10">
        <f t="shared" si="16"/>
        <v>444</v>
      </c>
      <c r="B445" s="181" t="s">
        <v>5284</v>
      </c>
      <c r="C445" s="592" t="s">
        <v>1407</v>
      </c>
      <c r="D445" s="457">
        <v>400095</v>
      </c>
      <c r="E445" s="181" t="s">
        <v>42</v>
      </c>
      <c r="F445" s="97" t="s">
        <v>5285</v>
      </c>
      <c r="G445" s="139">
        <v>6</v>
      </c>
      <c r="H445" s="458"/>
      <c r="I445" s="458"/>
      <c r="J445" s="458"/>
      <c r="K445" s="58" t="s">
        <v>147</v>
      </c>
      <c r="L445" s="97"/>
      <c r="M445" s="97" t="s">
        <v>5286</v>
      </c>
      <c r="N445" s="58" t="s">
        <v>5287</v>
      </c>
      <c r="O445" s="58"/>
      <c r="P445" s="206">
        <v>43497</v>
      </c>
      <c r="Q445" s="460">
        <v>43497</v>
      </c>
      <c r="R445" s="460">
        <v>44227</v>
      </c>
      <c r="S445" s="461">
        <f>R445+1</f>
        <v>44228</v>
      </c>
      <c r="T445" s="139"/>
      <c r="U445" s="139"/>
      <c r="V445" s="139"/>
      <c r="W445" s="139"/>
      <c r="X445" s="139"/>
      <c r="Y445" s="462" t="s">
        <v>5288</v>
      </c>
      <c r="Z445" s="140">
        <v>58988</v>
      </c>
      <c r="AA445" s="140" t="s">
        <v>1560</v>
      </c>
      <c r="AB445" s="460">
        <v>36979</v>
      </c>
      <c r="AC445" s="460">
        <v>38805</v>
      </c>
      <c r="AD445" s="139"/>
      <c r="AE445" s="140" t="s">
        <v>5289</v>
      </c>
      <c r="AF445" s="139" t="s">
        <v>1400</v>
      </c>
      <c r="AG445" s="463" t="s">
        <v>5290</v>
      </c>
      <c r="AH445" s="139" t="s">
        <v>5291</v>
      </c>
      <c r="AI445" s="139" t="s">
        <v>5292</v>
      </c>
      <c r="AJ445" s="464">
        <v>855415411236</v>
      </c>
      <c r="AK445" s="140"/>
      <c r="AL445" s="206"/>
      <c r="AM445" s="477"/>
      <c r="AN445" s="465"/>
      <c r="AO445" s="140"/>
      <c r="AP445" s="139"/>
      <c r="AQ445" s="139"/>
      <c r="AR445" s="181"/>
      <c r="AS445" s="458"/>
      <c r="AT445" s="458"/>
      <c r="AU445" s="461">
        <v>28046</v>
      </c>
      <c r="AV445" s="181" t="s">
        <v>1352</v>
      </c>
      <c r="AW445" s="181"/>
      <c r="AX445" s="139"/>
      <c r="AY445" s="466">
        <f>VLOOKUP(K445,[3]Master!M422:BA805,40,0)</f>
        <v>8</v>
      </c>
      <c r="AZ445" s="58" t="s">
        <v>5286</v>
      </c>
      <c r="BA445" s="58" t="s">
        <v>151</v>
      </c>
      <c r="BB445" s="58" t="s">
        <v>1407</v>
      </c>
      <c r="BC445" s="58"/>
    </row>
    <row r="446" spans="1:55" x14ac:dyDescent="0.25">
      <c r="A446" s="10">
        <f t="shared" si="16"/>
        <v>445</v>
      </c>
      <c r="B446" s="181" t="s">
        <v>5293</v>
      </c>
      <c r="C446" s="592" t="s">
        <v>1407</v>
      </c>
      <c r="D446" s="457">
        <v>400098</v>
      </c>
      <c r="E446" s="181" t="s">
        <v>36</v>
      </c>
      <c r="F446" s="97" t="s">
        <v>5294</v>
      </c>
      <c r="G446" s="139">
        <v>6</v>
      </c>
      <c r="H446" s="458">
        <v>0.54166666666666663</v>
      </c>
      <c r="I446" s="458">
        <v>0.875</v>
      </c>
      <c r="J446" s="458">
        <v>0.33333333333333331</v>
      </c>
      <c r="K446" s="143" t="s">
        <v>1266</v>
      </c>
      <c r="L446" s="97" t="s">
        <v>5295</v>
      </c>
      <c r="M446" s="97" t="s">
        <v>26</v>
      </c>
      <c r="N446" s="58" t="s">
        <v>38</v>
      </c>
      <c r="O446" s="58" t="s">
        <v>5050</v>
      </c>
      <c r="P446" s="206">
        <v>43525</v>
      </c>
      <c r="Q446" s="460">
        <v>43525</v>
      </c>
      <c r="R446" s="460">
        <v>44255</v>
      </c>
      <c r="S446" s="461">
        <f>R446+1</f>
        <v>44256</v>
      </c>
      <c r="T446" s="139"/>
      <c r="U446" s="139"/>
      <c r="V446" s="139"/>
      <c r="W446" s="139"/>
      <c r="X446" s="139"/>
      <c r="Y446" s="462" t="s">
        <v>5235</v>
      </c>
      <c r="Z446" s="140">
        <v>71632</v>
      </c>
      <c r="AA446" s="140" t="s">
        <v>1841</v>
      </c>
      <c r="AB446" s="460">
        <v>43516</v>
      </c>
      <c r="AC446" s="460">
        <v>45341</v>
      </c>
      <c r="AD446" s="139">
        <v>9885558272</v>
      </c>
      <c r="AE446" s="140" t="s">
        <v>5296</v>
      </c>
      <c r="AF446" s="139" t="s">
        <v>1364</v>
      </c>
      <c r="AG446" s="463" t="s">
        <v>5297</v>
      </c>
      <c r="AH446" s="139" t="s">
        <v>5298</v>
      </c>
      <c r="AI446" s="139" t="s">
        <v>5299</v>
      </c>
      <c r="AJ446" s="464">
        <v>366927833840</v>
      </c>
      <c r="AK446" s="140" t="s">
        <v>5300</v>
      </c>
      <c r="AL446" s="461">
        <v>44439</v>
      </c>
      <c r="AM446" s="477"/>
      <c r="AN446" s="465"/>
      <c r="AO446" s="140"/>
      <c r="AP446" s="139"/>
      <c r="AQ446" s="139"/>
      <c r="AR446" s="181"/>
      <c r="AS446" s="458"/>
      <c r="AT446" s="458"/>
      <c r="AU446" s="461">
        <v>32093</v>
      </c>
      <c r="AV446" s="181" t="s">
        <v>1352</v>
      </c>
      <c r="AW446" s="31" t="s">
        <v>68</v>
      </c>
      <c r="AX446" s="139">
        <v>8</v>
      </c>
      <c r="AY446" s="466">
        <f>VLOOKUP(K446,[3]Master!M423:BA806,40,0)</f>
        <v>8</v>
      </c>
      <c r="AZ446" s="58" t="s">
        <v>26</v>
      </c>
      <c r="BA446" s="58" t="s">
        <v>151</v>
      </c>
      <c r="BB446" s="58" t="s">
        <v>1407</v>
      </c>
      <c r="BC446" s="58"/>
    </row>
    <row r="447" spans="1:55" x14ac:dyDescent="0.25">
      <c r="A447" s="10">
        <f t="shared" si="16"/>
        <v>446</v>
      </c>
      <c r="B447" s="181" t="s">
        <v>5301</v>
      </c>
      <c r="C447" s="592" t="s">
        <v>1407</v>
      </c>
      <c r="D447" s="457">
        <v>400102</v>
      </c>
      <c r="E447" s="181" t="s">
        <v>36</v>
      </c>
      <c r="F447" s="97" t="s">
        <v>5302</v>
      </c>
      <c r="G447" s="139">
        <v>6</v>
      </c>
      <c r="H447" s="458">
        <v>0.375</v>
      </c>
      <c r="I447" s="458">
        <v>0.625</v>
      </c>
      <c r="J447" s="458">
        <v>0.25</v>
      </c>
      <c r="K447" s="462" t="s">
        <v>5190</v>
      </c>
      <c r="L447" s="97" t="s">
        <v>5303</v>
      </c>
      <c r="M447" s="97" t="s">
        <v>26</v>
      </c>
      <c r="N447" s="58" t="s">
        <v>38</v>
      </c>
      <c r="O447" s="58" t="s">
        <v>5050</v>
      </c>
      <c r="P447" s="206">
        <v>43571</v>
      </c>
      <c r="Q447" s="460">
        <v>43997</v>
      </c>
      <c r="R447" s="460">
        <v>44726</v>
      </c>
      <c r="S447" s="461">
        <f>R447+1</f>
        <v>44727</v>
      </c>
      <c r="T447" s="139"/>
      <c r="U447" s="139"/>
      <c r="V447" s="139"/>
      <c r="W447" s="139"/>
      <c r="X447" s="139"/>
      <c r="Y447" s="462" t="s">
        <v>5235</v>
      </c>
      <c r="Z447" s="140">
        <v>69466</v>
      </c>
      <c r="AA447" s="140" t="s">
        <v>1886</v>
      </c>
      <c r="AB447" s="460">
        <v>42643</v>
      </c>
      <c r="AC447" s="460">
        <v>44468</v>
      </c>
      <c r="AD447" s="139">
        <v>9985077082</v>
      </c>
      <c r="AE447" s="140" t="s">
        <v>5304</v>
      </c>
      <c r="AF447" s="139" t="s">
        <v>1928</v>
      </c>
      <c r="AG447" s="463" t="s">
        <v>5305</v>
      </c>
      <c r="AH447" s="139" t="s">
        <v>5306</v>
      </c>
      <c r="AI447" s="139" t="s">
        <v>5307</v>
      </c>
      <c r="AJ447" s="464">
        <v>435856754146</v>
      </c>
      <c r="AK447" s="140" t="s">
        <v>5308</v>
      </c>
      <c r="AL447" s="461">
        <v>44315</v>
      </c>
      <c r="AM447" s="477"/>
      <c r="AN447" s="465"/>
      <c r="AO447" s="140"/>
      <c r="AP447" s="139"/>
      <c r="AQ447" s="139"/>
      <c r="AR447" s="181"/>
      <c r="AS447" s="458"/>
      <c r="AT447" s="458"/>
      <c r="AU447" s="461">
        <v>31552</v>
      </c>
      <c r="AV447" s="181" t="s">
        <v>1389</v>
      </c>
      <c r="AW447" s="31" t="s">
        <v>32</v>
      </c>
      <c r="AX447" s="139">
        <v>6</v>
      </c>
      <c r="AY447" s="58" t="s">
        <v>2068</v>
      </c>
      <c r="AZ447" s="58" t="s">
        <v>26</v>
      </c>
      <c r="BA447" s="58" t="s">
        <v>151</v>
      </c>
      <c r="BB447" s="58" t="s">
        <v>1407</v>
      </c>
      <c r="BC447" s="58"/>
    </row>
    <row r="448" spans="1:55" x14ac:dyDescent="0.25">
      <c r="A448" s="10">
        <f t="shared" si="16"/>
        <v>447</v>
      </c>
      <c r="B448" s="181" t="s">
        <v>5309</v>
      </c>
      <c r="C448" s="592" t="s">
        <v>1407</v>
      </c>
      <c r="D448" s="457">
        <v>400110</v>
      </c>
      <c r="E448" s="181" t="s">
        <v>36</v>
      </c>
      <c r="F448" s="97" t="s">
        <v>5310</v>
      </c>
      <c r="G448" s="139">
        <v>6</v>
      </c>
      <c r="H448" s="458">
        <v>0.58333333333333337</v>
      </c>
      <c r="I448" s="458">
        <v>0.75</v>
      </c>
      <c r="J448" s="458">
        <f>I448-H448</f>
        <v>0.16666666666666663</v>
      </c>
      <c r="K448" s="100" t="s">
        <v>563</v>
      </c>
      <c r="L448" s="97"/>
      <c r="M448" s="97" t="s">
        <v>2097</v>
      </c>
      <c r="N448" s="58" t="s">
        <v>2098</v>
      </c>
      <c r="O448" s="58" t="s">
        <v>5111</v>
      </c>
      <c r="P448" s="206">
        <v>43591</v>
      </c>
      <c r="Q448" s="460">
        <v>44348</v>
      </c>
      <c r="R448" s="460">
        <v>45077</v>
      </c>
      <c r="S448" s="461">
        <v>45078</v>
      </c>
      <c r="T448" s="139">
        <v>2010</v>
      </c>
      <c r="U448" s="139" t="s">
        <v>715</v>
      </c>
      <c r="V448" s="139">
        <v>2017</v>
      </c>
      <c r="W448" s="139" t="s">
        <v>343</v>
      </c>
      <c r="X448" s="139" t="s">
        <v>30</v>
      </c>
      <c r="Y448" s="462" t="s">
        <v>4862</v>
      </c>
      <c r="Z448" s="140">
        <v>72025</v>
      </c>
      <c r="AA448" s="140" t="s">
        <v>1886</v>
      </c>
      <c r="AB448" s="460">
        <v>43250</v>
      </c>
      <c r="AC448" s="460">
        <v>45075</v>
      </c>
      <c r="AD448" s="139">
        <v>9493187942</v>
      </c>
      <c r="AE448" s="467" t="s">
        <v>5311</v>
      </c>
      <c r="AF448" s="139" t="s">
        <v>1805</v>
      </c>
      <c r="AG448" s="463" t="s">
        <v>5312</v>
      </c>
      <c r="AH448" s="139" t="s">
        <v>1889</v>
      </c>
      <c r="AI448" s="139" t="s">
        <v>5313</v>
      </c>
      <c r="AJ448" s="464">
        <v>393697322855</v>
      </c>
      <c r="AK448" s="140" t="s">
        <v>5314</v>
      </c>
      <c r="AL448" s="206"/>
      <c r="AM448" s="477"/>
      <c r="AN448" s="465"/>
      <c r="AO448" s="140"/>
      <c r="AP448" s="139"/>
      <c r="AQ448" s="139"/>
      <c r="AR448" s="181"/>
      <c r="AS448" s="458"/>
      <c r="AT448" s="458"/>
      <c r="AU448" s="461">
        <v>31349</v>
      </c>
      <c r="AV448" s="181" t="s">
        <v>1352</v>
      </c>
      <c r="AW448" s="31" t="s">
        <v>32</v>
      </c>
      <c r="AX448" s="139">
        <v>4</v>
      </c>
      <c r="AY448" s="466">
        <f>VLOOKUP(K448,[3]Master!M425:BA808,40,0)</f>
        <v>7</v>
      </c>
      <c r="AZ448" s="58" t="s">
        <v>1373</v>
      </c>
      <c r="BA448" s="58" t="s">
        <v>151</v>
      </c>
      <c r="BB448" s="58" t="s">
        <v>1407</v>
      </c>
      <c r="BC448" s="58"/>
    </row>
    <row r="449" spans="1:55" x14ac:dyDescent="0.25">
      <c r="A449" s="10">
        <f t="shared" si="16"/>
        <v>448</v>
      </c>
      <c r="B449" s="181" t="s">
        <v>5315</v>
      </c>
      <c r="C449" s="592" t="s">
        <v>1407</v>
      </c>
      <c r="D449" s="457">
        <v>400111</v>
      </c>
      <c r="E449" s="181" t="s">
        <v>42</v>
      </c>
      <c r="F449" s="97" t="s">
        <v>5316</v>
      </c>
      <c r="G449" s="139">
        <v>6</v>
      </c>
      <c r="H449" s="458">
        <v>0.375</v>
      </c>
      <c r="I449" s="458">
        <v>0.70833333333333337</v>
      </c>
      <c r="J449" s="458">
        <v>0.33333333333333331</v>
      </c>
      <c r="K449" s="35" t="s">
        <v>983</v>
      </c>
      <c r="L449" s="97" t="s">
        <v>5197</v>
      </c>
      <c r="M449" s="97" t="s">
        <v>26</v>
      </c>
      <c r="N449" s="58" t="s">
        <v>38</v>
      </c>
      <c r="O449" s="58" t="s">
        <v>5050</v>
      </c>
      <c r="P449" s="206">
        <v>43591</v>
      </c>
      <c r="Q449" s="460">
        <v>44256</v>
      </c>
      <c r="R449" s="460">
        <v>44985</v>
      </c>
      <c r="S449" s="461">
        <f>R449+1</f>
        <v>44986</v>
      </c>
      <c r="T449" s="139"/>
      <c r="U449" s="139"/>
      <c r="V449" s="139"/>
      <c r="W449" s="139"/>
      <c r="X449" s="139"/>
      <c r="Y449" s="462" t="s">
        <v>5235</v>
      </c>
      <c r="Z449" s="140" t="s">
        <v>5317</v>
      </c>
      <c r="AA449" s="140" t="s">
        <v>1841</v>
      </c>
      <c r="AB449" s="460">
        <v>43336</v>
      </c>
      <c r="AC449" s="460">
        <v>45161</v>
      </c>
      <c r="AD449" s="139">
        <v>8790757456</v>
      </c>
      <c r="AE449" s="140" t="s">
        <v>5318</v>
      </c>
      <c r="AF449" s="139" t="s">
        <v>1430</v>
      </c>
      <c r="AG449" s="463" t="s">
        <v>5319</v>
      </c>
      <c r="AH449" s="139" t="s">
        <v>5320</v>
      </c>
      <c r="AI449" s="139" t="s">
        <v>5321</v>
      </c>
      <c r="AJ449" s="464">
        <v>746901085077</v>
      </c>
      <c r="AK449" s="140" t="s">
        <v>5322</v>
      </c>
      <c r="AL449" s="461">
        <v>44450</v>
      </c>
      <c r="AM449" s="477"/>
      <c r="AN449" s="465"/>
      <c r="AO449" s="140"/>
      <c r="AP449" s="139"/>
      <c r="AQ449" s="139"/>
      <c r="AR449" s="181"/>
      <c r="AS449" s="458"/>
      <c r="AT449" s="458"/>
      <c r="AU449" s="461">
        <v>31594</v>
      </c>
      <c r="AV449" s="181" t="s">
        <v>1389</v>
      </c>
      <c r="AW449" s="31" t="s">
        <v>68</v>
      </c>
      <c r="AX449" s="139">
        <v>8</v>
      </c>
      <c r="AY449" s="466">
        <f>VLOOKUP(K449,[3]Master!M426:BA809,40,0)</f>
        <v>8</v>
      </c>
      <c r="AZ449" s="58" t="s">
        <v>26</v>
      </c>
      <c r="BA449" s="58" t="s">
        <v>151</v>
      </c>
      <c r="BB449" s="58" t="s">
        <v>1407</v>
      </c>
      <c r="BC449" s="58"/>
    </row>
    <row r="450" spans="1:55" x14ac:dyDescent="0.25">
      <c r="A450" s="10">
        <f t="shared" si="16"/>
        <v>449</v>
      </c>
      <c r="B450" s="181" t="s">
        <v>684</v>
      </c>
      <c r="C450" s="592" t="s">
        <v>1407</v>
      </c>
      <c r="D450" s="457">
        <v>400113</v>
      </c>
      <c r="E450" s="181" t="s">
        <v>36</v>
      </c>
      <c r="F450" s="97" t="s">
        <v>685</v>
      </c>
      <c r="G450" s="139">
        <v>6</v>
      </c>
      <c r="H450" s="458">
        <v>0.33333333333333331</v>
      </c>
      <c r="I450" s="458">
        <v>0.66666666666666663</v>
      </c>
      <c r="J450" s="458">
        <v>0.33333333333333331</v>
      </c>
      <c r="K450" s="143" t="s">
        <v>538</v>
      </c>
      <c r="L450" s="97" t="s">
        <v>5323</v>
      </c>
      <c r="M450" s="97" t="s">
        <v>26</v>
      </c>
      <c r="N450" s="58" t="s">
        <v>38</v>
      </c>
      <c r="O450" s="58" t="s">
        <v>5050</v>
      </c>
      <c r="P450" s="206">
        <v>43591</v>
      </c>
      <c r="Q450" s="460">
        <v>44348</v>
      </c>
      <c r="R450" s="460">
        <v>45077</v>
      </c>
      <c r="S450" s="461">
        <f>R450+1</f>
        <v>45078</v>
      </c>
      <c r="T450" s="139">
        <v>2012</v>
      </c>
      <c r="U450" s="139" t="s">
        <v>380</v>
      </c>
      <c r="V450" s="139">
        <v>2016</v>
      </c>
      <c r="W450" s="139" t="s">
        <v>196</v>
      </c>
      <c r="X450" s="139"/>
      <c r="Y450" s="462" t="s">
        <v>1236</v>
      </c>
      <c r="Z450" s="140" t="s">
        <v>3320</v>
      </c>
      <c r="AA450" s="140" t="s">
        <v>1841</v>
      </c>
      <c r="AB450" s="460">
        <v>43328</v>
      </c>
      <c r="AC450" s="460">
        <v>45153</v>
      </c>
      <c r="AD450" s="139">
        <v>8885840668</v>
      </c>
      <c r="AE450" s="467" t="s">
        <v>5324</v>
      </c>
      <c r="AF450" s="139" t="s">
        <v>1364</v>
      </c>
      <c r="AG450" s="463" t="s">
        <v>5325</v>
      </c>
      <c r="AH450" s="139" t="s">
        <v>5326</v>
      </c>
      <c r="AI450" s="139" t="s">
        <v>3323</v>
      </c>
      <c r="AJ450" s="464">
        <v>363250717209</v>
      </c>
      <c r="AK450" s="140" t="s">
        <v>5327</v>
      </c>
      <c r="AL450" s="461">
        <v>44701</v>
      </c>
      <c r="AM450" s="477">
        <v>44641</v>
      </c>
      <c r="AN450" s="465"/>
      <c r="AO450" s="140"/>
      <c r="AP450" s="139"/>
      <c r="AQ450" s="139"/>
      <c r="AR450" s="181"/>
      <c r="AS450" s="458"/>
      <c r="AT450" s="458"/>
      <c r="AU450" s="461">
        <v>32558</v>
      </c>
      <c r="AV450" s="181" t="s">
        <v>1352</v>
      </c>
      <c r="AW450" s="31" t="s">
        <v>68</v>
      </c>
      <c r="AX450" s="139">
        <v>8</v>
      </c>
      <c r="AY450" s="466">
        <f>VLOOKUP(K450,[3]Master!M427:BA810,40,0)</f>
        <v>8</v>
      </c>
      <c r="AZ450" s="58" t="s">
        <v>26</v>
      </c>
      <c r="BA450" s="58" t="s">
        <v>151</v>
      </c>
      <c r="BB450" s="58" t="s">
        <v>1407</v>
      </c>
      <c r="BC450" s="58"/>
    </row>
    <row r="451" spans="1:55" x14ac:dyDescent="0.25">
      <c r="A451" s="10">
        <f t="shared" si="16"/>
        <v>450</v>
      </c>
      <c r="B451" s="181" t="s">
        <v>5328</v>
      </c>
      <c r="C451" s="592" t="s">
        <v>1407</v>
      </c>
      <c r="D451" s="457">
        <v>400976</v>
      </c>
      <c r="E451" s="181" t="s">
        <v>36</v>
      </c>
      <c r="F451" s="97" t="s">
        <v>5329</v>
      </c>
      <c r="G451" s="139">
        <v>6</v>
      </c>
      <c r="H451" s="469">
        <v>0.41666666666666669</v>
      </c>
      <c r="I451" s="469">
        <v>0.5</v>
      </c>
      <c r="J451" s="458">
        <f>I451-H451</f>
        <v>8.3333333333333315E-2</v>
      </c>
      <c r="K451" s="100" t="s">
        <v>563</v>
      </c>
      <c r="L451" s="97" t="s">
        <v>1424</v>
      </c>
      <c r="M451" s="63" t="s">
        <v>1355</v>
      </c>
      <c r="N451" s="100" t="s">
        <v>1520</v>
      </c>
      <c r="O451" s="58" t="s">
        <v>5330</v>
      </c>
      <c r="P451" s="206">
        <v>45383</v>
      </c>
      <c r="Q451" s="206">
        <v>45383</v>
      </c>
      <c r="R451" s="206">
        <v>46112</v>
      </c>
      <c r="S451" s="461">
        <v>46113</v>
      </c>
      <c r="T451" s="139">
        <v>2009</v>
      </c>
      <c r="U451" s="181" t="s">
        <v>741</v>
      </c>
      <c r="V451" s="139">
        <v>2022</v>
      </c>
      <c r="W451" s="97" t="s">
        <v>406</v>
      </c>
      <c r="X451" s="181" t="s">
        <v>30</v>
      </c>
      <c r="Y451" s="58" t="s">
        <v>5066</v>
      </c>
      <c r="Z451" s="140">
        <v>64351</v>
      </c>
      <c r="AA451" s="470" t="s">
        <v>1886</v>
      </c>
      <c r="AB451" s="471">
        <v>44593</v>
      </c>
      <c r="AC451" s="471">
        <v>46418</v>
      </c>
      <c r="AD451" s="472">
        <v>9492568543</v>
      </c>
      <c r="AE451" s="473" t="s">
        <v>5331</v>
      </c>
      <c r="AF451" s="474" t="s">
        <v>1466</v>
      </c>
      <c r="AG451" s="475" t="s">
        <v>5332</v>
      </c>
      <c r="AH451" s="181" t="s">
        <v>5333</v>
      </c>
      <c r="AI451" s="139" t="s">
        <v>5334</v>
      </c>
      <c r="AJ451" s="476">
        <v>968531604494</v>
      </c>
      <c r="AK451" s="470"/>
      <c r="AL451" s="206">
        <v>45467</v>
      </c>
      <c r="AM451" s="477">
        <v>45453</v>
      </c>
      <c r="AN451" s="478" t="s">
        <v>5335</v>
      </c>
      <c r="AO451" s="140" t="s">
        <v>5336</v>
      </c>
      <c r="AP451" s="58"/>
      <c r="AQ451" s="140" t="s">
        <v>5336</v>
      </c>
      <c r="AR451" s="462"/>
      <c r="AS451" s="479">
        <v>0.41666666666666669</v>
      </c>
      <c r="AT451" s="479">
        <v>0.5</v>
      </c>
      <c r="AU451" s="480">
        <v>30896</v>
      </c>
      <c r="AV451" s="181" t="s">
        <v>1389</v>
      </c>
      <c r="AW451" s="31" t="s">
        <v>32</v>
      </c>
      <c r="AX451" s="139">
        <v>2</v>
      </c>
      <c r="AY451" s="58" t="s">
        <v>1895</v>
      </c>
      <c r="AZ451" s="58" t="s">
        <v>1373</v>
      </c>
      <c r="BA451" s="58" t="s">
        <v>151</v>
      </c>
      <c r="BB451" s="58" t="s">
        <v>1407</v>
      </c>
      <c r="BC451" s="58"/>
    </row>
    <row r="452" spans="1:55" x14ac:dyDescent="0.25">
      <c r="A452" s="10">
        <f t="shared" ref="A452:A515" si="19">A451+1</f>
        <v>451</v>
      </c>
      <c r="B452" s="181" t="s">
        <v>5337</v>
      </c>
      <c r="C452" s="592" t="s">
        <v>1407</v>
      </c>
      <c r="D452" s="457">
        <v>400120</v>
      </c>
      <c r="E452" s="181" t="s">
        <v>42</v>
      </c>
      <c r="F452" s="97" t="s">
        <v>5338</v>
      </c>
      <c r="G452" s="139">
        <v>6</v>
      </c>
      <c r="H452" s="458">
        <v>0.29166666666666669</v>
      </c>
      <c r="I452" s="458">
        <v>0.91666666666666663</v>
      </c>
      <c r="J452" s="458">
        <v>0.33333333333333331</v>
      </c>
      <c r="K452" s="143" t="s">
        <v>477</v>
      </c>
      <c r="L452" s="97" t="s">
        <v>5339</v>
      </c>
      <c r="M452" s="97" t="s">
        <v>26</v>
      </c>
      <c r="N452" s="58" t="s">
        <v>38</v>
      </c>
      <c r="O452" s="58" t="s">
        <v>5050</v>
      </c>
      <c r="P452" s="206">
        <v>43617</v>
      </c>
      <c r="Q452" s="460">
        <v>43617</v>
      </c>
      <c r="R452" s="460">
        <v>44347</v>
      </c>
      <c r="S452" s="461">
        <f>R452+1</f>
        <v>44348</v>
      </c>
      <c r="T452" s="139">
        <v>2008</v>
      </c>
      <c r="U452" s="139" t="s">
        <v>163</v>
      </c>
      <c r="V452" s="139">
        <v>2017</v>
      </c>
      <c r="W452" s="139" t="s">
        <v>5148</v>
      </c>
      <c r="X452" s="139"/>
      <c r="Y452" s="462" t="s">
        <v>5340</v>
      </c>
      <c r="Z452" s="140">
        <v>64415</v>
      </c>
      <c r="AA452" s="140" t="s">
        <v>1841</v>
      </c>
      <c r="AB452" s="460">
        <v>43034</v>
      </c>
      <c r="AC452" s="460">
        <v>44859</v>
      </c>
      <c r="AD452" s="139">
        <v>8374869790</v>
      </c>
      <c r="AE452" s="140" t="s">
        <v>5341</v>
      </c>
      <c r="AF452" s="139" t="s">
        <v>1430</v>
      </c>
      <c r="AG452" s="463" t="s">
        <v>5342</v>
      </c>
      <c r="AH452" s="139" t="s">
        <v>5343</v>
      </c>
      <c r="AI452" s="139" t="s">
        <v>5344</v>
      </c>
      <c r="AJ452" s="464">
        <v>864535341383</v>
      </c>
      <c r="AK452" s="140" t="s">
        <v>5345</v>
      </c>
      <c r="AL452" s="461">
        <v>44445</v>
      </c>
      <c r="AM452" s="477"/>
      <c r="AN452" s="465"/>
      <c r="AO452" s="140"/>
      <c r="AP452" s="139"/>
      <c r="AQ452" s="139"/>
      <c r="AR452" s="181"/>
      <c r="AS452" s="458"/>
      <c r="AT452" s="458"/>
      <c r="AU452" s="461">
        <v>31088</v>
      </c>
      <c r="AV452" s="181" t="s">
        <v>1352</v>
      </c>
      <c r="AW452" s="31" t="s">
        <v>68</v>
      </c>
      <c r="AX452" s="139">
        <v>8</v>
      </c>
      <c r="AY452" s="466">
        <f>VLOOKUP(K452,[3]Master!M429:BA812,40,0)</f>
        <v>3</v>
      </c>
      <c r="AZ452" s="58" t="s">
        <v>26</v>
      </c>
      <c r="BA452" s="58" t="s">
        <v>151</v>
      </c>
      <c r="BB452" s="58" t="s">
        <v>1407</v>
      </c>
      <c r="BC452" s="58"/>
    </row>
    <row r="453" spans="1:55" x14ac:dyDescent="0.25">
      <c r="A453" s="10">
        <f t="shared" si="19"/>
        <v>452</v>
      </c>
      <c r="B453" s="181" t="s">
        <v>5346</v>
      </c>
      <c r="C453" s="592" t="s">
        <v>1407</v>
      </c>
      <c r="D453" s="457">
        <v>400125</v>
      </c>
      <c r="E453" s="181" t="s">
        <v>36</v>
      </c>
      <c r="F453" s="97" t="s">
        <v>5347</v>
      </c>
      <c r="G453" s="139">
        <v>6</v>
      </c>
      <c r="H453" s="458">
        <v>0.70833333333333337</v>
      </c>
      <c r="I453" s="458">
        <v>0.79166666666666663</v>
      </c>
      <c r="J453" s="458">
        <v>8.3333333333333329E-2</v>
      </c>
      <c r="K453" s="143" t="s">
        <v>378</v>
      </c>
      <c r="L453" s="97" t="s">
        <v>5348</v>
      </c>
      <c r="M453" s="97" t="s">
        <v>26</v>
      </c>
      <c r="N453" s="58" t="s">
        <v>38</v>
      </c>
      <c r="O453" s="58" t="s">
        <v>5050</v>
      </c>
      <c r="P453" s="206">
        <v>44172</v>
      </c>
      <c r="Q453" s="460">
        <v>44172</v>
      </c>
      <c r="R453" s="460">
        <v>44901</v>
      </c>
      <c r="S453" s="461">
        <f>R453+1</f>
        <v>44902</v>
      </c>
      <c r="T453" s="139">
        <v>2012</v>
      </c>
      <c r="U453" s="139" t="s">
        <v>5349</v>
      </c>
      <c r="V453" s="139">
        <v>2019</v>
      </c>
      <c r="W453" s="139" t="s">
        <v>176</v>
      </c>
      <c r="X453" s="139"/>
      <c r="Y453" s="462" t="s">
        <v>5350</v>
      </c>
      <c r="Z453" s="140" t="s">
        <v>5351</v>
      </c>
      <c r="AA453" s="140" t="s">
        <v>1886</v>
      </c>
      <c r="AB453" s="460">
        <v>41079</v>
      </c>
      <c r="AC453" s="460">
        <v>42904</v>
      </c>
      <c r="AD453" s="139">
        <v>7893042232</v>
      </c>
      <c r="AE453" s="140" t="s">
        <v>5352</v>
      </c>
      <c r="AF453" s="139" t="s">
        <v>2207</v>
      </c>
      <c r="AG453" s="463" t="s">
        <v>5353</v>
      </c>
      <c r="AH453" s="139" t="s">
        <v>5354</v>
      </c>
      <c r="AI453" s="139" t="s">
        <v>5355</v>
      </c>
      <c r="AJ453" s="464">
        <v>879877607125</v>
      </c>
      <c r="AK453" s="140" t="s">
        <v>5356</v>
      </c>
      <c r="AL453" s="461">
        <v>44318</v>
      </c>
      <c r="AM453" s="477"/>
      <c r="AN453" s="465"/>
      <c r="AO453" s="140"/>
      <c r="AP453" s="139"/>
      <c r="AQ453" s="139"/>
      <c r="AR453" s="181"/>
      <c r="AS453" s="458"/>
      <c r="AT453" s="458"/>
      <c r="AU453" s="461"/>
      <c r="AV453" s="181" t="s">
        <v>1389</v>
      </c>
      <c r="AW453" s="181"/>
      <c r="AX453" s="139">
        <v>2</v>
      </c>
      <c r="AY453" s="466">
        <f>VLOOKUP(K453,[3]Master!M430:BA813,40,0)</f>
        <v>2</v>
      </c>
      <c r="AZ453" s="58" t="s">
        <v>26</v>
      </c>
      <c r="BA453" s="58" t="s">
        <v>151</v>
      </c>
      <c r="BB453" s="58" t="s">
        <v>1407</v>
      </c>
      <c r="BC453" s="58"/>
    </row>
    <row r="454" spans="1:55" x14ac:dyDescent="0.25">
      <c r="A454" s="10">
        <f t="shared" si="19"/>
        <v>453</v>
      </c>
      <c r="B454" s="181" t="s">
        <v>1447</v>
      </c>
      <c r="C454" s="592" t="s">
        <v>1407</v>
      </c>
      <c r="D454" s="457">
        <v>400126</v>
      </c>
      <c r="E454" s="181" t="s">
        <v>36</v>
      </c>
      <c r="F454" s="97" t="s">
        <v>1448</v>
      </c>
      <c r="G454" s="139">
        <v>6</v>
      </c>
      <c r="H454" s="458">
        <v>0.33333333333333331</v>
      </c>
      <c r="I454" s="458">
        <v>0.66666666666666663</v>
      </c>
      <c r="J454" s="458">
        <v>0.33333333333333331</v>
      </c>
      <c r="K454" s="100" t="s">
        <v>840</v>
      </c>
      <c r="L454" s="97" t="s">
        <v>5234</v>
      </c>
      <c r="M454" s="97" t="s">
        <v>26</v>
      </c>
      <c r="N454" s="58" t="s">
        <v>38</v>
      </c>
      <c r="O454" s="58" t="s">
        <v>5050</v>
      </c>
      <c r="P454" s="206">
        <v>43678</v>
      </c>
      <c r="Q454" s="460">
        <v>44470</v>
      </c>
      <c r="R454" s="460">
        <v>45199</v>
      </c>
      <c r="S454" s="461">
        <f>R454+1</f>
        <v>45200</v>
      </c>
      <c r="T454" s="139">
        <v>2010</v>
      </c>
      <c r="U454" s="139" t="s">
        <v>5357</v>
      </c>
      <c r="V454" s="139">
        <v>2016</v>
      </c>
      <c r="W454" s="139" t="s">
        <v>223</v>
      </c>
      <c r="X454" s="139"/>
      <c r="Y454" s="462" t="s">
        <v>1236</v>
      </c>
      <c r="Z454" s="140" t="s">
        <v>5358</v>
      </c>
      <c r="AA454" s="140" t="s">
        <v>1841</v>
      </c>
      <c r="AB454" s="460">
        <v>43685</v>
      </c>
      <c r="AC454" s="460">
        <v>45511</v>
      </c>
      <c r="AD454" s="139">
        <v>9740018829</v>
      </c>
      <c r="AE454" s="140" t="s">
        <v>1453</v>
      </c>
      <c r="AF454" s="139" t="s">
        <v>1466</v>
      </c>
      <c r="AG454" s="463" t="s">
        <v>5359</v>
      </c>
      <c r="AH454" s="139" t="s">
        <v>5360</v>
      </c>
      <c r="AI454" s="139" t="s">
        <v>1456</v>
      </c>
      <c r="AJ454" s="464">
        <v>207685424629</v>
      </c>
      <c r="AK454" s="140" t="s">
        <v>5361</v>
      </c>
      <c r="AL454" s="461"/>
      <c r="AM454" s="477">
        <v>44613</v>
      </c>
      <c r="AN454" s="465"/>
      <c r="AO454" s="140"/>
      <c r="AP454" s="139"/>
      <c r="AQ454" s="139"/>
      <c r="AR454" s="181"/>
      <c r="AS454" s="458"/>
      <c r="AT454" s="458"/>
      <c r="AU454" s="461">
        <v>31888</v>
      </c>
      <c r="AV454" s="181" t="s">
        <v>1389</v>
      </c>
      <c r="AW454" s="31" t="s">
        <v>68</v>
      </c>
      <c r="AX454" s="139">
        <v>8</v>
      </c>
      <c r="AY454" s="466">
        <f>VLOOKUP(K454,[3]Master!M431:BA814,40,0)</f>
        <v>8</v>
      </c>
      <c r="AZ454" s="58" t="s">
        <v>26</v>
      </c>
      <c r="BA454" s="58" t="s">
        <v>151</v>
      </c>
      <c r="BB454" s="58" t="s">
        <v>1407</v>
      </c>
      <c r="BC454" s="58"/>
    </row>
    <row r="455" spans="1:55" x14ac:dyDescent="0.25">
      <c r="A455" s="10">
        <f t="shared" si="19"/>
        <v>454</v>
      </c>
      <c r="B455" s="181" t="s">
        <v>5362</v>
      </c>
      <c r="C455" s="592" t="s">
        <v>1407</v>
      </c>
      <c r="D455" s="457">
        <v>400130</v>
      </c>
      <c r="E455" s="181" t="s">
        <v>36</v>
      </c>
      <c r="F455" s="97" t="s">
        <v>5363</v>
      </c>
      <c r="G455" s="139">
        <v>6</v>
      </c>
      <c r="H455" s="458">
        <v>0.375</v>
      </c>
      <c r="I455" s="458">
        <v>0.41666666666666669</v>
      </c>
      <c r="J455" s="458">
        <v>4.1666666666666664E-2</v>
      </c>
      <c r="K455" s="143" t="s">
        <v>538</v>
      </c>
      <c r="L455" s="97"/>
      <c r="M455" s="97" t="s">
        <v>1376</v>
      </c>
      <c r="N455" s="58" t="s">
        <v>1393</v>
      </c>
      <c r="O455" s="58"/>
      <c r="P455" s="206">
        <v>43693</v>
      </c>
      <c r="Q455" s="460">
        <v>44440</v>
      </c>
      <c r="R455" s="460">
        <v>45168</v>
      </c>
      <c r="S455" s="461">
        <f>R455+1</f>
        <v>45169</v>
      </c>
      <c r="T455" s="139"/>
      <c r="U455" s="139"/>
      <c r="V455" s="139"/>
      <c r="W455" s="139"/>
      <c r="X455" s="139"/>
      <c r="Y455" s="462" t="s">
        <v>226</v>
      </c>
      <c r="Z455" s="140" t="s">
        <v>5364</v>
      </c>
      <c r="AA455" s="140" t="s">
        <v>1841</v>
      </c>
      <c r="AB455" s="460">
        <v>43024</v>
      </c>
      <c r="AC455" s="460">
        <v>44850</v>
      </c>
      <c r="AD455" s="139">
        <v>9603551462</v>
      </c>
      <c r="AE455" s="467" t="s">
        <v>5365</v>
      </c>
      <c r="AF455" s="139" t="s">
        <v>5086</v>
      </c>
      <c r="AG455" s="491" t="s">
        <v>5366</v>
      </c>
      <c r="AH455" s="139" t="s">
        <v>5367</v>
      </c>
      <c r="AI455" s="139" t="s">
        <v>5368</v>
      </c>
      <c r="AJ455" s="464">
        <v>964619992481</v>
      </c>
      <c r="AK455" s="140" t="s">
        <v>5369</v>
      </c>
      <c r="AL455" s="206">
        <v>44791</v>
      </c>
      <c r="AM455" s="477">
        <v>44791</v>
      </c>
      <c r="AN455" s="465"/>
      <c r="AO455" s="140"/>
      <c r="AP455" s="139"/>
      <c r="AQ455" s="139"/>
      <c r="AR455" s="181"/>
      <c r="AS455" s="458"/>
      <c r="AT455" s="458"/>
      <c r="AU455" s="461">
        <v>30076</v>
      </c>
      <c r="AV455" s="181" t="s">
        <v>1352</v>
      </c>
      <c r="AW455" s="31" t="s">
        <v>32</v>
      </c>
      <c r="AX455" s="139">
        <v>1</v>
      </c>
      <c r="AY455" s="466">
        <f>VLOOKUP(K455,[3]Master!M432:BA815,40,0)</f>
        <v>8</v>
      </c>
      <c r="AZ455" s="58" t="s">
        <v>1390</v>
      </c>
      <c r="BA455" s="58" t="s">
        <v>151</v>
      </c>
      <c r="BB455" s="58" t="s">
        <v>1407</v>
      </c>
      <c r="BC455" s="58"/>
    </row>
    <row r="456" spans="1:55" x14ac:dyDescent="0.25">
      <c r="A456" s="10">
        <f t="shared" si="19"/>
        <v>455</v>
      </c>
      <c r="B456" s="181" t="s">
        <v>548</v>
      </c>
      <c r="C456" s="592" t="s">
        <v>1407</v>
      </c>
      <c r="D456" s="457">
        <v>400137</v>
      </c>
      <c r="E456" s="181" t="s">
        <v>36</v>
      </c>
      <c r="F456" s="97" t="s">
        <v>549</v>
      </c>
      <c r="G456" s="139">
        <v>6</v>
      </c>
      <c r="H456" s="458">
        <v>0.375</v>
      </c>
      <c r="I456" s="458">
        <v>0.70833333333333337</v>
      </c>
      <c r="J456" s="458">
        <f>I456-H456</f>
        <v>0.33333333333333337</v>
      </c>
      <c r="K456" s="143" t="s">
        <v>754</v>
      </c>
      <c r="L456" s="97" t="s">
        <v>5370</v>
      </c>
      <c r="M456" s="97" t="s">
        <v>26</v>
      </c>
      <c r="N456" s="58" t="s">
        <v>38</v>
      </c>
      <c r="O456" s="58" t="s">
        <v>5076</v>
      </c>
      <c r="P456" s="206">
        <v>43717</v>
      </c>
      <c r="Q456" s="460">
        <v>44470</v>
      </c>
      <c r="R456" s="460">
        <v>45199</v>
      </c>
      <c r="S456" s="461">
        <v>45200</v>
      </c>
      <c r="T456" s="139">
        <v>2012</v>
      </c>
      <c r="U456" s="139" t="s">
        <v>326</v>
      </c>
      <c r="V456" s="139">
        <v>2018</v>
      </c>
      <c r="W456" s="139" t="s">
        <v>380</v>
      </c>
      <c r="X456" s="139" t="s">
        <v>30</v>
      </c>
      <c r="Y456" s="462" t="s">
        <v>1236</v>
      </c>
      <c r="Z456" s="140" t="s">
        <v>2939</v>
      </c>
      <c r="AA456" s="140" t="s">
        <v>1841</v>
      </c>
      <c r="AB456" s="460">
        <v>43370</v>
      </c>
      <c r="AC456" s="460">
        <v>45195</v>
      </c>
      <c r="AD456" s="488">
        <v>9121546107</v>
      </c>
      <c r="AE456" s="140" t="s">
        <v>551</v>
      </c>
      <c r="AF456" s="139" t="s">
        <v>1364</v>
      </c>
      <c r="AG456" s="463" t="s">
        <v>2940</v>
      </c>
      <c r="AH456" s="139" t="s">
        <v>2941</v>
      </c>
      <c r="AI456" s="139" t="s">
        <v>2942</v>
      </c>
      <c r="AJ456" s="464">
        <v>519238027993</v>
      </c>
      <c r="AK456" s="140" t="s">
        <v>2944</v>
      </c>
      <c r="AL456" s="461">
        <v>45206</v>
      </c>
      <c r="AM456" s="477">
        <v>45206</v>
      </c>
      <c r="AN456" s="140" t="s">
        <v>5371</v>
      </c>
      <c r="AO456" s="140"/>
      <c r="AP456" s="139"/>
      <c r="AQ456" s="139"/>
      <c r="AR456" s="58"/>
      <c r="AS456" s="458"/>
      <c r="AT456" s="458"/>
      <c r="AU456" s="461">
        <v>32266</v>
      </c>
      <c r="AV456" s="181" t="s">
        <v>1389</v>
      </c>
      <c r="AW456" s="31" t="s">
        <v>32</v>
      </c>
      <c r="AX456" s="139">
        <v>8</v>
      </c>
      <c r="AY456" s="466">
        <f>VLOOKUP(K456,[3]Master!M433:BA816,40,0)</f>
        <v>8</v>
      </c>
      <c r="AZ456" s="58" t="s">
        <v>26</v>
      </c>
      <c r="BA456" s="58" t="s">
        <v>151</v>
      </c>
      <c r="BB456" s="58" t="s">
        <v>1407</v>
      </c>
      <c r="BC456" s="58"/>
    </row>
    <row r="457" spans="1:55" x14ac:dyDescent="0.25">
      <c r="A457" s="10">
        <f t="shared" si="19"/>
        <v>456</v>
      </c>
      <c r="B457" s="181" t="s">
        <v>5372</v>
      </c>
      <c r="C457" s="592" t="s">
        <v>1407</v>
      </c>
      <c r="D457" s="457">
        <v>400141</v>
      </c>
      <c r="E457" s="181" t="s">
        <v>36</v>
      </c>
      <c r="F457" s="97" t="s">
        <v>5373</v>
      </c>
      <c r="G457" s="139">
        <v>6</v>
      </c>
      <c r="H457" s="458">
        <v>0.45833333333333331</v>
      </c>
      <c r="I457" s="458">
        <v>0.66666666666666663</v>
      </c>
      <c r="J457" s="458">
        <f>I457-H457</f>
        <v>0.20833333333333331</v>
      </c>
      <c r="K457" s="35" t="s">
        <v>1884</v>
      </c>
      <c r="L457" s="97" t="s">
        <v>1907</v>
      </c>
      <c r="M457" s="97" t="s">
        <v>1908</v>
      </c>
      <c r="N457" s="58" t="s">
        <v>1909</v>
      </c>
      <c r="O457" s="58" t="s">
        <v>5076</v>
      </c>
      <c r="P457" s="206">
        <v>43731</v>
      </c>
      <c r="Q457" s="460">
        <v>44462</v>
      </c>
      <c r="R457" s="460">
        <v>45191</v>
      </c>
      <c r="S457" s="461">
        <v>45192</v>
      </c>
      <c r="T457" s="139">
        <v>2012</v>
      </c>
      <c r="U457" s="139" t="s">
        <v>5374</v>
      </c>
      <c r="V457" s="139">
        <v>2018</v>
      </c>
      <c r="W457" s="139" t="s">
        <v>214</v>
      </c>
      <c r="X457" s="139" t="s">
        <v>30</v>
      </c>
      <c r="Y457" s="462" t="s">
        <v>5375</v>
      </c>
      <c r="Z457" s="140" t="s">
        <v>5376</v>
      </c>
      <c r="AA457" s="140" t="s">
        <v>1886</v>
      </c>
      <c r="AB457" s="460">
        <v>43668</v>
      </c>
      <c r="AC457" s="460">
        <v>45494</v>
      </c>
      <c r="AD457" s="488">
        <v>9493114313</v>
      </c>
      <c r="AE457" s="140" t="s">
        <v>5377</v>
      </c>
      <c r="AF457" s="139" t="s">
        <v>5086</v>
      </c>
      <c r="AG457" s="463" t="s">
        <v>5378</v>
      </c>
      <c r="AH457" s="139" t="s">
        <v>3550</v>
      </c>
      <c r="AI457" s="139" t="s">
        <v>5379</v>
      </c>
      <c r="AJ457" s="464">
        <v>468030429273</v>
      </c>
      <c r="AK457" s="140" t="s">
        <v>5380</v>
      </c>
      <c r="AL457" s="206">
        <v>45107</v>
      </c>
      <c r="AM457" s="477"/>
      <c r="AN457" s="465"/>
      <c r="AO457" s="140"/>
      <c r="AP457" s="139"/>
      <c r="AQ457" s="139"/>
      <c r="AR457" s="58"/>
      <c r="AS457" s="458"/>
      <c r="AT457" s="458"/>
      <c r="AU457" s="461">
        <v>32318</v>
      </c>
      <c r="AV457" s="181" t="s">
        <v>1389</v>
      </c>
      <c r="AW457" s="31" t="s">
        <v>68</v>
      </c>
      <c r="AX457" s="139">
        <v>5</v>
      </c>
      <c r="AY457" s="466">
        <f>VLOOKUP(K457,[3]Master!M434:BA817,40,0)</f>
        <v>3</v>
      </c>
      <c r="AZ457" s="484" t="s">
        <v>1908</v>
      </c>
      <c r="BA457" s="58" t="s">
        <v>151</v>
      </c>
      <c r="BB457" s="58" t="s">
        <v>1407</v>
      </c>
      <c r="BC457" s="58"/>
    </row>
    <row r="458" spans="1:55" x14ac:dyDescent="0.25">
      <c r="A458" s="10">
        <f t="shared" si="19"/>
        <v>457</v>
      </c>
      <c r="B458" s="181" t="s">
        <v>5381</v>
      </c>
      <c r="C458" s="592" t="s">
        <v>1407</v>
      </c>
      <c r="D458" s="457">
        <v>400142</v>
      </c>
      <c r="E458" s="181" t="s">
        <v>42</v>
      </c>
      <c r="F458" s="97" t="s">
        <v>5382</v>
      </c>
      <c r="G458" s="139">
        <v>6</v>
      </c>
      <c r="H458" s="458">
        <v>0.33333333333333331</v>
      </c>
      <c r="I458" s="458">
        <v>0.66666666666666663</v>
      </c>
      <c r="J458" s="458">
        <v>0.33333333333333331</v>
      </c>
      <c r="K458" s="100" t="s">
        <v>1187</v>
      </c>
      <c r="L458" s="97" t="s">
        <v>5383</v>
      </c>
      <c r="M458" s="97" t="s">
        <v>26</v>
      </c>
      <c r="N458" s="58" t="s">
        <v>38</v>
      </c>
      <c r="O458" s="58" t="s">
        <v>5050</v>
      </c>
      <c r="P458" s="206">
        <v>43745</v>
      </c>
      <c r="Q458" s="460">
        <v>43745</v>
      </c>
      <c r="R458" s="460">
        <v>44475</v>
      </c>
      <c r="S458" s="461">
        <f t="shared" ref="S458:S465" si="20">R458+1</f>
        <v>44476</v>
      </c>
      <c r="T458" s="139">
        <v>2014</v>
      </c>
      <c r="U458" s="139" t="s">
        <v>343</v>
      </c>
      <c r="V458" s="139">
        <v>2018</v>
      </c>
      <c r="W458" s="139" t="s">
        <v>5384</v>
      </c>
      <c r="X458" s="139"/>
      <c r="Y458" s="462" t="s">
        <v>5151</v>
      </c>
      <c r="Z458" s="140" t="s">
        <v>5385</v>
      </c>
      <c r="AA458" s="140" t="s">
        <v>1886</v>
      </c>
      <c r="AB458" s="460">
        <v>41873</v>
      </c>
      <c r="AC458" s="460">
        <v>43698</v>
      </c>
      <c r="AD458" s="139">
        <v>9177880430</v>
      </c>
      <c r="AE458" s="467" t="s">
        <v>5386</v>
      </c>
      <c r="AF458" s="139" t="s">
        <v>1430</v>
      </c>
      <c r="AG458" s="463" t="s">
        <v>5387</v>
      </c>
      <c r="AH458" s="139" t="s">
        <v>5388</v>
      </c>
      <c r="AI458" s="139" t="s">
        <v>5389</v>
      </c>
      <c r="AJ458" s="464">
        <v>859782197136</v>
      </c>
      <c r="AK458" s="140" t="s">
        <v>5390</v>
      </c>
      <c r="AL458" s="461">
        <v>44674</v>
      </c>
      <c r="AM458" s="477"/>
      <c r="AN458" s="465"/>
      <c r="AO458" s="140"/>
      <c r="AP458" s="139"/>
      <c r="AQ458" s="139"/>
      <c r="AR458" s="181"/>
      <c r="AS458" s="458"/>
      <c r="AT458" s="458"/>
      <c r="AU458" s="461">
        <v>32774</v>
      </c>
      <c r="AV458" s="181" t="s">
        <v>1352</v>
      </c>
      <c r="AW458" s="31" t="s">
        <v>68</v>
      </c>
      <c r="AX458" s="139">
        <v>8</v>
      </c>
      <c r="AY458" s="466">
        <f>VLOOKUP(K458,[3]Master!M435:BA818,40,0)</f>
        <v>8</v>
      </c>
      <c r="AZ458" s="58" t="s">
        <v>26</v>
      </c>
      <c r="BA458" s="58" t="s">
        <v>151</v>
      </c>
      <c r="BB458" s="58" t="s">
        <v>1407</v>
      </c>
      <c r="BC458" s="58"/>
    </row>
    <row r="459" spans="1:55" x14ac:dyDescent="0.25">
      <c r="A459" s="10">
        <f t="shared" si="19"/>
        <v>458</v>
      </c>
      <c r="B459" s="181" t="s">
        <v>402</v>
      </c>
      <c r="C459" s="592" t="s">
        <v>1407</v>
      </c>
      <c r="D459" s="457">
        <v>400143</v>
      </c>
      <c r="E459" s="181" t="s">
        <v>36</v>
      </c>
      <c r="F459" s="97" t="s">
        <v>5391</v>
      </c>
      <c r="G459" s="139">
        <v>6</v>
      </c>
      <c r="H459" s="458">
        <v>0.33333333333333331</v>
      </c>
      <c r="I459" s="458">
        <v>0.375</v>
      </c>
      <c r="J459" s="458">
        <v>4.1666666666666664E-2</v>
      </c>
      <c r="K459" s="58" t="s">
        <v>11083</v>
      </c>
      <c r="L459" s="97" t="s">
        <v>295</v>
      </c>
      <c r="M459" s="97" t="s">
        <v>26</v>
      </c>
      <c r="N459" s="58" t="s">
        <v>38</v>
      </c>
      <c r="O459" s="58" t="s">
        <v>5050</v>
      </c>
      <c r="P459" s="206">
        <v>43747</v>
      </c>
      <c r="Q459" s="460">
        <v>43747</v>
      </c>
      <c r="R459" s="460">
        <v>44477</v>
      </c>
      <c r="S459" s="461">
        <f t="shared" si="20"/>
        <v>44478</v>
      </c>
      <c r="T459" s="139">
        <v>2011</v>
      </c>
      <c r="U459" s="139" t="s">
        <v>197</v>
      </c>
      <c r="V459" s="139">
        <v>2016</v>
      </c>
      <c r="W459" s="139" t="s">
        <v>406</v>
      </c>
      <c r="X459" s="139"/>
      <c r="Y459" s="462" t="s">
        <v>1236</v>
      </c>
      <c r="Z459" s="140" t="s">
        <v>2552</v>
      </c>
      <c r="AA459" s="140" t="s">
        <v>1841</v>
      </c>
      <c r="AB459" s="460">
        <v>43349</v>
      </c>
      <c r="AC459" s="460">
        <v>45174</v>
      </c>
      <c r="AD459" s="139">
        <v>9701183585</v>
      </c>
      <c r="AE459" s="140" t="s">
        <v>407</v>
      </c>
      <c r="AF459" s="139" t="s">
        <v>1364</v>
      </c>
      <c r="AG459" s="463" t="s">
        <v>5392</v>
      </c>
      <c r="AH459" s="139" t="s">
        <v>2554</v>
      </c>
      <c r="AI459" s="139" t="s">
        <v>2555</v>
      </c>
      <c r="AJ459" s="464">
        <v>841010568802</v>
      </c>
      <c r="AK459" s="140" t="s">
        <v>2557</v>
      </c>
      <c r="AL459" s="461"/>
      <c r="AM459" s="477"/>
      <c r="AN459" s="465"/>
      <c r="AO459" s="140"/>
      <c r="AP459" s="139"/>
      <c r="AQ459" s="139"/>
      <c r="AR459" s="181"/>
      <c r="AS459" s="458"/>
      <c r="AT459" s="458"/>
      <c r="AU459" s="461">
        <v>32009</v>
      </c>
      <c r="AV459" s="181" t="s">
        <v>1352</v>
      </c>
      <c r="AW459" s="31" t="s">
        <v>68</v>
      </c>
      <c r="AX459" s="139">
        <v>1</v>
      </c>
      <c r="AY459" s="58" t="s">
        <v>2469</v>
      </c>
      <c r="AZ459" s="58" t="s">
        <v>26</v>
      </c>
      <c r="BA459" s="58" t="s">
        <v>151</v>
      </c>
      <c r="BB459" s="58" t="s">
        <v>1407</v>
      </c>
      <c r="BC459" s="58"/>
    </row>
    <row r="460" spans="1:55" x14ac:dyDescent="0.25">
      <c r="A460" s="10">
        <f t="shared" si="19"/>
        <v>459</v>
      </c>
      <c r="B460" s="181" t="s">
        <v>5393</v>
      </c>
      <c r="C460" s="592" t="s">
        <v>1407</v>
      </c>
      <c r="D460" s="457">
        <v>400145</v>
      </c>
      <c r="E460" s="181" t="s">
        <v>36</v>
      </c>
      <c r="F460" s="97" t="s">
        <v>5394</v>
      </c>
      <c r="G460" s="139">
        <v>6</v>
      </c>
      <c r="H460" s="458">
        <v>0.54166666666666663</v>
      </c>
      <c r="I460" s="458">
        <v>0.875</v>
      </c>
      <c r="J460" s="458">
        <v>0.33333333333333331</v>
      </c>
      <c r="K460" s="58" t="s">
        <v>826</v>
      </c>
      <c r="L460" s="97"/>
      <c r="M460" s="63" t="s">
        <v>1355</v>
      </c>
      <c r="N460" s="100" t="s">
        <v>1520</v>
      </c>
      <c r="O460" s="58" t="s">
        <v>5270</v>
      </c>
      <c r="P460" s="206">
        <v>43752</v>
      </c>
      <c r="Q460" s="460">
        <v>44501</v>
      </c>
      <c r="R460" s="460">
        <v>45230</v>
      </c>
      <c r="S460" s="461">
        <f t="shared" si="20"/>
        <v>45231</v>
      </c>
      <c r="T460" s="139">
        <v>2010</v>
      </c>
      <c r="U460" s="139" t="s">
        <v>5395</v>
      </c>
      <c r="V460" s="139">
        <v>2017</v>
      </c>
      <c r="W460" s="139" t="s">
        <v>5396</v>
      </c>
      <c r="X460" s="139"/>
      <c r="Y460" s="462" t="s">
        <v>5214</v>
      </c>
      <c r="Z460" s="140" t="s">
        <v>5397</v>
      </c>
      <c r="AA460" s="140" t="s">
        <v>1362</v>
      </c>
      <c r="AB460" s="460">
        <v>41589</v>
      </c>
      <c r="AC460" s="460">
        <v>43414</v>
      </c>
      <c r="AD460" s="139">
        <v>9671588786</v>
      </c>
      <c r="AE460" s="140" t="s">
        <v>5398</v>
      </c>
      <c r="AF460" s="139" t="s">
        <v>1400</v>
      </c>
      <c r="AG460" s="463" t="s">
        <v>5399</v>
      </c>
      <c r="AH460" s="139" t="s">
        <v>5400</v>
      </c>
      <c r="AI460" s="139" t="s">
        <v>5401</v>
      </c>
      <c r="AJ460" s="464">
        <v>676054760080</v>
      </c>
      <c r="AK460" s="140" t="s">
        <v>5402</v>
      </c>
      <c r="AL460" s="206"/>
      <c r="AM460" s="477"/>
      <c r="AN460" s="465"/>
      <c r="AO460" s="140"/>
      <c r="AP460" s="139"/>
      <c r="AQ460" s="139"/>
      <c r="AR460" s="181"/>
      <c r="AS460" s="458"/>
      <c r="AT460" s="458"/>
      <c r="AU460" s="461">
        <v>31526</v>
      </c>
      <c r="AV460" s="181" t="s">
        <v>1352</v>
      </c>
      <c r="AW460" s="31" t="s">
        <v>68</v>
      </c>
      <c r="AX460" s="139">
        <v>8</v>
      </c>
      <c r="AY460" s="466">
        <f>VLOOKUP(K460,[3]Master!M437:BA820,40,0)</f>
        <v>8</v>
      </c>
      <c r="AZ460" s="58" t="s">
        <v>1373</v>
      </c>
      <c r="BA460" s="58" t="s">
        <v>151</v>
      </c>
      <c r="BB460" s="58" t="s">
        <v>1407</v>
      </c>
      <c r="BC460" s="58"/>
    </row>
    <row r="461" spans="1:55" x14ac:dyDescent="0.25">
      <c r="A461" s="10">
        <f t="shared" si="19"/>
        <v>460</v>
      </c>
      <c r="B461" s="181" t="s">
        <v>5403</v>
      </c>
      <c r="C461" s="592" t="s">
        <v>1407</v>
      </c>
      <c r="D461" s="457">
        <v>400152</v>
      </c>
      <c r="E461" s="181" t="s">
        <v>36</v>
      </c>
      <c r="F461" s="97" t="s">
        <v>5404</v>
      </c>
      <c r="G461" s="139">
        <v>6</v>
      </c>
      <c r="H461" s="458">
        <v>0.75</v>
      </c>
      <c r="I461" s="458">
        <v>0.875</v>
      </c>
      <c r="J461" s="458">
        <v>0.125</v>
      </c>
      <c r="K461" s="100" t="s">
        <v>287</v>
      </c>
      <c r="L461" s="97"/>
      <c r="M461" s="97" t="s">
        <v>2097</v>
      </c>
      <c r="N461" s="58" t="s">
        <v>2098</v>
      </c>
      <c r="O461" s="58" t="s">
        <v>5405</v>
      </c>
      <c r="P461" s="206">
        <v>43787</v>
      </c>
      <c r="Q461" s="460">
        <v>43787</v>
      </c>
      <c r="R461" s="460">
        <v>44517</v>
      </c>
      <c r="S461" s="461">
        <f t="shared" si="20"/>
        <v>44518</v>
      </c>
      <c r="T461" s="139">
        <v>2012</v>
      </c>
      <c r="U461" s="139" t="s">
        <v>5406</v>
      </c>
      <c r="V461" s="139">
        <v>2017</v>
      </c>
      <c r="W461" s="139" t="s">
        <v>209</v>
      </c>
      <c r="X461" s="139"/>
      <c r="Y461" s="462" t="s">
        <v>4862</v>
      </c>
      <c r="Z461" s="140">
        <v>78102</v>
      </c>
      <c r="AA461" s="140" t="s">
        <v>1841</v>
      </c>
      <c r="AB461" s="460">
        <v>43221</v>
      </c>
      <c r="AC461" s="460">
        <v>45046</v>
      </c>
      <c r="AD461" s="139">
        <v>9849182692</v>
      </c>
      <c r="AE461" s="140" t="s">
        <v>5407</v>
      </c>
      <c r="AF461" s="139" t="s">
        <v>5086</v>
      </c>
      <c r="AG461" s="463" t="s">
        <v>5408</v>
      </c>
      <c r="AH461" s="139" t="s">
        <v>2891</v>
      </c>
      <c r="AI461" s="139" t="s">
        <v>5409</v>
      </c>
      <c r="AJ461" s="464">
        <v>540778924382</v>
      </c>
      <c r="AK461" s="140" t="s">
        <v>5410</v>
      </c>
      <c r="AL461" s="206">
        <v>44517</v>
      </c>
      <c r="AM461" s="477"/>
      <c r="AN461" s="465"/>
      <c r="AO461" s="140"/>
      <c r="AP461" s="139"/>
      <c r="AQ461" s="139"/>
      <c r="AR461" s="181"/>
      <c r="AS461" s="458"/>
      <c r="AT461" s="458"/>
      <c r="AU461" s="461">
        <v>31929</v>
      </c>
      <c r="AV461" s="181" t="s">
        <v>1352</v>
      </c>
      <c r="AW461" s="31" t="s">
        <v>32</v>
      </c>
      <c r="AX461" s="139">
        <v>3</v>
      </c>
      <c r="AY461" s="466">
        <f>VLOOKUP(K461,[3]Master!M438:BA821,40,0)</f>
        <v>4</v>
      </c>
      <c r="AZ461" s="58" t="s">
        <v>1373</v>
      </c>
      <c r="BA461" s="58" t="s">
        <v>151</v>
      </c>
      <c r="BB461" s="58" t="s">
        <v>1407</v>
      </c>
      <c r="BC461" s="58"/>
    </row>
    <row r="462" spans="1:55" x14ac:dyDescent="0.25">
      <c r="A462" s="10">
        <f t="shared" si="19"/>
        <v>461</v>
      </c>
      <c r="B462" s="181" t="s">
        <v>5411</v>
      </c>
      <c r="C462" s="592" t="s">
        <v>1407</v>
      </c>
      <c r="D462" s="457">
        <v>400160</v>
      </c>
      <c r="E462" s="181" t="s">
        <v>36</v>
      </c>
      <c r="F462" s="97" t="s">
        <v>5412</v>
      </c>
      <c r="G462" s="139">
        <v>6</v>
      </c>
      <c r="H462" s="458">
        <v>0.33333333333333331</v>
      </c>
      <c r="I462" s="458">
        <v>0.875</v>
      </c>
      <c r="J462" s="458">
        <v>0.33333333333333331</v>
      </c>
      <c r="K462" s="100" t="s">
        <v>563</v>
      </c>
      <c r="L462" s="97"/>
      <c r="M462" s="63" t="s">
        <v>1355</v>
      </c>
      <c r="N462" s="100" t="s">
        <v>1520</v>
      </c>
      <c r="O462" s="58" t="s">
        <v>5270</v>
      </c>
      <c r="P462" s="206">
        <v>43806</v>
      </c>
      <c r="Q462" s="460">
        <v>44537</v>
      </c>
      <c r="R462" s="460">
        <v>45266</v>
      </c>
      <c r="S462" s="461">
        <f t="shared" si="20"/>
        <v>45267</v>
      </c>
      <c r="T462" s="139">
        <v>2006</v>
      </c>
      <c r="U462" s="139" t="s">
        <v>343</v>
      </c>
      <c r="V462" s="139">
        <v>2018</v>
      </c>
      <c r="W462" s="139" t="s">
        <v>5413</v>
      </c>
      <c r="X462" s="139"/>
      <c r="Y462" s="462" t="s">
        <v>5214</v>
      </c>
      <c r="Z462" s="140">
        <v>57928</v>
      </c>
      <c r="AA462" s="140" t="s">
        <v>1886</v>
      </c>
      <c r="AB462" s="460">
        <v>43312</v>
      </c>
      <c r="AC462" s="460">
        <v>45137</v>
      </c>
      <c r="AD462" s="139">
        <v>9902298663</v>
      </c>
      <c r="AE462" s="140" t="s">
        <v>5414</v>
      </c>
      <c r="AF462" s="139" t="s">
        <v>1430</v>
      </c>
      <c r="AG462" s="463" t="s">
        <v>5415</v>
      </c>
      <c r="AH462" s="139" t="s">
        <v>5416</v>
      </c>
      <c r="AI462" s="139" t="s">
        <v>5417</v>
      </c>
      <c r="AJ462" s="464">
        <v>965067603875</v>
      </c>
      <c r="AK462" s="140" t="s">
        <v>5418</v>
      </c>
      <c r="AL462" s="206"/>
      <c r="AM462" s="477"/>
      <c r="AN462" s="465"/>
      <c r="AO462" s="140"/>
      <c r="AP462" s="139"/>
      <c r="AQ462" s="139"/>
      <c r="AR462" s="181"/>
      <c r="AS462" s="458"/>
      <c r="AT462" s="458"/>
      <c r="AU462" s="461">
        <v>30429</v>
      </c>
      <c r="AV462" s="181" t="s">
        <v>1352</v>
      </c>
      <c r="AW462" s="31" t="s">
        <v>68</v>
      </c>
      <c r="AX462" s="139">
        <v>8</v>
      </c>
      <c r="AY462" s="466">
        <f>VLOOKUP(K462,[3]Master!M439:BA822,40,0)</f>
        <v>4</v>
      </c>
      <c r="AZ462" s="58" t="s">
        <v>1373</v>
      </c>
      <c r="BA462" s="58" t="s">
        <v>151</v>
      </c>
      <c r="BB462" s="58" t="s">
        <v>1407</v>
      </c>
      <c r="BC462" s="58"/>
    </row>
    <row r="463" spans="1:55" x14ac:dyDescent="0.25">
      <c r="A463" s="10">
        <f t="shared" si="19"/>
        <v>462</v>
      </c>
      <c r="B463" s="181" t="s">
        <v>5419</v>
      </c>
      <c r="C463" s="592" t="s">
        <v>1407</v>
      </c>
      <c r="D463" s="457">
        <v>400162</v>
      </c>
      <c r="E463" s="181" t="s">
        <v>36</v>
      </c>
      <c r="F463" s="97" t="s">
        <v>5420</v>
      </c>
      <c r="G463" s="139">
        <v>6</v>
      </c>
      <c r="H463" s="458">
        <v>0.33333333333333331</v>
      </c>
      <c r="I463" s="458">
        <v>0.45833333333333331</v>
      </c>
      <c r="J463" s="458">
        <v>0.125</v>
      </c>
      <c r="K463" s="58" t="s">
        <v>826</v>
      </c>
      <c r="L463" s="97"/>
      <c r="M463" s="97" t="s">
        <v>1544</v>
      </c>
      <c r="N463" s="58" t="s">
        <v>1992</v>
      </c>
      <c r="O463" s="58" t="s">
        <v>5244</v>
      </c>
      <c r="P463" s="206">
        <v>43812</v>
      </c>
      <c r="Q463" s="460">
        <v>43812</v>
      </c>
      <c r="R463" s="460">
        <v>44542</v>
      </c>
      <c r="S463" s="461">
        <f t="shared" si="20"/>
        <v>44543</v>
      </c>
      <c r="T463" s="139"/>
      <c r="U463" s="139"/>
      <c r="V463" s="139"/>
      <c r="W463" s="139"/>
      <c r="X463" s="139"/>
      <c r="Y463" s="462" t="s">
        <v>5246</v>
      </c>
      <c r="Z463" s="140">
        <v>12968</v>
      </c>
      <c r="AA463" s="140" t="s">
        <v>1871</v>
      </c>
      <c r="AB463" s="460"/>
      <c r="AC463" s="460"/>
      <c r="AD463" s="139">
        <v>9818145223</v>
      </c>
      <c r="AE463" s="140" t="s">
        <v>5421</v>
      </c>
      <c r="AF463" s="139" t="s">
        <v>5086</v>
      </c>
      <c r="AG463" s="463" t="s">
        <v>5422</v>
      </c>
      <c r="AH463" s="139" t="s">
        <v>5423</v>
      </c>
      <c r="AI463" s="139" t="s">
        <v>5424</v>
      </c>
      <c r="AJ463" s="464">
        <v>768580246218</v>
      </c>
      <c r="AK463" s="140" t="s">
        <v>5425</v>
      </c>
      <c r="AL463" s="206">
        <v>44294</v>
      </c>
      <c r="AM463" s="477"/>
      <c r="AN463" s="465"/>
      <c r="AO463" s="140"/>
      <c r="AP463" s="139"/>
      <c r="AQ463" s="139"/>
      <c r="AR463" s="181"/>
      <c r="AS463" s="458"/>
      <c r="AT463" s="458"/>
      <c r="AU463" s="461">
        <v>25821</v>
      </c>
      <c r="AV463" s="181" t="s">
        <v>1389</v>
      </c>
      <c r="AW463" s="31" t="s">
        <v>32</v>
      </c>
      <c r="AX463" s="139">
        <v>3</v>
      </c>
      <c r="AY463" s="466">
        <f>VLOOKUP(K463,[3]Master!M440:BA823,40,0)</f>
        <v>8</v>
      </c>
      <c r="AZ463" s="58" t="s">
        <v>1373</v>
      </c>
      <c r="BA463" s="58" t="s">
        <v>151</v>
      </c>
      <c r="BB463" s="58" t="s">
        <v>1407</v>
      </c>
      <c r="BC463" s="58"/>
    </row>
    <row r="464" spans="1:55" x14ac:dyDescent="0.25">
      <c r="A464" s="10">
        <f t="shared" si="19"/>
        <v>463</v>
      </c>
      <c r="B464" s="181" t="s">
        <v>5426</v>
      </c>
      <c r="C464" s="592" t="s">
        <v>1407</v>
      </c>
      <c r="D464" s="457">
        <v>400165</v>
      </c>
      <c r="E464" s="181" t="s">
        <v>36</v>
      </c>
      <c r="F464" s="97" t="s">
        <v>5427</v>
      </c>
      <c r="G464" s="139">
        <v>6</v>
      </c>
      <c r="H464" s="458">
        <v>0.375</v>
      </c>
      <c r="I464" s="458">
        <v>0.70833333333333337</v>
      </c>
      <c r="J464" s="458">
        <v>0.33333333333333331</v>
      </c>
      <c r="K464" s="58" t="s">
        <v>147</v>
      </c>
      <c r="L464" s="97"/>
      <c r="M464" s="63" t="s">
        <v>1355</v>
      </c>
      <c r="N464" s="100" t="s">
        <v>1520</v>
      </c>
      <c r="O464" s="58" t="s">
        <v>5270</v>
      </c>
      <c r="P464" s="206">
        <v>43832</v>
      </c>
      <c r="Q464" s="460">
        <v>43832</v>
      </c>
      <c r="R464" s="460">
        <v>44562</v>
      </c>
      <c r="S464" s="461">
        <f t="shared" si="20"/>
        <v>44563</v>
      </c>
      <c r="T464" s="139">
        <v>2012</v>
      </c>
      <c r="U464" s="139" t="s">
        <v>5428</v>
      </c>
      <c r="V464" s="139">
        <v>2018</v>
      </c>
      <c r="W464" s="139" t="s">
        <v>856</v>
      </c>
      <c r="X464" s="139"/>
      <c r="Y464" s="462" t="s">
        <v>5429</v>
      </c>
      <c r="Z464" s="140" t="s">
        <v>5430</v>
      </c>
      <c r="AA464" s="140" t="s">
        <v>1841</v>
      </c>
      <c r="AB464" s="460">
        <v>43494</v>
      </c>
      <c r="AC464" s="460">
        <v>45319</v>
      </c>
      <c r="AD464" s="139">
        <v>7032027304</v>
      </c>
      <c r="AE464" s="140" t="s">
        <v>5431</v>
      </c>
      <c r="AF464" s="139" t="s">
        <v>1805</v>
      </c>
      <c r="AG464" s="463" t="s">
        <v>5432</v>
      </c>
      <c r="AH464" s="139" t="s">
        <v>5433</v>
      </c>
      <c r="AI464" s="139" t="s">
        <v>5434</v>
      </c>
      <c r="AJ464" s="464">
        <v>716139244209</v>
      </c>
      <c r="AK464" s="140" t="s">
        <v>5435</v>
      </c>
      <c r="AL464" s="206">
        <v>44553</v>
      </c>
      <c r="AM464" s="477"/>
      <c r="AN464" s="465"/>
      <c r="AO464" s="140"/>
      <c r="AP464" s="139"/>
      <c r="AQ464" s="139"/>
      <c r="AR464" s="181"/>
      <c r="AS464" s="458"/>
      <c r="AT464" s="458"/>
      <c r="AU464" s="461">
        <v>32941</v>
      </c>
      <c r="AV464" s="181" t="s">
        <v>1389</v>
      </c>
      <c r="AW464" s="31" t="s">
        <v>68</v>
      </c>
      <c r="AX464" s="139">
        <v>8</v>
      </c>
      <c r="AY464" s="466">
        <f>VLOOKUP(K464,[3]Master!M441:BA824,40,0)</f>
        <v>8</v>
      </c>
      <c r="AZ464" s="58" t="s">
        <v>1373</v>
      </c>
      <c r="BA464" s="58" t="s">
        <v>151</v>
      </c>
      <c r="BB464" s="58" t="s">
        <v>1407</v>
      </c>
      <c r="BC464" s="58"/>
    </row>
    <row r="465" spans="1:55" x14ac:dyDescent="0.25">
      <c r="A465" s="10">
        <f t="shared" si="19"/>
        <v>464</v>
      </c>
      <c r="B465" s="181" t="s">
        <v>5436</v>
      </c>
      <c r="C465" s="592" t="s">
        <v>1407</v>
      </c>
      <c r="D465" s="457">
        <v>400171</v>
      </c>
      <c r="E465" s="181" t="s">
        <v>36</v>
      </c>
      <c r="F465" s="97" t="s">
        <v>5437</v>
      </c>
      <c r="G465" s="139">
        <v>6</v>
      </c>
      <c r="H465" s="458">
        <v>0.375</v>
      </c>
      <c r="I465" s="458">
        <v>0.625</v>
      </c>
      <c r="J465" s="458">
        <v>0.25</v>
      </c>
      <c r="K465" s="35" t="s">
        <v>404</v>
      </c>
      <c r="L465" s="97" t="s">
        <v>5438</v>
      </c>
      <c r="M465" s="97" t="s">
        <v>26</v>
      </c>
      <c r="N465" s="58" t="s">
        <v>38</v>
      </c>
      <c r="O465" s="58" t="s">
        <v>5050</v>
      </c>
      <c r="P465" s="206">
        <v>43857</v>
      </c>
      <c r="Q465" s="460">
        <v>43857</v>
      </c>
      <c r="R465" s="460">
        <v>44587</v>
      </c>
      <c r="S465" s="461">
        <f t="shared" si="20"/>
        <v>44588</v>
      </c>
      <c r="T465" s="139">
        <v>2010</v>
      </c>
      <c r="U465" s="139" t="s">
        <v>5439</v>
      </c>
      <c r="V465" s="139">
        <v>2019</v>
      </c>
      <c r="W465" s="139" t="s">
        <v>5440</v>
      </c>
      <c r="X465" s="139"/>
      <c r="Y465" s="462" t="s">
        <v>1236</v>
      </c>
      <c r="Z465" s="140" t="s">
        <v>5441</v>
      </c>
      <c r="AA465" s="140" t="s">
        <v>1841</v>
      </c>
      <c r="AB465" s="460">
        <v>43886</v>
      </c>
      <c r="AC465" s="460">
        <v>45713</v>
      </c>
      <c r="AD465" s="139">
        <v>8904819037</v>
      </c>
      <c r="AE465" s="140" t="s">
        <v>5442</v>
      </c>
      <c r="AF465" s="139" t="s">
        <v>5443</v>
      </c>
      <c r="AG465" s="463" t="s">
        <v>5444</v>
      </c>
      <c r="AH465" s="139" t="s">
        <v>5445</v>
      </c>
      <c r="AI465" s="139" t="s">
        <v>5446</v>
      </c>
      <c r="AJ465" s="464">
        <v>890977440732</v>
      </c>
      <c r="AK465" s="140" t="s">
        <v>5447</v>
      </c>
      <c r="AL465" s="461">
        <v>44619</v>
      </c>
      <c r="AM465" s="477"/>
      <c r="AN465" s="465"/>
      <c r="AO465" s="140"/>
      <c r="AP465" s="139"/>
      <c r="AQ465" s="139"/>
      <c r="AR465" s="181"/>
      <c r="AS465" s="458"/>
      <c r="AT465" s="458"/>
      <c r="AU465" s="461">
        <v>33844</v>
      </c>
      <c r="AV465" s="181" t="s">
        <v>1352</v>
      </c>
      <c r="AW465" s="31" t="s">
        <v>32</v>
      </c>
      <c r="AX465" s="139">
        <v>6</v>
      </c>
      <c r="AY465" s="466">
        <f>VLOOKUP(K465,[3]Master!M442:BA825,40,0)</f>
        <v>6</v>
      </c>
      <c r="AZ465" s="58" t="s">
        <v>26</v>
      </c>
      <c r="BA465" s="58" t="s">
        <v>151</v>
      </c>
      <c r="BB465" s="58" t="s">
        <v>1407</v>
      </c>
      <c r="BC465" s="58"/>
    </row>
    <row r="466" spans="1:55" x14ac:dyDescent="0.25">
      <c r="A466" s="10">
        <f t="shared" si="19"/>
        <v>465</v>
      </c>
      <c r="B466" s="181" t="s">
        <v>5448</v>
      </c>
      <c r="C466" s="592" t="s">
        <v>1407</v>
      </c>
      <c r="D466" s="457">
        <v>400172</v>
      </c>
      <c r="E466" s="181" t="s">
        <v>36</v>
      </c>
      <c r="F466" s="97" t="s">
        <v>5449</v>
      </c>
      <c r="G466" s="139">
        <v>6</v>
      </c>
      <c r="H466" s="458">
        <v>0.45833333333333331</v>
      </c>
      <c r="I466" s="458">
        <v>0.75</v>
      </c>
      <c r="J466" s="458">
        <v>0.29166666666666669</v>
      </c>
      <c r="K466" s="100" t="s">
        <v>194</v>
      </c>
      <c r="L466" s="97" t="s">
        <v>195</v>
      </c>
      <c r="M466" s="97" t="s">
        <v>26</v>
      </c>
      <c r="N466" s="58" t="s">
        <v>38</v>
      </c>
      <c r="O466" s="58" t="s">
        <v>5050</v>
      </c>
      <c r="P466" s="206">
        <v>43861</v>
      </c>
      <c r="Q466" s="460">
        <v>44592</v>
      </c>
      <c r="R466" s="460">
        <v>45321</v>
      </c>
      <c r="S466" s="461">
        <v>45322</v>
      </c>
      <c r="T466" s="139">
        <v>2012</v>
      </c>
      <c r="U466" s="139" t="s">
        <v>141</v>
      </c>
      <c r="V466" s="139">
        <v>2017</v>
      </c>
      <c r="W466" s="139" t="s">
        <v>5450</v>
      </c>
      <c r="X466" s="139"/>
      <c r="Y466" s="462" t="s">
        <v>5151</v>
      </c>
      <c r="Z466" s="140" t="s">
        <v>5451</v>
      </c>
      <c r="AA466" s="140" t="s">
        <v>1841</v>
      </c>
      <c r="AB466" s="460">
        <v>43558</v>
      </c>
      <c r="AC466" s="460">
        <v>45384</v>
      </c>
      <c r="AD466" s="139">
        <v>8675186104</v>
      </c>
      <c r="AE466" s="467" t="s">
        <v>5452</v>
      </c>
      <c r="AF466" s="139" t="s">
        <v>1430</v>
      </c>
      <c r="AG466" s="463" t="s">
        <v>5453</v>
      </c>
      <c r="AH466" s="139" t="s">
        <v>5454</v>
      </c>
      <c r="AI466" s="139" t="s">
        <v>5455</v>
      </c>
      <c r="AJ466" s="464">
        <v>766809711471</v>
      </c>
      <c r="AK466" s="140" t="s">
        <v>5456</v>
      </c>
      <c r="AL466" s="461">
        <v>44712</v>
      </c>
      <c r="AM466" s="477">
        <v>44652</v>
      </c>
      <c r="AN466" s="465"/>
      <c r="AO466" s="140"/>
      <c r="AP466" s="139"/>
      <c r="AQ466" s="139"/>
      <c r="AR466" s="181"/>
      <c r="AS466" s="468"/>
      <c r="AT466" s="468"/>
      <c r="AU466" s="461">
        <v>32703</v>
      </c>
      <c r="AV466" s="181" t="s">
        <v>1389</v>
      </c>
      <c r="AW466" s="31" t="s">
        <v>32</v>
      </c>
      <c r="AX466" s="139">
        <v>7</v>
      </c>
      <c r="AY466" s="466">
        <f>VLOOKUP(K466,[3]Master!M443:BA826,40,0)</f>
        <v>7</v>
      </c>
      <c r="AZ466" s="58" t="s">
        <v>26</v>
      </c>
      <c r="BA466" s="58" t="s">
        <v>151</v>
      </c>
      <c r="BB466" s="58" t="s">
        <v>1407</v>
      </c>
      <c r="BC466" s="58"/>
    </row>
    <row r="467" spans="1:55" x14ac:dyDescent="0.25">
      <c r="A467" s="10">
        <f t="shared" si="19"/>
        <v>466</v>
      </c>
      <c r="B467" s="181" t="s">
        <v>5457</v>
      </c>
      <c r="C467" s="592" t="s">
        <v>1407</v>
      </c>
      <c r="D467" s="457">
        <v>400178</v>
      </c>
      <c r="E467" s="181" t="s">
        <v>36</v>
      </c>
      <c r="F467" s="97" t="s">
        <v>5458</v>
      </c>
      <c r="G467" s="139">
        <v>6</v>
      </c>
      <c r="H467" s="458">
        <v>0.66666666666666663</v>
      </c>
      <c r="I467" s="458">
        <v>0.83333333333333337</v>
      </c>
      <c r="J467" s="458">
        <v>0.16666666666666666</v>
      </c>
      <c r="K467" s="143" t="s">
        <v>477</v>
      </c>
      <c r="L467" s="97"/>
      <c r="M467" s="97" t="s">
        <v>1544</v>
      </c>
      <c r="N467" s="58" t="s">
        <v>1992</v>
      </c>
      <c r="O467" s="58" t="s">
        <v>5244</v>
      </c>
      <c r="P467" s="206">
        <v>43871</v>
      </c>
      <c r="Q467" s="460">
        <v>43871</v>
      </c>
      <c r="R467" s="460">
        <v>44601</v>
      </c>
      <c r="S467" s="461">
        <f>R467+1</f>
        <v>44602</v>
      </c>
      <c r="T467" s="139">
        <v>2010</v>
      </c>
      <c r="U467" s="139"/>
      <c r="V467" s="139">
        <v>2015</v>
      </c>
      <c r="W467" s="139" t="s">
        <v>209</v>
      </c>
      <c r="X467" s="139"/>
      <c r="Y467" s="462" t="s">
        <v>5246</v>
      </c>
      <c r="Z467" s="140">
        <v>72390</v>
      </c>
      <c r="AA467" s="140" t="s">
        <v>1841</v>
      </c>
      <c r="AB467" s="460">
        <v>42605</v>
      </c>
      <c r="AC467" s="460">
        <v>44430</v>
      </c>
      <c r="AD467" s="139">
        <v>9966217809</v>
      </c>
      <c r="AE467" s="140" t="s">
        <v>5459</v>
      </c>
      <c r="AF467" s="139" t="s">
        <v>1430</v>
      </c>
      <c r="AG467" s="463" t="s">
        <v>5460</v>
      </c>
      <c r="AH467" s="139" t="s">
        <v>5461</v>
      </c>
      <c r="AI467" s="139" t="s">
        <v>5462</v>
      </c>
      <c r="AJ467" s="464">
        <v>917961833587</v>
      </c>
      <c r="AK467" s="140" t="s">
        <v>5463</v>
      </c>
      <c r="AL467" s="206">
        <v>44610</v>
      </c>
      <c r="AM467" s="477"/>
      <c r="AN467" s="465"/>
      <c r="AO467" s="140"/>
      <c r="AP467" s="139"/>
      <c r="AQ467" s="139"/>
      <c r="AR467" s="181"/>
      <c r="AS467" s="458"/>
      <c r="AT467" s="458"/>
      <c r="AU467" s="461">
        <v>31868</v>
      </c>
      <c r="AV467" s="181" t="s">
        <v>1389</v>
      </c>
      <c r="AW467" s="31" t="s">
        <v>32</v>
      </c>
      <c r="AX467" s="139">
        <v>4</v>
      </c>
      <c r="AY467" s="466">
        <f>VLOOKUP(K467,[3]Master!M444:BA827,40,0)</f>
        <v>8</v>
      </c>
      <c r="AZ467" s="58" t="s">
        <v>1373</v>
      </c>
      <c r="BA467" s="58" t="s">
        <v>151</v>
      </c>
      <c r="BB467" s="58" t="s">
        <v>1407</v>
      </c>
      <c r="BC467" s="58"/>
    </row>
    <row r="468" spans="1:55" x14ac:dyDescent="0.25">
      <c r="A468" s="10">
        <f t="shared" si="19"/>
        <v>467</v>
      </c>
      <c r="B468" s="181" t="s">
        <v>946</v>
      </c>
      <c r="C468" s="592" t="s">
        <v>1407</v>
      </c>
      <c r="D468" s="457">
        <v>400180</v>
      </c>
      <c r="E468" s="181" t="s">
        <v>36</v>
      </c>
      <c r="F468" s="97" t="s">
        <v>5464</v>
      </c>
      <c r="G468" s="139">
        <v>6</v>
      </c>
      <c r="H468" s="458">
        <v>0.375</v>
      </c>
      <c r="I468" s="458">
        <v>0.70833333333333337</v>
      </c>
      <c r="J468" s="458">
        <v>0.33333333333333331</v>
      </c>
      <c r="K468" s="58" t="s">
        <v>147</v>
      </c>
      <c r="L468" s="97" t="s">
        <v>281</v>
      </c>
      <c r="M468" s="97" t="s">
        <v>26</v>
      </c>
      <c r="N468" s="58" t="s">
        <v>38</v>
      </c>
      <c r="O468" s="58" t="s">
        <v>5050</v>
      </c>
      <c r="P468" s="206">
        <v>43885</v>
      </c>
      <c r="Q468" s="460">
        <v>43885</v>
      </c>
      <c r="R468" s="460">
        <v>44615</v>
      </c>
      <c r="S468" s="461">
        <f>R468+1</f>
        <v>44616</v>
      </c>
      <c r="T468" s="139"/>
      <c r="U468" s="139" t="s">
        <v>950</v>
      </c>
      <c r="V468" s="139">
        <v>2019</v>
      </c>
      <c r="W468" s="139" t="s">
        <v>296</v>
      </c>
      <c r="X468" s="139"/>
      <c r="Y468" s="462" t="s">
        <v>5235</v>
      </c>
      <c r="Z468" s="140" t="s">
        <v>5465</v>
      </c>
      <c r="AA468" s="140" t="s">
        <v>1841</v>
      </c>
      <c r="AB468" s="460">
        <v>43881</v>
      </c>
      <c r="AC468" s="460">
        <v>45707</v>
      </c>
      <c r="AD468" s="139">
        <v>9000678191</v>
      </c>
      <c r="AE468" s="140" t="s">
        <v>951</v>
      </c>
      <c r="AF468" s="139" t="s">
        <v>5086</v>
      </c>
      <c r="AG468" s="463" t="s">
        <v>5466</v>
      </c>
      <c r="AH468" s="139" t="s">
        <v>1835</v>
      </c>
      <c r="AI468" s="139" t="s">
        <v>3977</v>
      </c>
      <c r="AJ468" s="464">
        <v>532426693384</v>
      </c>
      <c r="AK468" s="140" t="s">
        <v>5467</v>
      </c>
      <c r="AL468" s="461">
        <v>44593</v>
      </c>
      <c r="AM468" s="477"/>
      <c r="AN468" s="465"/>
      <c r="AO468" s="140"/>
      <c r="AP468" s="139"/>
      <c r="AQ468" s="139"/>
      <c r="AR468" s="181"/>
      <c r="AS468" s="458"/>
      <c r="AT468" s="458"/>
      <c r="AU468" s="461">
        <v>32735</v>
      </c>
      <c r="AV468" s="181" t="s">
        <v>1352</v>
      </c>
      <c r="AW468" s="31" t="s">
        <v>68</v>
      </c>
      <c r="AX468" s="139">
        <v>8</v>
      </c>
      <c r="AY468" s="466">
        <f>VLOOKUP(K468,[3]Master!M445:BA828,40,0)</f>
        <v>0</v>
      </c>
      <c r="AZ468" s="58" t="s">
        <v>26</v>
      </c>
      <c r="BA468" s="58" t="s">
        <v>151</v>
      </c>
      <c r="BB468" s="58" t="s">
        <v>1407</v>
      </c>
      <c r="BC468" s="58"/>
    </row>
    <row r="469" spans="1:55" x14ac:dyDescent="0.25">
      <c r="A469" s="10">
        <f t="shared" si="19"/>
        <v>468</v>
      </c>
      <c r="B469" s="181" t="s">
        <v>5468</v>
      </c>
      <c r="C469" s="592" t="s">
        <v>1407</v>
      </c>
      <c r="D469" s="457">
        <v>400182</v>
      </c>
      <c r="E469" s="181" t="s">
        <v>36</v>
      </c>
      <c r="F469" s="97" t="s">
        <v>5469</v>
      </c>
      <c r="G469" s="139">
        <v>6</v>
      </c>
      <c r="H469" s="458">
        <v>0.375</v>
      </c>
      <c r="I469" s="458">
        <v>0.54166666666666663</v>
      </c>
      <c r="J469" s="458">
        <f>I469-H469</f>
        <v>0.16666666666666663</v>
      </c>
      <c r="K469" s="100" t="s">
        <v>1187</v>
      </c>
      <c r="L469" s="97" t="s">
        <v>5470</v>
      </c>
      <c r="M469" s="97" t="s">
        <v>26</v>
      </c>
      <c r="N469" s="58" t="s">
        <v>38</v>
      </c>
      <c r="O469" s="58" t="s">
        <v>5076</v>
      </c>
      <c r="P469" s="206">
        <v>43885</v>
      </c>
      <c r="Q469" s="460">
        <v>44652</v>
      </c>
      <c r="R469" s="460">
        <v>45382</v>
      </c>
      <c r="S469" s="461">
        <v>45383</v>
      </c>
      <c r="T469" s="139">
        <v>2014</v>
      </c>
      <c r="U469" s="139" t="s">
        <v>141</v>
      </c>
      <c r="V469" s="139">
        <v>2018</v>
      </c>
      <c r="W469" s="139" t="s">
        <v>5148</v>
      </c>
      <c r="X469" s="139" t="s">
        <v>30</v>
      </c>
      <c r="Y469" s="462" t="s">
        <v>5151</v>
      </c>
      <c r="Z469" s="140" t="s">
        <v>5471</v>
      </c>
      <c r="AA469" s="140" t="s">
        <v>1841</v>
      </c>
      <c r="AB469" s="460">
        <v>43438</v>
      </c>
      <c r="AC469" s="460">
        <v>45263</v>
      </c>
      <c r="AD469" s="488">
        <v>9700229600</v>
      </c>
      <c r="AE469" s="140" t="s">
        <v>5472</v>
      </c>
      <c r="AF469" s="139" t="s">
        <v>1430</v>
      </c>
      <c r="AG469" s="463" t="s">
        <v>5473</v>
      </c>
      <c r="AH469" s="139" t="s">
        <v>5474</v>
      </c>
      <c r="AI469" s="139" t="s">
        <v>5475</v>
      </c>
      <c r="AJ469" s="464">
        <v>362882478788</v>
      </c>
      <c r="AK469" s="140" t="s">
        <v>5476</v>
      </c>
      <c r="AL469" s="461"/>
      <c r="AM469" s="477"/>
      <c r="AN469" s="465"/>
      <c r="AO469" s="140">
        <v>0</v>
      </c>
      <c r="AP469" s="139"/>
      <c r="AQ469" s="139"/>
      <c r="AR469" s="58"/>
      <c r="AS469" s="458"/>
      <c r="AT469" s="458"/>
      <c r="AU469" s="461">
        <v>32422</v>
      </c>
      <c r="AV469" s="181" t="s">
        <v>1352</v>
      </c>
      <c r="AW469" s="31" t="s">
        <v>32</v>
      </c>
      <c r="AX469" s="139">
        <v>4</v>
      </c>
      <c r="AY469" s="466">
        <f>VLOOKUP(K469,[3]Master!M446:BA829,40,0)</f>
        <v>8</v>
      </c>
      <c r="AZ469" s="58" t="s">
        <v>26</v>
      </c>
      <c r="BA469" s="58" t="s">
        <v>151</v>
      </c>
      <c r="BB469" s="58" t="s">
        <v>1407</v>
      </c>
      <c r="BC469" s="58"/>
    </row>
    <row r="470" spans="1:55" x14ac:dyDescent="0.25">
      <c r="A470" s="10">
        <f t="shared" si="19"/>
        <v>469</v>
      </c>
      <c r="B470" s="181" t="s">
        <v>5477</v>
      </c>
      <c r="C470" s="592" t="s">
        <v>1407</v>
      </c>
      <c r="D470" s="457">
        <v>400189</v>
      </c>
      <c r="E470" s="181" t="s">
        <v>9124</v>
      </c>
      <c r="F470" s="97" t="s">
        <v>5478</v>
      </c>
      <c r="G470" s="139">
        <v>6</v>
      </c>
      <c r="H470" s="458" t="s">
        <v>4931</v>
      </c>
      <c r="I470" s="458" t="s">
        <v>219</v>
      </c>
      <c r="J470" s="458">
        <v>0.33333333333333331</v>
      </c>
      <c r="K470" s="35" t="s">
        <v>453</v>
      </c>
      <c r="L470" s="97" t="s">
        <v>5479</v>
      </c>
      <c r="M470" s="97" t="s">
        <v>26</v>
      </c>
      <c r="N470" s="58" t="s">
        <v>38</v>
      </c>
      <c r="O470" s="58" t="s">
        <v>5050</v>
      </c>
      <c r="P470" s="206">
        <v>43992</v>
      </c>
      <c r="Q470" s="460">
        <v>43992</v>
      </c>
      <c r="R470" s="460">
        <v>44721</v>
      </c>
      <c r="S470" s="461">
        <f>R470+1</f>
        <v>44722</v>
      </c>
      <c r="T470" s="139">
        <v>2013</v>
      </c>
      <c r="U470" s="139" t="s">
        <v>5480</v>
      </c>
      <c r="V470" s="139">
        <v>2019</v>
      </c>
      <c r="W470" s="139" t="s">
        <v>5480</v>
      </c>
      <c r="X470" s="139"/>
      <c r="Y470" s="462" t="s">
        <v>5481</v>
      </c>
      <c r="Z470" s="140" t="s">
        <v>5482</v>
      </c>
      <c r="AA470" s="140" t="s">
        <v>1886</v>
      </c>
      <c r="AB470" s="460">
        <v>43658</v>
      </c>
      <c r="AC470" s="460">
        <v>45484</v>
      </c>
      <c r="AD470" s="139">
        <v>9703744624</v>
      </c>
      <c r="AE470" s="467" t="s">
        <v>5483</v>
      </c>
      <c r="AF470" s="139" t="s">
        <v>5484</v>
      </c>
      <c r="AG470" s="463" t="s">
        <v>5485</v>
      </c>
      <c r="AH470" s="139" t="s">
        <v>5486</v>
      </c>
      <c r="AI470" s="139" t="s">
        <v>5487</v>
      </c>
      <c r="AJ470" s="464">
        <v>804926112528</v>
      </c>
      <c r="AK470" s="140" t="s">
        <v>5488</v>
      </c>
      <c r="AL470" s="461"/>
      <c r="AM470" s="477"/>
      <c r="AN470" s="465"/>
      <c r="AO470" s="140"/>
      <c r="AP470" s="139"/>
      <c r="AQ470" s="139"/>
      <c r="AR470" s="181"/>
      <c r="AS470" s="458"/>
      <c r="AT470" s="458"/>
      <c r="AU470" s="461">
        <v>32904</v>
      </c>
      <c r="AV470" s="181" t="s">
        <v>1389</v>
      </c>
      <c r="AW470" s="31" t="s">
        <v>68</v>
      </c>
      <c r="AX470" s="139">
        <v>8</v>
      </c>
      <c r="AY470" s="466">
        <f>VLOOKUP(K470,[3]Master!M447:BA830,40,0)</f>
        <v>8</v>
      </c>
      <c r="AZ470" s="58" t="s">
        <v>26</v>
      </c>
      <c r="BA470" s="58" t="s">
        <v>151</v>
      </c>
      <c r="BB470" s="58" t="s">
        <v>1407</v>
      </c>
      <c r="BC470" s="58"/>
    </row>
    <row r="471" spans="1:55" x14ac:dyDescent="0.25">
      <c r="A471" s="10">
        <f t="shared" si="19"/>
        <v>470</v>
      </c>
      <c r="B471" s="181" t="s">
        <v>5489</v>
      </c>
      <c r="C471" s="592" t="s">
        <v>1407</v>
      </c>
      <c r="D471" s="457">
        <v>400907</v>
      </c>
      <c r="E471" s="181" t="s">
        <v>36</v>
      </c>
      <c r="F471" s="97" t="s">
        <v>5490</v>
      </c>
      <c r="G471" s="139">
        <v>6</v>
      </c>
      <c r="H471" s="469" t="s">
        <v>5491</v>
      </c>
      <c r="I471" s="469" t="s">
        <v>5118</v>
      </c>
      <c r="J471" s="458">
        <v>4.1666666666666664E-2</v>
      </c>
      <c r="K471" s="143" t="s">
        <v>220</v>
      </c>
      <c r="L471" s="97" t="s">
        <v>1424</v>
      </c>
      <c r="M471" s="97" t="s">
        <v>1376</v>
      </c>
      <c r="N471" s="58" t="s">
        <v>1393</v>
      </c>
      <c r="O471" s="58" t="s">
        <v>1424</v>
      </c>
      <c r="P471" s="206">
        <v>45275</v>
      </c>
      <c r="Q471" s="206">
        <v>45275</v>
      </c>
      <c r="R471" s="206">
        <v>46005</v>
      </c>
      <c r="S471" s="461">
        <v>46006</v>
      </c>
      <c r="T471" s="139">
        <v>2022</v>
      </c>
      <c r="U471" s="181" t="s">
        <v>5492</v>
      </c>
      <c r="V471" s="139"/>
      <c r="W471" s="97"/>
      <c r="X471" s="181" t="s">
        <v>30</v>
      </c>
      <c r="Y471" s="58" t="s">
        <v>226</v>
      </c>
      <c r="Z471" s="140" t="s">
        <v>5493</v>
      </c>
      <c r="AA471" s="470" t="s">
        <v>1841</v>
      </c>
      <c r="AB471" s="471">
        <v>44887</v>
      </c>
      <c r="AC471" s="471">
        <v>46712</v>
      </c>
      <c r="AD471" s="472">
        <v>7337505161</v>
      </c>
      <c r="AE471" s="473" t="s">
        <v>5494</v>
      </c>
      <c r="AF471" s="474" t="s">
        <v>5086</v>
      </c>
      <c r="AG471" s="475" t="s">
        <v>5495</v>
      </c>
      <c r="AH471" s="181" t="s">
        <v>5496</v>
      </c>
      <c r="AI471" s="139" t="s">
        <v>5497</v>
      </c>
      <c r="AJ471" s="476">
        <v>431270577067</v>
      </c>
      <c r="AK471" s="470"/>
      <c r="AL471" s="206">
        <v>45468</v>
      </c>
      <c r="AM471" s="477">
        <v>45453</v>
      </c>
      <c r="AN471" s="478" t="s">
        <v>1788</v>
      </c>
      <c r="AO471" s="140" t="s">
        <v>5498</v>
      </c>
      <c r="AP471" s="58"/>
      <c r="AQ471" s="97" t="s">
        <v>5498</v>
      </c>
      <c r="AR471" s="462"/>
      <c r="AS471" s="479">
        <v>0.375</v>
      </c>
      <c r="AT471" s="479">
        <v>0.41666666666666669</v>
      </c>
      <c r="AU471" s="480">
        <v>34824</v>
      </c>
      <c r="AV471" s="181" t="s">
        <v>1389</v>
      </c>
      <c r="AW471" s="31" t="s">
        <v>32</v>
      </c>
      <c r="AX471" s="139">
        <v>1</v>
      </c>
      <c r="AY471" s="58" t="s">
        <v>2006</v>
      </c>
      <c r="AZ471" s="58" t="s">
        <v>1390</v>
      </c>
      <c r="BA471" s="58" t="s">
        <v>151</v>
      </c>
      <c r="BB471" s="58" t="s">
        <v>1407</v>
      </c>
      <c r="BC471" s="58"/>
    </row>
    <row r="472" spans="1:55" x14ac:dyDescent="0.25">
      <c r="A472" s="10">
        <f t="shared" si="19"/>
        <v>471</v>
      </c>
      <c r="B472" s="181" t="s">
        <v>5499</v>
      </c>
      <c r="C472" s="592" t="s">
        <v>1407</v>
      </c>
      <c r="D472" s="457">
        <v>400201</v>
      </c>
      <c r="E472" s="181" t="s">
        <v>36</v>
      </c>
      <c r="F472" s="97" t="s">
        <v>5500</v>
      </c>
      <c r="G472" s="139">
        <v>6</v>
      </c>
      <c r="H472" s="458">
        <v>0.33333333333333331</v>
      </c>
      <c r="I472" s="458">
        <v>0.58333333333333337</v>
      </c>
      <c r="J472" s="458">
        <v>0.25</v>
      </c>
      <c r="K472" s="58" t="s">
        <v>5501</v>
      </c>
      <c r="L472" s="97" t="s">
        <v>5502</v>
      </c>
      <c r="M472" s="97" t="s">
        <v>26</v>
      </c>
      <c r="N472" s="58" t="s">
        <v>38</v>
      </c>
      <c r="O472" s="58" t="s">
        <v>5050</v>
      </c>
      <c r="P472" s="206">
        <v>44000</v>
      </c>
      <c r="Q472" s="460">
        <v>44000</v>
      </c>
      <c r="R472" s="460">
        <v>44729</v>
      </c>
      <c r="S472" s="461">
        <f>R472+1</f>
        <v>44730</v>
      </c>
      <c r="T472" s="139">
        <v>2011</v>
      </c>
      <c r="U472" s="139" t="s">
        <v>5503</v>
      </c>
      <c r="V472" s="139">
        <v>2017</v>
      </c>
      <c r="W472" s="139" t="s">
        <v>5504</v>
      </c>
      <c r="X472" s="139"/>
      <c r="Y472" s="462" t="s">
        <v>5151</v>
      </c>
      <c r="Z472" s="140">
        <v>71300</v>
      </c>
      <c r="AA472" s="140" t="s">
        <v>1841</v>
      </c>
      <c r="AB472" s="460">
        <v>43330</v>
      </c>
      <c r="AC472" s="460">
        <v>45124</v>
      </c>
      <c r="AD472" s="139">
        <v>8121323583</v>
      </c>
      <c r="AE472" s="140" t="s">
        <v>5505</v>
      </c>
      <c r="AF472" s="139" t="s">
        <v>1364</v>
      </c>
      <c r="AG472" s="463" t="s">
        <v>5506</v>
      </c>
      <c r="AH472" s="139" t="s">
        <v>5507</v>
      </c>
      <c r="AI472" s="139" t="s">
        <v>5508</v>
      </c>
      <c r="AJ472" s="464">
        <v>790088947234</v>
      </c>
      <c r="AK472" s="140" t="s">
        <v>5509</v>
      </c>
      <c r="AL472" s="461">
        <v>44592</v>
      </c>
      <c r="AM472" s="477"/>
      <c r="AN472" s="465"/>
      <c r="AO472" s="140"/>
      <c r="AP472" s="139"/>
      <c r="AQ472" s="139"/>
      <c r="AR472" s="181"/>
      <c r="AS472" s="458"/>
      <c r="AT472" s="458"/>
      <c r="AU472" s="461">
        <v>31645</v>
      </c>
      <c r="AV472" s="181" t="s">
        <v>1352</v>
      </c>
      <c r="AW472" s="31" t="s">
        <v>32</v>
      </c>
      <c r="AX472" s="139">
        <v>6</v>
      </c>
      <c r="AY472" s="58" t="s">
        <v>2006</v>
      </c>
      <c r="AZ472" s="58" t="s">
        <v>26</v>
      </c>
      <c r="BA472" s="58" t="s">
        <v>151</v>
      </c>
      <c r="BB472" s="58" t="s">
        <v>1407</v>
      </c>
      <c r="BC472" s="58"/>
    </row>
    <row r="473" spans="1:55" x14ac:dyDescent="0.25">
      <c r="A473" s="10">
        <f t="shared" si="19"/>
        <v>472</v>
      </c>
      <c r="B473" s="181" t="s">
        <v>5510</v>
      </c>
      <c r="C473" s="592" t="s">
        <v>1407</v>
      </c>
      <c r="D473" s="457">
        <v>400203</v>
      </c>
      <c r="E473" s="181" t="s">
        <v>36</v>
      </c>
      <c r="F473" s="97" t="s">
        <v>5511</v>
      </c>
      <c r="G473" s="139">
        <v>6</v>
      </c>
      <c r="H473" s="458">
        <v>0.35416666666666669</v>
      </c>
      <c r="I473" s="458">
        <v>0.47916666666666669</v>
      </c>
      <c r="J473" s="458">
        <v>0.125</v>
      </c>
      <c r="K473" s="58" t="s">
        <v>686</v>
      </c>
      <c r="L473" s="97" t="s">
        <v>295</v>
      </c>
      <c r="M473" s="97" t="s">
        <v>26</v>
      </c>
      <c r="N473" s="58" t="s">
        <v>38</v>
      </c>
      <c r="O473" s="58" t="s">
        <v>5050</v>
      </c>
      <c r="P473" s="206">
        <v>44006</v>
      </c>
      <c r="Q473" s="460">
        <v>44006</v>
      </c>
      <c r="R473" s="460">
        <v>44735</v>
      </c>
      <c r="S473" s="461">
        <f>R473+1</f>
        <v>44736</v>
      </c>
      <c r="T473" s="139">
        <v>2011</v>
      </c>
      <c r="U473" s="139" t="s">
        <v>163</v>
      </c>
      <c r="V473" s="139">
        <v>2015</v>
      </c>
      <c r="W473" s="139" t="s">
        <v>250</v>
      </c>
      <c r="X473" s="139"/>
      <c r="Y473" s="462" t="s">
        <v>5078</v>
      </c>
      <c r="Z473" s="140">
        <v>70500</v>
      </c>
      <c r="AA473" s="140" t="s">
        <v>1841</v>
      </c>
      <c r="AB473" s="460">
        <v>43412</v>
      </c>
      <c r="AC473" s="460">
        <v>45237</v>
      </c>
      <c r="AD473" s="139">
        <v>9949640772</v>
      </c>
      <c r="AE473" s="140" t="s">
        <v>5512</v>
      </c>
      <c r="AF473" s="139" t="s">
        <v>5086</v>
      </c>
      <c r="AG473" s="463" t="s">
        <v>5513</v>
      </c>
      <c r="AH473" s="139" t="s">
        <v>5514</v>
      </c>
      <c r="AI473" s="139" t="s">
        <v>5515</v>
      </c>
      <c r="AJ473" s="464">
        <v>996380365972</v>
      </c>
      <c r="AK473" s="140" t="s">
        <v>5516</v>
      </c>
      <c r="AL473" s="461">
        <v>44703</v>
      </c>
      <c r="AM473" s="477">
        <v>44643</v>
      </c>
      <c r="AN473" s="465"/>
      <c r="AO473" s="140"/>
      <c r="AP473" s="139"/>
      <c r="AQ473" s="139"/>
      <c r="AR473" s="181"/>
      <c r="AS473" s="458"/>
      <c r="AT473" s="458"/>
      <c r="AU473" s="461">
        <v>32187</v>
      </c>
      <c r="AV473" s="181" t="s">
        <v>1352</v>
      </c>
      <c r="AW473" s="31" t="s">
        <v>32</v>
      </c>
      <c r="AX473" s="139">
        <v>3</v>
      </c>
      <c r="AY473" s="466">
        <f>VLOOKUP(K473,[3]Master!M450:BA833,40,0)</f>
        <v>3</v>
      </c>
      <c r="AZ473" s="58" t="s">
        <v>26</v>
      </c>
      <c r="BA473" s="58" t="s">
        <v>151</v>
      </c>
      <c r="BB473" s="58" t="s">
        <v>1407</v>
      </c>
      <c r="BC473" s="58"/>
    </row>
    <row r="474" spans="1:55" x14ac:dyDescent="0.25">
      <c r="A474" s="10">
        <f t="shared" si="19"/>
        <v>473</v>
      </c>
      <c r="B474" s="181" t="s">
        <v>5517</v>
      </c>
      <c r="C474" s="592" t="s">
        <v>1407</v>
      </c>
      <c r="D474" s="457">
        <v>400205</v>
      </c>
      <c r="E474" s="181" t="s">
        <v>42</v>
      </c>
      <c r="F474" s="97" t="s">
        <v>5518</v>
      </c>
      <c r="G474" s="139">
        <v>6</v>
      </c>
      <c r="H474" s="458">
        <v>0.375</v>
      </c>
      <c r="I474" s="458">
        <v>0.625</v>
      </c>
      <c r="J474" s="458">
        <v>0.25</v>
      </c>
      <c r="K474" s="58" t="s">
        <v>446</v>
      </c>
      <c r="L474" s="97" t="s">
        <v>5519</v>
      </c>
      <c r="M474" s="97" t="s">
        <v>26</v>
      </c>
      <c r="N474" s="58" t="s">
        <v>38</v>
      </c>
      <c r="O474" s="58" t="s">
        <v>5050</v>
      </c>
      <c r="P474" s="206">
        <v>44013</v>
      </c>
      <c r="Q474" s="460">
        <v>44228</v>
      </c>
      <c r="R474" s="460">
        <v>44957</v>
      </c>
      <c r="S474" s="461">
        <f>R474+1</f>
        <v>44958</v>
      </c>
      <c r="T474" s="139">
        <v>2008</v>
      </c>
      <c r="U474" s="139" t="s">
        <v>169</v>
      </c>
      <c r="V474" s="139">
        <v>2015</v>
      </c>
      <c r="W474" s="139" t="s">
        <v>499</v>
      </c>
      <c r="X474" s="139"/>
      <c r="Y474" s="462" t="s">
        <v>5235</v>
      </c>
      <c r="Z474" s="140">
        <v>64834</v>
      </c>
      <c r="AA474" s="140" t="s">
        <v>1841</v>
      </c>
      <c r="AB474" s="460">
        <v>42867</v>
      </c>
      <c r="AC474" s="460">
        <v>44327</v>
      </c>
      <c r="AD474" s="139">
        <v>7799558181</v>
      </c>
      <c r="AE474" s="140" t="s">
        <v>5520</v>
      </c>
      <c r="AF474" s="139" t="s">
        <v>1400</v>
      </c>
      <c r="AG474" s="463" t="s">
        <v>5521</v>
      </c>
      <c r="AH474" s="139" t="s">
        <v>5291</v>
      </c>
      <c r="AI474" s="139" t="s">
        <v>5522</v>
      </c>
      <c r="AJ474" s="464">
        <v>693856800368</v>
      </c>
      <c r="AK474" s="140" t="s">
        <v>5523</v>
      </c>
      <c r="AL474" s="461">
        <v>44463</v>
      </c>
      <c r="AM474" s="477"/>
      <c r="AN474" s="465"/>
      <c r="AO474" s="140"/>
      <c r="AP474" s="139"/>
      <c r="AQ474" s="139"/>
      <c r="AR474" s="181"/>
      <c r="AS474" s="458"/>
      <c r="AT474" s="458"/>
      <c r="AU474" s="461">
        <v>31308</v>
      </c>
      <c r="AV474" s="181" t="s">
        <v>1389</v>
      </c>
      <c r="AW474" s="31" t="s">
        <v>32</v>
      </c>
      <c r="AX474" s="139">
        <v>6</v>
      </c>
      <c r="AY474" s="466">
        <f>VLOOKUP(K474,[3]Master!M451:BA834,40,0)</f>
        <v>6</v>
      </c>
      <c r="AZ474" s="58" t="s">
        <v>26</v>
      </c>
      <c r="BA474" s="58" t="s">
        <v>151</v>
      </c>
      <c r="BB474" s="58" t="s">
        <v>1407</v>
      </c>
      <c r="BC474" s="58"/>
    </row>
    <row r="475" spans="1:55" x14ac:dyDescent="0.25">
      <c r="A475" s="10">
        <f t="shared" si="19"/>
        <v>474</v>
      </c>
      <c r="B475" s="181"/>
      <c r="C475" s="592" t="s">
        <v>1407</v>
      </c>
      <c r="D475" s="96">
        <v>400206</v>
      </c>
      <c r="E475" s="181"/>
      <c r="F475" s="97" t="s">
        <v>5524</v>
      </c>
      <c r="G475" s="462"/>
      <c r="H475" s="458"/>
      <c r="I475" s="458"/>
      <c r="J475" s="458"/>
      <c r="K475" s="58"/>
      <c r="L475" s="97"/>
      <c r="M475" s="97" t="s">
        <v>30</v>
      </c>
      <c r="N475" s="58"/>
      <c r="O475" s="58"/>
      <c r="P475" s="460"/>
      <c r="Q475" s="460"/>
      <c r="R475" s="460"/>
      <c r="S475" s="461"/>
      <c r="T475" s="139"/>
      <c r="U475" s="139"/>
      <c r="V475" s="139"/>
      <c r="W475" s="462"/>
      <c r="X475" s="139"/>
      <c r="Y475" s="462"/>
      <c r="Z475" s="140"/>
      <c r="AA475" s="465"/>
      <c r="AB475" s="460"/>
      <c r="AC475" s="139"/>
      <c r="AD475" s="139"/>
      <c r="AE475" s="140"/>
      <c r="AF475" s="486"/>
      <c r="AG475" s="139"/>
      <c r="AH475" s="139"/>
      <c r="AI475" s="464"/>
      <c r="AJ475" s="139"/>
      <c r="AK475" s="140"/>
      <c r="AL475" s="206"/>
      <c r="AM475" s="477"/>
      <c r="AN475" s="140"/>
      <c r="AO475" s="140"/>
      <c r="AP475" s="462"/>
      <c r="AQ475" s="58"/>
      <c r="AR475" s="489"/>
      <c r="AS475" s="458"/>
      <c r="AT475" s="181"/>
      <c r="AU475" s="181"/>
      <c r="AV475" s="461"/>
      <c r="AW475" s="181"/>
      <c r="AX475" s="139"/>
      <c r="AY475" s="58"/>
      <c r="AZ475" s="58"/>
      <c r="BA475" s="58" t="s">
        <v>151</v>
      </c>
      <c r="BB475" s="58" t="s">
        <v>1407</v>
      </c>
      <c r="BC475" s="58"/>
    </row>
    <row r="476" spans="1:55" x14ac:dyDescent="0.25">
      <c r="A476" s="10">
        <f t="shared" si="19"/>
        <v>475</v>
      </c>
      <c r="B476" s="181" t="s">
        <v>5525</v>
      </c>
      <c r="C476" s="592" t="s">
        <v>1407</v>
      </c>
      <c r="D476" s="457">
        <v>400207</v>
      </c>
      <c r="E476" s="181" t="s">
        <v>36</v>
      </c>
      <c r="F476" s="97" t="s">
        <v>5526</v>
      </c>
      <c r="G476" s="139">
        <v>6</v>
      </c>
      <c r="H476" s="458">
        <v>0.625</v>
      </c>
      <c r="I476" s="458">
        <v>0.70833333333333337</v>
      </c>
      <c r="J476" s="458">
        <v>8.3333333333333329E-2</v>
      </c>
      <c r="K476" s="143" t="s">
        <v>220</v>
      </c>
      <c r="L476" s="97"/>
      <c r="M476" s="63" t="s">
        <v>1355</v>
      </c>
      <c r="N476" s="100" t="s">
        <v>1520</v>
      </c>
      <c r="O476" s="58" t="s">
        <v>5270</v>
      </c>
      <c r="P476" s="206">
        <v>44015</v>
      </c>
      <c r="Q476" s="460">
        <v>44015</v>
      </c>
      <c r="R476" s="460">
        <v>44744</v>
      </c>
      <c r="S476" s="461">
        <f t="shared" ref="S476:S482" si="21">R476+1</f>
        <v>44745</v>
      </c>
      <c r="T476" s="139">
        <v>2004</v>
      </c>
      <c r="U476" s="139" t="s">
        <v>906</v>
      </c>
      <c r="V476" s="139">
        <v>2015</v>
      </c>
      <c r="W476" s="139" t="s">
        <v>5527</v>
      </c>
      <c r="X476" s="139"/>
      <c r="Y476" s="462" t="s">
        <v>5235</v>
      </c>
      <c r="Z476" s="140">
        <v>51909</v>
      </c>
      <c r="AA476" s="140" t="s">
        <v>1841</v>
      </c>
      <c r="AB476" s="460">
        <v>42584</v>
      </c>
      <c r="AC476" s="460">
        <v>44409</v>
      </c>
      <c r="AD476" s="139">
        <v>9949958287</v>
      </c>
      <c r="AE476" s="140" t="s">
        <v>5528</v>
      </c>
      <c r="AF476" s="139" t="s">
        <v>1364</v>
      </c>
      <c r="AG476" s="463" t="s">
        <v>5529</v>
      </c>
      <c r="AH476" s="139" t="s">
        <v>5530</v>
      </c>
      <c r="AI476" s="139" t="s">
        <v>5531</v>
      </c>
      <c r="AJ476" s="464">
        <v>545556160114</v>
      </c>
      <c r="AK476" s="140" t="s">
        <v>5532</v>
      </c>
      <c r="AL476" s="206">
        <v>44592</v>
      </c>
      <c r="AM476" s="477"/>
      <c r="AN476" s="465"/>
      <c r="AO476" s="140"/>
      <c r="AP476" s="139"/>
      <c r="AQ476" s="139"/>
      <c r="AR476" s="181"/>
      <c r="AS476" s="458"/>
      <c r="AT476" s="458"/>
      <c r="AU476" s="461">
        <v>28971</v>
      </c>
      <c r="AV476" s="181" t="s">
        <v>1389</v>
      </c>
      <c r="AW476" s="31" t="s">
        <v>32</v>
      </c>
      <c r="AX476" s="139">
        <v>2</v>
      </c>
      <c r="AY476" s="466">
        <f>VLOOKUP(K476,[3]Master!M453:BA836,40,0)</f>
        <v>1</v>
      </c>
      <c r="AZ476" s="58" t="s">
        <v>1373</v>
      </c>
      <c r="BA476" s="58" t="s">
        <v>151</v>
      </c>
      <c r="BB476" s="58" t="s">
        <v>1407</v>
      </c>
      <c r="BC476" s="58"/>
    </row>
    <row r="477" spans="1:55" x14ac:dyDescent="0.25">
      <c r="A477" s="10">
        <f t="shared" si="19"/>
        <v>476</v>
      </c>
      <c r="B477" s="181" t="s">
        <v>543</v>
      </c>
      <c r="C477" s="592" t="s">
        <v>1407</v>
      </c>
      <c r="D477" s="457">
        <v>400209</v>
      </c>
      <c r="E477" s="181" t="s">
        <v>36</v>
      </c>
      <c r="F477" s="97" t="s">
        <v>544</v>
      </c>
      <c r="G477" s="139">
        <v>6</v>
      </c>
      <c r="H477" s="458">
        <v>0.375</v>
      </c>
      <c r="I477" s="458">
        <v>0.5</v>
      </c>
      <c r="J477" s="458">
        <v>0.125</v>
      </c>
      <c r="K477" s="35" t="s">
        <v>508</v>
      </c>
      <c r="L477" s="97" t="s">
        <v>5533</v>
      </c>
      <c r="M477" s="97" t="s">
        <v>26</v>
      </c>
      <c r="N477" s="58" t="s">
        <v>38</v>
      </c>
      <c r="O477" s="58" t="s">
        <v>5050</v>
      </c>
      <c r="P477" s="206">
        <v>44018</v>
      </c>
      <c r="Q477" s="460">
        <v>44018</v>
      </c>
      <c r="R477" s="460">
        <v>44747</v>
      </c>
      <c r="S477" s="461">
        <f t="shared" si="21"/>
        <v>44748</v>
      </c>
      <c r="T477" s="139">
        <v>2012</v>
      </c>
      <c r="U477" s="139" t="s">
        <v>688</v>
      </c>
      <c r="V477" s="139">
        <v>2020</v>
      </c>
      <c r="W477" s="139" t="s">
        <v>546</v>
      </c>
      <c r="X477" s="139"/>
      <c r="Y477" s="462" t="s">
        <v>5235</v>
      </c>
      <c r="Z477" s="140" t="s">
        <v>2920</v>
      </c>
      <c r="AA477" s="140" t="s">
        <v>1841</v>
      </c>
      <c r="AB477" s="460">
        <v>44026</v>
      </c>
      <c r="AC477" s="460">
        <v>45851</v>
      </c>
      <c r="AD477" s="139">
        <v>9441500794</v>
      </c>
      <c r="AE477" s="467" t="s">
        <v>547</v>
      </c>
      <c r="AF477" s="139" t="s">
        <v>1364</v>
      </c>
      <c r="AG477" s="463" t="s">
        <v>2921</v>
      </c>
      <c r="AH477" s="139" t="s">
        <v>5534</v>
      </c>
      <c r="AI477" s="139" t="s">
        <v>2922</v>
      </c>
      <c r="AJ477" s="464">
        <v>839800974296</v>
      </c>
      <c r="AK477" s="140" t="s">
        <v>2924</v>
      </c>
      <c r="AL477" s="461">
        <v>44500</v>
      </c>
      <c r="AM477" s="477"/>
      <c r="AN477" s="465"/>
      <c r="AO477" s="140"/>
      <c r="AP477" s="139"/>
      <c r="AQ477" s="139"/>
      <c r="AR477" s="181"/>
      <c r="AS477" s="458"/>
      <c r="AT477" s="458"/>
      <c r="AU477" s="461">
        <v>32366</v>
      </c>
      <c r="AV477" s="181" t="s">
        <v>1352</v>
      </c>
      <c r="AW477" s="31" t="s">
        <v>32</v>
      </c>
      <c r="AX477" s="139">
        <v>3</v>
      </c>
      <c r="AY477" s="466">
        <f>VLOOKUP(K477,[3]Master!M454:BA837,40,0)</f>
        <v>3</v>
      </c>
      <c r="AZ477" s="58" t="s">
        <v>26</v>
      </c>
      <c r="BA477" s="58" t="s">
        <v>151</v>
      </c>
      <c r="BB477" s="58" t="s">
        <v>1407</v>
      </c>
      <c r="BC477" s="58"/>
    </row>
    <row r="478" spans="1:55" x14ac:dyDescent="0.25">
      <c r="A478" s="10">
        <f t="shared" si="19"/>
        <v>477</v>
      </c>
      <c r="B478" s="181" t="s">
        <v>543</v>
      </c>
      <c r="C478" s="592" t="s">
        <v>1407</v>
      </c>
      <c r="D478" s="457">
        <v>400210</v>
      </c>
      <c r="E478" s="181" t="s">
        <v>36</v>
      </c>
      <c r="F478" s="97" t="s">
        <v>544</v>
      </c>
      <c r="G478" s="139">
        <v>6</v>
      </c>
      <c r="H478" s="458">
        <v>0.625</v>
      </c>
      <c r="I478" s="458">
        <v>0.83333333333333337</v>
      </c>
      <c r="J478" s="458">
        <v>0.20833333333333334</v>
      </c>
      <c r="K478" s="58" t="s">
        <v>341</v>
      </c>
      <c r="L478" s="97" t="s">
        <v>5535</v>
      </c>
      <c r="M478" s="97" t="s">
        <v>26</v>
      </c>
      <c r="N478" s="58" t="s">
        <v>38</v>
      </c>
      <c r="O478" s="58" t="s">
        <v>5050</v>
      </c>
      <c r="P478" s="206">
        <v>44018</v>
      </c>
      <c r="Q478" s="460">
        <v>44018</v>
      </c>
      <c r="R478" s="460">
        <v>44747</v>
      </c>
      <c r="S478" s="461">
        <f t="shared" si="21"/>
        <v>44748</v>
      </c>
      <c r="T478" s="139">
        <v>2012</v>
      </c>
      <c r="U478" s="139" t="s">
        <v>380</v>
      </c>
      <c r="V478" s="139">
        <v>2020</v>
      </c>
      <c r="W478" s="139" t="s">
        <v>546</v>
      </c>
      <c r="X478" s="139"/>
      <c r="Y478" s="462" t="s">
        <v>5235</v>
      </c>
      <c r="Z478" s="140" t="s">
        <v>2920</v>
      </c>
      <c r="AA478" s="140" t="s">
        <v>1841</v>
      </c>
      <c r="AB478" s="460">
        <v>44026</v>
      </c>
      <c r="AC478" s="460">
        <v>45851</v>
      </c>
      <c r="AD478" s="139">
        <v>9441500794</v>
      </c>
      <c r="AE478" s="467" t="s">
        <v>547</v>
      </c>
      <c r="AF478" s="139" t="s">
        <v>1364</v>
      </c>
      <c r="AG478" s="463" t="s">
        <v>2921</v>
      </c>
      <c r="AH478" s="139" t="s">
        <v>5534</v>
      </c>
      <c r="AI478" s="139" t="s">
        <v>2922</v>
      </c>
      <c r="AJ478" s="464">
        <v>839800974296</v>
      </c>
      <c r="AK478" s="140" t="s">
        <v>2924</v>
      </c>
      <c r="AL478" s="461">
        <v>44500</v>
      </c>
      <c r="AM478" s="477"/>
      <c r="AN478" s="465"/>
      <c r="AO478" s="140"/>
      <c r="AP478" s="139"/>
      <c r="AQ478" s="139"/>
      <c r="AR478" s="181"/>
      <c r="AS478" s="458"/>
      <c r="AT478" s="458"/>
      <c r="AU478" s="461">
        <v>32366</v>
      </c>
      <c r="AV478" s="181" t="s">
        <v>1352</v>
      </c>
      <c r="AW478" s="31" t="s">
        <v>32</v>
      </c>
      <c r="AX478" s="139">
        <v>5</v>
      </c>
      <c r="AY478" s="466">
        <f>VLOOKUP(K478,[3]Master!M455:BA838,40,0)</f>
        <v>5</v>
      </c>
      <c r="AZ478" s="58" t="s">
        <v>26</v>
      </c>
      <c r="BA478" s="58" t="s">
        <v>151</v>
      </c>
      <c r="BB478" s="58" t="s">
        <v>1407</v>
      </c>
      <c r="BC478" s="58"/>
    </row>
    <row r="479" spans="1:55" x14ac:dyDescent="0.25">
      <c r="A479" s="10">
        <f t="shared" si="19"/>
        <v>478</v>
      </c>
      <c r="B479" s="181" t="s">
        <v>5536</v>
      </c>
      <c r="C479" s="592" t="s">
        <v>1407</v>
      </c>
      <c r="D479" s="457">
        <v>400212</v>
      </c>
      <c r="E479" s="181" t="s">
        <v>36</v>
      </c>
      <c r="F479" s="97" t="s">
        <v>5537</v>
      </c>
      <c r="G479" s="139">
        <v>6</v>
      </c>
      <c r="H479" s="458">
        <v>0.41666666666666669</v>
      </c>
      <c r="I479" s="458">
        <v>0.75</v>
      </c>
      <c r="J479" s="458">
        <v>0.33333333333333331</v>
      </c>
      <c r="K479" s="100" t="s">
        <v>961</v>
      </c>
      <c r="L479" s="97" t="s">
        <v>5438</v>
      </c>
      <c r="M479" s="97" t="s">
        <v>26</v>
      </c>
      <c r="N479" s="58" t="s">
        <v>38</v>
      </c>
      <c r="O479" s="58" t="s">
        <v>5050</v>
      </c>
      <c r="P479" s="206">
        <v>44044</v>
      </c>
      <c r="Q479" s="460">
        <v>44044</v>
      </c>
      <c r="R479" s="460">
        <v>44773</v>
      </c>
      <c r="S479" s="461">
        <f t="shared" si="21"/>
        <v>44774</v>
      </c>
      <c r="T479" s="139">
        <v>2009</v>
      </c>
      <c r="U479" s="139" t="s">
        <v>380</v>
      </c>
      <c r="V479" s="139">
        <v>2017</v>
      </c>
      <c r="W479" s="139" t="s">
        <v>643</v>
      </c>
      <c r="X479" s="139"/>
      <c r="Y479" s="462" t="s">
        <v>5078</v>
      </c>
      <c r="Z479" s="140">
        <v>69657</v>
      </c>
      <c r="AA479" s="140" t="s">
        <v>1841</v>
      </c>
      <c r="AB479" s="460">
        <v>43402</v>
      </c>
      <c r="AC479" s="460">
        <v>45227</v>
      </c>
      <c r="AD479" s="139">
        <v>8374501211</v>
      </c>
      <c r="AE479" s="467" t="s">
        <v>5538</v>
      </c>
      <c r="AF479" s="139" t="s">
        <v>1400</v>
      </c>
      <c r="AG479" s="463" t="s">
        <v>5539</v>
      </c>
      <c r="AH479" s="139" t="s">
        <v>5540</v>
      </c>
      <c r="AI479" s="139" t="s">
        <v>5541</v>
      </c>
      <c r="AJ479" s="464">
        <v>254838379359</v>
      </c>
      <c r="AK479" s="140" t="s">
        <v>5542</v>
      </c>
      <c r="AL479" s="461">
        <v>44723</v>
      </c>
      <c r="AM479" s="477">
        <v>44663</v>
      </c>
      <c r="AN479" s="465"/>
      <c r="AO479" s="140"/>
      <c r="AP479" s="139"/>
      <c r="AQ479" s="139"/>
      <c r="AR479" s="181"/>
      <c r="AS479" s="458"/>
      <c r="AT479" s="458"/>
      <c r="AU479" s="461">
        <v>31223</v>
      </c>
      <c r="AV479" s="181" t="s">
        <v>1352</v>
      </c>
      <c r="AW479" s="31" t="s">
        <v>68</v>
      </c>
      <c r="AX479" s="139">
        <v>8</v>
      </c>
      <c r="AY479" s="466">
        <f>VLOOKUP(K479,[3]Master!M456:BA839,40,0)</f>
        <v>8</v>
      </c>
      <c r="AZ479" s="58" t="s">
        <v>26</v>
      </c>
      <c r="BA479" s="58" t="s">
        <v>151</v>
      </c>
      <c r="BB479" s="58" t="s">
        <v>1407</v>
      </c>
      <c r="BC479" s="58"/>
    </row>
    <row r="480" spans="1:55" x14ac:dyDescent="0.25">
      <c r="A480" s="10">
        <f t="shared" si="19"/>
        <v>479</v>
      </c>
      <c r="B480" s="181" t="s">
        <v>5543</v>
      </c>
      <c r="C480" s="592" t="s">
        <v>1407</v>
      </c>
      <c r="D480" s="457">
        <v>400214</v>
      </c>
      <c r="E480" s="181" t="s">
        <v>36</v>
      </c>
      <c r="F480" s="97" t="s">
        <v>5544</v>
      </c>
      <c r="G480" s="139">
        <v>6</v>
      </c>
      <c r="H480" s="458">
        <v>0.33333333333333331</v>
      </c>
      <c r="I480" s="458">
        <v>0.875</v>
      </c>
      <c r="J480" s="458">
        <v>0.33333333333333331</v>
      </c>
      <c r="K480" s="100" t="s">
        <v>287</v>
      </c>
      <c r="L480" s="97"/>
      <c r="M480" s="63" t="s">
        <v>1355</v>
      </c>
      <c r="N480" s="100" t="s">
        <v>1520</v>
      </c>
      <c r="O480" s="58" t="s">
        <v>5270</v>
      </c>
      <c r="P480" s="206">
        <v>44048</v>
      </c>
      <c r="Q480" s="460">
        <v>44048</v>
      </c>
      <c r="R480" s="460">
        <v>44777</v>
      </c>
      <c r="S480" s="461">
        <f t="shared" si="21"/>
        <v>44778</v>
      </c>
      <c r="T480" s="139">
        <v>2010</v>
      </c>
      <c r="U480" s="139"/>
      <c r="V480" s="139">
        <v>2014</v>
      </c>
      <c r="W480" s="139" t="s">
        <v>5545</v>
      </c>
      <c r="X480" s="139"/>
      <c r="Y480" s="462" t="s">
        <v>5214</v>
      </c>
      <c r="Z480" s="140">
        <v>68206</v>
      </c>
      <c r="AA480" s="140" t="s">
        <v>1841</v>
      </c>
      <c r="AB480" s="460">
        <v>44464</v>
      </c>
      <c r="AC480" s="460">
        <v>46289</v>
      </c>
      <c r="AD480" s="139">
        <v>9959224916</v>
      </c>
      <c r="AE480" s="140" t="s">
        <v>5546</v>
      </c>
      <c r="AF480" s="139" t="s">
        <v>1805</v>
      </c>
      <c r="AG480" s="463" t="s">
        <v>5547</v>
      </c>
      <c r="AH480" s="139" t="s">
        <v>5548</v>
      </c>
      <c r="AI480" s="139" t="s">
        <v>5549</v>
      </c>
      <c r="AJ480" s="464">
        <v>745783556973</v>
      </c>
      <c r="AK480" s="140" t="s">
        <v>5550</v>
      </c>
      <c r="AL480" s="206">
        <v>44559</v>
      </c>
      <c r="AM480" s="477"/>
      <c r="AN480" s="465"/>
      <c r="AO480" s="140"/>
      <c r="AP480" s="139"/>
      <c r="AQ480" s="139"/>
      <c r="AR480" s="181"/>
      <c r="AS480" s="458"/>
      <c r="AT480" s="458"/>
      <c r="AU480" s="461">
        <v>31893</v>
      </c>
      <c r="AV480" s="181" t="s">
        <v>1389</v>
      </c>
      <c r="AW480" s="31" t="s">
        <v>68</v>
      </c>
      <c r="AX480" s="139">
        <v>8</v>
      </c>
      <c r="AY480" s="466">
        <f>VLOOKUP(K480,[3]Master!M457:BA840,40,0)</f>
        <v>3</v>
      </c>
      <c r="AZ480" s="58" t="s">
        <v>1373</v>
      </c>
      <c r="BA480" s="58" t="s">
        <v>151</v>
      </c>
      <c r="BB480" s="58" t="s">
        <v>1407</v>
      </c>
      <c r="BC480" s="58"/>
    </row>
    <row r="481" spans="1:55" x14ac:dyDescent="0.25">
      <c r="A481" s="10">
        <f t="shared" si="19"/>
        <v>480</v>
      </c>
      <c r="B481" s="181" t="s">
        <v>4424</v>
      </c>
      <c r="C481" s="592" t="s">
        <v>1407</v>
      </c>
      <c r="D481" s="457">
        <v>400215</v>
      </c>
      <c r="E481" s="181" t="s">
        <v>36</v>
      </c>
      <c r="F481" s="97" t="s">
        <v>5551</v>
      </c>
      <c r="G481" s="139">
        <v>6</v>
      </c>
      <c r="H481" s="458">
        <v>0.375</v>
      </c>
      <c r="I481" s="458">
        <v>0.70833333333333337</v>
      </c>
      <c r="J481" s="458">
        <v>0.33333333333333331</v>
      </c>
      <c r="K481" s="58" t="s">
        <v>147</v>
      </c>
      <c r="L481" s="97"/>
      <c r="M481" s="63" t="s">
        <v>1355</v>
      </c>
      <c r="N481" s="58" t="s">
        <v>5552</v>
      </c>
      <c r="O481" s="58" t="s">
        <v>4770</v>
      </c>
      <c r="P481" s="206">
        <v>44044</v>
      </c>
      <c r="Q481" s="460">
        <v>44044</v>
      </c>
      <c r="R481" s="460">
        <v>44773</v>
      </c>
      <c r="S481" s="461">
        <f t="shared" si="21"/>
        <v>44774</v>
      </c>
      <c r="T481" s="139"/>
      <c r="U481" s="139"/>
      <c r="V481" s="139"/>
      <c r="W481" s="139"/>
      <c r="X481" s="139"/>
      <c r="Y481" s="462" t="s">
        <v>5214</v>
      </c>
      <c r="Z481" s="140">
        <v>10396</v>
      </c>
      <c r="AA481" s="140" t="s">
        <v>1841</v>
      </c>
      <c r="AB481" s="460">
        <v>43910</v>
      </c>
      <c r="AC481" s="460">
        <v>45735</v>
      </c>
      <c r="AD481" s="139">
        <v>9885662081</v>
      </c>
      <c r="AE481" s="140" t="s">
        <v>4427</v>
      </c>
      <c r="AF481" s="139" t="s">
        <v>1430</v>
      </c>
      <c r="AG481" s="463" t="s">
        <v>4428</v>
      </c>
      <c r="AH481" s="139" t="s">
        <v>4429</v>
      </c>
      <c r="AI481" s="139" t="s">
        <v>4430</v>
      </c>
      <c r="AJ481" s="464">
        <v>570172202427</v>
      </c>
      <c r="AK481" s="140" t="s">
        <v>4432</v>
      </c>
      <c r="AL481" s="206">
        <v>44316</v>
      </c>
      <c r="AM481" s="477"/>
      <c r="AN481" s="465"/>
      <c r="AO481" s="140"/>
      <c r="AP481" s="139"/>
      <c r="AQ481" s="139"/>
      <c r="AR481" s="181"/>
      <c r="AS481" s="458"/>
      <c r="AT481" s="458"/>
      <c r="AU481" s="461">
        <v>30506</v>
      </c>
      <c r="AV481" s="181" t="s">
        <v>1352</v>
      </c>
      <c r="AW481" s="31" t="s">
        <v>68</v>
      </c>
      <c r="AX481" s="139">
        <v>8</v>
      </c>
      <c r="AY481" s="466">
        <f>VLOOKUP(K481,[3]Master!M458:BA841,40,0)</f>
        <v>8</v>
      </c>
      <c r="AZ481" s="58" t="s">
        <v>1373</v>
      </c>
      <c r="BA481" s="58" t="s">
        <v>151</v>
      </c>
      <c r="BB481" s="58" t="s">
        <v>1407</v>
      </c>
      <c r="BC481" s="58"/>
    </row>
    <row r="482" spans="1:55" x14ac:dyDescent="0.25">
      <c r="A482" s="10">
        <f t="shared" si="19"/>
        <v>481</v>
      </c>
      <c r="B482" s="181" t="s">
        <v>5553</v>
      </c>
      <c r="C482" s="592" t="s">
        <v>1407</v>
      </c>
      <c r="D482" s="457">
        <v>400216</v>
      </c>
      <c r="E482" s="181" t="s">
        <v>36</v>
      </c>
      <c r="F482" s="97" t="s">
        <v>5554</v>
      </c>
      <c r="G482" s="139">
        <v>6</v>
      </c>
      <c r="H482" s="458">
        <v>0.33333333333333331</v>
      </c>
      <c r="I482" s="458">
        <v>0.54166666666666663</v>
      </c>
      <c r="J482" s="458">
        <v>0.20833333333333334</v>
      </c>
      <c r="K482" s="462" t="s">
        <v>532</v>
      </c>
      <c r="L482" s="97" t="s">
        <v>5555</v>
      </c>
      <c r="M482" s="97" t="s">
        <v>26</v>
      </c>
      <c r="N482" s="58" t="s">
        <v>38</v>
      </c>
      <c r="O482" s="58" t="s">
        <v>5050</v>
      </c>
      <c r="P482" s="206">
        <v>44057</v>
      </c>
      <c r="Q482" s="460">
        <v>44057</v>
      </c>
      <c r="R482" s="460">
        <v>44786</v>
      </c>
      <c r="S482" s="461">
        <f t="shared" si="21"/>
        <v>44787</v>
      </c>
      <c r="T482" s="139"/>
      <c r="U482" s="139"/>
      <c r="V482" s="139"/>
      <c r="W482" s="139"/>
      <c r="X482" s="139"/>
      <c r="Y482" s="462" t="s">
        <v>5235</v>
      </c>
      <c r="Z482" s="140" t="s">
        <v>5556</v>
      </c>
      <c r="AA482" s="140" t="s">
        <v>1841</v>
      </c>
      <c r="AB482" s="460">
        <v>43665</v>
      </c>
      <c r="AC482" s="460">
        <v>45491</v>
      </c>
      <c r="AD482" s="139">
        <v>9908441803</v>
      </c>
      <c r="AE482" s="140" t="s">
        <v>5557</v>
      </c>
      <c r="AF482" s="139" t="s">
        <v>5086</v>
      </c>
      <c r="AG482" s="463" t="s">
        <v>5558</v>
      </c>
      <c r="AH482" s="139" t="s">
        <v>5559</v>
      </c>
      <c r="AI482" s="139" t="s">
        <v>5560</v>
      </c>
      <c r="AJ482" s="464">
        <v>784137843659</v>
      </c>
      <c r="AK482" s="140" t="s">
        <v>5561</v>
      </c>
      <c r="AL482" s="461">
        <v>44281</v>
      </c>
      <c r="AM482" s="477"/>
      <c r="AN482" s="465"/>
      <c r="AO482" s="140"/>
      <c r="AP482" s="139"/>
      <c r="AQ482" s="139"/>
      <c r="AR482" s="181"/>
      <c r="AS482" s="458"/>
      <c r="AT482" s="458"/>
      <c r="AU482" s="461">
        <v>33671</v>
      </c>
      <c r="AV482" s="181" t="s">
        <v>1389</v>
      </c>
      <c r="AW482" s="31" t="s">
        <v>32</v>
      </c>
      <c r="AX482" s="139">
        <v>5</v>
      </c>
      <c r="AY482" s="466">
        <f>VLOOKUP(K482,[3]Master!M459:BA842,40,0)</f>
        <v>5</v>
      </c>
      <c r="AZ482" s="58" t="s">
        <v>26</v>
      </c>
      <c r="BA482" s="58" t="s">
        <v>151</v>
      </c>
      <c r="BB482" s="58" t="s">
        <v>1407</v>
      </c>
      <c r="BC482" s="58"/>
    </row>
    <row r="483" spans="1:55" x14ac:dyDescent="0.25">
      <c r="A483" s="10">
        <f t="shared" si="19"/>
        <v>482</v>
      </c>
      <c r="B483" s="181" t="s">
        <v>5562</v>
      </c>
      <c r="C483" s="592" t="s">
        <v>1407</v>
      </c>
      <c r="D483" s="457">
        <v>400221</v>
      </c>
      <c r="E483" s="181" t="s">
        <v>36</v>
      </c>
      <c r="F483" s="97" t="s">
        <v>5563</v>
      </c>
      <c r="G483" s="139">
        <v>6</v>
      </c>
      <c r="H483" s="458">
        <v>0.375</v>
      </c>
      <c r="I483" s="458">
        <v>0.70833333333333337</v>
      </c>
      <c r="J483" s="458">
        <f>I483-H483</f>
        <v>0.33333333333333337</v>
      </c>
      <c r="K483" s="100" t="s">
        <v>563</v>
      </c>
      <c r="L483" s="97"/>
      <c r="M483" s="97" t="s">
        <v>2097</v>
      </c>
      <c r="N483" s="58" t="s">
        <v>2098</v>
      </c>
      <c r="O483" s="58" t="s">
        <v>5111</v>
      </c>
      <c r="P483" s="206">
        <v>44075</v>
      </c>
      <c r="Q483" s="460">
        <v>44652</v>
      </c>
      <c r="R483" s="460">
        <v>45382</v>
      </c>
      <c r="S483" s="461">
        <v>45383</v>
      </c>
      <c r="T483" s="139">
        <v>2009</v>
      </c>
      <c r="U483" s="139" t="s">
        <v>5564</v>
      </c>
      <c r="V483" s="139">
        <v>2017</v>
      </c>
      <c r="W483" s="139" t="s">
        <v>214</v>
      </c>
      <c r="X483" s="139" t="s">
        <v>30</v>
      </c>
      <c r="Y483" s="462" t="s">
        <v>4862</v>
      </c>
      <c r="Z483" s="140">
        <v>67757</v>
      </c>
      <c r="AA483" s="140" t="s">
        <v>1886</v>
      </c>
      <c r="AB483" s="460">
        <v>43306</v>
      </c>
      <c r="AC483" s="460">
        <v>45131</v>
      </c>
      <c r="AD483" s="139">
        <v>9160103670</v>
      </c>
      <c r="AE483" s="467" t="s">
        <v>5565</v>
      </c>
      <c r="AF483" s="139" t="s">
        <v>1430</v>
      </c>
      <c r="AG483" s="463" t="s">
        <v>5566</v>
      </c>
      <c r="AH483" s="139" t="s">
        <v>5567</v>
      </c>
      <c r="AI483" s="139" t="s">
        <v>5568</v>
      </c>
      <c r="AJ483" s="464">
        <v>588137930224</v>
      </c>
      <c r="AK483" s="140" t="s">
        <v>5569</v>
      </c>
      <c r="AL483" s="206"/>
      <c r="AM483" s="477"/>
      <c r="AN483" s="465"/>
      <c r="AO483" s="140"/>
      <c r="AP483" s="139"/>
      <c r="AQ483" s="139"/>
      <c r="AR483" s="181"/>
      <c r="AS483" s="458"/>
      <c r="AT483" s="458"/>
      <c r="AU483" s="461">
        <v>31588</v>
      </c>
      <c r="AV483" s="181" t="s">
        <v>1389</v>
      </c>
      <c r="AW483" s="31" t="s">
        <v>68</v>
      </c>
      <c r="AX483" s="139">
        <v>8</v>
      </c>
      <c r="AY483" s="466">
        <f>VLOOKUP(K483,[3]Master!M460:BA843,40,0)</f>
        <v>8</v>
      </c>
      <c r="AZ483" s="58" t="s">
        <v>1373</v>
      </c>
      <c r="BA483" s="58" t="s">
        <v>151</v>
      </c>
      <c r="BB483" s="58" t="s">
        <v>1407</v>
      </c>
      <c r="BC483" s="58"/>
    </row>
    <row r="484" spans="1:55" x14ac:dyDescent="0.25">
      <c r="A484" s="10">
        <f t="shared" si="19"/>
        <v>483</v>
      </c>
      <c r="B484" s="181"/>
      <c r="C484" s="592" t="s">
        <v>1407</v>
      </c>
      <c r="D484" s="96">
        <v>400222</v>
      </c>
      <c r="E484" s="181"/>
      <c r="F484" s="97" t="s">
        <v>5570</v>
      </c>
      <c r="G484" s="462"/>
      <c r="H484" s="458"/>
      <c r="I484" s="458"/>
      <c r="J484" s="458"/>
      <c r="K484" s="58"/>
      <c r="L484" s="97"/>
      <c r="M484" s="97" t="s">
        <v>30</v>
      </c>
      <c r="N484" s="58"/>
      <c r="O484" s="58"/>
      <c r="P484" s="460"/>
      <c r="Q484" s="460"/>
      <c r="R484" s="460"/>
      <c r="S484" s="461"/>
      <c r="T484" s="139"/>
      <c r="U484" s="139"/>
      <c r="V484" s="139"/>
      <c r="W484" s="462"/>
      <c r="X484" s="139"/>
      <c r="Y484" s="462"/>
      <c r="Z484" s="140"/>
      <c r="AA484" s="465"/>
      <c r="AB484" s="460"/>
      <c r="AC484" s="139"/>
      <c r="AD484" s="139"/>
      <c r="AE484" s="140"/>
      <c r="AF484" s="486"/>
      <c r="AG484" s="139"/>
      <c r="AH484" s="139"/>
      <c r="AI484" s="464"/>
      <c r="AJ484" s="139"/>
      <c r="AK484" s="140"/>
      <c r="AL484" s="206"/>
      <c r="AM484" s="477"/>
      <c r="AN484" s="140"/>
      <c r="AO484" s="140"/>
      <c r="AP484" s="462"/>
      <c r="AQ484" s="58"/>
      <c r="AR484" s="489"/>
      <c r="AS484" s="458"/>
      <c r="AT484" s="181"/>
      <c r="AU484" s="181"/>
      <c r="AV484" s="461"/>
      <c r="AW484" s="181"/>
      <c r="AX484" s="139"/>
      <c r="AY484" s="58"/>
      <c r="AZ484" s="58"/>
      <c r="BA484" s="58" t="s">
        <v>151</v>
      </c>
      <c r="BB484" s="58" t="s">
        <v>1407</v>
      </c>
      <c r="BC484" s="58"/>
    </row>
    <row r="485" spans="1:55" x14ac:dyDescent="0.25">
      <c r="A485" s="10">
        <f t="shared" si="19"/>
        <v>484</v>
      </c>
      <c r="B485" s="181" t="s">
        <v>5571</v>
      </c>
      <c r="C485" s="592" t="s">
        <v>1407</v>
      </c>
      <c r="D485" s="457">
        <v>400224</v>
      </c>
      <c r="E485" s="181" t="s">
        <v>36</v>
      </c>
      <c r="F485" s="97" t="s">
        <v>5572</v>
      </c>
      <c r="G485" s="139">
        <v>6</v>
      </c>
      <c r="H485" s="458">
        <v>0.33333333333333331</v>
      </c>
      <c r="I485" s="458">
        <v>0.41666666666666669</v>
      </c>
      <c r="J485" s="458">
        <v>8.3333333333333329E-2</v>
      </c>
      <c r="K485" s="143" t="s">
        <v>384</v>
      </c>
      <c r="L485" s="97" t="s">
        <v>5573</v>
      </c>
      <c r="M485" s="97" t="s">
        <v>26</v>
      </c>
      <c r="N485" s="58" t="s">
        <v>38</v>
      </c>
      <c r="O485" s="58" t="s">
        <v>5050</v>
      </c>
      <c r="P485" s="206">
        <v>44090</v>
      </c>
      <c r="Q485" s="460">
        <v>44090</v>
      </c>
      <c r="R485" s="460">
        <v>44819</v>
      </c>
      <c r="S485" s="461">
        <f t="shared" ref="S485:S501" si="22">R485+1</f>
        <v>44820</v>
      </c>
      <c r="T485" s="139">
        <v>2014</v>
      </c>
      <c r="U485" s="139" t="s">
        <v>642</v>
      </c>
      <c r="V485" s="139">
        <v>2018</v>
      </c>
      <c r="W485" s="139" t="s">
        <v>380</v>
      </c>
      <c r="X485" s="139"/>
      <c r="Y485" s="462" t="s">
        <v>5235</v>
      </c>
      <c r="Z485" s="140" t="s">
        <v>5574</v>
      </c>
      <c r="AA485" s="140" t="s">
        <v>1841</v>
      </c>
      <c r="AB485" s="460">
        <v>43683</v>
      </c>
      <c r="AC485" s="460">
        <v>45509</v>
      </c>
      <c r="AD485" s="139">
        <v>9701659680</v>
      </c>
      <c r="AE485" s="140" t="s">
        <v>5575</v>
      </c>
      <c r="AF485" s="139" t="s">
        <v>5086</v>
      </c>
      <c r="AG485" s="463" t="s">
        <v>5576</v>
      </c>
      <c r="AH485" s="139" t="s">
        <v>5577</v>
      </c>
      <c r="AI485" s="139" t="s">
        <v>5578</v>
      </c>
      <c r="AJ485" s="464">
        <v>537551618362</v>
      </c>
      <c r="AK485" s="140" t="s">
        <v>5579</v>
      </c>
      <c r="AL485" s="461">
        <v>44327</v>
      </c>
      <c r="AM485" s="477"/>
      <c r="AN485" s="465"/>
      <c r="AO485" s="140"/>
      <c r="AP485" s="139"/>
      <c r="AQ485" s="139"/>
      <c r="AR485" s="181"/>
      <c r="AS485" s="458"/>
      <c r="AT485" s="458"/>
      <c r="AU485" s="461">
        <v>32247</v>
      </c>
      <c r="AV485" s="181" t="s">
        <v>1389</v>
      </c>
      <c r="AW485" s="31" t="s">
        <v>32</v>
      </c>
      <c r="AX485" s="139">
        <v>2</v>
      </c>
      <c r="AY485" s="58" t="s">
        <v>1959</v>
      </c>
      <c r="AZ485" s="58" t="s">
        <v>26</v>
      </c>
      <c r="BA485" s="58" t="s">
        <v>151</v>
      </c>
      <c r="BB485" s="58" t="s">
        <v>1407</v>
      </c>
      <c r="BC485" s="58"/>
    </row>
    <row r="486" spans="1:55" x14ac:dyDescent="0.25">
      <c r="A486" s="10">
        <f t="shared" si="19"/>
        <v>485</v>
      </c>
      <c r="B486" s="181" t="s">
        <v>5580</v>
      </c>
      <c r="C486" s="592" t="s">
        <v>1407</v>
      </c>
      <c r="D486" s="457">
        <v>400225</v>
      </c>
      <c r="E486" s="181" t="s">
        <v>36</v>
      </c>
      <c r="F486" s="97" t="s">
        <v>5581</v>
      </c>
      <c r="G486" s="139">
        <v>6</v>
      </c>
      <c r="H486" s="458">
        <v>0.41666666666666669</v>
      </c>
      <c r="I486" s="458">
        <v>0.45833333333333331</v>
      </c>
      <c r="J486" s="458">
        <v>4.1666666666666664E-2</v>
      </c>
      <c r="K486" s="143" t="s">
        <v>802</v>
      </c>
      <c r="L486" s="97"/>
      <c r="M486" s="97" t="s">
        <v>1376</v>
      </c>
      <c r="N486" s="58" t="s">
        <v>1393</v>
      </c>
      <c r="O486" s="58"/>
      <c r="P486" s="206">
        <v>44095</v>
      </c>
      <c r="Q486" s="460">
        <v>44095</v>
      </c>
      <c r="R486" s="460">
        <v>44824</v>
      </c>
      <c r="S486" s="461">
        <f t="shared" si="22"/>
        <v>44825</v>
      </c>
      <c r="T486" s="139"/>
      <c r="U486" s="139"/>
      <c r="V486" s="139"/>
      <c r="W486" s="139"/>
      <c r="X486" s="139"/>
      <c r="Y486" s="462" t="s">
        <v>226</v>
      </c>
      <c r="Z486" s="140" t="s">
        <v>5582</v>
      </c>
      <c r="AA486" s="140" t="s">
        <v>1841</v>
      </c>
      <c r="AB486" s="460">
        <v>43081</v>
      </c>
      <c r="AC486" s="460">
        <v>44907</v>
      </c>
      <c r="AD486" s="139">
        <v>7989594836</v>
      </c>
      <c r="AE486" s="140" t="s">
        <v>5583</v>
      </c>
      <c r="AF486" s="139" t="s">
        <v>1466</v>
      </c>
      <c r="AG486" s="463" t="s">
        <v>5584</v>
      </c>
      <c r="AH486" s="139" t="s">
        <v>5585</v>
      </c>
      <c r="AI486" s="139" t="s">
        <v>5586</v>
      </c>
      <c r="AJ486" s="464">
        <v>592138459317</v>
      </c>
      <c r="AK486" s="140" t="s">
        <v>5587</v>
      </c>
      <c r="AL486" s="206">
        <v>44310</v>
      </c>
      <c r="AM486" s="477"/>
      <c r="AN486" s="465"/>
      <c r="AO486" s="140"/>
      <c r="AP486" s="139"/>
      <c r="AQ486" s="139"/>
      <c r="AR486" s="181"/>
      <c r="AS486" s="458"/>
      <c r="AT486" s="458"/>
      <c r="AU486" s="461">
        <v>33311</v>
      </c>
      <c r="AV486" s="181" t="s">
        <v>1389</v>
      </c>
      <c r="AW486" s="31" t="s">
        <v>32</v>
      </c>
      <c r="AX486" s="139">
        <v>1</v>
      </c>
      <c r="AY486" s="466">
        <f>VLOOKUP(K486,[3]Master!M463:BA846,40,0)</f>
        <v>1</v>
      </c>
      <c r="AZ486" s="58" t="s">
        <v>1390</v>
      </c>
      <c r="BA486" s="58" t="s">
        <v>151</v>
      </c>
      <c r="BB486" s="58" t="s">
        <v>1407</v>
      </c>
      <c r="BC486" s="58"/>
    </row>
    <row r="487" spans="1:55" x14ac:dyDescent="0.25">
      <c r="A487" s="10">
        <f t="shared" si="19"/>
        <v>486</v>
      </c>
      <c r="B487" s="181" t="s">
        <v>5588</v>
      </c>
      <c r="C487" s="592" t="s">
        <v>1407</v>
      </c>
      <c r="D487" s="457">
        <v>400226</v>
      </c>
      <c r="E487" s="181" t="s">
        <v>36</v>
      </c>
      <c r="F487" s="97" t="s">
        <v>5589</v>
      </c>
      <c r="G487" s="139">
        <v>6</v>
      </c>
      <c r="H487" s="458">
        <v>0.375</v>
      </c>
      <c r="I487" s="458">
        <v>0.41666666666666669</v>
      </c>
      <c r="J487" s="458">
        <v>4.1666666666666664E-2</v>
      </c>
      <c r="K487" s="58" t="s">
        <v>693</v>
      </c>
      <c r="L487" s="97"/>
      <c r="M487" s="97" t="s">
        <v>1376</v>
      </c>
      <c r="N487" s="58" t="s">
        <v>1393</v>
      </c>
      <c r="O487" s="58"/>
      <c r="P487" s="206">
        <v>44095</v>
      </c>
      <c r="Q487" s="460">
        <v>44095</v>
      </c>
      <c r="R487" s="460">
        <v>44824</v>
      </c>
      <c r="S487" s="461">
        <f t="shared" si="22"/>
        <v>44825</v>
      </c>
      <c r="T487" s="139"/>
      <c r="U487" s="139"/>
      <c r="V487" s="139"/>
      <c r="W487" s="139"/>
      <c r="X487" s="139"/>
      <c r="Y487" s="462" t="s">
        <v>226</v>
      </c>
      <c r="Z487" s="140" t="s">
        <v>5590</v>
      </c>
      <c r="AA487" s="140" t="s">
        <v>1841</v>
      </c>
      <c r="AB487" s="460">
        <v>43775</v>
      </c>
      <c r="AC487" s="460">
        <v>45602</v>
      </c>
      <c r="AD487" s="139">
        <v>9989243355</v>
      </c>
      <c r="AE487" s="140" t="s">
        <v>5591</v>
      </c>
      <c r="AF487" s="139" t="s">
        <v>5086</v>
      </c>
      <c r="AG487" s="463" t="s">
        <v>5592</v>
      </c>
      <c r="AH487" s="139" t="s">
        <v>5593</v>
      </c>
      <c r="AI487" s="139" t="s">
        <v>5594</v>
      </c>
      <c r="AJ487" s="464">
        <v>824363195736</v>
      </c>
      <c r="AK487" s="140" t="s">
        <v>5595</v>
      </c>
      <c r="AL487" s="206"/>
      <c r="AM487" s="477"/>
      <c r="AN487" s="465"/>
      <c r="AO487" s="140"/>
      <c r="AP487" s="139"/>
      <c r="AQ487" s="139"/>
      <c r="AR487" s="181"/>
      <c r="AS487" s="458"/>
      <c r="AT487" s="458"/>
      <c r="AU487" s="461">
        <v>34771</v>
      </c>
      <c r="AV487" s="181" t="s">
        <v>1389</v>
      </c>
      <c r="AW487" s="31" t="s">
        <v>32</v>
      </c>
      <c r="AX487" s="139">
        <v>1</v>
      </c>
      <c r="AY487" s="466">
        <f>VLOOKUP(K487,[3]Master!M464:BA847,40,0)</f>
        <v>1</v>
      </c>
      <c r="AZ487" s="58" t="s">
        <v>1390</v>
      </c>
      <c r="BA487" s="58" t="s">
        <v>151</v>
      </c>
      <c r="BB487" s="58" t="s">
        <v>1407</v>
      </c>
      <c r="BC487" s="58"/>
    </row>
    <row r="488" spans="1:55" x14ac:dyDescent="0.25">
      <c r="A488" s="10">
        <f t="shared" si="19"/>
        <v>487</v>
      </c>
      <c r="B488" s="181" t="s">
        <v>5596</v>
      </c>
      <c r="C488" s="592" t="s">
        <v>1407</v>
      </c>
      <c r="D488" s="457">
        <v>400227</v>
      </c>
      <c r="E488" s="181" t="s">
        <v>36</v>
      </c>
      <c r="F488" s="97" t="s">
        <v>5597</v>
      </c>
      <c r="G488" s="139">
        <v>6</v>
      </c>
      <c r="H488" s="458">
        <v>0.375</v>
      </c>
      <c r="I488" s="458">
        <v>0.45833333333333331</v>
      </c>
      <c r="J488" s="458">
        <v>8.3333333333333329E-2</v>
      </c>
      <c r="K488" s="58" t="s">
        <v>147</v>
      </c>
      <c r="L488" s="97"/>
      <c r="M488" s="97" t="s">
        <v>1376</v>
      </c>
      <c r="N488" s="58" t="s">
        <v>1393</v>
      </c>
      <c r="O488" s="58"/>
      <c r="P488" s="206">
        <v>44095</v>
      </c>
      <c r="Q488" s="460">
        <v>44095</v>
      </c>
      <c r="R488" s="460">
        <v>44824</v>
      </c>
      <c r="S488" s="461">
        <f t="shared" si="22"/>
        <v>44825</v>
      </c>
      <c r="T488" s="139"/>
      <c r="U488" s="139"/>
      <c r="V488" s="139"/>
      <c r="W488" s="139"/>
      <c r="X488" s="139"/>
      <c r="Y488" s="462" t="s">
        <v>226</v>
      </c>
      <c r="Z488" s="140" t="s">
        <v>5598</v>
      </c>
      <c r="AA488" s="140" t="s">
        <v>1841</v>
      </c>
      <c r="AB488" s="460">
        <v>43756</v>
      </c>
      <c r="AC488" s="460">
        <v>45583</v>
      </c>
      <c r="AD488" s="139">
        <v>9052219387</v>
      </c>
      <c r="AE488" s="140" t="s">
        <v>5599</v>
      </c>
      <c r="AF488" s="139" t="s">
        <v>5086</v>
      </c>
      <c r="AG488" s="463" t="s">
        <v>5600</v>
      </c>
      <c r="AH488" s="139" t="s">
        <v>5601</v>
      </c>
      <c r="AI488" s="139" t="s">
        <v>5602</v>
      </c>
      <c r="AJ488" s="464">
        <v>286940913253</v>
      </c>
      <c r="AK488" s="140" t="s">
        <v>5603</v>
      </c>
      <c r="AL488" s="206">
        <v>44299</v>
      </c>
      <c r="AM488" s="477"/>
      <c r="AN488" s="465"/>
      <c r="AO488" s="140"/>
      <c r="AP488" s="139"/>
      <c r="AQ488" s="139"/>
      <c r="AR488" s="181"/>
      <c r="AS488" s="458"/>
      <c r="AT488" s="458"/>
      <c r="AU488" s="461">
        <v>34607</v>
      </c>
      <c r="AV488" s="181" t="s">
        <v>1352</v>
      </c>
      <c r="AW488" s="31" t="s">
        <v>32</v>
      </c>
      <c r="AX488" s="139">
        <v>2</v>
      </c>
      <c r="AY488" s="466">
        <f>VLOOKUP(K488,[3]Master!M465:BA848,40,0)</f>
        <v>8</v>
      </c>
      <c r="AZ488" s="58" t="s">
        <v>1390</v>
      </c>
      <c r="BA488" s="58" t="s">
        <v>151</v>
      </c>
      <c r="BB488" s="58" t="s">
        <v>1407</v>
      </c>
      <c r="BC488" s="58"/>
    </row>
    <row r="489" spans="1:55" x14ac:dyDescent="0.25">
      <c r="A489" s="10">
        <f t="shared" si="19"/>
        <v>488</v>
      </c>
      <c r="B489" s="181" t="s">
        <v>5604</v>
      </c>
      <c r="C489" s="592" t="s">
        <v>1407</v>
      </c>
      <c r="D489" s="457">
        <v>400229</v>
      </c>
      <c r="E489" s="181" t="s">
        <v>36</v>
      </c>
      <c r="F489" s="97" t="s">
        <v>5605</v>
      </c>
      <c r="G489" s="139">
        <v>6</v>
      </c>
      <c r="H489" s="458">
        <v>0.375</v>
      </c>
      <c r="I489" s="458">
        <v>0.41666666666666669</v>
      </c>
      <c r="J489" s="458">
        <v>4.1666666666666664E-2</v>
      </c>
      <c r="K489" s="143" t="s">
        <v>220</v>
      </c>
      <c r="L489" s="97"/>
      <c r="M489" s="97" t="s">
        <v>1376</v>
      </c>
      <c r="N489" s="58" t="s">
        <v>1393</v>
      </c>
      <c r="O489" s="58"/>
      <c r="P489" s="206">
        <v>44102</v>
      </c>
      <c r="Q489" s="460">
        <v>44102</v>
      </c>
      <c r="R489" s="460">
        <v>44831</v>
      </c>
      <c r="S489" s="461">
        <f t="shared" si="22"/>
        <v>44832</v>
      </c>
      <c r="T489" s="139"/>
      <c r="U489" s="139"/>
      <c r="V489" s="139"/>
      <c r="W489" s="139"/>
      <c r="X489" s="139"/>
      <c r="Y489" s="462" t="s">
        <v>226</v>
      </c>
      <c r="Z489" s="140" t="s">
        <v>5606</v>
      </c>
      <c r="AA489" s="140" t="s">
        <v>1841</v>
      </c>
      <c r="AB489" s="460">
        <v>43549</v>
      </c>
      <c r="AC489" s="460">
        <v>45376</v>
      </c>
      <c r="AD489" s="139">
        <v>7989081623</v>
      </c>
      <c r="AE489" s="140" t="s">
        <v>5607</v>
      </c>
      <c r="AF489" s="139" t="s">
        <v>5608</v>
      </c>
      <c r="AG489" s="463" t="s">
        <v>5609</v>
      </c>
      <c r="AH489" s="139" t="s">
        <v>5610</v>
      </c>
      <c r="AI489" s="139" t="s">
        <v>5611</v>
      </c>
      <c r="AJ489" s="464">
        <v>783947986162</v>
      </c>
      <c r="AK489" s="140" t="s">
        <v>5612</v>
      </c>
      <c r="AL489" s="206">
        <v>44315</v>
      </c>
      <c r="AM489" s="477"/>
      <c r="AN489" s="465"/>
      <c r="AO489" s="140"/>
      <c r="AP489" s="139"/>
      <c r="AQ489" s="139"/>
      <c r="AR489" s="181"/>
      <c r="AS489" s="458"/>
      <c r="AT489" s="458"/>
      <c r="AU489" s="461">
        <v>34166</v>
      </c>
      <c r="AV489" s="181" t="s">
        <v>1389</v>
      </c>
      <c r="AW489" s="31" t="s">
        <v>32</v>
      </c>
      <c r="AX489" s="139">
        <v>1</v>
      </c>
      <c r="AY489" s="466">
        <f>VLOOKUP(K489,[3]Master!M466:BA849,40,0)</f>
        <v>1</v>
      </c>
      <c r="AZ489" s="58" t="s">
        <v>1390</v>
      </c>
      <c r="BA489" s="58" t="s">
        <v>151</v>
      </c>
      <c r="BB489" s="58" t="s">
        <v>1407</v>
      </c>
      <c r="BC489" s="58"/>
    </row>
    <row r="490" spans="1:55" x14ac:dyDescent="0.25">
      <c r="A490" s="10">
        <f t="shared" si="19"/>
        <v>489</v>
      </c>
      <c r="B490" s="181" t="s">
        <v>5613</v>
      </c>
      <c r="C490" s="592" t="s">
        <v>1407</v>
      </c>
      <c r="D490" s="457">
        <v>400230</v>
      </c>
      <c r="E490" s="181" t="s">
        <v>36</v>
      </c>
      <c r="F490" s="97" t="s">
        <v>5614</v>
      </c>
      <c r="G490" s="139">
        <v>6</v>
      </c>
      <c r="H490" s="458">
        <v>0.375</v>
      </c>
      <c r="I490" s="458">
        <v>0.41666666666666669</v>
      </c>
      <c r="J490" s="458">
        <v>4.1666666666666664E-2</v>
      </c>
      <c r="K490" s="143" t="s">
        <v>754</v>
      </c>
      <c r="L490" s="97"/>
      <c r="M490" s="97" t="s">
        <v>1376</v>
      </c>
      <c r="N490" s="58" t="s">
        <v>1393</v>
      </c>
      <c r="O490" s="58"/>
      <c r="P490" s="206">
        <v>44102</v>
      </c>
      <c r="Q490" s="460">
        <v>44102</v>
      </c>
      <c r="R490" s="460">
        <v>44831</v>
      </c>
      <c r="S490" s="461">
        <f t="shared" si="22"/>
        <v>44832</v>
      </c>
      <c r="T490" s="139"/>
      <c r="U490" s="139"/>
      <c r="V490" s="139"/>
      <c r="W490" s="139"/>
      <c r="X490" s="139"/>
      <c r="Y490" s="462" t="s">
        <v>226</v>
      </c>
      <c r="Z490" s="140" t="s">
        <v>5615</v>
      </c>
      <c r="AA490" s="140" t="s">
        <v>1841</v>
      </c>
      <c r="AB490" s="460">
        <v>43234</v>
      </c>
      <c r="AC490" s="460">
        <v>45059</v>
      </c>
      <c r="AD490" s="139">
        <v>9676146566</v>
      </c>
      <c r="AE490" s="140" t="s">
        <v>5616</v>
      </c>
      <c r="AF490" s="139" t="s">
        <v>5617</v>
      </c>
      <c r="AG490" s="463" t="s">
        <v>5618</v>
      </c>
      <c r="AH490" s="139" t="s">
        <v>5619</v>
      </c>
      <c r="AI490" s="139" t="s">
        <v>5620</v>
      </c>
      <c r="AJ490" s="464">
        <v>393791640067</v>
      </c>
      <c r="AK490" s="140" t="s">
        <v>5621</v>
      </c>
      <c r="AL490" s="206">
        <v>44284</v>
      </c>
      <c r="AM490" s="477"/>
      <c r="AN490" s="465"/>
      <c r="AO490" s="140"/>
      <c r="AP490" s="139"/>
      <c r="AQ490" s="139"/>
      <c r="AR490" s="181"/>
      <c r="AS490" s="458"/>
      <c r="AT490" s="458"/>
      <c r="AU490" s="461">
        <v>35100</v>
      </c>
      <c r="AV490" s="181" t="s">
        <v>1389</v>
      </c>
      <c r="AW490" s="31" t="s">
        <v>32</v>
      </c>
      <c r="AX490" s="139">
        <v>1</v>
      </c>
      <c r="AY490" s="466">
        <f>VLOOKUP(K490,[3]Master!M467:BA850,40,0)</f>
        <v>1</v>
      </c>
      <c r="AZ490" s="58" t="s">
        <v>1390</v>
      </c>
      <c r="BA490" s="58" t="s">
        <v>151</v>
      </c>
      <c r="BB490" s="58" t="s">
        <v>1407</v>
      </c>
      <c r="BC490" s="58"/>
    </row>
    <row r="491" spans="1:55" x14ac:dyDescent="0.25">
      <c r="A491" s="10">
        <f t="shared" si="19"/>
        <v>490</v>
      </c>
      <c r="B491" s="181" t="s">
        <v>5622</v>
      </c>
      <c r="C491" s="592" t="s">
        <v>1407</v>
      </c>
      <c r="D491" s="457">
        <v>400231</v>
      </c>
      <c r="E491" s="181" t="s">
        <v>36</v>
      </c>
      <c r="F491" s="97" t="s">
        <v>5623</v>
      </c>
      <c r="G491" s="139">
        <v>6</v>
      </c>
      <c r="H491" s="458">
        <v>0.33333333333333331</v>
      </c>
      <c r="I491" s="458">
        <v>0.875</v>
      </c>
      <c r="J491" s="458">
        <v>0.33333333333333331</v>
      </c>
      <c r="K491" s="58" t="s">
        <v>147</v>
      </c>
      <c r="L491" s="97"/>
      <c r="M491" s="97" t="s">
        <v>4798</v>
      </c>
      <c r="N491" s="58" t="s">
        <v>5624</v>
      </c>
      <c r="O491" s="58" t="s">
        <v>5270</v>
      </c>
      <c r="P491" s="206">
        <v>44102</v>
      </c>
      <c r="Q491" s="460">
        <v>44102</v>
      </c>
      <c r="R491" s="460">
        <v>44831</v>
      </c>
      <c r="S491" s="461">
        <f t="shared" si="22"/>
        <v>44832</v>
      </c>
      <c r="T491" s="139">
        <v>0</v>
      </c>
      <c r="U491" s="139"/>
      <c r="V491" s="139">
        <v>0</v>
      </c>
      <c r="W491" s="139">
        <v>0</v>
      </c>
      <c r="X491" s="139"/>
      <c r="Y491" s="462" t="s">
        <v>5625</v>
      </c>
      <c r="Z491" s="140" t="s">
        <v>30</v>
      </c>
      <c r="AA491" s="140" t="s">
        <v>30</v>
      </c>
      <c r="AB491" s="460" t="s">
        <v>30</v>
      </c>
      <c r="AC491" s="460" t="s">
        <v>30</v>
      </c>
      <c r="AD491" s="139">
        <v>8897539449</v>
      </c>
      <c r="AE491" s="467" t="s">
        <v>5626</v>
      </c>
      <c r="AF491" s="139" t="s">
        <v>1364</v>
      </c>
      <c r="AG491" s="463" t="s">
        <v>5627</v>
      </c>
      <c r="AH491" s="139" t="s">
        <v>5628</v>
      </c>
      <c r="AI491" s="139" t="s">
        <v>5629</v>
      </c>
      <c r="AJ491" s="464">
        <v>472346728171</v>
      </c>
      <c r="AK491" s="140" t="s">
        <v>5630</v>
      </c>
      <c r="AL491" s="206">
        <v>44593</v>
      </c>
      <c r="AM491" s="477"/>
      <c r="AN491" s="465"/>
      <c r="AO491" s="140"/>
      <c r="AP491" s="139"/>
      <c r="AQ491" s="139"/>
      <c r="AR491" s="181"/>
      <c r="AS491" s="458"/>
      <c r="AT491" s="458"/>
      <c r="AU491" s="461">
        <v>28718</v>
      </c>
      <c r="AV491" s="181" t="s">
        <v>1352</v>
      </c>
      <c r="AW491" s="31" t="s">
        <v>68</v>
      </c>
      <c r="AX491" s="139">
        <v>8</v>
      </c>
      <c r="AY491" s="466">
        <f>VLOOKUP(K491,[3]Master!M468:BA851,40,0)</f>
        <v>8</v>
      </c>
      <c r="AZ491" s="58" t="s">
        <v>1373</v>
      </c>
      <c r="BA491" s="58" t="s">
        <v>151</v>
      </c>
      <c r="BB491" s="58" t="s">
        <v>1407</v>
      </c>
      <c r="BC491" s="58"/>
    </row>
    <row r="492" spans="1:55" x14ac:dyDescent="0.25">
      <c r="A492" s="10">
        <f t="shared" si="19"/>
        <v>491</v>
      </c>
      <c r="B492" s="181" t="s">
        <v>5631</v>
      </c>
      <c r="C492" s="592" t="s">
        <v>1407</v>
      </c>
      <c r="D492" s="457">
        <v>400232</v>
      </c>
      <c r="E492" s="181" t="s">
        <v>36</v>
      </c>
      <c r="F492" s="97" t="s">
        <v>5632</v>
      </c>
      <c r="G492" s="139">
        <v>6</v>
      </c>
      <c r="H492" s="458">
        <v>0.375</v>
      </c>
      <c r="I492" s="458">
        <v>0.5</v>
      </c>
      <c r="J492" s="458">
        <v>0.125</v>
      </c>
      <c r="K492" s="58" t="s">
        <v>207</v>
      </c>
      <c r="L492" s="97"/>
      <c r="M492" s="97" t="s">
        <v>26</v>
      </c>
      <c r="N492" s="58" t="s">
        <v>38</v>
      </c>
      <c r="O492" s="58" t="s">
        <v>5050</v>
      </c>
      <c r="P492" s="206">
        <v>44103</v>
      </c>
      <c r="Q492" s="460">
        <v>44103</v>
      </c>
      <c r="R492" s="460">
        <v>44832</v>
      </c>
      <c r="S492" s="461">
        <f t="shared" si="22"/>
        <v>44833</v>
      </c>
      <c r="T492" s="139"/>
      <c r="U492" s="139"/>
      <c r="V492" s="139"/>
      <c r="W492" s="139"/>
      <c r="X492" s="139"/>
      <c r="Y492" s="462" t="s">
        <v>5151</v>
      </c>
      <c r="Z492" s="140" t="s">
        <v>5633</v>
      </c>
      <c r="AA492" s="140" t="s">
        <v>1886</v>
      </c>
      <c r="AB492" s="460">
        <v>44098</v>
      </c>
      <c r="AC492" s="460">
        <v>45923</v>
      </c>
      <c r="AD492" s="139">
        <v>9963003574</v>
      </c>
      <c r="AE492" s="140" t="s">
        <v>5634</v>
      </c>
      <c r="AF492" s="139" t="s">
        <v>1430</v>
      </c>
      <c r="AG492" s="463" t="s">
        <v>5635</v>
      </c>
      <c r="AH492" s="139" t="s">
        <v>5636</v>
      </c>
      <c r="AI492" s="139" t="s">
        <v>5637</v>
      </c>
      <c r="AJ492" s="464">
        <v>938095678524</v>
      </c>
      <c r="AK492" s="140" t="s">
        <v>5638</v>
      </c>
      <c r="AL492" s="461">
        <v>44256</v>
      </c>
      <c r="AM492" s="477"/>
      <c r="AN492" s="465"/>
      <c r="AO492" s="140"/>
      <c r="AP492" s="139"/>
      <c r="AQ492" s="139"/>
      <c r="AR492" s="181"/>
      <c r="AS492" s="458"/>
      <c r="AT492" s="458"/>
      <c r="AU492" s="461">
        <v>33612</v>
      </c>
      <c r="AV492" s="181" t="s">
        <v>1389</v>
      </c>
      <c r="AW492" s="31" t="s">
        <v>32</v>
      </c>
      <c r="AX492" s="139">
        <v>3</v>
      </c>
      <c r="AY492" s="58" t="s">
        <v>1920</v>
      </c>
      <c r="AZ492" s="58" t="s">
        <v>26</v>
      </c>
      <c r="BA492" s="58" t="s">
        <v>151</v>
      </c>
      <c r="BB492" s="58" t="s">
        <v>1407</v>
      </c>
      <c r="BC492" s="58"/>
    </row>
    <row r="493" spans="1:55" x14ac:dyDescent="0.25">
      <c r="A493" s="10">
        <f t="shared" si="19"/>
        <v>492</v>
      </c>
      <c r="B493" s="181" t="s">
        <v>5580</v>
      </c>
      <c r="C493" s="592" t="s">
        <v>1407</v>
      </c>
      <c r="D493" s="457">
        <v>400233</v>
      </c>
      <c r="E493" s="181" t="s">
        <v>36</v>
      </c>
      <c r="F493" s="97" t="s">
        <v>5581</v>
      </c>
      <c r="G493" s="139">
        <v>6</v>
      </c>
      <c r="H493" s="458">
        <v>0.35416666666666669</v>
      </c>
      <c r="I493" s="458">
        <v>0.39583333333333331</v>
      </c>
      <c r="J493" s="458">
        <v>4.1666666666666664E-2</v>
      </c>
      <c r="K493" s="100" t="s">
        <v>669</v>
      </c>
      <c r="L493" s="97"/>
      <c r="M493" s="97" t="s">
        <v>1376</v>
      </c>
      <c r="N493" s="58" t="s">
        <v>1393</v>
      </c>
      <c r="O493" s="58"/>
      <c r="P493" s="206">
        <v>44105</v>
      </c>
      <c r="Q493" s="460">
        <v>44105</v>
      </c>
      <c r="R493" s="460">
        <v>44834</v>
      </c>
      <c r="S493" s="461">
        <f t="shared" si="22"/>
        <v>44835</v>
      </c>
      <c r="T493" s="139"/>
      <c r="U493" s="139"/>
      <c r="V493" s="139"/>
      <c r="W493" s="139"/>
      <c r="X493" s="139"/>
      <c r="Y493" s="462" t="s">
        <v>226</v>
      </c>
      <c r="Z493" s="140" t="s">
        <v>5582</v>
      </c>
      <c r="AA493" s="140" t="s">
        <v>1841</v>
      </c>
      <c r="AB493" s="460">
        <v>43081</v>
      </c>
      <c r="AC493" s="460">
        <v>44907</v>
      </c>
      <c r="AD493" s="139">
        <v>7989594836</v>
      </c>
      <c r="AE493" s="140" t="s">
        <v>5583</v>
      </c>
      <c r="AF493" s="139" t="s">
        <v>1466</v>
      </c>
      <c r="AG493" s="463" t="s">
        <v>5584</v>
      </c>
      <c r="AH493" s="139" t="s">
        <v>5585</v>
      </c>
      <c r="AI493" s="139" t="s">
        <v>5586</v>
      </c>
      <c r="AJ493" s="464">
        <v>592138459317</v>
      </c>
      <c r="AK493" s="140" t="s">
        <v>5587</v>
      </c>
      <c r="AL493" s="206">
        <v>44310</v>
      </c>
      <c r="AM493" s="477"/>
      <c r="AN493" s="465"/>
      <c r="AO493" s="140"/>
      <c r="AP493" s="139"/>
      <c r="AQ493" s="139"/>
      <c r="AR493" s="181"/>
      <c r="AS493" s="458"/>
      <c r="AT493" s="458"/>
      <c r="AU493" s="461">
        <v>33311</v>
      </c>
      <c r="AV493" s="181" t="s">
        <v>1389</v>
      </c>
      <c r="AW493" s="31" t="s">
        <v>32</v>
      </c>
      <c r="AX493" s="139">
        <v>1</v>
      </c>
      <c r="AY493" s="466">
        <f>VLOOKUP(K493,[3]Master!M470:BA853,40,0)</f>
        <v>1</v>
      </c>
      <c r="AZ493" s="58" t="s">
        <v>1390</v>
      </c>
      <c r="BA493" s="58" t="s">
        <v>151</v>
      </c>
      <c r="BB493" s="58" t="s">
        <v>1407</v>
      </c>
      <c r="BC493" s="58"/>
    </row>
    <row r="494" spans="1:55" x14ac:dyDescent="0.25">
      <c r="A494" s="10">
        <f t="shared" si="19"/>
        <v>493</v>
      </c>
      <c r="B494" s="181" t="s">
        <v>5596</v>
      </c>
      <c r="C494" s="592" t="s">
        <v>1407</v>
      </c>
      <c r="D494" s="457">
        <v>400234</v>
      </c>
      <c r="E494" s="181" t="s">
        <v>36</v>
      </c>
      <c r="F494" s="97" t="s">
        <v>5597</v>
      </c>
      <c r="G494" s="139">
        <v>6</v>
      </c>
      <c r="H494" s="458">
        <v>0.47916666666666669</v>
      </c>
      <c r="I494" s="458">
        <v>0.52083333333333337</v>
      </c>
      <c r="J494" s="458">
        <v>4.1666666666666664E-2</v>
      </c>
      <c r="K494" s="100" t="s">
        <v>174</v>
      </c>
      <c r="L494" s="97"/>
      <c r="M494" s="97" t="s">
        <v>1376</v>
      </c>
      <c r="N494" s="58" t="s">
        <v>1393</v>
      </c>
      <c r="O494" s="58"/>
      <c r="P494" s="206">
        <v>44105</v>
      </c>
      <c r="Q494" s="460">
        <v>44105</v>
      </c>
      <c r="R494" s="460">
        <v>44834</v>
      </c>
      <c r="S494" s="461">
        <f t="shared" si="22"/>
        <v>44835</v>
      </c>
      <c r="T494" s="139"/>
      <c r="U494" s="139"/>
      <c r="V494" s="139"/>
      <c r="W494" s="139"/>
      <c r="X494" s="139"/>
      <c r="Y494" s="462" t="s">
        <v>226</v>
      </c>
      <c r="Z494" s="140" t="s">
        <v>5598</v>
      </c>
      <c r="AA494" s="140" t="s">
        <v>1841</v>
      </c>
      <c r="AB494" s="460">
        <v>43756</v>
      </c>
      <c r="AC494" s="460">
        <v>45583</v>
      </c>
      <c r="AD494" s="139">
        <v>9052219387</v>
      </c>
      <c r="AE494" s="140" t="s">
        <v>5599</v>
      </c>
      <c r="AF494" s="139" t="s">
        <v>5086</v>
      </c>
      <c r="AG494" s="463" t="s">
        <v>5600</v>
      </c>
      <c r="AH494" s="139" t="s">
        <v>5601</v>
      </c>
      <c r="AI494" s="139" t="s">
        <v>5602</v>
      </c>
      <c r="AJ494" s="464">
        <v>286940913253</v>
      </c>
      <c r="AK494" s="140" t="s">
        <v>5603</v>
      </c>
      <c r="AL494" s="206"/>
      <c r="AM494" s="477"/>
      <c r="AN494" s="465"/>
      <c r="AO494" s="140"/>
      <c r="AP494" s="139"/>
      <c r="AQ494" s="139"/>
      <c r="AR494" s="181"/>
      <c r="AS494" s="458"/>
      <c r="AT494" s="458"/>
      <c r="AU494" s="461">
        <v>34607</v>
      </c>
      <c r="AV494" s="181" t="s">
        <v>1352</v>
      </c>
      <c r="AW494" s="31" t="s">
        <v>32</v>
      </c>
      <c r="AX494" s="139">
        <v>1</v>
      </c>
      <c r="AY494" s="466">
        <f>VLOOKUP(K494,[3]Master!M471:BA854,40,0)</f>
        <v>1</v>
      </c>
      <c r="AZ494" s="58" t="s">
        <v>1390</v>
      </c>
      <c r="BA494" s="58" t="s">
        <v>151</v>
      </c>
      <c r="BB494" s="58" t="s">
        <v>1407</v>
      </c>
      <c r="BC494" s="58"/>
    </row>
    <row r="495" spans="1:55" x14ac:dyDescent="0.25">
      <c r="A495" s="10">
        <f t="shared" si="19"/>
        <v>494</v>
      </c>
      <c r="B495" s="181" t="s">
        <v>5639</v>
      </c>
      <c r="C495" s="592" t="s">
        <v>1407</v>
      </c>
      <c r="D495" s="457">
        <v>400235</v>
      </c>
      <c r="E495" s="181" t="s">
        <v>36</v>
      </c>
      <c r="F495" s="97" t="s">
        <v>5640</v>
      </c>
      <c r="G495" s="139">
        <v>6</v>
      </c>
      <c r="H495" s="458">
        <v>0.39583333333333331</v>
      </c>
      <c r="I495" s="458">
        <v>0.72916666666666663</v>
      </c>
      <c r="J495" s="458">
        <v>0.33333333333333331</v>
      </c>
      <c r="K495" s="58" t="s">
        <v>147</v>
      </c>
      <c r="L495" s="97"/>
      <c r="M495" s="97" t="s">
        <v>26</v>
      </c>
      <c r="N495" s="58" t="s">
        <v>38</v>
      </c>
      <c r="O495" s="58" t="s">
        <v>5050</v>
      </c>
      <c r="P495" s="206">
        <v>44105</v>
      </c>
      <c r="Q495" s="460">
        <v>44197</v>
      </c>
      <c r="R495" s="460">
        <v>44926</v>
      </c>
      <c r="S495" s="461">
        <f t="shared" si="22"/>
        <v>44927</v>
      </c>
      <c r="T495" s="139"/>
      <c r="U495" s="139"/>
      <c r="V495" s="139"/>
      <c r="W495" s="139"/>
      <c r="X495" s="139"/>
      <c r="Y495" s="462" t="s">
        <v>5141</v>
      </c>
      <c r="Z495" s="140" t="s">
        <v>5641</v>
      </c>
      <c r="AA495" s="140" t="s">
        <v>1841</v>
      </c>
      <c r="AB495" s="460">
        <v>43589</v>
      </c>
      <c r="AC495" s="460">
        <v>45415</v>
      </c>
      <c r="AD495" s="139">
        <v>9663041240</v>
      </c>
      <c r="AE495" s="140" t="s">
        <v>5642</v>
      </c>
      <c r="AF495" s="139" t="s">
        <v>5086</v>
      </c>
      <c r="AG495" s="463" t="s">
        <v>5643</v>
      </c>
      <c r="AH495" s="139" t="s">
        <v>5577</v>
      </c>
      <c r="AI495" s="139" t="s">
        <v>5644</v>
      </c>
      <c r="AJ495" s="464">
        <v>513882614296</v>
      </c>
      <c r="AK495" s="140" t="s">
        <v>5645</v>
      </c>
      <c r="AL495" s="461">
        <v>44294</v>
      </c>
      <c r="AM495" s="477"/>
      <c r="AN495" s="465"/>
      <c r="AO495" s="140"/>
      <c r="AP495" s="139"/>
      <c r="AQ495" s="139"/>
      <c r="AR495" s="181"/>
      <c r="AS495" s="458"/>
      <c r="AT495" s="458"/>
      <c r="AU495" s="461">
        <v>27455</v>
      </c>
      <c r="AV495" s="181" t="s">
        <v>1389</v>
      </c>
      <c r="AW495" s="31" t="s">
        <v>68</v>
      </c>
      <c r="AX495" s="139">
        <v>8</v>
      </c>
      <c r="AY495" s="466">
        <f>VLOOKUP(K495,[3]Master!M472:BA855,40,0)</f>
        <v>8</v>
      </c>
      <c r="AZ495" s="58" t="s">
        <v>26</v>
      </c>
      <c r="BA495" s="58" t="s">
        <v>151</v>
      </c>
      <c r="BB495" s="58" t="s">
        <v>1407</v>
      </c>
      <c r="BC495" s="58"/>
    </row>
    <row r="496" spans="1:55" x14ac:dyDescent="0.25">
      <c r="A496" s="10">
        <f t="shared" si="19"/>
        <v>495</v>
      </c>
      <c r="B496" s="181" t="s">
        <v>5646</v>
      </c>
      <c r="C496" s="592" t="s">
        <v>1407</v>
      </c>
      <c r="D496" s="457">
        <v>400236</v>
      </c>
      <c r="E496" s="181" t="s">
        <v>36</v>
      </c>
      <c r="F496" s="97" t="s">
        <v>5647</v>
      </c>
      <c r="G496" s="139">
        <v>6</v>
      </c>
      <c r="H496" s="458">
        <v>0.375</v>
      </c>
      <c r="I496" s="458">
        <v>0.41666666666666669</v>
      </c>
      <c r="J496" s="458">
        <v>4.1666666666666664E-2</v>
      </c>
      <c r="K496" s="462" t="s">
        <v>5190</v>
      </c>
      <c r="L496" s="97"/>
      <c r="M496" s="97" t="s">
        <v>1376</v>
      </c>
      <c r="N496" s="58" t="s">
        <v>1393</v>
      </c>
      <c r="O496" s="58"/>
      <c r="P496" s="206">
        <v>44105</v>
      </c>
      <c r="Q496" s="460">
        <v>44105</v>
      </c>
      <c r="R496" s="460">
        <v>44834</v>
      </c>
      <c r="S496" s="461">
        <f t="shared" si="22"/>
        <v>44835</v>
      </c>
      <c r="T496" s="139"/>
      <c r="U496" s="139"/>
      <c r="V496" s="139"/>
      <c r="W496" s="139"/>
      <c r="X496" s="139"/>
      <c r="Y496" s="462" t="s">
        <v>226</v>
      </c>
      <c r="Z496" s="140" t="s">
        <v>5648</v>
      </c>
      <c r="AA496" s="140" t="s">
        <v>1841</v>
      </c>
      <c r="AB496" s="460">
        <v>42455</v>
      </c>
      <c r="AC496" s="460">
        <v>44280</v>
      </c>
      <c r="AD496" s="139">
        <v>9949023008</v>
      </c>
      <c r="AE496" s="140" t="s">
        <v>5649</v>
      </c>
      <c r="AF496" s="139" t="s">
        <v>5086</v>
      </c>
      <c r="AG496" s="463" t="s">
        <v>5650</v>
      </c>
      <c r="AH496" s="139" t="s">
        <v>3885</v>
      </c>
      <c r="AI496" s="139" t="s">
        <v>5651</v>
      </c>
      <c r="AJ496" s="464">
        <v>941795665901</v>
      </c>
      <c r="AK496" s="140" t="s">
        <v>5652</v>
      </c>
      <c r="AL496" s="206"/>
      <c r="AM496" s="477"/>
      <c r="AN496" s="465"/>
      <c r="AO496" s="140"/>
      <c r="AP496" s="139"/>
      <c r="AQ496" s="139"/>
      <c r="AR496" s="181"/>
      <c r="AS496" s="458"/>
      <c r="AT496" s="458"/>
      <c r="AU496" s="461">
        <v>32735</v>
      </c>
      <c r="AV496" s="181" t="s">
        <v>1352</v>
      </c>
      <c r="AW496" s="31" t="s">
        <v>32</v>
      </c>
      <c r="AX496" s="139">
        <v>1</v>
      </c>
      <c r="AY496" s="58" t="s">
        <v>2068</v>
      </c>
      <c r="AZ496" s="58" t="s">
        <v>1390</v>
      </c>
      <c r="BA496" s="58" t="s">
        <v>151</v>
      </c>
      <c r="BB496" s="58" t="s">
        <v>1407</v>
      </c>
      <c r="BC496" s="58"/>
    </row>
    <row r="497" spans="1:55" x14ac:dyDescent="0.25">
      <c r="A497" s="10">
        <f t="shared" si="19"/>
        <v>496</v>
      </c>
      <c r="B497" s="181" t="s">
        <v>5653</v>
      </c>
      <c r="C497" s="592" t="s">
        <v>1407</v>
      </c>
      <c r="D497" s="457">
        <v>400237</v>
      </c>
      <c r="E497" s="181" t="s">
        <v>36</v>
      </c>
      <c r="F497" s="97" t="s">
        <v>5654</v>
      </c>
      <c r="G497" s="139">
        <v>6</v>
      </c>
      <c r="H497" s="458">
        <v>0.41666666666666669</v>
      </c>
      <c r="I497" s="458">
        <v>0.66666666666666663</v>
      </c>
      <c r="J497" s="458">
        <v>0.25</v>
      </c>
      <c r="K497" s="143" t="s">
        <v>477</v>
      </c>
      <c r="L497" s="97"/>
      <c r="M497" s="63" t="s">
        <v>1355</v>
      </c>
      <c r="N497" s="100" t="s">
        <v>1520</v>
      </c>
      <c r="O497" s="58" t="s">
        <v>5270</v>
      </c>
      <c r="P497" s="206">
        <v>44105</v>
      </c>
      <c r="Q497" s="460">
        <v>44105</v>
      </c>
      <c r="R497" s="460">
        <v>44834</v>
      </c>
      <c r="S497" s="461">
        <f t="shared" si="22"/>
        <v>44835</v>
      </c>
      <c r="T497" s="139"/>
      <c r="U497" s="139"/>
      <c r="V497" s="139"/>
      <c r="W497" s="139"/>
      <c r="X497" s="139"/>
      <c r="Y497" s="462" t="s">
        <v>5214</v>
      </c>
      <c r="Z497" s="140" t="s">
        <v>5655</v>
      </c>
      <c r="AA497" s="140" t="s">
        <v>1841</v>
      </c>
      <c r="AB497" s="460">
        <v>43679</v>
      </c>
      <c r="AC497" s="460">
        <v>45505</v>
      </c>
      <c r="AD497" s="139">
        <v>9908929130</v>
      </c>
      <c r="AE497" s="140" t="s">
        <v>5656</v>
      </c>
      <c r="AF497" s="139" t="s">
        <v>5086</v>
      </c>
      <c r="AG497" s="463" t="s">
        <v>5657</v>
      </c>
      <c r="AH497" s="139" t="s">
        <v>2891</v>
      </c>
      <c r="AI497" s="139" t="s">
        <v>5658</v>
      </c>
      <c r="AJ497" s="464">
        <v>904488419769</v>
      </c>
      <c r="AK497" s="140" t="s">
        <v>5659</v>
      </c>
      <c r="AL497" s="206"/>
      <c r="AM497" s="477"/>
      <c r="AN497" s="465"/>
      <c r="AO497" s="140"/>
      <c r="AP497" s="139"/>
      <c r="AQ497" s="139"/>
      <c r="AR497" s="181"/>
      <c r="AS497" s="458"/>
      <c r="AT497" s="458"/>
      <c r="AU497" s="461">
        <v>32901</v>
      </c>
      <c r="AV497" s="181" t="s">
        <v>1389</v>
      </c>
      <c r="AW497" s="31" t="s">
        <v>32</v>
      </c>
      <c r="AX497" s="139">
        <v>6</v>
      </c>
      <c r="AY497" s="466">
        <f>VLOOKUP(K497,[3]Master!M474:BA857,40,0)</f>
        <v>6</v>
      </c>
      <c r="AZ497" s="58" t="s">
        <v>1373</v>
      </c>
      <c r="BA497" s="58" t="s">
        <v>151</v>
      </c>
      <c r="BB497" s="58" t="s">
        <v>1407</v>
      </c>
      <c r="BC497" s="58"/>
    </row>
    <row r="498" spans="1:55" x14ac:dyDescent="0.25">
      <c r="A498" s="10">
        <f t="shared" si="19"/>
        <v>497</v>
      </c>
      <c r="B498" s="181" t="s">
        <v>5660</v>
      </c>
      <c r="C498" s="592" t="s">
        <v>1407</v>
      </c>
      <c r="D498" s="457">
        <v>400238</v>
      </c>
      <c r="E498" s="181" t="s">
        <v>36</v>
      </c>
      <c r="F498" s="97" t="s">
        <v>5661</v>
      </c>
      <c r="G498" s="139">
        <v>6</v>
      </c>
      <c r="H498" s="458">
        <v>0.375</v>
      </c>
      <c r="I498" s="458">
        <v>0.5</v>
      </c>
      <c r="J498" s="458">
        <v>0.125</v>
      </c>
      <c r="K498" s="100" t="s">
        <v>860</v>
      </c>
      <c r="L498" s="97" t="s">
        <v>281</v>
      </c>
      <c r="M498" s="97" t="s">
        <v>26</v>
      </c>
      <c r="N498" s="58" t="s">
        <v>38</v>
      </c>
      <c r="O498" s="58" t="s">
        <v>5050</v>
      </c>
      <c r="P498" s="206">
        <v>44107</v>
      </c>
      <c r="Q498" s="460">
        <v>44107</v>
      </c>
      <c r="R498" s="460">
        <v>44836</v>
      </c>
      <c r="S498" s="461">
        <f t="shared" si="22"/>
        <v>44837</v>
      </c>
      <c r="T498" s="139"/>
      <c r="U498" s="139" t="s">
        <v>5077</v>
      </c>
      <c r="V498" s="139">
        <v>2018</v>
      </c>
      <c r="W498" s="139" t="s">
        <v>5662</v>
      </c>
      <c r="X498" s="139"/>
      <c r="Y498" s="462" t="s">
        <v>5078</v>
      </c>
      <c r="Z498" s="140" t="s">
        <v>5663</v>
      </c>
      <c r="AA498" s="140" t="s">
        <v>1841</v>
      </c>
      <c r="AB498" s="460">
        <v>43483</v>
      </c>
      <c r="AC498" s="460">
        <v>45308</v>
      </c>
      <c r="AD498" s="139">
        <v>9663440931</v>
      </c>
      <c r="AE498" s="140" t="s">
        <v>5664</v>
      </c>
      <c r="AF498" s="139" t="s">
        <v>1430</v>
      </c>
      <c r="AG498" s="463" t="s">
        <v>5665</v>
      </c>
      <c r="AH498" s="139" t="s">
        <v>5666</v>
      </c>
      <c r="AI498" s="139" t="s">
        <v>5667</v>
      </c>
      <c r="AJ498" s="464">
        <v>878077863914</v>
      </c>
      <c r="AK498" s="140" t="s">
        <v>5668</v>
      </c>
      <c r="AL498" s="461">
        <v>44616</v>
      </c>
      <c r="AM498" s="477"/>
      <c r="AN498" s="465"/>
      <c r="AO498" s="140"/>
      <c r="AP498" s="139"/>
      <c r="AQ498" s="139"/>
      <c r="AR498" s="181"/>
      <c r="AS498" s="458"/>
      <c r="AT498" s="458"/>
      <c r="AU498" s="461">
        <v>33003</v>
      </c>
      <c r="AV498" s="181" t="s">
        <v>1389</v>
      </c>
      <c r="AW498" s="31" t="s">
        <v>32</v>
      </c>
      <c r="AX498" s="139">
        <v>3</v>
      </c>
      <c r="AY498" s="466">
        <f>VLOOKUP(K498,[3]Master!M475:BA858,40,0)</f>
        <v>3</v>
      </c>
      <c r="AZ498" s="58" t="s">
        <v>26</v>
      </c>
      <c r="BA498" s="58" t="s">
        <v>151</v>
      </c>
      <c r="BB498" s="58" t="s">
        <v>1407</v>
      </c>
      <c r="BC498" s="58"/>
    </row>
    <row r="499" spans="1:55" x14ac:dyDescent="0.25">
      <c r="A499" s="10">
        <f t="shared" si="19"/>
        <v>498</v>
      </c>
      <c r="B499" s="181" t="s">
        <v>5669</v>
      </c>
      <c r="C499" s="592" t="s">
        <v>1407</v>
      </c>
      <c r="D499" s="457">
        <v>400239</v>
      </c>
      <c r="E499" s="181" t="s">
        <v>36</v>
      </c>
      <c r="F499" s="97" t="s">
        <v>5670</v>
      </c>
      <c r="G499" s="139">
        <v>6</v>
      </c>
      <c r="H499" s="458">
        <v>0.33333333333333331</v>
      </c>
      <c r="I499" s="458">
        <v>0.875</v>
      </c>
      <c r="J499" s="458">
        <v>0.33333333333333331</v>
      </c>
      <c r="K499" s="58" t="s">
        <v>147</v>
      </c>
      <c r="L499" s="97"/>
      <c r="M499" s="97" t="s">
        <v>4798</v>
      </c>
      <c r="N499" s="58" t="s">
        <v>5671</v>
      </c>
      <c r="O499" s="58" t="s">
        <v>5270</v>
      </c>
      <c r="P499" s="206">
        <v>44112</v>
      </c>
      <c r="Q499" s="460">
        <v>44112</v>
      </c>
      <c r="R499" s="460">
        <v>44841</v>
      </c>
      <c r="S499" s="461">
        <f t="shared" si="22"/>
        <v>44842</v>
      </c>
      <c r="T499" s="139">
        <v>0</v>
      </c>
      <c r="U499" s="139"/>
      <c r="V499" s="139">
        <v>0</v>
      </c>
      <c r="W499" s="139">
        <v>0</v>
      </c>
      <c r="X499" s="139"/>
      <c r="Y499" s="462" t="s">
        <v>5672</v>
      </c>
      <c r="Z499" s="140" t="s">
        <v>30</v>
      </c>
      <c r="AA499" s="140" t="s">
        <v>30</v>
      </c>
      <c r="AB499" s="460" t="s">
        <v>30</v>
      </c>
      <c r="AC499" s="460" t="s">
        <v>30</v>
      </c>
      <c r="AD499" s="139">
        <v>9908176441</v>
      </c>
      <c r="AE499" s="140" t="s">
        <v>5673</v>
      </c>
      <c r="AF499" s="139" t="s">
        <v>5086</v>
      </c>
      <c r="AG499" s="463" t="s">
        <v>5674</v>
      </c>
      <c r="AH499" s="139" t="s">
        <v>5675</v>
      </c>
      <c r="AI499" s="139" t="s">
        <v>5676</v>
      </c>
      <c r="AJ499" s="464">
        <v>475072404432</v>
      </c>
      <c r="AK499" s="140" t="s">
        <v>5677</v>
      </c>
      <c r="AL499" s="206">
        <v>44593</v>
      </c>
      <c r="AM499" s="477"/>
      <c r="AN499" s="465"/>
      <c r="AO499" s="140"/>
      <c r="AP499" s="139"/>
      <c r="AQ499" s="139"/>
      <c r="AR499" s="181"/>
      <c r="AS499" s="458"/>
      <c r="AT499" s="458"/>
      <c r="AU499" s="461">
        <v>30548</v>
      </c>
      <c r="AV499" s="181" t="s">
        <v>1352</v>
      </c>
      <c r="AW499" s="31" t="s">
        <v>68</v>
      </c>
      <c r="AX499" s="139">
        <v>8</v>
      </c>
      <c r="AY499" s="466">
        <f>VLOOKUP(K499,[3]Master!M476:BA859,40,0)</f>
        <v>8</v>
      </c>
      <c r="AZ499" s="58" t="s">
        <v>1373</v>
      </c>
      <c r="BA499" s="58" t="s">
        <v>151</v>
      </c>
      <c r="BB499" s="58" t="s">
        <v>1407</v>
      </c>
      <c r="BC499" s="58"/>
    </row>
    <row r="500" spans="1:55" x14ac:dyDescent="0.25">
      <c r="A500" s="10">
        <f t="shared" si="19"/>
        <v>499</v>
      </c>
      <c r="B500" s="181" t="s">
        <v>794</v>
      </c>
      <c r="C500" s="592" t="s">
        <v>1407</v>
      </c>
      <c r="D500" s="457">
        <v>400241</v>
      </c>
      <c r="E500" s="181" t="s">
        <v>9124</v>
      </c>
      <c r="F500" s="97" t="s">
        <v>795</v>
      </c>
      <c r="G500" s="139">
        <v>6</v>
      </c>
      <c r="H500" s="469" t="s">
        <v>5678</v>
      </c>
      <c r="I500" s="469" t="s">
        <v>5679</v>
      </c>
      <c r="J500" s="458">
        <v>0.29166666666666669</v>
      </c>
      <c r="K500" s="462" t="s">
        <v>154</v>
      </c>
      <c r="L500" s="97" t="s">
        <v>5680</v>
      </c>
      <c r="M500" s="97" t="s">
        <v>26</v>
      </c>
      <c r="N500" s="58" t="s">
        <v>38</v>
      </c>
      <c r="O500" s="58" t="s">
        <v>5050</v>
      </c>
      <c r="P500" s="206">
        <v>44116</v>
      </c>
      <c r="Q500" s="460">
        <v>44116</v>
      </c>
      <c r="R500" s="460">
        <v>44845</v>
      </c>
      <c r="S500" s="461">
        <f t="shared" si="22"/>
        <v>44846</v>
      </c>
      <c r="T500" s="139"/>
      <c r="U500" s="139" t="s">
        <v>175</v>
      </c>
      <c r="V500" s="139">
        <v>2019</v>
      </c>
      <c r="W500" s="139" t="s">
        <v>5681</v>
      </c>
      <c r="X500" s="139"/>
      <c r="Y500" s="462" t="s">
        <v>5078</v>
      </c>
      <c r="Z500" s="140" t="s">
        <v>3573</v>
      </c>
      <c r="AA500" s="140" t="s">
        <v>1841</v>
      </c>
      <c r="AB500" s="460">
        <v>44112</v>
      </c>
      <c r="AC500" s="460">
        <v>45937</v>
      </c>
      <c r="AD500" s="139">
        <v>9849384957</v>
      </c>
      <c r="AE500" s="467" t="s">
        <v>799</v>
      </c>
      <c r="AF500" s="139" t="s">
        <v>1400</v>
      </c>
      <c r="AG500" s="463" t="s">
        <v>3574</v>
      </c>
      <c r="AH500" s="139" t="s">
        <v>3575</v>
      </c>
      <c r="AI500" s="139" t="s">
        <v>3576</v>
      </c>
      <c r="AJ500" s="464">
        <v>504432568028</v>
      </c>
      <c r="AK500" s="140" t="s">
        <v>5682</v>
      </c>
      <c r="AL500" s="461">
        <v>44706</v>
      </c>
      <c r="AM500" s="477">
        <v>44662</v>
      </c>
      <c r="AN500" s="465"/>
      <c r="AO500" s="140"/>
      <c r="AP500" s="139"/>
      <c r="AQ500" s="139"/>
      <c r="AR500" s="181"/>
      <c r="AS500" s="458"/>
      <c r="AT500" s="458"/>
      <c r="AU500" s="461">
        <v>33693</v>
      </c>
      <c r="AV500" s="181" t="s">
        <v>1352</v>
      </c>
      <c r="AW500" s="31" t="s">
        <v>68</v>
      </c>
      <c r="AX500" s="139">
        <v>7</v>
      </c>
      <c r="AY500" s="466">
        <f>VLOOKUP(K500,[3]Master!M477:BA860,40,0)</f>
        <v>7</v>
      </c>
      <c r="AZ500" s="58" t="s">
        <v>26</v>
      </c>
      <c r="BA500" s="58" t="s">
        <v>151</v>
      </c>
      <c r="BB500" s="58" t="s">
        <v>1407</v>
      </c>
      <c r="BC500" s="58"/>
    </row>
    <row r="501" spans="1:55" x14ac:dyDescent="0.25">
      <c r="A501" s="10">
        <f t="shared" si="19"/>
        <v>500</v>
      </c>
      <c r="B501" s="181" t="s">
        <v>5683</v>
      </c>
      <c r="C501" s="592" t="s">
        <v>1407</v>
      </c>
      <c r="D501" s="457">
        <v>400243</v>
      </c>
      <c r="E501" s="181" t="s">
        <v>36</v>
      </c>
      <c r="F501" s="97" t="s">
        <v>5684</v>
      </c>
      <c r="G501" s="139">
        <v>6</v>
      </c>
      <c r="H501" s="458">
        <v>0.33333333333333331</v>
      </c>
      <c r="I501" s="458">
        <v>0.41666666666666669</v>
      </c>
      <c r="J501" s="458">
        <v>8.3333333333333329E-2</v>
      </c>
      <c r="K501" s="462" t="s">
        <v>154</v>
      </c>
      <c r="L501" s="97"/>
      <c r="M501" s="97" t="s">
        <v>1376</v>
      </c>
      <c r="N501" s="58" t="s">
        <v>1393</v>
      </c>
      <c r="O501" s="58"/>
      <c r="P501" s="206">
        <v>44116</v>
      </c>
      <c r="Q501" s="460">
        <v>44116</v>
      </c>
      <c r="R501" s="460">
        <v>44845</v>
      </c>
      <c r="S501" s="461">
        <f t="shared" si="22"/>
        <v>44846</v>
      </c>
      <c r="T501" s="139"/>
      <c r="U501" s="139"/>
      <c r="V501" s="139"/>
      <c r="W501" s="139"/>
      <c r="X501" s="139"/>
      <c r="Y501" s="462" t="s">
        <v>226</v>
      </c>
      <c r="Z501" s="140" t="s">
        <v>5685</v>
      </c>
      <c r="AA501" s="140" t="s">
        <v>1841</v>
      </c>
      <c r="AB501" s="460">
        <v>43756</v>
      </c>
      <c r="AC501" s="460">
        <v>45583</v>
      </c>
      <c r="AD501" s="139">
        <v>9866275590</v>
      </c>
      <c r="AE501" s="467" t="s">
        <v>5686</v>
      </c>
      <c r="AF501" s="139" t="s">
        <v>1364</v>
      </c>
      <c r="AG501" s="463" t="s">
        <v>5687</v>
      </c>
      <c r="AH501" s="139" t="s">
        <v>2554</v>
      </c>
      <c r="AI501" s="139" t="s">
        <v>5688</v>
      </c>
      <c r="AJ501" s="464">
        <v>659392638685</v>
      </c>
      <c r="AK501" s="140" t="s">
        <v>5689</v>
      </c>
      <c r="AL501" s="206">
        <v>44742</v>
      </c>
      <c r="AM501" s="477">
        <v>44746</v>
      </c>
      <c r="AN501" s="465"/>
      <c r="AO501" s="140"/>
      <c r="AP501" s="139"/>
      <c r="AQ501" s="139"/>
      <c r="AR501" s="181"/>
      <c r="AS501" s="458"/>
      <c r="AT501" s="458"/>
      <c r="AU501" s="461">
        <v>34642</v>
      </c>
      <c r="AV501" s="181" t="s">
        <v>1352</v>
      </c>
      <c r="AW501" s="31" t="s">
        <v>32</v>
      </c>
      <c r="AX501" s="139">
        <v>2</v>
      </c>
      <c r="AY501" s="466">
        <f>VLOOKUP(K501,[3]Master!M478:BA861,40,0)</f>
        <v>7</v>
      </c>
      <c r="AZ501" s="58" t="s">
        <v>1390</v>
      </c>
      <c r="BA501" s="58" t="s">
        <v>151</v>
      </c>
      <c r="BB501" s="58" t="s">
        <v>1407</v>
      </c>
      <c r="BC501" s="58"/>
    </row>
    <row r="502" spans="1:55" x14ac:dyDescent="0.25">
      <c r="A502" s="10">
        <f t="shared" si="19"/>
        <v>501</v>
      </c>
      <c r="B502" s="181" t="s">
        <v>5690</v>
      </c>
      <c r="C502" s="592" t="s">
        <v>1407</v>
      </c>
      <c r="D502" s="457">
        <v>400245</v>
      </c>
      <c r="E502" s="181" t="s">
        <v>36</v>
      </c>
      <c r="F502" s="97" t="s">
        <v>5691</v>
      </c>
      <c r="G502" s="139">
        <v>6</v>
      </c>
      <c r="H502" s="458">
        <v>0.35416666666666669</v>
      </c>
      <c r="I502" s="458">
        <v>0.47916666666666669</v>
      </c>
      <c r="J502" s="458">
        <f>I502-H502</f>
        <v>0.125</v>
      </c>
      <c r="K502" s="271" t="s">
        <v>5084</v>
      </c>
      <c r="L502" s="97" t="s">
        <v>5370</v>
      </c>
      <c r="M502" s="97" t="s">
        <v>26</v>
      </c>
      <c r="N502" s="58" t="s">
        <v>38</v>
      </c>
      <c r="O502" s="58" t="s">
        <v>5050</v>
      </c>
      <c r="P502" s="206">
        <v>44531</v>
      </c>
      <c r="Q502" s="460">
        <v>44531</v>
      </c>
      <c r="R502" s="460">
        <v>45260</v>
      </c>
      <c r="S502" s="461">
        <v>45261</v>
      </c>
      <c r="T502" s="139">
        <v>2013</v>
      </c>
      <c r="U502" s="139" t="s">
        <v>5692</v>
      </c>
      <c r="V502" s="139">
        <v>2020</v>
      </c>
      <c r="W502" s="139" t="s">
        <v>5692</v>
      </c>
      <c r="X502" s="139"/>
      <c r="Y502" s="462" t="s">
        <v>5078</v>
      </c>
      <c r="Z502" s="140" t="s">
        <v>5693</v>
      </c>
      <c r="AA502" s="140" t="s">
        <v>1841</v>
      </c>
      <c r="AB502" s="460">
        <v>44455</v>
      </c>
      <c r="AC502" s="460">
        <v>46280</v>
      </c>
      <c r="AD502" s="139">
        <v>9177638421</v>
      </c>
      <c r="AE502" s="467" t="s">
        <v>5694</v>
      </c>
      <c r="AF502" s="139" t="s">
        <v>5086</v>
      </c>
      <c r="AG502" s="463" t="s">
        <v>5695</v>
      </c>
      <c r="AH502" s="139" t="s">
        <v>5696</v>
      </c>
      <c r="AI502" s="139" t="s">
        <v>5697</v>
      </c>
      <c r="AJ502" s="464">
        <v>373417764095</v>
      </c>
      <c r="AK502" s="140" t="s">
        <v>5698</v>
      </c>
      <c r="AL502" s="461"/>
      <c r="AM502" s="477"/>
      <c r="AN502" s="465"/>
      <c r="AO502" s="140"/>
      <c r="AP502" s="139"/>
      <c r="AQ502" s="139" t="s">
        <v>5699</v>
      </c>
      <c r="AR502" s="181"/>
      <c r="AS502" s="458"/>
      <c r="AT502" s="458"/>
      <c r="AU502" s="461">
        <v>33450</v>
      </c>
      <c r="AV502" s="181" t="s">
        <v>1352</v>
      </c>
      <c r="AW502" s="31" t="s">
        <v>32</v>
      </c>
      <c r="AX502" s="139">
        <v>3</v>
      </c>
      <c r="AY502" s="58" t="s">
        <v>1849</v>
      </c>
      <c r="AZ502" s="58" t="s">
        <v>26</v>
      </c>
      <c r="BA502" s="58" t="s">
        <v>151</v>
      </c>
      <c r="BB502" s="58" t="s">
        <v>1407</v>
      </c>
      <c r="BC502" s="58"/>
    </row>
    <row r="503" spans="1:55" x14ac:dyDescent="0.25">
      <c r="A503" s="10">
        <f t="shared" si="19"/>
        <v>502</v>
      </c>
      <c r="B503" s="181" t="s">
        <v>5700</v>
      </c>
      <c r="C503" s="592" t="s">
        <v>1407</v>
      </c>
      <c r="D503" s="457">
        <v>400246</v>
      </c>
      <c r="E503" s="181" t="s">
        <v>36</v>
      </c>
      <c r="F503" s="97" t="s">
        <v>5701</v>
      </c>
      <c r="G503" s="139">
        <v>6</v>
      </c>
      <c r="H503" s="458" t="s">
        <v>989</v>
      </c>
      <c r="I503" s="458" t="s">
        <v>5702</v>
      </c>
      <c r="J503" s="458">
        <f>I503-H503</f>
        <v>0.125</v>
      </c>
      <c r="K503" s="100" t="s">
        <v>563</v>
      </c>
      <c r="L503" s="97" t="s">
        <v>5703</v>
      </c>
      <c r="M503" s="97" t="s">
        <v>26</v>
      </c>
      <c r="N503" s="58" t="s">
        <v>38</v>
      </c>
      <c r="O503" s="58" t="s">
        <v>5076</v>
      </c>
      <c r="P503" s="206">
        <v>44123</v>
      </c>
      <c r="Q503" s="460">
        <v>44853</v>
      </c>
      <c r="R503" s="460">
        <v>45583</v>
      </c>
      <c r="S503" s="461">
        <v>45584</v>
      </c>
      <c r="T503" s="139">
        <v>2013</v>
      </c>
      <c r="U503" s="139" t="s">
        <v>5704</v>
      </c>
      <c r="V503" s="139">
        <v>2020</v>
      </c>
      <c r="W503" s="139" t="s">
        <v>343</v>
      </c>
      <c r="X503" s="139" t="s">
        <v>30</v>
      </c>
      <c r="Y503" s="462" t="s">
        <v>5078</v>
      </c>
      <c r="Z503" s="140" t="s">
        <v>5705</v>
      </c>
      <c r="AA503" s="140" t="s">
        <v>1886</v>
      </c>
      <c r="AB503" s="460">
        <v>44118</v>
      </c>
      <c r="AC503" s="460">
        <v>45943</v>
      </c>
      <c r="AD503" s="488">
        <v>7981538214</v>
      </c>
      <c r="AE503" s="140" t="s">
        <v>5706</v>
      </c>
      <c r="AF503" s="139" t="s">
        <v>1805</v>
      </c>
      <c r="AG503" s="463" t="s">
        <v>5707</v>
      </c>
      <c r="AH503" s="139" t="s">
        <v>1889</v>
      </c>
      <c r="AI503" s="139" t="s">
        <v>5708</v>
      </c>
      <c r="AJ503" s="464">
        <v>525518652414</v>
      </c>
      <c r="AK503" s="140" t="s">
        <v>5709</v>
      </c>
      <c r="AL503" s="461">
        <v>45323</v>
      </c>
      <c r="AM503" s="477">
        <v>45323</v>
      </c>
      <c r="AN503" s="140"/>
      <c r="AO503" s="140"/>
      <c r="AP503" s="139"/>
      <c r="AQ503" s="58"/>
      <c r="AR503" s="489"/>
      <c r="AS503" s="458">
        <v>0.70833333333333337</v>
      </c>
      <c r="AT503" s="181">
        <v>0.83333333333333337</v>
      </c>
      <c r="AU503" s="461">
        <v>32382</v>
      </c>
      <c r="AV503" s="181" t="s">
        <v>1352</v>
      </c>
      <c r="AW503" s="31" t="s">
        <v>32</v>
      </c>
      <c r="AX503" s="139">
        <v>3</v>
      </c>
      <c r="AY503" s="466">
        <f>VLOOKUP(K503,[3]Master!M480:BA863,40,0)</f>
        <v>8</v>
      </c>
      <c r="AZ503" s="58" t="s">
        <v>26</v>
      </c>
      <c r="BA503" s="58" t="s">
        <v>151</v>
      </c>
      <c r="BB503" s="58" t="s">
        <v>1407</v>
      </c>
      <c r="BC503" s="58"/>
    </row>
    <row r="504" spans="1:55" x14ac:dyDescent="0.25">
      <c r="A504" s="10">
        <f t="shared" si="19"/>
        <v>503</v>
      </c>
      <c r="B504" s="181" t="s">
        <v>5700</v>
      </c>
      <c r="C504" s="592" t="s">
        <v>1407</v>
      </c>
      <c r="D504" s="96">
        <v>400246</v>
      </c>
      <c r="E504" s="62" t="s">
        <v>192</v>
      </c>
      <c r="F504" s="97" t="s">
        <v>5701</v>
      </c>
      <c r="G504" s="64"/>
      <c r="H504" s="141"/>
      <c r="I504" s="141"/>
      <c r="J504" s="141"/>
      <c r="K504" s="21" t="s">
        <v>334</v>
      </c>
      <c r="L504" s="63" t="s">
        <v>5703</v>
      </c>
      <c r="M504" s="63" t="s">
        <v>26</v>
      </c>
      <c r="N504" s="100" t="s">
        <v>38</v>
      </c>
      <c r="O504" s="143" t="s">
        <v>5710</v>
      </c>
      <c r="P504" s="338">
        <v>45605</v>
      </c>
      <c r="Q504" s="338">
        <v>45605</v>
      </c>
      <c r="R504" s="338">
        <v>46334</v>
      </c>
      <c r="S504" s="338">
        <v>46335</v>
      </c>
      <c r="T504" s="61">
        <v>2013</v>
      </c>
      <c r="U504" s="99" t="s">
        <v>5704</v>
      </c>
      <c r="V504" s="61">
        <v>2020</v>
      </c>
      <c r="W504" s="143" t="s">
        <v>343</v>
      </c>
      <c r="X504" s="61" t="s">
        <v>30</v>
      </c>
      <c r="Y504" s="100" t="s">
        <v>49</v>
      </c>
      <c r="Z504" s="99" t="s">
        <v>5705</v>
      </c>
      <c r="AA504" s="99" t="s">
        <v>1886</v>
      </c>
      <c r="AB504" s="453">
        <v>44118</v>
      </c>
      <c r="AC504" s="453">
        <v>45943</v>
      </c>
      <c r="AD504" s="492">
        <v>7981538214</v>
      </c>
      <c r="AE504" s="99" t="s">
        <v>5706</v>
      </c>
      <c r="AF504" s="100" t="s">
        <v>1805</v>
      </c>
      <c r="AG504" s="337" t="s">
        <v>5707</v>
      </c>
      <c r="AH504" s="62" t="s">
        <v>1889</v>
      </c>
      <c r="AI504" s="62" t="s">
        <v>5708</v>
      </c>
      <c r="AJ504" s="493">
        <v>525518652414</v>
      </c>
      <c r="AK504" s="63" t="s">
        <v>5709</v>
      </c>
      <c r="AL504" s="338" t="s">
        <v>5711</v>
      </c>
      <c r="AM504" s="477" t="s">
        <v>30</v>
      </c>
      <c r="AN504" s="100" t="s">
        <v>5712</v>
      </c>
      <c r="AO504" s="63" t="s">
        <v>5713</v>
      </c>
      <c r="AP504" s="61">
        <v>37</v>
      </c>
      <c r="AQ504" s="100"/>
      <c r="AR504" s="143"/>
      <c r="AS504" s="338"/>
      <c r="AT504" s="338"/>
      <c r="AU504" s="453">
        <v>32382</v>
      </c>
      <c r="AV504" s="62" t="s">
        <v>1352</v>
      </c>
      <c r="AW504" s="62" t="s">
        <v>32</v>
      </c>
      <c r="AX504" s="139"/>
      <c r="AY504" s="58" t="s">
        <v>30</v>
      </c>
      <c r="AZ504" s="58" t="s">
        <v>26</v>
      </c>
      <c r="BA504" s="58" t="s">
        <v>151</v>
      </c>
      <c r="BB504" s="58" t="s">
        <v>1407</v>
      </c>
      <c r="BC504" s="58"/>
    </row>
    <row r="505" spans="1:55" x14ac:dyDescent="0.25">
      <c r="A505" s="10">
        <f t="shared" si="19"/>
        <v>504</v>
      </c>
      <c r="B505" s="181" t="s">
        <v>5714</v>
      </c>
      <c r="C505" s="592" t="s">
        <v>1407</v>
      </c>
      <c r="D505" s="457">
        <v>400247</v>
      </c>
      <c r="E505" s="181" t="s">
        <v>36</v>
      </c>
      <c r="F505" s="97" t="s">
        <v>5715</v>
      </c>
      <c r="G505" s="139">
        <v>6</v>
      </c>
      <c r="H505" s="458">
        <v>0.375</v>
      </c>
      <c r="I505" s="458">
        <v>0.70833333333333337</v>
      </c>
      <c r="J505" s="458">
        <f>I505-H505</f>
        <v>0.33333333333333337</v>
      </c>
      <c r="K505" s="58" t="s">
        <v>147</v>
      </c>
      <c r="L505" s="97"/>
      <c r="M505" s="97" t="s">
        <v>1544</v>
      </c>
      <c r="N505" s="58" t="s">
        <v>5716</v>
      </c>
      <c r="O505" s="58" t="s">
        <v>5244</v>
      </c>
      <c r="P505" s="206">
        <v>44125</v>
      </c>
      <c r="Q505" s="460">
        <v>44125</v>
      </c>
      <c r="R505" s="460">
        <v>44854</v>
      </c>
      <c r="S505" s="461">
        <f>R505+1</f>
        <v>44855</v>
      </c>
      <c r="T505" s="139">
        <v>0</v>
      </c>
      <c r="U505" s="139"/>
      <c r="V505" s="139">
        <v>0</v>
      </c>
      <c r="W505" s="139">
        <v>0</v>
      </c>
      <c r="X505" s="139"/>
      <c r="Y505" s="462" t="s">
        <v>5246</v>
      </c>
      <c r="Z505" s="140">
        <v>12531</v>
      </c>
      <c r="AA505" s="140" t="s">
        <v>1362</v>
      </c>
      <c r="AB505" s="460">
        <v>35097</v>
      </c>
      <c r="AC505" s="460"/>
      <c r="AD505" s="139">
        <v>9829741224</v>
      </c>
      <c r="AE505" s="467" t="s">
        <v>5717</v>
      </c>
      <c r="AF505" s="139" t="s">
        <v>1690</v>
      </c>
      <c r="AG505" s="463" t="s">
        <v>5718</v>
      </c>
      <c r="AH505" s="139" t="s">
        <v>5719</v>
      </c>
      <c r="AI505" s="139" t="s">
        <v>5720</v>
      </c>
      <c r="AJ505" s="464">
        <v>459238969048</v>
      </c>
      <c r="AK505" s="140" t="s">
        <v>5721</v>
      </c>
      <c r="AL505" s="206">
        <v>44854</v>
      </c>
      <c r="AM505" s="477">
        <v>44807</v>
      </c>
      <c r="AN505" s="465"/>
      <c r="AO505" s="140"/>
      <c r="AP505" s="139"/>
      <c r="AQ505" s="139" t="e">
        <v>#REF!</v>
      </c>
      <c r="AR505" s="181"/>
      <c r="AS505" s="458"/>
      <c r="AT505" s="458"/>
      <c r="AU505" s="461">
        <v>25861</v>
      </c>
      <c r="AV505" s="181" t="s">
        <v>1389</v>
      </c>
      <c r="AW505" s="31" t="s">
        <v>68</v>
      </c>
      <c r="AX505" s="139">
        <v>8</v>
      </c>
      <c r="AY505" s="466">
        <f>VLOOKUP(K505,[3]Master!M482:BA865,40,0)</f>
        <v>2</v>
      </c>
      <c r="AZ505" s="58" t="s">
        <v>1373</v>
      </c>
      <c r="BA505" s="58" t="s">
        <v>151</v>
      </c>
      <c r="BB505" s="58" t="s">
        <v>1407</v>
      </c>
      <c r="BC505" s="58"/>
    </row>
    <row r="506" spans="1:55" x14ac:dyDescent="0.25">
      <c r="A506" s="10">
        <f t="shared" si="19"/>
        <v>505</v>
      </c>
      <c r="B506" s="181" t="s">
        <v>5722</v>
      </c>
      <c r="C506" s="592" t="s">
        <v>1407</v>
      </c>
      <c r="D506" s="457">
        <v>400249</v>
      </c>
      <c r="E506" s="181" t="s">
        <v>36</v>
      </c>
      <c r="F506" s="97" t="s">
        <v>5723</v>
      </c>
      <c r="G506" s="139">
        <v>6</v>
      </c>
      <c r="H506" s="458">
        <v>0.35416666666666669</v>
      </c>
      <c r="I506" s="458">
        <v>0.6875</v>
      </c>
      <c r="J506" s="458">
        <v>0.33333333333333331</v>
      </c>
      <c r="K506" s="100" t="s">
        <v>174</v>
      </c>
      <c r="L506" s="97" t="s">
        <v>281</v>
      </c>
      <c r="M506" s="97" t="s">
        <v>26</v>
      </c>
      <c r="N506" s="58" t="s">
        <v>38</v>
      </c>
      <c r="O506" s="58" t="s">
        <v>5050</v>
      </c>
      <c r="P506" s="206">
        <v>44125</v>
      </c>
      <c r="Q506" s="460">
        <v>44125</v>
      </c>
      <c r="R506" s="460">
        <v>44854</v>
      </c>
      <c r="S506" s="461">
        <f>R506+1</f>
        <v>44855</v>
      </c>
      <c r="T506" s="139"/>
      <c r="U506" s="139"/>
      <c r="V506" s="139"/>
      <c r="W506" s="139"/>
      <c r="X506" s="139"/>
      <c r="Y506" s="462" t="s">
        <v>5235</v>
      </c>
      <c r="Z506" s="140" t="s">
        <v>5724</v>
      </c>
      <c r="AA506" s="140" t="s">
        <v>1886</v>
      </c>
      <c r="AB506" s="460">
        <v>44111</v>
      </c>
      <c r="AC506" s="460">
        <f>AB506+(365*5)</f>
        <v>45936</v>
      </c>
      <c r="AD506" s="139">
        <v>7799172222</v>
      </c>
      <c r="AE506" s="140" t="s">
        <v>5725</v>
      </c>
      <c r="AF506" s="139" t="s">
        <v>1430</v>
      </c>
      <c r="AG506" s="463" t="s">
        <v>5726</v>
      </c>
      <c r="AH506" s="139" t="s">
        <v>5727</v>
      </c>
      <c r="AI506" s="139" t="s">
        <v>5728</v>
      </c>
      <c r="AJ506" s="464">
        <v>801064564126</v>
      </c>
      <c r="AK506" s="140" t="s">
        <v>5729</v>
      </c>
      <c r="AL506" s="461">
        <v>44490</v>
      </c>
      <c r="AM506" s="477"/>
      <c r="AN506" s="465"/>
      <c r="AO506" s="140"/>
      <c r="AP506" s="139"/>
      <c r="AQ506" s="139"/>
      <c r="AR506" s="181"/>
      <c r="AS506" s="458"/>
      <c r="AT506" s="458"/>
      <c r="AU506" s="461">
        <v>33833</v>
      </c>
      <c r="AV506" s="181" t="s">
        <v>1389</v>
      </c>
      <c r="AW506" s="31" t="s">
        <v>68</v>
      </c>
      <c r="AX506" s="139">
        <v>8</v>
      </c>
      <c r="AY506" s="466">
        <f>VLOOKUP(K506,[3]Master!M483:BA866,40,0)</f>
        <v>1</v>
      </c>
      <c r="AZ506" s="58" t="s">
        <v>26</v>
      </c>
      <c r="BA506" s="58" t="s">
        <v>151</v>
      </c>
      <c r="BB506" s="58" t="s">
        <v>1407</v>
      </c>
      <c r="BC506" s="58"/>
    </row>
    <row r="507" spans="1:55" x14ac:dyDescent="0.25">
      <c r="A507" s="10">
        <f t="shared" si="19"/>
        <v>506</v>
      </c>
      <c r="B507" s="181" t="s">
        <v>5730</v>
      </c>
      <c r="C507" s="592" t="s">
        <v>1407</v>
      </c>
      <c r="D507" s="457">
        <v>400380</v>
      </c>
      <c r="E507" s="181" t="s">
        <v>9124</v>
      </c>
      <c r="F507" s="97" t="s">
        <v>5731</v>
      </c>
      <c r="G507" s="139">
        <v>6</v>
      </c>
      <c r="H507" s="458" t="s">
        <v>5732</v>
      </c>
      <c r="I507" s="458" t="s">
        <v>5733</v>
      </c>
      <c r="J507" s="458">
        <v>0.22916666666666666</v>
      </c>
      <c r="K507" s="462" t="s">
        <v>593</v>
      </c>
      <c r="L507" s="97" t="s">
        <v>5734</v>
      </c>
      <c r="M507" s="97" t="s">
        <v>26</v>
      </c>
      <c r="N507" s="58" t="s">
        <v>38</v>
      </c>
      <c r="O507" s="58" t="s">
        <v>5076</v>
      </c>
      <c r="P507" s="206">
        <v>44473</v>
      </c>
      <c r="Q507" s="206">
        <v>45203</v>
      </c>
      <c r="R507" s="206">
        <v>45933</v>
      </c>
      <c r="S507" s="461">
        <v>45934</v>
      </c>
      <c r="T507" s="139">
        <v>2009</v>
      </c>
      <c r="U507" s="181" t="s">
        <v>5735</v>
      </c>
      <c r="V507" s="139">
        <v>2018</v>
      </c>
      <c r="W507" s="140" t="s">
        <v>5735</v>
      </c>
      <c r="X507" s="181" t="s">
        <v>30</v>
      </c>
      <c r="Y507" s="58" t="s">
        <v>5078</v>
      </c>
      <c r="Z507" s="140">
        <v>64176</v>
      </c>
      <c r="AA507" s="97" t="s">
        <v>1886</v>
      </c>
      <c r="AB507" s="471">
        <v>43298</v>
      </c>
      <c r="AC507" s="471">
        <v>45123</v>
      </c>
      <c r="AD507" s="472">
        <v>8500444429</v>
      </c>
      <c r="AE507" s="473" t="s">
        <v>5736</v>
      </c>
      <c r="AF507" s="97" t="s">
        <v>5086</v>
      </c>
      <c r="AG507" s="482" t="s">
        <v>5737</v>
      </c>
      <c r="AH507" s="181" t="s">
        <v>5738</v>
      </c>
      <c r="AI507" s="139" t="s">
        <v>5739</v>
      </c>
      <c r="AJ507" s="464" t="s">
        <v>5740</v>
      </c>
      <c r="AK507" s="97" t="s">
        <v>5741</v>
      </c>
      <c r="AL507" s="461">
        <v>45473</v>
      </c>
      <c r="AM507" s="477">
        <v>45469</v>
      </c>
      <c r="AN507" s="465" t="s">
        <v>3793</v>
      </c>
      <c r="AO507" s="97"/>
      <c r="AP507" s="58"/>
      <c r="AQ507" s="486"/>
      <c r="AR507" s="462"/>
      <c r="AS507" s="479">
        <v>0.64583333333333337</v>
      </c>
      <c r="AT507" s="479">
        <v>0.875</v>
      </c>
      <c r="AU507" s="461">
        <v>30540</v>
      </c>
      <c r="AV507" s="181" t="s">
        <v>1389</v>
      </c>
      <c r="AW507" s="31" t="s">
        <v>32</v>
      </c>
      <c r="AX507" s="139">
        <v>5.5</v>
      </c>
      <c r="AY507" s="466">
        <f>VLOOKUP(K507,[3]Master!M484:BA867,40,0)</f>
        <v>5.5</v>
      </c>
      <c r="AZ507" s="58" t="s">
        <v>26</v>
      </c>
      <c r="BA507" s="58" t="s">
        <v>151</v>
      </c>
      <c r="BB507" s="58" t="s">
        <v>1407</v>
      </c>
      <c r="BC507" s="58"/>
    </row>
    <row r="508" spans="1:55" x14ac:dyDescent="0.25">
      <c r="A508" s="10">
        <f t="shared" si="19"/>
        <v>507</v>
      </c>
      <c r="B508" s="181"/>
      <c r="C508" s="592" t="s">
        <v>1407</v>
      </c>
      <c r="D508" s="96">
        <v>400253</v>
      </c>
      <c r="E508" s="181"/>
      <c r="F508" s="97" t="s">
        <v>5742</v>
      </c>
      <c r="G508" s="462"/>
      <c r="H508" s="458"/>
      <c r="I508" s="458"/>
      <c r="J508" s="458"/>
      <c r="K508" s="58"/>
      <c r="L508" s="97"/>
      <c r="M508" s="97" t="s">
        <v>30</v>
      </c>
      <c r="N508" s="58"/>
      <c r="O508" s="58"/>
      <c r="P508" s="460"/>
      <c r="Q508" s="460"/>
      <c r="R508" s="460"/>
      <c r="S508" s="461"/>
      <c r="T508" s="139"/>
      <c r="U508" s="139"/>
      <c r="V508" s="139"/>
      <c r="W508" s="462"/>
      <c r="X508" s="139"/>
      <c r="Y508" s="462"/>
      <c r="Z508" s="140"/>
      <c r="AA508" s="465"/>
      <c r="AB508" s="460"/>
      <c r="AC508" s="139"/>
      <c r="AD508" s="139"/>
      <c r="AE508" s="140"/>
      <c r="AF508" s="486"/>
      <c r="AG508" s="139"/>
      <c r="AH508" s="139"/>
      <c r="AI508" s="464"/>
      <c r="AJ508" s="139"/>
      <c r="AK508" s="140"/>
      <c r="AL508" s="206"/>
      <c r="AM508" s="477"/>
      <c r="AN508" s="140"/>
      <c r="AO508" s="140"/>
      <c r="AP508" s="462"/>
      <c r="AQ508" s="58"/>
      <c r="AR508" s="489"/>
      <c r="AS508" s="458"/>
      <c r="AT508" s="181"/>
      <c r="AU508" s="181"/>
      <c r="AV508" s="461"/>
      <c r="AW508" s="181"/>
      <c r="AX508" s="139"/>
      <c r="AY508" s="58"/>
      <c r="AZ508" s="58"/>
      <c r="BA508" s="58" t="s">
        <v>151</v>
      </c>
      <c r="BB508" s="58" t="s">
        <v>1407</v>
      </c>
      <c r="BC508" s="58"/>
    </row>
    <row r="509" spans="1:55" x14ac:dyDescent="0.25">
      <c r="A509" s="10">
        <f t="shared" si="19"/>
        <v>508</v>
      </c>
      <c r="B509" s="181" t="s">
        <v>5743</v>
      </c>
      <c r="C509" s="592" t="s">
        <v>1407</v>
      </c>
      <c r="D509" s="457">
        <v>400255</v>
      </c>
      <c r="E509" s="181" t="s">
        <v>36</v>
      </c>
      <c r="F509" s="97" t="s">
        <v>5744</v>
      </c>
      <c r="G509" s="139">
        <v>6</v>
      </c>
      <c r="H509" s="458">
        <v>0.66666666666666663</v>
      </c>
      <c r="I509" s="458">
        <v>0.875</v>
      </c>
      <c r="J509" s="458">
        <v>0.125</v>
      </c>
      <c r="K509" s="35" t="s">
        <v>593</v>
      </c>
      <c r="L509" s="97" t="s">
        <v>295</v>
      </c>
      <c r="M509" s="97" t="s">
        <v>26</v>
      </c>
      <c r="N509" s="58" t="s">
        <v>38</v>
      </c>
      <c r="O509" s="58" t="s">
        <v>5050</v>
      </c>
      <c r="P509" s="206">
        <v>44137</v>
      </c>
      <c r="Q509" s="460">
        <v>44137</v>
      </c>
      <c r="R509" s="460">
        <v>44866</v>
      </c>
      <c r="S509" s="461">
        <f>R509+1</f>
        <v>44867</v>
      </c>
      <c r="T509" s="139"/>
      <c r="U509" s="139"/>
      <c r="V509" s="139"/>
      <c r="W509" s="139"/>
      <c r="X509" s="139"/>
      <c r="Y509" s="462" t="s">
        <v>5235</v>
      </c>
      <c r="Z509" s="140" t="s">
        <v>5745</v>
      </c>
      <c r="AA509" s="140" t="s">
        <v>1886</v>
      </c>
      <c r="AB509" s="460">
        <v>44131</v>
      </c>
      <c r="AC509" s="460">
        <v>45956</v>
      </c>
      <c r="AD509" s="139">
        <v>9346375188</v>
      </c>
      <c r="AE509" s="140" t="s">
        <v>5746</v>
      </c>
      <c r="AF509" s="139" t="s">
        <v>5086</v>
      </c>
      <c r="AG509" s="463" t="s">
        <v>5747</v>
      </c>
      <c r="AH509" s="139" t="s">
        <v>5748</v>
      </c>
      <c r="AI509" s="139" t="s">
        <v>5749</v>
      </c>
      <c r="AJ509" s="464">
        <v>399489835542</v>
      </c>
      <c r="AK509" s="140" t="s">
        <v>5750</v>
      </c>
      <c r="AL509" s="461">
        <v>44320</v>
      </c>
      <c r="AM509" s="477"/>
      <c r="AN509" s="465"/>
      <c r="AO509" s="140"/>
      <c r="AP509" s="139"/>
      <c r="AQ509" s="139"/>
      <c r="AR509" s="181"/>
      <c r="AS509" s="458"/>
      <c r="AT509" s="458"/>
      <c r="AU509" s="461">
        <v>33913</v>
      </c>
      <c r="AV509" s="181" t="s">
        <v>1389</v>
      </c>
      <c r="AW509" s="31" t="s">
        <v>32</v>
      </c>
      <c r="AX509" s="139">
        <v>3</v>
      </c>
      <c r="AY509" s="466">
        <f>VLOOKUP(K509,[3]Master!M486:BA869,40,0)</f>
        <v>5.5</v>
      </c>
      <c r="AZ509" s="58" t="s">
        <v>26</v>
      </c>
      <c r="BA509" s="58" t="s">
        <v>151</v>
      </c>
      <c r="BB509" s="58" t="s">
        <v>1407</v>
      </c>
      <c r="BC509" s="58"/>
    </row>
    <row r="510" spans="1:55" x14ac:dyDescent="0.25">
      <c r="A510" s="10">
        <f t="shared" si="19"/>
        <v>509</v>
      </c>
      <c r="B510" s="181" t="s">
        <v>5751</v>
      </c>
      <c r="C510" s="592" t="s">
        <v>1407</v>
      </c>
      <c r="D510" s="457">
        <v>400258</v>
      </c>
      <c r="E510" s="181" t="s">
        <v>36</v>
      </c>
      <c r="F510" s="97" t="s">
        <v>5752</v>
      </c>
      <c r="G510" s="139">
        <v>6</v>
      </c>
      <c r="H510" s="458">
        <v>0.375</v>
      </c>
      <c r="I510" s="458">
        <v>0.70833333333333337</v>
      </c>
      <c r="J510" s="458">
        <v>0.33333333333333331</v>
      </c>
      <c r="K510" s="100" t="s">
        <v>287</v>
      </c>
      <c r="L510" s="97"/>
      <c r="M510" s="63" t="s">
        <v>1355</v>
      </c>
      <c r="N510" s="100" t="s">
        <v>1520</v>
      </c>
      <c r="O510" s="58" t="s">
        <v>5270</v>
      </c>
      <c r="P510" s="206">
        <v>44140</v>
      </c>
      <c r="Q510" s="460">
        <v>44140</v>
      </c>
      <c r="R510" s="460">
        <v>44869</v>
      </c>
      <c r="S510" s="461">
        <f>R510+1</f>
        <v>44870</v>
      </c>
      <c r="T510" s="139">
        <v>2012</v>
      </c>
      <c r="U510" s="139" t="s">
        <v>196</v>
      </c>
      <c r="V510" s="139">
        <v>2020</v>
      </c>
      <c r="W510" s="139"/>
      <c r="X510" s="139"/>
      <c r="Y510" s="462" t="s">
        <v>5214</v>
      </c>
      <c r="Z510" s="140" t="s">
        <v>5753</v>
      </c>
      <c r="AA510" s="140" t="s">
        <v>1841</v>
      </c>
      <c r="AB510" s="460">
        <v>44466</v>
      </c>
      <c r="AC510" s="460">
        <v>46291</v>
      </c>
      <c r="AD510" s="139">
        <v>7358207703</v>
      </c>
      <c r="AE510" s="467" t="s">
        <v>5754</v>
      </c>
      <c r="AF510" s="139" t="s">
        <v>5086</v>
      </c>
      <c r="AG510" s="463" t="s">
        <v>5755</v>
      </c>
      <c r="AH510" s="139" t="s">
        <v>5756</v>
      </c>
      <c r="AI510" s="139" t="s">
        <v>5757</v>
      </c>
      <c r="AJ510" s="464">
        <v>349292440236</v>
      </c>
      <c r="AK510" s="140" t="s">
        <v>5758</v>
      </c>
      <c r="AL510" s="206">
        <v>44697</v>
      </c>
      <c r="AM510" s="477">
        <v>44635</v>
      </c>
      <c r="AN510" s="465"/>
      <c r="AO510" s="140"/>
      <c r="AP510" s="139"/>
      <c r="AQ510" s="139"/>
      <c r="AR510" s="181"/>
      <c r="AS510" s="458"/>
      <c r="AT510" s="458"/>
      <c r="AU510" s="461">
        <v>32515</v>
      </c>
      <c r="AV510" s="181" t="s">
        <v>1389</v>
      </c>
      <c r="AW510" s="31" t="s">
        <v>68</v>
      </c>
      <c r="AX510" s="139">
        <v>8</v>
      </c>
      <c r="AY510" s="466">
        <f>VLOOKUP(K510,[3]Master!M487:BA870,40,0)</f>
        <v>8</v>
      </c>
      <c r="AZ510" s="58" t="s">
        <v>1373</v>
      </c>
      <c r="BA510" s="58" t="s">
        <v>151</v>
      </c>
      <c r="BB510" s="58" t="s">
        <v>1407</v>
      </c>
      <c r="BC510" s="58"/>
    </row>
    <row r="511" spans="1:55" x14ac:dyDescent="0.25">
      <c r="A511" s="10">
        <f t="shared" si="19"/>
        <v>510</v>
      </c>
      <c r="B511" s="181" t="s">
        <v>5759</v>
      </c>
      <c r="C511" s="592" t="s">
        <v>1407</v>
      </c>
      <c r="D511" s="457">
        <v>400259</v>
      </c>
      <c r="E511" s="181" t="s">
        <v>36</v>
      </c>
      <c r="F511" s="97" t="s">
        <v>5760</v>
      </c>
      <c r="G511" s="139">
        <v>6</v>
      </c>
      <c r="H511" s="458">
        <v>0.375</v>
      </c>
      <c r="I511" s="458">
        <v>0.5</v>
      </c>
      <c r="J511" s="458">
        <v>0.125</v>
      </c>
      <c r="K511" s="143" t="s">
        <v>640</v>
      </c>
      <c r="L511" s="97"/>
      <c r="M511" s="97" t="s">
        <v>26</v>
      </c>
      <c r="N511" s="58" t="s">
        <v>222</v>
      </c>
      <c r="O511" s="58" t="s">
        <v>5050</v>
      </c>
      <c r="P511" s="206">
        <v>44139</v>
      </c>
      <c r="Q511" s="460">
        <v>44139</v>
      </c>
      <c r="R511" s="460">
        <v>44868</v>
      </c>
      <c r="S511" s="461">
        <f>R511+1</f>
        <v>44869</v>
      </c>
      <c r="T511" s="139"/>
      <c r="U511" s="139"/>
      <c r="V511" s="139"/>
      <c r="W511" s="139"/>
      <c r="X511" s="139"/>
      <c r="Y511" s="462" t="s">
        <v>226</v>
      </c>
      <c r="Z511" s="140" t="s">
        <v>5761</v>
      </c>
      <c r="AA511" s="140" t="s">
        <v>1886</v>
      </c>
      <c r="AB511" s="460">
        <v>41085</v>
      </c>
      <c r="AC511" s="460">
        <v>42910</v>
      </c>
      <c r="AD511" s="139">
        <v>7337480618</v>
      </c>
      <c r="AE511" s="140" t="s">
        <v>5762</v>
      </c>
      <c r="AF511" s="139" t="s">
        <v>1430</v>
      </c>
      <c r="AG511" s="491" t="s">
        <v>5763</v>
      </c>
      <c r="AH511" s="139" t="s">
        <v>2027</v>
      </c>
      <c r="AI511" s="139" t="s">
        <v>5764</v>
      </c>
      <c r="AJ511" s="464">
        <v>668118206679</v>
      </c>
      <c r="AK511" s="140" t="s">
        <v>5765</v>
      </c>
      <c r="AL511" s="461"/>
      <c r="AM511" s="477"/>
      <c r="AN511" s="465"/>
      <c r="AO511" s="140"/>
      <c r="AP511" s="139"/>
      <c r="AQ511" s="139"/>
      <c r="AR511" s="181"/>
      <c r="AS511" s="458"/>
      <c r="AT511" s="458"/>
      <c r="AU511" s="461">
        <v>32510</v>
      </c>
      <c r="AV511" s="181" t="s">
        <v>1389</v>
      </c>
      <c r="AW511" s="31" t="s">
        <v>32</v>
      </c>
      <c r="AX511" s="139">
        <v>3</v>
      </c>
      <c r="AY511" s="466">
        <f>VLOOKUP(K511,[3]Master!M488:BA871,40,0)</f>
        <v>3</v>
      </c>
      <c r="AZ511" s="58" t="s">
        <v>26</v>
      </c>
      <c r="BA511" s="58" t="s">
        <v>151</v>
      </c>
      <c r="BB511" s="58" t="s">
        <v>1407</v>
      </c>
      <c r="BC511" s="58"/>
    </row>
    <row r="512" spans="1:55" x14ac:dyDescent="0.25">
      <c r="A512" s="10">
        <f t="shared" si="19"/>
        <v>511</v>
      </c>
      <c r="B512" s="181" t="s">
        <v>5766</v>
      </c>
      <c r="C512" s="592" t="s">
        <v>1407</v>
      </c>
      <c r="D512" s="457">
        <v>400260</v>
      </c>
      <c r="E512" s="181" t="s">
        <v>42</v>
      </c>
      <c r="F512" s="97" t="s">
        <v>5767</v>
      </c>
      <c r="G512" s="139">
        <v>6</v>
      </c>
      <c r="H512" s="458">
        <v>0.375</v>
      </c>
      <c r="I512" s="458">
        <v>0.54166666666666663</v>
      </c>
      <c r="J512" s="458">
        <f>I512-H512</f>
        <v>0.16666666666666663</v>
      </c>
      <c r="K512" s="58" t="s">
        <v>446</v>
      </c>
      <c r="L512" s="97" t="s">
        <v>5768</v>
      </c>
      <c r="M512" s="97" t="s">
        <v>26</v>
      </c>
      <c r="N512" s="58" t="s">
        <v>38</v>
      </c>
      <c r="O512" s="58" t="s">
        <v>5076</v>
      </c>
      <c r="P512" s="206">
        <v>44441</v>
      </c>
      <c r="Q512" s="460">
        <v>44441</v>
      </c>
      <c r="R512" s="460">
        <v>45170</v>
      </c>
      <c r="S512" s="461">
        <v>45171</v>
      </c>
      <c r="T512" s="139"/>
      <c r="U512" s="139" t="s">
        <v>209</v>
      </c>
      <c r="V512" s="139">
        <v>2018</v>
      </c>
      <c r="W512" s="139" t="s">
        <v>856</v>
      </c>
      <c r="X512" s="139" t="s">
        <v>30</v>
      </c>
      <c r="Y512" s="462" t="s">
        <v>5151</v>
      </c>
      <c r="Z512" s="140" t="s">
        <v>5769</v>
      </c>
      <c r="AA512" s="140" t="s">
        <v>1841</v>
      </c>
      <c r="AB512" s="460">
        <v>44112</v>
      </c>
      <c r="AC512" s="460">
        <v>45937</v>
      </c>
      <c r="AD512" s="139">
        <v>8008844664</v>
      </c>
      <c r="AE512" s="467" t="s">
        <v>5770</v>
      </c>
      <c r="AF512" s="139" t="s">
        <v>1805</v>
      </c>
      <c r="AG512" s="463" t="s">
        <v>5771</v>
      </c>
      <c r="AH512" s="139" t="s">
        <v>5772</v>
      </c>
      <c r="AI512" s="139" t="s">
        <v>5773</v>
      </c>
      <c r="AJ512" s="464">
        <v>834324330767</v>
      </c>
      <c r="AK512" s="140" t="s">
        <v>5774</v>
      </c>
      <c r="AL512" s="461">
        <v>44957</v>
      </c>
      <c r="AM512" s="477">
        <v>44897</v>
      </c>
      <c r="AN512" s="465"/>
      <c r="AO512" s="140"/>
      <c r="AP512" s="139"/>
      <c r="AQ512" s="139"/>
      <c r="AR512" s="181"/>
      <c r="AS512" s="458"/>
      <c r="AT512" s="458"/>
      <c r="AU512" s="461">
        <v>32692</v>
      </c>
      <c r="AV512" s="181" t="s">
        <v>1352</v>
      </c>
      <c r="AW512" s="31" t="s">
        <v>32</v>
      </c>
      <c r="AX512" s="139">
        <v>4</v>
      </c>
      <c r="AY512" s="466">
        <f>VLOOKUP(K512,[3]Master!M489:BA872,40,0)</f>
        <v>4</v>
      </c>
      <c r="AZ512" s="58" t="s">
        <v>26</v>
      </c>
      <c r="BA512" s="58" t="s">
        <v>151</v>
      </c>
      <c r="BB512" s="58" t="s">
        <v>1407</v>
      </c>
      <c r="BC512" s="58"/>
    </row>
    <row r="513" spans="1:55" x14ac:dyDescent="0.25">
      <c r="A513" s="10">
        <f t="shared" si="19"/>
        <v>512</v>
      </c>
      <c r="B513" s="181" t="s">
        <v>5775</v>
      </c>
      <c r="C513" s="592" t="s">
        <v>1407</v>
      </c>
      <c r="D513" s="457">
        <v>400261</v>
      </c>
      <c r="E513" s="181" t="s">
        <v>36</v>
      </c>
      <c r="F513" s="97" t="s">
        <v>5776</v>
      </c>
      <c r="G513" s="139">
        <v>6</v>
      </c>
      <c r="H513" s="458">
        <v>0.35416666666666669</v>
      </c>
      <c r="I513" s="458">
        <v>0.6875</v>
      </c>
      <c r="J513" s="458">
        <f>I513-H513</f>
        <v>0.33333333333333331</v>
      </c>
      <c r="K513" s="35" t="s">
        <v>784</v>
      </c>
      <c r="L513" s="97" t="s">
        <v>5777</v>
      </c>
      <c r="M513" s="97" t="s">
        <v>26</v>
      </c>
      <c r="N513" s="58" t="s">
        <v>38</v>
      </c>
      <c r="O513" s="58" t="s">
        <v>5076</v>
      </c>
      <c r="P513" s="206">
        <v>44835</v>
      </c>
      <c r="Q513" s="460">
        <v>44835</v>
      </c>
      <c r="R513" s="460">
        <v>45565</v>
      </c>
      <c r="S513" s="461">
        <v>45566</v>
      </c>
      <c r="T513" s="139">
        <v>2011</v>
      </c>
      <c r="U513" s="139" t="s">
        <v>5778</v>
      </c>
      <c r="V513" s="139">
        <v>2020</v>
      </c>
      <c r="W513" s="139" t="s">
        <v>5779</v>
      </c>
      <c r="X513" s="139" t="s">
        <v>30</v>
      </c>
      <c r="Y513" s="462" t="s">
        <v>5078</v>
      </c>
      <c r="Z513" s="140" t="s">
        <v>5780</v>
      </c>
      <c r="AA513" s="140" t="s">
        <v>1886</v>
      </c>
      <c r="AB513" s="460">
        <v>44126</v>
      </c>
      <c r="AC513" s="460">
        <v>45951</v>
      </c>
      <c r="AD513" s="139">
        <v>8801785621</v>
      </c>
      <c r="AE513" s="467" t="s">
        <v>5781</v>
      </c>
      <c r="AF513" s="139" t="s">
        <v>5086</v>
      </c>
      <c r="AG513" s="463" t="s">
        <v>5782</v>
      </c>
      <c r="AH513" s="139" t="s">
        <v>4474</v>
      </c>
      <c r="AI513" s="139" t="s">
        <v>5783</v>
      </c>
      <c r="AJ513" s="464">
        <v>617021257272</v>
      </c>
      <c r="AK513" s="140" t="s">
        <v>5784</v>
      </c>
      <c r="AL513" s="461"/>
      <c r="AM513" s="477"/>
      <c r="AN513" s="465"/>
      <c r="AO513" s="140"/>
      <c r="AP513" s="139"/>
      <c r="AQ513" s="139"/>
      <c r="AR513" s="181"/>
      <c r="AS513" s="458"/>
      <c r="AT513" s="458"/>
      <c r="AU513" s="461">
        <v>32343</v>
      </c>
      <c r="AV513" s="181" t="s">
        <v>1389</v>
      </c>
      <c r="AW513" s="31" t="s">
        <v>68</v>
      </c>
      <c r="AX513" s="139">
        <v>8</v>
      </c>
      <c r="AY513" s="466">
        <f>VLOOKUP(K513,[3]Master!M490:BA873,40,0)</f>
        <v>8</v>
      </c>
      <c r="AZ513" s="58" t="s">
        <v>26</v>
      </c>
      <c r="BA513" s="58" t="s">
        <v>151</v>
      </c>
      <c r="BB513" s="58" t="s">
        <v>1407</v>
      </c>
      <c r="BC513" s="58"/>
    </row>
    <row r="514" spans="1:55" x14ac:dyDescent="0.25">
      <c r="A514" s="10">
        <f t="shared" si="19"/>
        <v>513</v>
      </c>
      <c r="B514" s="181" t="s">
        <v>5785</v>
      </c>
      <c r="C514" s="592" t="s">
        <v>1407</v>
      </c>
      <c r="D514" s="457">
        <v>400909</v>
      </c>
      <c r="E514" s="181" t="s">
        <v>36</v>
      </c>
      <c r="F514" s="97" t="s">
        <v>5786</v>
      </c>
      <c r="G514" s="139">
        <v>6</v>
      </c>
      <c r="H514" s="469" t="s">
        <v>989</v>
      </c>
      <c r="I514" s="469" t="s">
        <v>948</v>
      </c>
      <c r="J514" s="458">
        <v>4.1666666666666664E-2</v>
      </c>
      <c r="K514" s="462" t="s">
        <v>411</v>
      </c>
      <c r="L514" s="97" t="s">
        <v>1424</v>
      </c>
      <c r="M514" s="97" t="s">
        <v>1376</v>
      </c>
      <c r="N514" s="58" t="s">
        <v>1393</v>
      </c>
      <c r="O514" s="58" t="s">
        <v>1424</v>
      </c>
      <c r="P514" s="206">
        <v>45282</v>
      </c>
      <c r="Q514" s="206">
        <v>45282</v>
      </c>
      <c r="R514" s="206">
        <v>46012</v>
      </c>
      <c r="S514" s="461">
        <v>46013</v>
      </c>
      <c r="T514" s="139">
        <v>2012</v>
      </c>
      <c r="U514" s="181" t="s">
        <v>5787</v>
      </c>
      <c r="V514" s="139"/>
      <c r="W514" s="97"/>
      <c r="X514" s="181" t="s">
        <v>30</v>
      </c>
      <c r="Y514" s="58" t="s">
        <v>226</v>
      </c>
      <c r="Z514" s="140" t="s">
        <v>5788</v>
      </c>
      <c r="AA514" s="470" t="s">
        <v>1886</v>
      </c>
      <c r="AB514" s="471">
        <v>44160</v>
      </c>
      <c r="AC514" s="471">
        <v>45985</v>
      </c>
      <c r="AD514" s="472">
        <v>9515098234</v>
      </c>
      <c r="AE514" s="473" t="s">
        <v>5789</v>
      </c>
      <c r="AF514" s="474" t="s">
        <v>5086</v>
      </c>
      <c r="AG514" s="475" t="s">
        <v>5790</v>
      </c>
      <c r="AH514" s="181" t="s">
        <v>5791</v>
      </c>
      <c r="AI514" s="139" t="s">
        <v>5792</v>
      </c>
      <c r="AJ514" s="476">
        <v>394132535956</v>
      </c>
      <c r="AK514" s="470"/>
      <c r="AL514" s="206">
        <v>45474</v>
      </c>
      <c r="AM514" s="477" t="s">
        <v>30</v>
      </c>
      <c r="AN514" s="478" t="s">
        <v>5098</v>
      </c>
      <c r="AO514" s="140" t="s">
        <v>5793</v>
      </c>
      <c r="AP514" s="58"/>
      <c r="AQ514" s="97" t="s">
        <v>5793</v>
      </c>
      <c r="AR514" s="462"/>
      <c r="AS514" s="479">
        <v>0.70833333333333337</v>
      </c>
      <c r="AT514" s="479">
        <v>0.75</v>
      </c>
      <c r="AU514" s="480">
        <v>31040</v>
      </c>
      <c r="AV514" s="181" t="s">
        <v>1389</v>
      </c>
      <c r="AW514" s="31" t="s">
        <v>32</v>
      </c>
      <c r="AX514" s="139">
        <v>1</v>
      </c>
      <c r="AY514" s="58" t="s">
        <v>1920</v>
      </c>
      <c r="AZ514" s="58" t="s">
        <v>1390</v>
      </c>
      <c r="BA514" s="58" t="s">
        <v>151</v>
      </c>
      <c r="BB514" s="58" t="s">
        <v>1407</v>
      </c>
      <c r="BC514" s="58"/>
    </row>
    <row r="515" spans="1:55" x14ac:dyDescent="0.25">
      <c r="A515" s="10">
        <f t="shared" si="19"/>
        <v>514</v>
      </c>
      <c r="B515" s="181" t="s">
        <v>536</v>
      </c>
      <c r="C515" s="592" t="s">
        <v>1407</v>
      </c>
      <c r="D515" s="457">
        <v>400264</v>
      </c>
      <c r="E515" s="181" t="s">
        <v>36</v>
      </c>
      <c r="F515" s="97" t="s">
        <v>537</v>
      </c>
      <c r="G515" s="139">
        <v>6</v>
      </c>
      <c r="H515" s="458">
        <v>0.375</v>
      </c>
      <c r="I515" s="458">
        <v>0.5</v>
      </c>
      <c r="J515" s="458">
        <f>I515-H515</f>
        <v>0.125</v>
      </c>
      <c r="K515" s="462" t="s">
        <v>154</v>
      </c>
      <c r="L515" s="97"/>
      <c r="M515" s="97" t="s">
        <v>26</v>
      </c>
      <c r="N515" s="58" t="s">
        <v>38</v>
      </c>
      <c r="O515" s="58" t="s">
        <v>5050</v>
      </c>
      <c r="P515" s="206">
        <v>44151</v>
      </c>
      <c r="Q515" s="460">
        <v>44151</v>
      </c>
      <c r="R515" s="460">
        <v>44880</v>
      </c>
      <c r="S515" s="461">
        <f>R515+1</f>
        <v>44881</v>
      </c>
      <c r="T515" s="139"/>
      <c r="U515" s="139"/>
      <c r="V515" s="139"/>
      <c r="W515" s="139"/>
      <c r="X515" s="139"/>
      <c r="Y515" s="462" t="s">
        <v>5235</v>
      </c>
      <c r="Z515" s="140" t="s">
        <v>2897</v>
      </c>
      <c r="AA515" s="140" t="s">
        <v>1841</v>
      </c>
      <c r="AB515" s="460">
        <v>44457</v>
      </c>
      <c r="AC515" s="460">
        <v>46282</v>
      </c>
      <c r="AD515" s="139">
        <v>7780375216</v>
      </c>
      <c r="AE515" s="140" t="s">
        <v>542</v>
      </c>
      <c r="AF515" s="139" t="s">
        <v>5086</v>
      </c>
      <c r="AG515" s="463" t="s">
        <v>2898</v>
      </c>
      <c r="AH515" s="139" t="s">
        <v>2899</v>
      </c>
      <c r="AI515" s="139" t="s">
        <v>2900</v>
      </c>
      <c r="AJ515" s="464">
        <v>201796861541</v>
      </c>
      <c r="AK515" s="140" t="s">
        <v>5794</v>
      </c>
      <c r="AL515" s="461">
        <v>44327</v>
      </c>
      <c r="AM515" s="477"/>
      <c r="AN515" s="465"/>
      <c r="AO515" s="140"/>
      <c r="AP515" s="139"/>
      <c r="AQ515" s="139"/>
      <c r="AR515" s="181"/>
      <c r="AS515" s="458"/>
      <c r="AT515" s="458"/>
      <c r="AU515" s="461">
        <v>33865</v>
      </c>
      <c r="AV515" s="181" t="s">
        <v>1389</v>
      </c>
      <c r="AW515" s="31" t="s">
        <v>32</v>
      </c>
      <c r="AX515" s="139">
        <v>3</v>
      </c>
      <c r="AY515" s="466">
        <f>VLOOKUP(K515,[3]Master!M492:BA875,40,0)</f>
        <v>7</v>
      </c>
      <c r="AZ515" s="58" t="s">
        <v>26</v>
      </c>
      <c r="BA515" s="58" t="s">
        <v>151</v>
      </c>
      <c r="BB515" s="58" t="s">
        <v>1407</v>
      </c>
      <c r="BC515" s="58"/>
    </row>
    <row r="516" spans="1:55" x14ac:dyDescent="0.25">
      <c r="A516" s="10">
        <f t="shared" ref="A516:A579" si="23">A515+1</f>
        <v>515</v>
      </c>
      <c r="B516" s="181" t="s">
        <v>5795</v>
      </c>
      <c r="C516" s="592" t="s">
        <v>1407</v>
      </c>
      <c r="D516" s="457">
        <v>400265</v>
      </c>
      <c r="E516" s="181" t="s">
        <v>42</v>
      </c>
      <c r="F516" s="97" t="s">
        <v>5796</v>
      </c>
      <c r="G516" s="139">
        <v>6</v>
      </c>
      <c r="H516" s="458">
        <v>0.41666666666666669</v>
      </c>
      <c r="I516" s="458">
        <v>0.75</v>
      </c>
      <c r="J516" s="458">
        <v>0.33333333333333331</v>
      </c>
      <c r="K516" s="35" t="s">
        <v>593</v>
      </c>
      <c r="L516" s="97" t="s">
        <v>5339</v>
      </c>
      <c r="M516" s="97" t="s">
        <v>26</v>
      </c>
      <c r="N516" s="58" t="s">
        <v>38</v>
      </c>
      <c r="O516" s="58" t="s">
        <v>5050</v>
      </c>
      <c r="P516" s="206">
        <v>44151</v>
      </c>
      <c r="Q516" s="460">
        <v>44151</v>
      </c>
      <c r="R516" s="460">
        <v>44880</v>
      </c>
      <c r="S516" s="461">
        <f>R516+1</f>
        <v>44881</v>
      </c>
      <c r="T516" s="139"/>
      <c r="U516" s="139"/>
      <c r="V516" s="139"/>
      <c r="W516" s="139"/>
      <c r="X516" s="139"/>
      <c r="Y516" s="462" t="s">
        <v>5235</v>
      </c>
      <c r="Z516" s="140">
        <v>87545</v>
      </c>
      <c r="AA516" s="140" t="s">
        <v>1362</v>
      </c>
      <c r="AB516" s="460">
        <v>41423</v>
      </c>
      <c r="AC516" s="460"/>
      <c r="AD516" s="139">
        <v>9633628262</v>
      </c>
      <c r="AE516" s="467" t="s">
        <v>5797</v>
      </c>
      <c r="AF516" s="139" t="s">
        <v>1430</v>
      </c>
      <c r="AG516" s="463" t="s">
        <v>5798</v>
      </c>
      <c r="AH516" s="139" t="s">
        <v>5799</v>
      </c>
      <c r="AI516" s="139" t="s">
        <v>5800</v>
      </c>
      <c r="AJ516" s="464">
        <v>312854249778</v>
      </c>
      <c r="AK516" s="140" t="s">
        <v>5801</v>
      </c>
      <c r="AL516" s="461">
        <v>44484</v>
      </c>
      <c r="AM516" s="477"/>
      <c r="AN516" s="465"/>
      <c r="AO516" s="140"/>
      <c r="AP516" s="139"/>
      <c r="AQ516" s="139"/>
      <c r="AR516" s="181"/>
      <c r="AS516" s="458"/>
      <c r="AT516" s="458"/>
      <c r="AU516" s="461">
        <v>27607</v>
      </c>
      <c r="AV516" s="181" t="s">
        <v>1389</v>
      </c>
      <c r="AW516" s="31" t="s">
        <v>68</v>
      </c>
      <c r="AX516" s="139">
        <v>8</v>
      </c>
      <c r="AY516" s="466">
        <f>VLOOKUP(K516,[3]Master!M493:BA876,40,0)</f>
        <v>5.5</v>
      </c>
      <c r="AZ516" s="58" t="s">
        <v>26</v>
      </c>
      <c r="BA516" s="58" t="s">
        <v>151</v>
      </c>
      <c r="BB516" s="58" t="s">
        <v>1407</v>
      </c>
      <c r="BC516" s="58"/>
    </row>
    <row r="517" spans="1:55" x14ac:dyDescent="0.25">
      <c r="A517" s="10">
        <f t="shared" si="23"/>
        <v>516</v>
      </c>
      <c r="B517" s="181" t="s">
        <v>5795</v>
      </c>
      <c r="C517" s="592" t="s">
        <v>1407</v>
      </c>
      <c r="D517" s="457">
        <v>400267</v>
      </c>
      <c r="E517" s="181" t="s">
        <v>36</v>
      </c>
      <c r="F517" s="97" t="s">
        <v>5802</v>
      </c>
      <c r="G517" s="139">
        <v>6</v>
      </c>
      <c r="H517" s="458">
        <v>0.375</v>
      </c>
      <c r="I517" s="458">
        <v>0.52083333333333337</v>
      </c>
      <c r="J517" s="458">
        <v>0.14583333333333334</v>
      </c>
      <c r="K517" s="100" t="s">
        <v>275</v>
      </c>
      <c r="L517" s="97" t="s">
        <v>5803</v>
      </c>
      <c r="M517" s="97" t="s">
        <v>26</v>
      </c>
      <c r="N517" s="58" t="s">
        <v>38</v>
      </c>
      <c r="O517" s="58" t="s">
        <v>5050</v>
      </c>
      <c r="P517" s="206">
        <v>44154</v>
      </c>
      <c r="Q517" s="460">
        <v>44154</v>
      </c>
      <c r="R517" s="460">
        <v>44883</v>
      </c>
      <c r="S517" s="461">
        <f>R517+1</f>
        <v>44884</v>
      </c>
      <c r="T517" s="139"/>
      <c r="U517" s="139" t="s">
        <v>306</v>
      </c>
      <c r="V517" s="139">
        <v>2013</v>
      </c>
      <c r="W517" s="139" t="s">
        <v>225</v>
      </c>
      <c r="X517" s="139"/>
      <c r="Y517" s="462" t="s">
        <v>5151</v>
      </c>
      <c r="Z517" s="140">
        <v>55458</v>
      </c>
      <c r="AA517" s="140" t="s">
        <v>1841</v>
      </c>
      <c r="AB517" s="460">
        <v>44088</v>
      </c>
      <c r="AC517" s="460">
        <v>45913</v>
      </c>
      <c r="AD517" s="139">
        <v>9866567164</v>
      </c>
      <c r="AE517" s="140" t="s">
        <v>5804</v>
      </c>
      <c r="AF517" s="139" t="s">
        <v>1430</v>
      </c>
      <c r="AG517" s="491" t="s">
        <v>5805</v>
      </c>
      <c r="AH517" s="139" t="s">
        <v>2027</v>
      </c>
      <c r="AI517" s="139" t="s">
        <v>5800</v>
      </c>
      <c r="AJ517" s="464">
        <v>390205495158</v>
      </c>
      <c r="AK517" s="140" t="s">
        <v>5806</v>
      </c>
      <c r="AL517" s="461">
        <v>44530</v>
      </c>
      <c r="AM517" s="477"/>
      <c r="AN517" s="465"/>
      <c r="AO517" s="140"/>
      <c r="AP517" s="139"/>
      <c r="AQ517" s="139"/>
      <c r="AR517" s="181"/>
      <c r="AS517" s="458"/>
      <c r="AT517" s="458"/>
      <c r="AU517" s="461">
        <v>29989</v>
      </c>
      <c r="AV517" s="181" t="s">
        <v>1389</v>
      </c>
      <c r="AW517" s="31" t="s">
        <v>32</v>
      </c>
      <c r="AX517" s="139">
        <v>3.5</v>
      </c>
      <c r="AY517" s="466">
        <f>VLOOKUP(K517,[3]Master!M494:BA877,40,0)</f>
        <v>3.5</v>
      </c>
      <c r="AZ517" s="58" t="s">
        <v>26</v>
      </c>
      <c r="BA517" s="58" t="s">
        <v>151</v>
      </c>
      <c r="BB517" s="58" t="s">
        <v>1407</v>
      </c>
      <c r="BC517" s="58"/>
    </row>
    <row r="518" spans="1:55" x14ac:dyDescent="0.25">
      <c r="A518" s="10">
        <f t="shared" si="23"/>
        <v>517</v>
      </c>
      <c r="B518" s="181" t="s">
        <v>5807</v>
      </c>
      <c r="C518" s="592" t="s">
        <v>1407</v>
      </c>
      <c r="D518" s="457">
        <v>400268</v>
      </c>
      <c r="E518" s="181" t="s">
        <v>36</v>
      </c>
      <c r="F518" s="97" t="s">
        <v>5808</v>
      </c>
      <c r="G518" s="139">
        <v>6</v>
      </c>
      <c r="H518" s="458">
        <v>0.375</v>
      </c>
      <c r="I518" s="458">
        <v>0.58333333333333337</v>
      </c>
      <c r="J518" s="458">
        <v>0.20833333333333334</v>
      </c>
      <c r="K518" s="143" t="s">
        <v>477</v>
      </c>
      <c r="L518" s="97"/>
      <c r="M518" s="97" t="s">
        <v>26</v>
      </c>
      <c r="N518" s="58" t="s">
        <v>222</v>
      </c>
      <c r="O518" s="58" t="s">
        <v>5050</v>
      </c>
      <c r="P518" s="206">
        <v>44160</v>
      </c>
      <c r="Q518" s="460">
        <v>44160</v>
      </c>
      <c r="R518" s="460">
        <v>44889</v>
      </c>
      <c r="S518" s="461">
        <f>R518+1</f>
        <v>44890</v>
      </c>
      <c r="T518" s="139"/>
      <c r="U518" s="139"/>
      <c r="V518" s="139"/>
      <c r="W518" s="139"/>
      <c r="X518" s="139"/>
      <c r="Y518" s="462" t="s">
        <v>5141</v>
      </c>
      <c r="Z518" s="140" t="s">
        <v>5809</v>
      </c>
      <c r="AA518" s="140" t="s">
        <v>1841</v>
      </c>
      <c r="AB518" s="460">
        <v>42619</v>
      </c>
      <c r="AC518" s="460">
        <v>44444</v>
      </c>
      <c r="AD518" s="139">
        <v>9866921637</v>
      </c>
      <c r="AE518" s="140" t="s">
        <v>5810</v>
      </c>
      <c r="AF518" s="139" t="s">
        <v>5055</v>
      </c>
      <c r="AG518" s="463" t="s">
        <v>5811</v>
      </c>
      <c r="AH518" s="139" t="s">
        <v>5812</v>
      </c>
      <c r="AI518" s="139" t="s">
        <v>5813</v>
      </c>
      <c r="AJ518" s="464">
        <v>331680072590</v>
      </c>
      <c r="AK518" s="140" t="s">
        <v>5814</v>
      </c>
      <c r="AL518" s="461"/>
      <c r="AM518" s="477"/>
      <c r="AN518" s="465"/>
      <c r="AO518" s="140"/>
      <c r="AP518" s="139"/>
      <c r="AQ518" s="139"/>
      <c r="AR518" s="181"/>
      <c r="AS518" s="458"/>
      <c r="AT518" s="458"/>
      <c r="AU518" s="461">
        <v>33390</v>
      </c>
      <c r="AV518" s="181" t="s">
        <v>1352</v>
      </c>
      <c r="AW518" s="31" t="s">
        <v>32</v>
      </c>
      <c r="AX518" s="139">
        <v>5</v>
      </c>
      <c r="AY518" s="466">
        <f>VLOOKUP(K518,[3]Master!M495:BA878,40,0)</f>
        <v>6</v>
      </c>
      <c r="AZ518" s="58" t="s">
        <v>26</v>
      </c>
      <c r="BA518" s="58" t="s">
        <v>151</v>
      </c>
      <c r="BB518" s="58" t="s">
        <v>1407</v>
      </c>
      <c r="BC518" s="58"/>
    </row>
    <row r="519" spans="1:55" x14ac:dyDescent="0.25">
      <c r="A519" s="10">
        <f t="shared" si="23"/>
        <v>518</v>
      </c>
      <c r="B519" s="181" t="s">
        <v>5815</v>
      </c>
      <c r="C519" s="592" t="s">
        <v>1407</v>
      </c>
      <c r="D519" s="457">
        <v>400269</v>
      </c>
      <c r="E519" s="181" t="s">
        <v>36</v>
      </c>
      <c r="F519" s="97" t="s">
        <v>5816</v>
      </c>
      <c r="G519" s="139">
        <v>6</v>
      </c>
      <c r="H519" s="458">
        <v>0.72916666666666663</v>
      </c>
      <c r="I519" s="458">
        <v>0.8125</v>
      </c>
      <c r="J519" s="458">
        <f>I519-H519</f>
        <v>8.333333333333337E-2</v>
      </c>
      <c r="K519" s="100" t="s">
        <v>348</v>
      </c>
      <c r="L519" s="97"/>
      <c r="M519" s="97" t="s">
        <v>1544</v>
      </c>
      <c r="N519" s="58" t="s">
        <v>1992</v>
      </c>
      <c r="O519" s="58" t="s">
        <v>5817</v>
      </c>
      <c r="P519" s="206">
        <v>44166</v>
      </c>
      <c r="Q519" s="460">
        <v>44896</v>
      </c>
      <c r="R519" s="460">
        <v>45626</v>
      </c>
      <c r="S519" s="461">
        <v>45627</v>
      </c>
      <c r="T519" s="139">
        <v>2002</v>
      </c>
      <c r="U519" s="139"/>
      <c r="V519" s="139">
        <v>2014</v>
      </c>
      <c r="W519" s="139" t="s">
        <v>351</v>
      </c>
      <c r="X519" s="139" t="s">
        <v>30</v>
      </c>
      <c r="Y519" s="462" t="s">
        <v>5246</v>
      </c>
      <c r="Z519" s="140">
        <v>50393</v>
      </c>
      <c r="AA519" s="140" t="s">
        <v>1841</v>
      </c>
      <c r="AB519" s="460">
        <v>42891</v>
      </c>
      <c r="AC519" s="460">
        <v>44716</v>
      </c>
      <c r="AD519" s="139">
        <v>9849015377</v>
      </c>
      <c r="AE519" s="467" t="s">
        <v>5818</v>
      </c>
      <c r="AF519" s="139" t="s">
        <v>5086</v>
      </c>
      <c r="AG519" s="463" t="s">
        <v>5819</v>
      </c>
      <c r="AH519" s="139" t="s">
        <v>5820</v>
      </c>
      <c r="AI519" s="139" t="s">
        <v>5821</v>
      </c>
      <c r="AJ519" s="464">
        <v>260598387523</v>
      </c>
      <c r="AK519" s="140" t="s">
        <v>5822</v>
      </c>
      <c r="AL519" s="206"/>
      <c r="AM519" s="477"/>
      <c r="AN519" s="465"/>
      <c r="AO519" s="140"/>
      <c r="AP519" s="139"/>
      <c r="AQ519" s="139"/>
      <c r="AR519" s="181"/>
      <c r="AS519" s="458"/>
      <c r="AT519" s="458"/>
      <c r="AU519" s="461">
        <v>28756</v>
      </c>
      <c r="AV519" s="181" t="s">
        <v>1389</v>
      </c>
      <c r="AW519" s="31" t="s">
        <v>32</v>
      </c>
      <c r="AX519" s="139">
        <v>2</v>
      </c>
      <c r="AY519" s="466">
        <f>VLOOKUP(K519,[3]Master!M496:BA879,40,0)</f>
        <v>2</v>
      </c>
      <c r="AZ519" s="58" t="s">
        <v>1373</v>
      </c>
      <c r="BA519" s="58" t="s">
        <v>151</v>
      </c>
      <c r="BB519" s="58" t="s">
        <v>1407</v>
      </c>
      <c r="BC519" s="58"/>
    </row>
    <row r="520" spans="1:55" x14ac:dyDescent="0.25">
      <c r="A520" s="10">
        <f t="shared" si="23"/>
        <v>519</v>
      </c>
      <c r="B520" s="181"/>
      <c r="C520" s="592" t="s">
        <v>1407</v>
      </c>
      <c r="D520" s="96">
        <v>400270</v>
      </c>
      <c r="E520" s="181"/>
      <c r="F520" s="97" t="s">
        <v>5823</v>
      </c>
      <c r="G520" s="462"/>
      <c r="H520" s="458"/>
      <c r="I520" s="458"/>
      <c r="J520" s="458"/>
      <c r="K520" s="58"/>
      <c r="L520" s="97"/>
      <c r="M520" s="97" t="s">
        <v>30</v>
      </c>
      <c r="N520" s="58"/>
      <c r="O520" s="58"/>
      <c r="P520" s="460"/>
      <c r="Q520" s="460"/>
      <c r="R520" s="460"/>
      <c r="S520" s="461"/>
      <c r="T520" s="139"/>
      <c r="U520" s="139"/>
      <c r="V520" s="139"/>
      <c r="W520" s="462"/>
      <c r="X520" s="139"/>
      <c r="Y520" s="462"/>
      <c r="Z520" s="140"/>
      <c r="AA520" s="465"/>
      <c r="AB520" s="460"/>
      <c r="AC520" s="139"/>
      <c r="AD520" s="139"/>
      <c r="AE520" s="140"/>
      <c r="AF520" s="486"/>
      <c r="AG520" s="139"/>
      <c r="AH520" s="139"/>
      <c r="AI520" s="464"/>
      <c r="AJ520" s="139"/>
      <c r="AK520" s="140"/>
      <c r="AL520" s="206"/>
      <c r="AM520" s="477"/>
      <c r="AN520" s="140"/>
      <c r="AO520" s="140"/>
      <c r="AP520" s="462"/>
      <c r="AQ520" s="58"/>
      <c r="AR520" s="489"/>
      <c r="AS520" s="458"/>
      <c r="AT520" s="181"/>
      <c r="AU520" s="181"/>
      <c r="AV520" s="461"/>
      <c r="AW520" s="181"/>
      <c r="AX520" s="139"/>
      <c r="AY520" s="58"/>
      <c r="AZ520" s="58"/>
      <c r="BA520" s="58" t="s">
        <v>151</v>
      </c>
      <c r="BB520" s="58" t="s">
        <v>1407</v>
      </c>
      <c r="BC520" s="58"/>
    </row>
    <row r="521" spans="1:55" x14ac:dyDescent="0.25">
      <c r="A521" s="10">
        <f t="shared" si="23"/>
        <v>520</v>
      </c>
      <c r="B521" s="181" t="s">
        <v>5824</v>
      </c>
      <c r="C521" s="592" t="s">
        <v>1407</v>
      </c>
      <c r="D521" s="457">
        <v>400271</v>
      </c>
      <c r="E521" s="181" t="s">
        <v>36</v>
      </c>
      <c r="F521" s="97" t="s">
        <v>5825</v>
      </c>
      <c r="G521" s="139">
        <v>6</v>
      </c>
      <c r="H521" s="458">
        <v>0.45833333333333331</v>
      </c>
      <c r="I521" s="458">
        <v>0.66666666666666663</v>
      </c>
      <c r="J521" s="458">
        <v>0.20833333333333334</v>
      </c>
      <c r="K521" s="58" t="s">
        <v>1151</v>
      </c>
      <c r="L521" s="97"/>
      <c r="M521" s="63" t="s">
        <v>1355</v>
      </c>
      <c r="N521" s="100" t="s">
        <v>1520</v>
      </c>
      <c r="O521" s="58" t="s">
        <v>5270</v>
      </c>
      <c r="P521" s="206">
        <v>44166</v>
      </c>
      <c r="Q521" s="460">
        <v>44166</v>
      </c>
      <c r="R521" s="460">
        <v>44895</v>
      </c>
      <c r="S521" s="461">
        <f>R521+1</f>
        <v>44896</v>
      </c>
      <c r="T521" s="139"/>
      <c r="U521" s="139"/>
      <c r="V521" s="139"/>
      <c r="W521" s="139"/>
      <c r="X521" s="139"/>
      <c r="Y521" s="462" t="s">
        <v>5214</v>
      </c>
      <c r="Z521" s="140" t="s">
        <v>5826</v>
      </c>
      <c r="AA521" s="140" t="s">
        <v>1841</v>
      </c>
      <c r="AB521" s="460">
        <v>43333</v>
      </c>
      <c r="AC521" s="460">
        <v>45158</v>
      </c>
      <c r="AD521" s="139">
        <v>8903700811</v>
      </c>
      <c r="AE521" s="140" t="s">
        <v>5827</v>
      </c>
      <c r="AF521" s="139" t="s">
        <v>5086</v>
      </c>
      <c r="AG521" s="463" t="s">
        <v>5828</v>
      </c>
      <c r="AH521" s="139" t="s">
        <v>5829</v>
      </c>
      <c r="AI521" s="139" t="s">
        <v>5830</v>
      </c>
      <c r="AJ521" s="464">
        <v>772286142904</v>
      </c>
      <c r="AK521" s="140" t="s">
        <v>5831</v>
      </c>
      <c r="AL521" s="206">
        <v>44473</v>
      </c>
      <c r="AM521" s="477"/>
      <c r="AN521" s="465"/>
      <c r="AO521" s="140"/>
      <c r="AP521" s="139"/>
      <c r="AQ521" s="139"/>
      <c r="AR521" s="181"/>
      <c r="AS521" s="458"/>
      <c r="AT521" s="458"/>
      <c r="AU521" s="461">
        <v>32283</v>
      </c>
      <c r="AV521" s="181" t="s">
        <v>1389</v>
      </c>
      <c r="AW521" s="31" t="s">
        <v>32</v>
      </c>
      <c r="AX521" s="139">
        <v>5</v>
      </c>
      <c r="AY521" s="466">
        <f>VLOOKUP(K521,[3]Master!M498:BA881,40,0)</f>
        <v>5</v>
      </c>
      <c r="AZ521" s="58" t="s">
        <v>1373</v>
      </c>
      <c r="BA521" s="58" t="s">
        <v>151</v>
      </c>
      <c r="BB521" s="58" t="s">
        <v>1407</v>
      </c>
      <c r="BC521" s="58"/>
    </row>
    <row r="522" spans="1:55" x14ac:dyDescent="0.25">
      <c r="A522" s="10">
        <f t="shared" si="23"/>
        <v>521</v>
      </c>
      <c r="B522" s="181" t="s">
        <v>5832</v>
      </c>
      <c r="C522" s="592" t="s">
        <v>1407</v>
      </c>
      <c r="D522" s="457">
        <v>400273</v>
      </c>
      <c r="E522" s="181" t="s">
        <v>36</v>
      </c>
      <c r="F522" s="97" t="s">
        <v>5833</v>
      </c>
      <c r="G522" s="139">
        <v>6</v>
      </c>
      <c r="H522" s="458">
        <v>0.33333333333333331</v>
      </c>
      <c r="I522" s="458">
        <v>0.875</v>
      </c>
      <c r="J522" s="458">
        <v>0.33333333333333331</v>
      </c>
      <c r="K522" s="100" t="s">
        <v>287</v>
      </c>
      <c r="L522" s="97"/>
      <c r="M522" s="97" t="s">
        <v>2097</v>
      </c>
      <c r="N522" s="58" t="s">
        <v>2098</v>
      </c>
      <c r="O522" s="58" t="s">
        <v>5405</v>
      </c>
      <c r="P522" s="206">
        <v>44172</v>
      </c>
      <c r="Q522" s="460">
        <v>44172</v>
      </c>
      <c r="R522" s="460">
        <v>44901</v>
      </c>
      <c r="S522" s="461">
        <f>R522+1</f>
        <v>44902</v>
      </c>
      <c r="T522" s="139"/>
      <c r="U522" s="139"/>
      <c r="V522" s="139"/>
      <c r="W522" s="139"/>
      <c r="X522" s="139"/>
      <c r="Y522" s="462" t="s">
        <v>4862</v>
      </c>
      <c r="Z522" s="140" t="s">
        <v>5834</v>
      </c>
      <c r="AA522" s="140" t="s">
        <v>1841</v>
      </c>
      <c r="AB522" s="460">
        <v>44055</v>
      </c>
      <c r="AC522" s="460">
        <v>45880</v>
      </c>
      <c r="AD522" s="139">
        <v>9985683002</v>
      </c>
      <c r="AE522" s="140" t="s">
        <v>5835</v>
      </c>
      <c r="AF522" s="139" t="s">
        <v>1430</v>
      </c>
      <c r="AG522" s="463" t="s">
        <v>5836</v>
      </c>
      <c r="AH522" s="139" t="s">
        <v>5837</v>
      </c>
      <c r="AI522" s="139" t="s">
        <v>5838</v>
      </c>
      <c r="AJ522" s="464">
        <v>626848305393</v>
      </c>
      <c r="AK522" s="140" t="s">
        <v>5839</v>
      </c>
      <c r="AL522" s="206">
        <v>44445</v>
      </c>
      <c r="AM522" s="477"/>
      <c r="AN522" s="465"/>
      <c r="AO522" s="140"/>
      <c r="AP522" s="139"/>
      <c r="AQ522" s="139"/>
      <c r="AR522" s="181"/>
      <c r="AS522" s="458"/>
      <c r="AT522" s="458"/>
      <c r="AU522" s="461">
        <v>32162</v>
      </c>
      <c r="AV522" s="181" t="s">
        <v>1389</v>
      </c>
      <c r="AW522" s="31" t="s">
        <v>32</v>
      </c>
      <c r="AX522" s="139">
        <v>8</v>
      </c>
      <c r="AY522" s="466">
        <f>VLOOKUP(K522,[3]Master!M499:BA882,40,0)</f>
        <v>8</v>
      </c>
      <c r="AZ522" s="58" t="s">
        <v>1373</v>
      </c>
      <c r="BA522" s="58" t="s">
        <v>151</v>
      </c>
      <c r="BB522" s="58" t="s">
        <v>1407</v>
      </c>
      <c r="BC522" s="58"/>
    </row>
    <row r="523" spans="1:55" x14ac:dyDescent="0.25">
      <c r="A523" s="10">
        <f t="shared" si="23"/>
        <v>522</v>
      </c>
      <c r="B523" s="181"/>
      <c r="C523" s="592" t="s">
        <v>1407</v>
      </c>
      <c r="D523" s="96">
        <v>400274</v>
      </c>
      <c r="E523" s="181"/>
      <c r="F523" s="97" t="s">
        <v>5840</v>
      </c>
      <c r="G523" s="462"/>
      <c r="H523" s="458"/>
      <c r="I523" s="458"/>
      <c r="J523" s="458"/>
      <c r="K523" s="58"/>
      <c r="L523" s="97"/>
      <c r="M523" s="97" t="s">
        <v>30</v>
      </c>
      <c r="N523" s="58"/>
      <c r="O523" s="58"/>
      <c r="P523" s="460"/>
      <c r="Q523" s="460"/>
      <c r="R523" s="460"/>
      <c r="S523" s="461"/>
      <c r="T523" s="139"/>
      <c r="U523" s="139"/>
      <c r="V523" s="139"/>
      <c r="W523" s="462"/>
      <c r="X523" s="139"/>
      <c r="Y523" s="462"/>
      <c r="Z523" s="140"/>
      <c r="AA523" s="465"/>
      <c r="AB523" s="460"/>
      <c r="AC523" s="139"/>
      <c r="AD523" s="139"/>
      <c r="AE523" s="140"/>
      <c r="AF523" s="486"/>
      <c r="AG523" s="139"/>
      <c r="AH523" s="139"/>
      <c r="AI523" s="464"/>
      <c r="AJ523" s="139"/>
      <c r="AK523" s="140"/>
      <c r="AL523" s="206"/>
      <c r="AM523" s="477"/>
      <c r="AN523" s="140"/>
      <c r="AO523" s="140"/>
      <c r="AP523" s="462"/>
      <c r="AQ523" s="58"/>
      <c r="AR523" s="489"/>
      <c r="AS523" s="458"/>
      <c r="AT523" s="181"/>
      <c r="AU523" s="181"/>
      <c r="AV523" s="461"/>
      <c r="AW523" s="181"/>
      <c r="AX523" s="139"/>
      <c r="AY523" s="58"/>
      <c r="AZ523" s="58"/>
      <c r="BA523" s="58" t="s">
        <v>151</v>
      </c>
      <c r="BB523" s="58" t="s">
        <v>1407</v>
      </c>
      <c r="BC523" s="58"/>
    </row>
    <row r="524" spans="1:55" x14ac:dyDescent="0.25">
      <c r="A524" s="10">
        <f t="shared" si="23"/>
        <v>523</v>
      </c>
      <c r="B524" s="181" t="s">
        <v>5841</v>
      </c>
      <c r="C524" s="592" t="s">
        <v>1407</v>
      </c>
      <c r="D524" s="457">
        <v>400275</v>
      </c>
      <c r="E524" s="181" t="s">
        <v>36</v>
      </c>
      <c r="F524" s="97" t="s">
        <v>5842</v>
      </c>
      <c r="G524" s="139">
        <v>6</v>
      </c>
      <c r="H524" s="458">
        <v>0.375</v>
      </c>
      <c r="I524" s="458">
        <v>0.58333333333333337</v>
      </c>
      <c r="J524" s="458">
        <v>0.20833333333333334</v>
      </c>
      <c r="K524" s="462" t="s">
        <v>422</v>
      </c>
      <c r="L524" s="97" t="s">
        <v>5843</v>
      </c>
      <c r="M524" s="97" t="s">
        <v>26</v>
      </c>
      <c r="N524" s="58" t="s">
        <v>38</v>
      </c>
      <c r="O524" s="58" t="s">
        <v>5050</v>
      </c>
      <c r="P524" s="206">
        <v>44172</v>
      </c>
      <c r="Q524" s="460">
        <v>44172</v>
      </c>
      <c r="R524" s="460">
        <v>44901</v>
      </c>
      <c r="S524" s="461">
        <f t="shared" ref="S524:S547" si="24">R524+1</f>
        <v>44902</v>
      </c>
      <c r="T524" s="139"/>
      <c r="U524" s="139" t="s">
        <v>57</v>
      </c>
      <c r="V524" s="139">
        <v>2018</v>
      </c>
      <c r="W524" s="139" t="s">
        <v>516</v>
      </c>
      <c r="X524" s="139"/>
      <c r="Y524" s="462" t="s">
        <v>5235</v>
      </c>
      <c r="Z524" s="140" t="s">
        <v>5844</v>
      </c>
      <c r="AA524" s="140" t="s">
        <v>1886</v>
      </c>
      <c r="AB524" s="460">
        <v>44168</v>
      </c>
      <c r="AC524" s="460">
        <v>45993</v>
      </c>
      <c r="AD524" s="139">
        <v>9515445089</v>
      </c>
      <c r="AE524" s="140" t="s">
        <v>5845</v>
      </c>
      <c r="AF524" s="139" t="s">
        <v>1430</v>
      </c>
      <c r="AG524" s="463" t="s">
        <v>5846</v>
      </c>
      <c r="AH524" s="139" t="s">
        <v>5847</v>
      </c>
      <c r="AI524" s="139" t="s">
        <v>5848</v>
      </c>
      <c r="AJ524" s="464">
        <v>306145083591</v>
      </c>
      <c r="AK524" s="140" t="s">
        <v>5849</v>
      </c>
      <c r="AL524" s="461">
        <v>44503</v>
      </c>
      <c r="AM524" s="477"/>
      <c r="AN524" s="465"/>
      <c r="AO524" s="140"/>
      <c r="AP524" s="139"/>
      <c r="AQ524" s="139"/>
      <c r="AR524" s="181"/>
      <c r="AS524" s="458"/>
      <c r="AT524" s="458"/>
      <c r="AU524" s="461">
        <v>33374</v>
      </c>
      <c r="AV524" s="181" t="s">
        <v>1389</v>
      </c>
      <c r="AW524" s="31" t="s">
        <v>32</v>
      </c>
      <c r="AX524" s="139">
        <v>5</v>
      </c>
      <c r="AY524" s="58" t="s">
        <v>2262</v>
      </c>
      <c r="AZ524" s="58" t="s">
        <v>26</v>
      </c>
      <c r="BA524" s="58" t="s">
        <v>151</v>
      </c>
      <c r="BB524" s="58" t="s">
        <v>1407</v>
      </c>
      <c r="BC524" s="58"/>
    </row>
    <row r="525" spans="1:55" x14ac:dyDescent="0.25">
      <c r="A525" s="10">
        <f t="shared" si="23"/>
        <v>524</v>
      </c>
      <c r="B525" s="181" t="s">
        <v>5604</v>
      </c>
      <c r="C525" s="592" t="s">
        <v>1407</v>
      </c>
      <c r="D525" s="457">
        <v>400276</v>
      </c>
      <c r="E525" s="181" t="s">
        <v>36</v>
      </c>
      <c r="F525" s="97" t="s">
        <v>5605</v>
      </c>
      <c r="G525" s="139">
        <v>6</v>
      </c>
      <c r="H525" s="458">
        <v>0.4375</v>
      </c>
      <c r="I525" s="458">
        <v>0.47916666666666669</v>
      </c>
      <c r="J525" s="458">
        <v>4.1666666666666664E-2</v>
      </c>
      <c r="K525" s="58"/>
      <c r="L525" s="97" t="s">
        <v>5850</v>
      </c>
      <c r="M525" s="97" t="s">
        <v>1376</v>
      </c>
      <c r="N525" s="58" t="s">
        <v>1393</v>
      </c>
      <c r="O525" s="58"/>
      <c r="P525" s="460"/>
      <c r="Q525" s="460">
        <v>44172</v>
      </c>
      <c r="R525" s="461">
        <v>44901</v>
      </c>
      <c r="S525" s="461">
        <f t="shared" si="24"/>
        <v>44902</v>
      </c>
      <c r="T525" s="139"/>
      <c r="U525" s="139"/>
      <c r="V525" s="139"/>
      <c r="W525" s="139"/>
      <c r="X525" s="139"/>
      <c r="Y525" s="139" t="s">
        <v>226</v>
      </c>
      <c r="Z525" s="462" t="s">
        <v>5606</v>
      </c>
      <c r="AA525" s="140" t="s">
        <v>1841</v>
      </c>
      <c r="AB525" s="460">
        <v>43549</v>
      </c>
      <c r="AC525" s="460">
        <v>45376</v>
      </c>
      <c r="AD525" s="139">
        <v>7989081623</v>
      </c>
      <c r="AE525" s="140" t="s">
        <v>5607</v>
      </c>
      <c r="AF525" s="139" t="s">
        <v>5608</v>
      </c>
      <c r="AG525" s="463" t="s">
        <v>5609</v>
      </c>
      <c r="AH525" s="139" t="s">
        <v>5610</v>
      </c>
      <c r="AI525" s="139" t="s">
        <v>5611</v>
      </c>
      <c r="AJ525" s="464">
        <v>783947986162</v>
      </c>
      <c r="AK525" s="140" t="s">
        <v>5612</v>
      </c>
      <c r="AL525" s="206">
        <v>44766</v>
      </c>
      <c r="AM525" s="477">
        <v>44706</v>
      </c>
      <c r="AN525" s="465"/>
      <c r="AO525" s="140"/>
      <c r="AP525" s="139"/>
      <c r="AQ525" s="139"/>
      <c r="AR525" s="181"/>
      <c r="AS525" s="458"/>
      <c r="AT525" s="458"/>
      <c r="AU525" s="461">
        <v>34166</v>
      </c>
      <c r="AV525" s="181" t="s">
        <v>1389</v>
      </c>
      <c r="AW525" s="31" t="s">
        <v>32</v>
      </c>
      <c r="AX525" s="139">
        <v>1</v>
      </c>
      <c r="AY525" s="58"/>
      <c r="AZ525" s="58" t="s">
        <v>1390</v>
      </c>
      <c r="BA525" s="58" t="s">
        <v>151</v>
      </c>
      <c r="BB525" s="58" t="s">
        <v>1407</v>
      </c>
      <c r="BC525" s="58"/>
    </row>
    <row r="526" spans="1:55" x14ac:dyDescent="0.25">
      <c r="A526" s="10">
        <f t="shared" si="23"/>
        <v>525</v>
      </c>
      <c r="B526" s="181" t="s">
        <v>5851</v>
      </c>
      <c r="C526" s="592" t="s">
        <v>1407</v>
      </c>
      <c r="D526" s="457">
        <v>400278</v>
      </c>
      <c r="E526" s="181" t="s">
        <v>36</v>
      </c>
      <c r="F526" s="97" t="s">
        <v>5852</v>
      </c>
      <c r="G526" s="139">
        <v>6</v>
      </c>
      <c r="H526" s="458">
        <v>0.4375</v>
      </c>
      <c r="I526" s="458">
        <v>0.47916666666666669</v>
      </c>
      <c r="J526" s="458">
        <v>4.1666666666666664E-2</v>
      </c>
      <c r="K526" s="58" t="s">
        <v>5501</v>
      </c>
      <c r="L526" s="97"/>
      <c r="M526" s="97" t="s">
        <v>1376</v>
      </c>
      <c r="N526" s="58" t="s">
        <v>1393</v>
      </c>
      <c r="O526" s="58"/>
      <c r="P526" s="206">
        <v>44182</v>
      </c>
      <c r="Q526" s="460">
        <v>44182</v>
      </c>
      <c r="R526" s="460">
        <v>44911</v>
      </c>
      <c r="S526" s="461">
        <f t="shared" si="24"/>
        <v>44912</v>
      </c>
      <c r="T526" s="139"/>
      <c r="U526" s="139"/>
      <c r="V526" s="139"/>
      <c r="W526" s="139"/>
      <c r="X526" s="139"/>
      <c r="Y526" s="462" t="s">
        <v>226</v>
      </c>
      <c r="Z526" s="140" t="s">
        <v>5853</v>
      </c>
      <c r="AA526" s="140" t="s">
        <v>1841</v>
      </c>
      <c r="AB526" s="460">
        <v>44015</v>
      </c>
      <c r="AC526" s="460">
        <v>45840</v>
      </c>
      <c r="AD526" s="139">
        <v>9640964002</v>
      </c>
      <c r="AE526" s="140" t="s">
        <v>5854</v>
      </c>
      <c r="AF526" s="139" t="s">
        <v>1430</v>
      </c>
      <c r="AG526" s="463" t="s">
        <v>5855</v>
      </c>
      <c r="AH526" s="139" t="s">
        <v>5856</v>
      </c>
      <c r="AI526" s="139" t="s">
        <v>5857</v>
      </c>
      <c r="AJ526" s="464">
        <v>406732122310</v>
      </c>
      <c r="AK526" s="140" t="s">
        <v>5858</v>
      </c>
      <c r="AL526" s="206">
        <v>44319</v>
      </c>
      <c r="AM526" s="477"/>
      <c r="AN526" s="465"/>
      <c r="AO526" s="140"/>
      <c r="AP526" s="139"/>
      <c r="AQ526" s="139"/>
      <c r="AR526" s="181"/>
      <c r="AS526" s="458"/>
      <c r="AT526" s="458"/>
      <c r="AU526" s="461">
        <v>34996</v>
      </c>
      <c r="AV526" s="181" t="s">
        <v>1352</v>
      </c>
      <c r="AW526" s="31" t="s">
        <v>32</v>
      </c>
      <c r="AX526" s="139">
        <v>1</v>
      </c>
      <c r="AY526" s="58" t="s">
        <v>2006</v>
      </c>
      <c r="AZ526" s="58" t="s">
        <v>1390</v>
      </c>
      <c r="BA526" s="58" t="s">
        <v>151</v>
      </c>
      <c r="BB526" s="58" t="s">
        <v>1407</v>
      </c>
      <c r="BC526" s="58"/>
    </row>
    <row r="527" spans="1:55" x14ac:dyDescent="0.25">
      <c r="A527" s="10">
        <f t="shared" si="23"/>
        <v>526</v>
      </c>
      <c r="B527" s="181" t="s">
        <v>5851</v>
      </c>
      <c r="C527" s="592" t="s">
        <v>1407</v>
      </c>
      <c r="D527" s="457">
        <v>400279</v>
      </c>
      <c r="E527" s="181" t="s">
        <v>36</v>
      </c>
      <c r="F527" s="97" t="s">
        <v>5852</v>
      </c>
      <c r="G527" s="139">
        <v>6</v>
      </c>
      <c r="H527" s="458">
        <v>0.375</v>
      </c>
      <c r="I527" s="458">
        <v>0.41666666666666669</v>
      </c>
      <c r="J527" s="458">
        <v>4.1666666666666664E-2</v>
      </c>
      <c r="K527" s="100" t="s">
        <v>1187</v>
      </c>
      <c r="L527" s="97"/>
      <c r="M527" s="97" t="s">
        <v>1376</v>
      </c>
      <c r="N527" s="58" t="s">
        <v>1393</v>
      </c>
      <c r="O527" s="58"/>
      <c r="P527" s="206">
        <v>44182</v>
      </c>
      <c r="Q527" s="460">
        <v>44182</v>
      </c>
      <c r="R527" s="460">
        <v>44911</v>
      </c>
      <c r="S527" s="461">
        <f t="shared" si="24"/>
        <v>44912</v>
      </c>
      <c r="T527" s="139"/>
      <c r="U527" s="139"/>
      <c r="V527" s="139"/>
      <c r="W527" s="139"/>
      <c r="X527" s="139"/>
      <c r="Y527" s="462" t="s">
        <v>226</v>
      </c>
      <c r="Z527" s="140" t="s">
        <v>5853</v>
      </c>
      <c r="AA527" s="140" t="s">
        <v>1841</v>
      </c>
      <c r="AB527" s="460">
        <v>44015</v>
      </c>
      <c r="AC527" s="460">
        <v>45840</v>
      </c>
      <c r="AD527" s="139">
        <v>9640964002</v>
      </c>
      <c r="AE527" s="140" t="s">
        <v>5854</v>
      </c>
      <c r="AF527" s="139" t="s">
        <v>1430</v>
      </c>
      <c r="AG527" s="463" t="s">
        <v>5855</v>
      </c>
      <c r="AH527" s="139" t="s">
        <v>5856</v>
      </c>
      <c r="AI527" s="139" t="s">
        <v>5857</v>
      </c>
      <c r="AJ527" s="464">
        <v>406732122310</v>
      </c>
      <c r="AK527" s="140" t="s">
        <v>5858</v>
      </c>
      <c r="AL527" s="206">
        <v>44319</v>
      </c>
      <c r="AM527" s="477"/>
      <c r="AN527" s="465"/>
      <c r="AO527" s="140"/>
      <c r="AP527" s="139"/>
      <c r="AQ527" s="139"/>
      <c r="AR527" s="181"/>
      <c r="AS527" s="458"/>
      <c r="AT527" s="458"/>
      <c r="AU527" s="461">
        <v>34996</v>
      </c>
      <c r="AV527" s="181" t="s">
        <v>1352</v>
      </c>
      <c r="AW527" s="31" t="s">
        <v>32</v>
      </c>
      <c r="AX527" s="139">
        <v>1</v>
      </c>
      <c r="AY527" s="466">
        <f>VLOOKUP(K527,[3]Master!M504:BA887,40,0)</f>
        <v>1</v>
      </c>
      <c r="AZ527" s="58" t="s">
        <v>1390</v>
      </c>
      <c r="BA527" s="58" t="s">
        <v>151</v>
      </c>
      <c r="BB527" s="58" t="s">
        <v>1407</v>
      </c>
      <c r="BC527" s="58"/>
    </row>
    <row r="528" spans="1:55" x14ac:dyDescent="0.25">
      <c r="A528" s="10">
        <f t="shared" si="23"/>
        <v>527</v>
      </c>
      <c r="B528" s="181" t="s">
        <v>5859</v>
      </c>
      <c r="C528" s="592" t="s">
        <v>1407</v>
      </c>
      <c r="D528" s="457">
        <v>400280</v>
      </c>
      <c r="E528" s="181" t="s">
        <v>36</v>
      </c>
      <c r="F528" s="97" t="s">
        <v>5860</v>
      </c>
      <c r="G528" s="139">
        <v>6</v>
      </c>
      <c r="H528" s="458">
        <v>0.375</v>
      </c>
      <c r="I528" s="458">
        <v>0.41666666666666669</v>
      </c>
      <c r="J528" s="458">
        <v>4.1666666666666664E-2</v>
      </c>
      <c r="K528" s="35" t="s">
        <v>983</v>
      </c>
      <c r="L528" s="97"/>
      <c r="M528" s="97" t="s">
        <v>1376</v>
      </c>
      <c r="N528" s="58" t="s">
        <v>1393</v>
      </c>
      <c r="O528" s="58"/>
      <c r="P528" s="206">
        <v>44182</v>
      </c>
      <c r="Q528" s="460">
        <v>44182</v>
      </c>
      <c r="R528" s="460">
        <v>44911</v>
      </c>
      <c r="S528" s="461">
        <f t="shared" si="24"/>
        <v>44912</v>
      </c>
      <c r="T528" s="139"/>
      <c r="U528" s="139"/>
      <c r="V528" s="139"/>
      <c r="W528" s="139"/>
      <c r="X528" s="139"/>
      <c r="Y528" s="462" t="s">
        <v>226</v>
      </c>
      <c r="Z528" s="140" t="s">
        <v>5861</v>
      </c>
      <c r="AA528" s="140" t="s">
        <v>1841</v>
      </c>
      <c r="AB528" s="460">
        <v>43822</v>
      </c>
      <c r="AC528" s="460">
        <v>45649</v>
      </c>
      <c r="AD528" s="139">
        <v>7036448826</v>
      </c>
      <c r="AE528" s="140" t="s">
        <v>5862</v>
      </c>
      <c r="AF528" s="139" t="s">
        <v>2329</v>
      </c>
      <c r="AG528" s="463" t="s">
        <v>5863</v>
      </c>
      <c r="AH528" s="139" t="s">
        <v>5864</v>
      </c>
      <c r="AI528" s="139" t="s">
        <v>5865</v>
      </c>
      <c r="AJ528" s="464">
        <v>737173258319</v>
      </c>
      <c r="AK528" s="140" t="s">
        <v>5866</v>
      </c>
      <c r="AL528" s="206">
        <v>44323</v>
      </c>
      <c r="AM528" s="477"/>
      <c r="AN528" s="465"/>
      <c r="AO528" s="140"/>
      <c r="AP528" s="139"/>
      <c r="AQ528" s="139"/>
      <c r="AR528" s="181"/>
      <c r="AS528" s="458"/>
      <c r="AT528" s="458"/>
      <c r="AU528" s="461">
        <v>35294</v>
      </c>
      <c r="AV528" s="181" t="s">
        <v>1389</v>
      </c>
      <c r="AW528" s="31" t="s">
        <v>32</v>
      </c>
      <c r="AX528" s="139">
        <v>1</v>
      </c>
      <c r="AY528" s="58" t="s">
        <v>2006</v>
      </c>
      <c r="AZ528" s="58" t="s">
        <v>1390</v>
      </c>
      <c r="BA528" s="58" t="s">
        <v>151</v>
      </c>
      <c r="BB528" s="58" t="s">
        <v>1407</v>
      </c>
      <c r="BC528" s="58"/>
    </row>
    <row r="529" spans="1:55" x14ac:dyDescent="0.25">
      <c r="A529" s="10">
        <f t="shared" si="23"/>
        <v>528</v>
      </c>
      <c r="B529" s="181" t="s">
        <v>5867</v>
      </c>
      <c r="C529" s="592" t="s">
        <v>1407</v>
      </c>
      <c r="D529" s="457">
        <v>400281</v>
      </c>
      <c r="E529" s="181" t="s">
        <v>36</v>
      </c>
      <c r="F529" s="97" t="s">
        <v>5868</v>
      </c>
      <c r="G529" s="139">
        <v>6</v>
      </c>
      <c r="H529" s="458">
        <v>0.45833333333333331</v>
      </c>
      <c r="I529" s="458">
        <v>0.70833333333333337</v>
      </c>
      <c r="J529" s="458">
        <v>0.25</v>
      </c>
      <c r="K529" s="100" t="s">
        <v>287</v>
      </c>
      <c r="L529" s="97" t="s">
        <v>5869</v>
      </c>
      <c r="M529" s="97" t="s">
        <v>26</v>
      </c>
      <c r="N529" s="58" t="s">
        <v>38</v>
      </c>
      <c r="O529" s="58" t="s">
        <v>5050</v>
      </c>
      <c r="P529" s="206">
        <v>44186</v>
      </c>
      <c r="Q529" s="460">
        <v>44186</v>
      </c>
      <c r="R529" s="460">
        <v>44915</v>
      </c>
      <c r="S529" s="461">
        <f t="shared" si="24"/>
        <v>44916</v>
      </c>
      <c r="T529" s="139"/>
      <c r="U529" s="139"/>
      <c r="V529" s="139"/>
      <c r="W529" s="139"/>
      <c r="X529" s="139"/>
      <c r="Y529" s="462" t="s">
        <v>5141</v>
      </c>
      <c r="Z529" s="140" t="s">
        <v>5870</v>
      </c>
      <c r="AA529" s="140" t="s">
        <v>1886</v>
      </c>
      <c r="AB529" s="460">
        <v>43287</v>
      </c>
      <c r="AC529" s="460">
        <v>45112</v>
      </c>
      <c r="AD529" s="139">
        <v>9160696298</v>
      </c>
      <c r="AE529" s="140" t="s">
        <v>5871</v>
      </c>
      <c r="AF529" s="139" t="s">
        <v>5055</v>
      </c>
      <c r="AG529" s="463" t="s">
        <v>5872</v>
      </c>
      <c r="AH529" s="139" t="s">
        <v>5873</v>
      </c>
      <c r="AI529" s="139" t="s">
        <v>5874</v>
      </c>
      <c r="AJ529" s="464">
        <v>717447615277</v>
      </c>
      <c r="AK529" s="140" t="s">
        <v>5875</v>
      </c>
      <c r="AL529" s="461">
        <v>44311</v>
      </c>
      <c r="AM529" s="477"/>
      <c r="AN529" s="465"/>
      <c r="AO529" s="140"/>
      <c r="AP529" s="139"/>
      <c r="AQ529" s="139"/>
      <c r="AR529" s="181"/>
      <c r="AS529" s="458"/>
      <c r="AT529" s="458"/>
      <c r="AU529" s="461">
        <v>32718</v>
      </c>
      <c r="AV529" s="181" t="s">
        <v>1389</v>
      </c>
      <c r="AW529" s="31" t="s">
        <v>32</v>
      </c>
      <c r="AX529" s="139">
        <v>6</v>
      </c>
      <c r="AY529" s="466">
        <f>VLOOKUP(K529,[3]Master!M506:BA889,40,0)</f>
        <v>8</v>
      </c>
      <c r="AZ529" s="58" t="s">
        <v>26</v>
      </c>
      <c r="BA529" s="58" t="s">
        <v>151</v>
      </c>
      <c r="BB529" s="58" t="s">
        <v>1407</v>
      </c>
      <c r="BC529" s="58"/>
    </row>
    <row r="530" spans="1:55" x14ac:dyDescent="0.25">
      <c r="A530" s="10">
        <f t="shared" si="23"/>
        <v>529</v>
      </c>
      <c r="B530" s="181" t="s">
        <v>5876</v>
      </c>
      <c r="C530" s="592" t="s">
        <v>1407</v>
      </c>
      <c r="D530" s="457">
        <v>400282</v>
      </c>
      <c r="E530" s="181" t="s">
        <v>9124</v>
      </c>
      <c r="F530" s="97" t="s">
        <v>5877</v>
      </c>
      <c r="G530" s="139">
        <v>6</v>
      </c>
      <c r="H530" s="458" t="s">
        <v>5878</v>
      </c>
      <c r="I530" s="458" t="s">
        <v>5879</v>
      </c>
      <c r="J530" s="458">
        <v>0.125</v>
      </c>
      <c r="K530" s="143" t="s">
        <v>477</v>
      </c>
      <c r="L530" s="97" t="s">
        <v>2097</v>
      </c>
      <c r="M530" s="97" t="s">
        <v>2097</v>
      </c>
      <c r="N530" s="58" t="s">
        <v>2098</v>
      </c>
      <c r="O530" s="58" t="s">
        <v>5405</v>
      </c>
      <c r="P530" s="206">
        <v>44186</v>
      </c>
      <c r="Q530" s="460">
        <v>44186</v>
      </c>
      <c r="R530" s="460">
        <v>44915</v>
      </c>
      <c r="S530" s="461">
        <f t="shared" si="24"/>
        <v>44916</v>
      </c>
      <c r="T530" s="139"/>
      <c r="U530" s="139">
        <v>2007</v>
      </c>
      <c r="V530" s="139"/>
      <c r="W530" s="139">
        <v>2014</v>
      </c>
      <c r="X530" s="139">
        <v>0</v>
      </c>
      <c r="Y530" s="462" t="s">
        <v>4862</v>
      </c>
      <c r="Z530" s="140">
        <v>62552</v>
      </c>
      <c r="AA530" s="140" t="s">
        <v>1886</v>
      </c>
      <c r="AB530" s="460">
        <v>44251</v>
      </c>
      <c r="AC530" s="460">
        <v>46076</v>
      </c>
      <c r="AD530" s="139">
        <v>9701641614</v>
      </c>
      <c r="AE530" s="140" t="s">
        <v>5880</v>
      </c>
      <c r="AF530" s="139" t="s">
        <v>5086</v>
      </c>
      <c r="AG530" s="463" t="s">
        <v>5881</v>
      </c>
      <c r="AH530" s="139" t="s">
        <v>5882</v>
      </c>
      <c r="AI530" s="139" t="s">
        <v>5883</v>
      </c>
      <c r="AJ530" s="464">
        <v>565566715115</v>
      </c>
      <c r="AK530" s="140" t="s">
        <v>5884</v>
      </c>
      <c r="AL530" s="206"/>
      <c r="AM530" s="477"/>
      <c r="AN530" s="465"/>
      <c r="AO530" s="140"/>
      <c r="AP530" s="139"/>
      <c r="AQ530" s="139"/>
      <c r="AR530" s="181"/>
      <c r="AS530" s="458"/>
      <c r="AT530" s="458"/>
      <c r="AU530" s="461">
        <v>30531</v>
      </c>
      <c r="AV530" s="181" t="s">
        <v>1352</v>
      </c>
      <c r="AW530" s="31" t="s">
        <v>32</v>
      </c>
      <c r="AX530" s="139">
        <v>3</v>
      </c>
      <c r="AY530" s="466">
        <f>VLOOKUP(K530,[3]Master!M507:BA890,40,0)</f>
        <v>5</v>
      </c>
      <c r="AZ530" s="58" t="s">
        <v>1373</v>
      </c>
      <c r="BA530" s="58" t="s">
        <v>151</v>
      </c>
      <c r="BB530" s="58" t="s">
        <v>1407</v>
      </c>
      <c r="BC530" s="58"/>
    </row>
    <row r="531" spans="1:55" x14ac:dyDescent="0.25">
      <c r="A531" s="10">
        <f t="shared" si="23"/>
        <v>530</v>
      </c>
      <c r="B531" s="181" t="s">
        <v>5885</v>
      </c>
      <c r="C531" s="592" t="s">
        <v>1407</v>
      </c>
      <c r="D531" s="457">
        <v>400283</v>
      </c>
      <c r="E531" s="181" t="s">
        <v>9124</v>
      </c>
      <c r="F531" s="97" t="s">
        <v>5886</v>
      </c>
      <c r="G531" s="139">
        <v>6</v>
      </c>
      <c r="H531" s="458" t="s">
        <v>5887</v>
      </c>
      <c r="I531" s="458" t="s">
        <v>5879</v>
      </c>
      <c r="J531" s="458">
        <v>0.16666666666666666</v>
      </c>
      <c r="K531" s="462" t="s">
        <v>422</v>
      </c>
      <c r="L531" s="97"/>
      <c r="M531" s="63" t="s">
        <v>1355</v>
      </c>
      <c r="N531" s="100" t="s">
        <v>1520</v>
      </c>
      <c r="O531" s="58" t="s">
        <v>5270</v>
      </c>
      <c r="P531" s="206">
        <v>44186</v>
      </c>
      <c r="Q531" s="460">
        <v>44186</v>
      </c>
      <c r="R531" s="460">
        <v>44915</v>
      </c>
      <c r="S531" s="461">
        <f t="shared" si="24"/>
        <v>44916</v>
      </c>
      <c r="T531" s="139"/>
      <c r="U531" s="139"/>
      <c r="V531" s="139"/>
      <c r="W531" s="139"/>
      <c r="X531" s="139"/>
      <c r="Y531" s="462" t="s">
        <v>5214</v>
      </c>
      <c r="Z531" s="140" t="s">
        <v>5888</v>
      </c>
      <c r="AA531" s="140" t="s">
        <v>1886</v>
      </c>
      <c r="AB531" s="460">
        <v>44132</v>
      </c>
      <c r="AC531" s="460">
        <v>45957</v>
      </c>
      <c r="AD531" s="139">
        <v>8985717613</v>
      </c>
      <c r="AE531" s="140" t="s">
        <v>5889</v>
      </c>
      <c r="AF531" s="139" t="s">
        <v>1430</v>
      </c>
      <c r="AG531" s="463" t="s">
        <v>5890</v>
      </c>
      <c r="AH531" s="139" t="s">
        <v>5891</v>
      </c>
      <c r="AI531" s="139" t="s">
        <v>5892</v>
      </c>
      <c r="AJ531" s="464">
        <v>287835142679</v>
      </c>
      <c r="AK531" s="140" t="s">
        <v>5893</v>
      </c>
      <c r="AL531" s="206">
        <v>44418</v>
      </c>
      <c r="AM531" s="477"/>
      <c r="AN531" s="465"/>
      <c r="AO531" s="140"/>
      <c r="AP531" s="139"/>
      <c r="AQ531" s="139"/>
      <c r="AR531" s="181"/>
      <c r="AS531" s="458"/>
      <c r="AT531" s="458"/>
      <c r="AU531" s="461">
        <v>32976</v>
      </c>
      <c r="AV531" s="181" t="s">
        <v>1389</v>
      </c>
      <c r="AW531" s="31" t="s">
        <v>32</v>
      </c>
      <c r="AX531" s="139">
        <v>4</v>
      </c>
      <c r="AY531" s="58" t="s">
        <v>2262</v>
      </c>
      <c r="AZ531" s="58" t="s">
        <v>1373</v>
      </c>
      <c r="BA531" s="58" t="s">
        <v>151</v>
      </c>
      <c r="BB531" s="58" t="s">
        <v>1407</v>
      </c>
      <c r="BC531" s="58"/>
    </row>
    <row r="532" spans="1:55" x14ac:dyDescent="0.25">
      <c r="A532" s="10">
        <f t="shared" si="23"/>
        <v>531</v>
      </c>
      <c r="B532" s="181" t="s">
        <v>5894</v>
      </c>
      <c r="C532" s="592" t="s">
        <v>1407</v>
      </c>
      <c r="D532" s="457">
        <v>400284</v>
      </c>
      <c r="E532" s="181" t="s">
        <v>36</v>
      </c>
      <c r="F532" s="97" t="s">
        <v>5840</v>
      </c>
      <c r="G532" s="139">
        <v>6</v>
      </c>
      <c r="H532" s="458">
        <v>0.375</v>
      </c>
      <c r="I532" s="458">
        <v>0.58333333333333337</v>
      </c>
      <c r="J532" s="458">
        <f>I532-H532</f>
        <v>0.20833333333333337</v>
      </c>
      <c r="K532" s="58" t="s">
        <v>826</v>
      </c>
      <c r="L532" s="97" t="s">
        <v>5895</v>
      </c>
      <c r="M532" s="97" t="s">
        <v>26</v>
      </c>
      <c r="N532" s="58" t="s">
        <v>38</v>
      </c>
      <c r="O532" s="58" t="s">
        <v>5050</v>
      </c>
      <c r="P532" s="206">
        <v>44188</v>
      </c>
      <c r="Q532" s="460">
        <v>44188</v>
      </c>
      <c r="R532" s="460">
        <v>44917</v>
      </c>
      <c r="S532" s="461">
        <f t="shared" si="24"/>
        <v>44918</v>
      </c>
      <c r="T532" s="139">
        <v>2007</v>
      </c>
      <c r="U532" s="139" t="s">
        <v>5896</v>
      </c>
      <c r="V532" s="139">
        <v>2019</v>
      </c>
      <c r="W532" s="139" t="s">
        <v>5897</v>
      </c>
      <c r="X532" s="139"/>
      <c r="Y532" s="462"/>
      <c r="Z532" s="140" t="s">
        <v>5898</v>
      </c>
      <c r="AA532" s="140" t="s">
        <v>2910</v>
      </c>
      <c r="AB532" s="460">
        <v>44187</v>
      </c>
      <c r="AC532" s="460">
        <v>46012</v>
      </c>
      <c r="AD532" s="139">
        <v>6369641082</v>
      </c>
      <c r="AE532" s="467" t="s">
        <v>5899</v>
      </c>
      <c r="AF532" s="139" t="s">
        <v>1364</v>
      </c>
      <c r="AG532" s="463" t="s">
        <v>5900</v>
      </c>
      <c r="AH532" s="139" t="s">
        <v>5901</v>
      </c>
      <c r="AI532" s="139" t="s">
        <v>5902</v>
      </c>
      <c r="AJ532" s="464">
        <v>866965724424</v>
      </c>
      <c r="AK532" s="140" t="s">
        <v>5903</v>
      </c>
      <c r="AL532" s="461">
        <v>44797</v>
      </c>
      <c r="AM532" s="477">
        <v>44737</v>
      </c>
      <c r="AN532" s="465"/>
      <c r="AO532" s="140"/>
      <c r="AP532" s="139"/>
      <c r="AQ532" s="139"/>
      <c r="AR532" s="181"/>
      <c r="AS532" s="458"/>
      <c r="AT532" s="458"/>
      <c r="AU532" s="461">
        <v>30000</v>
      </c>
      <c r="AV532" s="181" t="s">
        <v>1389</v>
      </c>
      <c r="AW532" s="31" t="s">
        <v>32</v>
      </c>
      <c r="AX532" s="139">
        <v>5</v>
      </c>
      <c r="AY532" s="466">
        <f>VLOOKUP(K532,[3]Master!M509:BA892,40,0)</f>
        <v>5</v>
      </c>
      <c r="AZ532" s="58" t="s">
        <v>26</v>
      </c>
      <c r="BA532" s="58" t="s">
        <v>151</v>
      </c>
      <c r="BB532" s="58" t="s">
        <v>1407</v>
      </c>
      <c r="BC532" s="58"/>
    </row>
    <row r="533" spans="1:55" x14ac:dyDescent="0.25">
      <c r="A533" s="10">
        <f t="shared" si="23"/>
        <v>532</v>
      </c>
      <c r="B533" s="181" t="s">
        <v>5904</v>
      </c>
      <c r="C533" s="592" t="s">
        <v>1407</v>
      </c>
      <c r="D533" s="457">
        <v>400285</v>
      </c>
      <c r="E533" s="181" t="s">
        <v>36</v>
      </c>
      <c r="F533" s="97" t="s">
        <v>5905</v>
      </c>
      <c r="G533" s="139">
        <v>6</v>
      </c>
      <c r="H533" s="458">
        <v>0.35416666666666669</v>
      </c>
      <c r="I533" s="458">
        <v>0.4375</v>
      </c>
      <c r="J533" s="458">
        <v>8.3333333333333329E-2</v>
      </c>
      <c r="K533" s="58" t="s">
        <v>5906</v>
      </c>
      <c r="L533" s="97" t="s">
        <v>281</v>
      </c>
      <c r="M533" s="97" t="s">
        <v>26</v>
      </c>
      <c r="N533" s="58" t="s">
        <v>38</v>
      </c>
      <c r="O533" s="58" t="s">
        <v>5050</v>
      </c>
      <c r="P533" s="206">
        <v>44193</v>
      </c>
      <c r="Q533" s="460">
        <v>44193</v>
      </c>
      <c r="R533" s="460">
        <v>44922</v>
      </c>
      <c r="S533" s="461">
        <f t="shared" si="24"/>
        <v>44923</v>
      </c>
      <c r="T533" s="139"/>
      <c r="U533" s="139" t="s">
        <v>5907</v>
      </c>
      <c r="V533" s="139">
        <v>2017</v>
      </c>
      <c r="W533" s="139" t="s">
        <v>5908</v>
      </c>
      <c r="X533" s="139"/>
      <c r="Y533" s="462" t="s">
        <v>5235</v>
      </c>
      <c r="Z533" s="140" t="s">
        <v>5909</v>
      </c>
      <c r="AA533" s="140" t="s">
        <v>1841</v>
      </c>
      <c r="AB533" s="460">
        <v>43573</v>
      </c>
      <c r="AC533" s="460">
        <v>45399</v>
      </c>
      <c r="AD533" s="139" t="s">
        <v>5910</v>
      </c>
      <c r="AE533" s="467" t="s">
        <v>5911</v>
      </c>
      <c r="AF533" s="139" t="s">
        <v>5912</v>
      </c>
      <c r="AG533" s="463" t="s">
        <v>5913</v>
      </c>
      <c r="AH533" s="139" t="s">
        <v>5914</v>
      </c>
      <c r="AI533" s="139" t="s">
        <v>5915</v>
      </c>
      <c r="AJ533" s="464">
        <v>789295915195</v>
      </c>
      <c r="AK533" s="140" t="s">
        <v>5916</v>
      </c>
      <c r="AL533" s="461">
        <v>44318</v>
      </c>
      <c r="AM533" s="477"/>
      <c r="AN533" s="465"/>
      <c r="AO533" s="140"/>
      <c r="AP533" s="139"/>
      <c r="AQ533" s="139"/>
      <c r="AR533" s="181"/>
      <c r="AS533" s="458"/>
      <c r="AT533" s="458"/>
      <c r="AU533" s="461">
        <v>30017</v>
      </c>
      <c r="AV533" s="181" t="s">
        <v>1352</v>
      </c>
      <c r="AW533" s="31" t="s">
        <v>32</v>
      </c>
      <c r="AX533" s="139">
        <v>2</v>
      </c>
      <c r="AY533" s="58" t="s">
        <v>2469</v>
      </c>
      <c r="AZ533" s="58" t="s">
        <v>26</v>
      </c>
      <c r="BA533" s="58" t="s">
        <v>151</v>
      </c>
      <c r="BB533" s="58" t="s">
        <v>1407</v>
      </c>
      <c r="BC533" s="58"/>
    </row>
    <row r="534" spans="1:55" x14ac:dyDescent="0.25">
      <c r="A534" s="10">
        <f t="shared" si="23"/>
        <v>533</v>
      </c>
      <c r="B534" s="181" t="s">
        <v>5917</v>
      </c>
      <c r="C534" s="592" t="s">
        <v>1407</v>
      </c>
      <c r="D534" s="457">
        <v>400286</v>
      </c>
      <c r="E534" s="181" t="s">
        <v>36</v>
      </c>
      <c r="F534" s="97" t="s">
        <v>5918</v>
      </c>
      <c r="G534" s="139">
        <v>6</v>
      </c>
      <c r="H534" s="458">
        <v>0.375</v>
      </c>
      <c r="I534" s="458">
        <v>0.70833333333333337</v>
      </c>
      <c r="J534" s="458">
        <v>0.33333333333333331</v>
      </c>
      <c r="K534" s="58" t="s">
        <v>341</v>
      </c>
      <c r="L534" s="97" t="s">
        <v>5919</v>
      </c>
      <c r="M534" s="97" t="s">
        <v>26</v>
      </c>
      <c r="N534" s="58" t="s">
        <v>38</v>
      </c>
      <c r="O534" s="58" t="s">
        <v>5050</v>
      </c>
      <c r="P534" s="206">
        <v>44200</v>
      </c>
      <c r="Q534" s="460">
        <v>44200</v>
      </c>
      <c r="R534" s="460">
        <v>44929</v>
      </c>
      <c r="S534" s="461">
        <f t="shared" si="24"/>
        <v>44930</v>
      </c>
      <c r="T534" s="139"/>
      <c r="U534" s="139"/>
      <c r="V534" s="139"/>
      <c r="W534" s="139"/>
      <c r="X534" s="139"/>
      <c r="Y534" s="462" t="s">
        <v>5920</v>
      </c>
      <c r="Z534" s="140" t="s">
        <v>5921</v>
      </c>
      <c r="AA534" s="140" t="s">
        <v>1841</v>
      </c>
      <c r="AB534" s="460">
        <v>44188</v>
      </c>
      <c r="AC534" s="460">
        <v>46013</v>
      </c>
      <c r="AD534" s="139">
        <v>9958076222</v>
      </c>
      <c r="AE534" s="140" t="s">
        <v>5922</v>
      </c>
      <c r="AF534" s="139" t="s">
        <v>1364</v>
      </c>
      <c r="AG534" s="463">
        <v>184301501539</v>
      </c>
      <c r="AH534" s="139" t="s">
        <v>5923</v>
      </c>
      <c r="AI534" s="139" t="s">
        <v>5924</v>
      </c>
      <c r="AJ534" s="464">
        <v>618053357132</v>
      </c>
      <c r="AK534" s="140" t="s">
        <v>5925</v>
      </c>
      <c r="AL534" s="461">
        <v>44439</v>
      </c>
      <c r="AM534" s="477"/>
      <c r="AN534" s="465"/>
      <c r="AO534" s="140"/>
      <c r="AP534" s="139"/>
      <c r="AQ534" s="139"/>
      <c r="AR534" s="181"/>
      <c r="AS534" s="458"/>
      <c r="AT534" s="458"/>
      <c r="AU534" s="461">
        <v>28402</v>
      </c>
      <c r="AV534" s="181" t="s">
        <v>1352</v>
      </c>
      <c r="AW534" s="31" t="s">
        <v>68</v>
      </c>
      <c r="AX534" s="139">
        <v>8</v>
      </c>
      <c r="AY534" s="466">
        <f>VLOOKUP(K534,[3]Master!M511:BA894,40,0)</f>
        <v>8</v>
      </c>
      <c r="AZ534" s="58" t="s">
        <v>26</v>
      </c>
      <c r="BA534" s="58" t="s">
        <v>151</v>
      </c>
      <c r="BB534" s="58" t="s">
        <v>1407</v>
      </c>
      <c r="BC534" s="58"/>
    </row>
    <row r="535" spans="1:55" x14ac:dyDescent="0.25">
      <c r="A535" s="10">
        <f t="shared" si="23"/>
        <v>534</v>
      </c>
      <c r="B535" s="181" t="s">
        <v>5926</v>
      </c>
      <c r="C535" s="592" t="s">
        <v>1407</v>
      </c>
      <c r="D535" s="457">
        <v>400287</v>
      </c>
      <c r="E535" s="181" t="s">
        <v>36</v>
      </c>
      <c r="F535" s="97" t="s">
        <v>5927</v>
      </c>
      <c r="G535" s="139">
        <v>6</v>
      </c>
      <c r="H535" s="458">
        <v>0.375</v>
      </c>
      <c r="I535" s="458">
        <v>0.54166666666666663</v>
      </c>
      <c r="J535" s="458">
        <v>0.16666666666666666</v>
      </c>
      <c r="K535" s="100" t="s">
        <v>866</v>
      </c>
      <c r="L535" s="97" t="s">
        <v>295</v>
      </c>
      <c r="M535" s="97" t="s">
        <v>26</v>
      </c>
      <c r="N535" s="58" t="s">
        <v>38</v>
      </c>
      <c r="O535" s="58" t="s">
        <v>5050</v>
      </c>
      <c r="P535" s="206">
        <v>44200</v>
      </c>
      <c r="Q535" s="460">
        <v>44200</v>
      </c>
      <c r="R535" s="460">
        <v>44929</v>
      </c>
      <c r="S535" s="461">
        <f t="shared" si="24"/>
        <v>44930</v>
      </c>
      <c r="T535" s="139"/>
      <c r="U535" s="139" t="s">
        <v>5928</v>
      </c>
      <c r="V535" s="139">
        <v>2010</v>
      </c>
      <c r="W535" s="139" t="s">
        <v>176</v>
      </c>
      <c r="X535" s="139"/>
      <c r="Y535" s="462" t="s">
        <v>1236</v>
      </c>
      <c r="Z535" s="140">
        <v>59980</v>
      </c>
      <c r="AA535" s="140" t="s">
        <v>1841</v>
      </c>
      <c r="AB535" s="460">
        <v>44238</v>
      </c>
      <c r="AC535" s="460">
        <v>46063</v>
      </c>
      <c r="AD535" s="139">
        <v>9959611049</v>
      </c>
      <c r="AE535" s="140" t="s">
        <v>5929</v>
      </c>
      <c r="AF535" s="139" t="s">
        <v>1364</v>
      </c>
      <c r="AG535" s="491" t="s">
        <v>5930</v>
      </c>
      <c r="AH535" s="139" t="s">
        <v>5931</v>
      </c>
      <c r="AI535" s="139" t="s">
        <v>5932</v>
      </c>
      <c r="AJ535" s="464">
        <v>461646464635</v>
      </c>
      <c r="AK535" s="140" t="s">
        <v>5933</v>
      </c>
      <c r="AL535" s="461">
        <v>44726</v>
      </c>
      <c r="AM535" s="477">
        <v>44697</v>
      </c>
      <c r="AN535" s="465"/>
      <c r="AO535" s="140"/>
      <c r="AP535" s="139"/>
      <c r="AQ535" s="139"/>
      <c r="AR535" s="181"/>
      <c r="AS535" s="458"/>
      <c r="AT535" s="458"/>
      <c r="AU535" s="461">
        <v>27561</v>
      </c>
      <c r="AV535" s="181" t="s">
        <v>1352</v>
      </c>
      <c r="AW535" s="31" t="s">
        <v>32</v>
      </c>
      <c r="AX535" s="139">
        <v>4</v>
      </c>
      <c r="AY535" s="466">
        <f>VLOOKUP(K535,[3]Master!M512:BA895,40,0)</f>
        <v>4</v>
      </c>
      <c r="AZ535" s="58" t="s">
        <v>26</v>
      </c>
      <c r="BA535" s="58" t="s">
        <v>151</v>
      </c>
      <c r="BB535" s="58" t="s">
        <v>1407</v>
      </c>
      <c r="BC535" s="58"/>
    </row>
    <row r="536" spans="1:55" x14ac:dyDescent="0.25">
      <c r="A536" s="10">
        <f t="shared" si="23"/>
        <v>535</v>
      </c>
      <c r="B536" s="181" t="s">
        <v>5934</v>
      </c>
      <c r="C536" s="592" t="s">
        <v>1407</v>
      </c>
      <c r="D536" s="457">
        <v>400288</v>
      </c>
      <c r="E536" s="181" t="s">
        <v>36</v>
      </c>
      <c r="F536" s="97" t="s">
        <v>5935</v>
      </c>
      <c r="G536" s="139">
        <v>6</v>
      </c>
      <c r="H536" s="458">
        <v>0.375</v>
      </c>
      <c r="I536" s="458">
        <v>0.45833333333333331</v>
      </c>
      <c r="J536" s="458">
        <v>8.3333333333333329E-2</v>
      </c>
      <c r="K536" s="462" t="s">
        <v>557</v>
      </c>
      <c r="L536" s="97" t="s">
        <v>5936</v>
      </c>
      <c r="M536" s="97" t="s">
        <v>26</v>
      </c>
      <c r="N536" s="58" t="s">
        <v>38</v>
      </c>
      <c r="O536" s="58" t="s">
        <v>5050</v>
      </c>
      <c r="P536" s="206">
        <v>44200</v>
      </c>
      <c r="Q536" s="460">
        <v>44200</v>
      </c>
      <c r="R536" s="460">
        <v>44929</v>
      </c>
      <c r="S536" s="461">
        <f t="shared" si="24"/>
        <v>44930</v>
      </c>
      <c r="T536" s="139"/>
      <c r="U536" s="139" t="s">
        <v>741</v>
      </c>
      <c r="V536" s="139">
        <v>2015</v>
      </c>
      <c r="W536" s="139" t="s">
        <v>406</v>
      </c>
      <c r="X536" s="139"/>
      <c r="Y536" s="462" t="s">
        <v>5937</v>
      </c>
      <c r="Z536" s="140">
        <v>69570</v>
      </c>
      <c r="AA536" s="140" t="s">
        <v>1841</v>
      </c>
      <c r="AB536" s="460">
        <v>42993</v>
      </c>
      <c r="AC536" s="460">
        <v>44819</v>
      </c>
      <c r="AD536" s="139">
        <v>9703833716</v>
      </c>
      <c r="AE536" s="140" t="s">
        <v>5938</v>
      </c>
      <c r="AF536" s="139" t="s">
        <v>1430</v>
      </c>
      <c r="AG536" s="491" t="s">
        <v>5939</v>
      </c>
      <c r="AH536" s="139" t="s">
        <v>2027</v>
      </c>
      <c r="AI536" s="139" t="s">
        <v>5940</v>
      </c>
      <c r="AJ536" s="464">
        <v>738402848408</v>
      </c>
      <c r="AK536" s="140" t="s">
        <v>5941</v>
      </c>
      <c r="AL536" s="461">
        <v>44327</v>
      </c>
      <c r="AM536" s="477"/>
      <c r="AN536" s="465"/>
      <c r="AO536" s="140"/>
      <c r="AP536" s="139"/>
      <c r="AQ536" s="139"/>
      <c r="AR536" s="181"/>
      <c r="AS536" s="458"/>
      <c r="AT536" s="458"/>
      <c r="AU536" s="461">
        <v>31261</v>
      </c>
      <c r="AV536" s="181" t="s">
        <v>1389</v>
      </c>
      <c r="AW536" s="31" t="s">
        <v>32</v>
      </c>
      <c r="AX536" s="139">
        <v>2</v>
      </c>
      <c r="AY536" s="466">
        <f>VLOOKUP(K536,[3]Master!M513:BA896,40,0)</f>
        <v>2</v>
      </c>
      <c r="AZ536" s="58" t="s">
        <v>26</v>
      </c>
      <c r="BA536" s="58" t="s">
        <v>151</v>
      </c>
      <c r="BB536" s="58" t="s">
        <v>1407</v>
      </c>
      <c r="BC536" s="58"/>
    </row>
    <row r="537" spans="1:55" x14ac:dyDescent="0.25">
      <c r="A537" s="10">
        <f t="shared" si="23"/>
        <v>536</v>
      </c>
      <c r="B537" s="181" t="s">
        <v>5942</v>
      </c>
      <c r="C537" s="592" t="s">
        <v>1407</v>
      </c>
      <c r="D537" s="457">
        <v>400289</v>
      </c>
      <c r="E537" s="181" t="s">
        <v>36</v>
      </c>
      <c r="F537" s="97" t="s">
        <v>5943</v>
      </c>
      <c r="G537" s="139">
        <v>6</v>
      </c>
      <c r="H537" s="458">
        <v>0.33333333333333331</v>
      </c>
      <c r="I537" s="458">
        <v>0.39583333333333331</v>
      </c>
      <c r="J537" s="458">
        <v>6.25E-2</v>
      </c>
      <c r="K537" s="143" t="s">
        <v>187</v>
      </c>
      <c r="L537" s="97"/>
      <c r="M537" s="97" t="s">
        <v>1376</v>
      </c>
      <c r="N537" s="58" t="s">
        <v>1393</v>
      </c>
      <c r="O537" s="58"/>
      <c r="P537" s="206">
        <v>44202</v>
      </c>
      <c r="Q537" s="460">
        <v>44202</v>
      </c>
      <c r="R537" s="460">
        <v>44931</v>
      </c>
      <c r="S537" s="461">
        <f t="shared" si="24"/>
        <v>44932</v>
      </c>
      <c r="T537" s="139"/>
      <c r="U537" s="139"/>
      <c r="V537" s="139"/>
      <c r="W537" s="139"/>
      <c r="X537" s="139"/>
      <c r="Y537" s="462" t="s">
        <v>226</v>
      </c>
      <c r="Z537" s="140">
        <v>79053</v>
      </c>
      <c r="AA537" s="140" t="s">
        <v>1362</v>
      </c>
      <c r="AB537" s="460">
        <v>41368</v>
      </c>
      <c r="AC537" s="460"/>
      <c r="AD537" s="139">
        <v>8985136763</v>
      </c>
      <c r="AE537" s="140" t="s">
        <v>5944</v>
      </c>
      <c r="AF537" s="139" t="s">
        <v>1928</v>
      </c>
      <c r="AG537" s="491" t="s">
        <v>5945</v>
      </c>
      <c r="AH537" s="139" t="s">
        <v>5946</v>
      </c>
      <c r="AI537" s="139" t="s">
        <v>5947</v>
      </c>
      <c r="AJ537" s="475" t="s">
        <v>5948</v>
      </c>
      <c r="AK537" s="140" t="s">
        <v>5949</v>
      </c>
      <c r="AL537" s="206">
        <v>44451</v>
      </c>
      <c r="AM537" s="477"/>
      <c r="AN537" s="465"/>
      <c r="AO537" s="140"/>
      <c r="AP537" s="139"/>
      <c r="AQ537" s="139"/>
      <c r="AR537" s="181"/>
      <c r="AS537" s="458"/>
      <c r="AT537" s="458"/>
      <c r="AU537" s="461">
        <v>31852</v>
      </c>
      <c r="AV537" s="181" t="s">
        <v>1352</v>
      </c>
      <c r="AW537" s="31" t="s">
        <v>32</v>
      </c>
      <c r="AX537" s="139">
        <v>1.5</v>
      </c>
      <c r="AY537" s="466">
        <f>VLOOKUP(K537,[3]Master!M514:BA897,40,0)</f>
        <v>1.5</v>
      </c>
      <c r="AZ537" s="58" t="s">
        <v>1390</v>
      </c>
      <c r="BA537" s="58" t="s">
        <v>151</v>
      </c>
      <c r="BB537" s="58" t="s">
        <v>1407</v>
      </c>
      <c r="BC537" s="58"/>
    </row>
    <row r="538" spans="1:55" x14ac:dyDescent="0.25">
      <c r="A538" s="10">
        <f t="shared" si="23"/>
        <v>537</v>
      </c>
      <c r="B538" s="181" t="s">
        <v>5950</v>
      </c>
      <c r="C538" s="592" t="s">
        <v>1407</v>
      </c>
      <c r="D538" s="457">
        <v>400290</v>
      </c>
      <c r="E538" s="181" t="s">
        <v>36</v>
      </c>
      <c r="F538" s="97" t="s">
        <v>5951</v>
      </c>
      <c r="G538" s="139">
        <v>6</v>
      </c>
      <c r="H538" s="458">
        <v>0.375</v>
      </c>
      <c r="I538" s="458">
        <v>0.41666666666666669</v>
      </c>
      <c r="J538" s="458">
        <v>4.1666666666666664E-2</v>
      </c>
      <c r="K538" s="58" t="s">
        <v>446</v>
      </c>
      <c r="L538" s="97"/>
      <c r="M538" s="97" t="s">
        <v>1376</v>
      </c>
      <c r="N538" s="58" t="s">
        <v>1393</v>
      </c>
      <c r="O538" s="58"/>
      <c r="P538" s="206">
        <v>44202</v>
      </c>
      <c r="Q538" s="460">
        <v>44202</v>
      </c>
      <c r="R538" s="460">
        <v>44931</v>
      </c>
      <c r="S538" s="461">
        <f t="shared" si="24"/>
        <v>44932</v>
      </c>
      <c r="T538" s="139"/>
      <c r="U538" s="139"/>
      <c r="V538" s="139"/>
      <c r="W538" s="139"/>
      <c r="X538" s="139"/>
      <c r="Y538" s="462" t="s">
        <v>226</v>
      </c>
      <c r="Z538" s="140" t="s">
        <v>5952</v>
      </c>
      <c r="AA538" s="140" t="s">
        <v>1841</v>
      </c>
      <c r="AB538" s="460">
        <v>44151</v>
      </c>
      <c r="AC538" s="460">
        <v>45976</v>
      </c>
      <c r="AD538" s="139">
        <v>9533871312</v>
      </c>
      <c r="AE538" s="140" t="s">
        <v>5953</v>
      </c>
      <c r="AF538" s="139" t="s">
        <v>1430</v>
      </c>
      <c r="AG538" s="463">
        <v>50100129627420</v>
      </c>
      <c r="AH538" s="139" t="s">
        <v>2631</v>
      </c>
      <c r="AI538" s="139" t="s">
        <v>5954</v>
      </c>
      <c r="AJ538" s="464">
        <v>636530827583</v>
      </c>
      <c r="AK538" s="140" t="s">
        <v>5955</v>
      </c>
      <c r="AL538" s="206">
        <v>44439</v>
      </c>
      <c r="AM538" s="477"/>
      <c r="AN538" s="465"/>
      <c r="AO538" s="140"/>
      <c r="AP538" s="139"/>
      <c r="AQ538" s="139"/>
      <c r="AR538" s="181"/>
      <c r="AS538" s="458"/>
      <c r="AT538" s="458"/>
      <c r="AU538" s="461">
        <v>34941</v>
      </c>
      <c r="AV538" s="181" t="s">
        <v>1352</v>
      </c>
      <c r="AW538" s="31" t="s">
        <v>32</v>
      </c>
      <c r="AX538" s="139">
        <v>1</v>
      </c>
      <c r="AY538" s="466">
        <f>VLOOKUP(K538,[3]Master!M515:BA898,40,0)</f>
        <v>1</v>
      </c>
      <c r="AZ538" s="58" t="s">
        <v>1390</v>
      </c>
      <c r="BA538" s="58" t="s">
        <v>151</v>
      </c>
      <c r="BB538" s="58" t="s">
        <v>1407</v>
      </c>
      <c r="BC538" s="58"/>
    </row>
    <row r="539" spans="1:55" x14ac:dyDescent="0.25">
      <c r="A539" s="10">
        <f t="shared" si="23"/>
        <v>538</v>
      </c>
      <c r="B539" s="181" t="s">
        <v>561</v>
      </c>
      <c r="C539" s="592" t="s">
        <v>1407</v>
      </c>
      <c r="D539" s="457">
        <v>400291</v>
      </c>
      <c r="E539" s="181" t="s">
        <v>36</v>
      </c>
      <c r="F539" s="97" t="s">
        <v>5956</v>
      </c>
      <c r="G539" s="139">
        <v>6</v>
      </c>
      <c r="H539" s="458">
        <v>0.45833333333333331</v>
      </c>
      <c r="I539" s="458">
        <v>0.54166666666666663</v>
      </c>
      <c r="J539" s="458">
        <v>8.3333333333333329E-2</v>
      </c>
      <c r="K539" s="35" t="s">
        <v>1884</v>
      </c>
      <c r="L539" s="97" t="s">
        <v>5957</v>
      </c>
      <c r="M539" s="97" t="s">
        <v>26</v>
      </c>
      <c r="N539" s="58" t="s">
        <v>38</v>
      </c>
      <c r="O539" s="58" t="s">
        <v>5050</v>
      </c>
      <c r="P539" s="206">
        <v>44202</v>
      </c>
      <c r="Q539" s="460">
        <v>44202</v>
      </c>
      <c r="R539" s="460">
        <v>44931</v>
      </c>
      <c r="S539" s="461">
        <f t="shared" si="24"/>
        <v>44932</v>
      </c>
      <c r="T539" s="139"/>
      <c r="U539" s="139" t="s">
        <v>5958</v>
      </c>
      <c r="V539" s="139">
        <v>2019</v>
      </c>
      <c r="W539" s="139" t="s">
        <v>516</v>
      </c>
      <c r="X539" s="139"/>
      <c r="Y539" s="462" t="s">
        <v>5920</v>
      </c>
      <c r="Z539" s="140" t="s">
        <v>2988</v>
      </c>
      <c r="AA539" s="140" t="s">
        <v>1886</v>
      </c>
      <c r="AB539" s="460">
        <v>43656</v>
      </c>
      <c r="AC539" s="460">
        <v>45482</v>
      </c>
      <c r="AD539" s="139">
        <v>7673979472</v>
      </c>
      <c r="AE539" s="140" t="s">
        <v>566</v>
      </c>
      <c r="AF539" s="139" t="s">
        <v>1430</v>
      </c>
      <c r="AG539" s="463">
        <v>50100147554706</v>
      </c>
      <c r="AH539" s="139" t="s">
        <v>5959</v>
      </c>
      <c r="AI539" s="139" t="s">
        <v>2991</v>
      </c>
      <c r="AJ539" s="464">
        <v>872258050942</v>
      </c>
      <c r="AK539" s="140" t="s">
        <v>5960</v>
      </c>
      <c r="AL539" s="461">
        <v>44408</v>
      </c>
      <c r="AM539" s="477"/>
      <c r="AN539" s="465"/>
      <c r="AO539" s="140"/>
      <c r="AP539" s="139"/>
      <c r="AQ539" s="139"/>
      <c r="AR539" s="181"/>
      <c r="AS539" s="458"/>
      <c r="AT539" s="458"/>
      <c r="AU539" s="461">
        <v>32908</v>
      </c>
      <c r="AV539" s="181" t="s">
        <v>1352</v>
      </c>
      <c r="AW539" s="31" t="s">
        <v>32</v>
      </c>
      <c r="AX539" s="139">
        <v>2</v>
      </c>
      <c r="AY539" s="466">
        <f>VLOOKUP(K539,[3]Master!M516:BA899,40,0)</f>
        <v>2</v>
      </c>
      <c r="AZ539" s="58" t="s">
        <v>26</v>
      </c>
      <c r="BA539" s="58" t="s">
        <v>151</v>
      </c>
      <c r="BB539" s="58" t="s">
        <v>1407</v>
      </c>
      <c r="BC539" s="58"/>
    </row>
    <row r="540" spans="1:55" x14ac:dyDescent="0.25">
      <c r="A540" s="10">
        <f t="shared" si="23"/>
        <v>539</v>
      </c>
      <c r="B540" s="181" t="s">
        <v>5961</v>
      </c>
      <c r="C540" s="592" t="s">
        <v>1407</v>
      </c>
      <c r="D540" s="457">
        <v>400292</v>
      </c>
      <c r="E540" s="181" t="s">
        <v>36</v>
      </c>
      <c r="F540" s="97" t="s">
        <v>5962</v>
      </c>
      <c r="G540" s="139">
        <v>6</v>
      </c>
      <c r="H540" s="458">
        <v>0.375</v>
      </c>
      <c r="I540" s="458">
        <v>0.5</v>
      </c>
      <c r="J540" s="458">
        <v>0.125</v>
      </c>
      <c r="K540" s="58" t="s">
        <v>791</v>
      </c>
      <c r="L540" s="97" t="s">
        <v>5963</v>
      </c>
      <c r="M540" s="97" t="s">
        <v>26</v>
      </c>
      <c r="N540" s="58" t="s">
        <v>38</v>
      </c>
      <c r="O540" s="58" t="s">
        <v>5050</v>
      </c>
      <c r="P540" s="206">
        <v>44204</v>
      </c>
      <c r="Q540" s="460">
        <v>44204</v>
      </c>
      <c r="R540" s="460">
        <v>44933</v>
      </c>
      <c r="S540" s="461">
        <f t="shared" si="24"/>
        <v>44934</v>
      </c>
      <c r="T540" s="139"/>
      <c r="U540" s="139" t="s">
        <v>5662</v>
      </c>
      <c r="V540" s="139">
        <v>2019</v>
      </c>
      <c r="W540" s="139" t="s">
        <v>5964</v>
      </c>
      <c r="X540" s="139"/>
      <c r="Y540" s="462" t="s">
        <v>5078</v>
      </c>
      <c r="Z540" s="140" t="s">
        <v>5965</v>
      </c>
      <c r="AA540" s="140" t="s">
        <v>1841</v>
      </c>
      <c r="AB540" s="460">
        <v>42490</v>
      </c>
      <c r="AC540" s="460">
        <v>44315</v>
      </c>
      <c r="AD540" s="139">
        <v>9493705600</v>
      </c>
      <c r="AE540" s="140" t="s">
        <v>5966</v>
      </c>
      <c r="AF540" s="139" t="s">
        <v>1430</v>
      </c>
      <c r="AG540" s="491" t="s">
        <v>5967</v>
      </c>
      <c r="AH540" s="139" t="s">
        <v>3307</v>
      </c>
      <c r="AI540" s="139" t="s">
        <v>5968</v>
      </c>
      <c r="AJ540" s="464">
        <v>466751741323</v>
      </c>
      <c r="AK540" s="140" t="s">
        <v>5969</v>
      </c>
      <c r="AL540" s="461">
        <v>44573</v>
      </c>
      <c r="AM540" s="477"/>
      <c r="AN540" s="465"/>
      <c r="AO540" s="140"/>
      <c r="AP540" s="139"/>
      <c r="AQ540" s="139"/>
      <c r="AR540" s="181"/>
      <c r="AS540" s="458"/>
      <c r="AT540" s="458"/>
      <c r="AU540" s="461">
        <v>32183</v>
      </c>
      <c r="AV540" s="181" t="s">
        <v>1389</v>
      </c>
      <c r="AW540" s="31" t="s">
        <v>32</v>
      </c>
      <c r="AX540" s="139">
        <v>3</v>
      </c>
      <c r="AY540" s="466">
        <f>VLOOKUP(K540,[3]Master!M517:BA900,40,0)</f>
        <v>3</v>
      </c>
      <c r="AZ540" s="58" t="s">
        <v>26</v>
      </c>
      <c r="BA540" s="58" t="s">
        <v>151</v>
      </c>
      <c r="BB540" s="58" t="s">
        <v>1407</v>
      </c>
      <c r="BC540" s="58"/>
    </row>
    <row r="541" spans="1:55" x14ac:dyDescent="0.25">
      <c r="A541" s="10">
        <f t="shared" si="23"/>
        <v>540</v>
      </c>
      <c r="B541" s="181" t="s">
        <v>5970</v>
      </c>
      <c r="C541" s="592" t="s">
        <v>1407</v>
      </c>
      <c r="D541" s="457">
        <v>400293</v>
      </c>
      <c r="E541" s="181" t="s">
        <v>42</v>
      </c>
      <c r="F541" s="97" t="s">
        <v>5971</v>
      </c>
      <c r="G541" s="139">
        <v>6</v>
      </c>
      <c r="H541" s="458">
        <v>0.45833333333333331</v>
      </c>
      <c r="I541" s="458">
        <v>0.70833333333333337</v>
      </c>
      <c r="J541" s="458">
        <v>0.25</v>
      </c>
      <c r="K541" s="100" t="s">
        <v>275</v>
      </c>
      <c r="L541" s="97" t="s">
        <v>155</v>
      </c>
      <c r="M541" s="97" t="s">
        <v>26</v>
      </c>
      <c r="N541" s="58" t="s">
        <v>38</v>
      </c>
      <c r="O541" s="58" t="s">
        <v>5050</v>
      </c>
      <c r="P541" s="206">
        <v>44204</v>
      </c>
      <c r="Q541" s="460">
        <v>44204</v>
      </c>
      <c r="R541" s="460">
        <v>44933</v>
      </c>
      <c r="S541" s="461">
        <f t="shared" si="24"/>
        <v>44934</v>
      </c>
      <c r="T541" s="139"/>
      <c r="U541" s="139"/>
      <c r="V541" s="139"/>
      <c r="W541" s="139"/>
      <c r="X541" s="139"/>
      <c r="Y541" s="462" t="s">
        <v>5937</v>
      </c>
      <c r="Z541" s="140">
        <v>50819</v>
      </c>
      <c r="AA541" s="140" t="s">
        <v>1841</v>
      </c>
      <c r="AB541" s="460">
        <v>42735</v>
      </c>
      <c r="AC541" s="460">
        <v>44560</v>
      </c>
      <c r="AD541" s="139">
        <v>9894553621</v>
      </c>
      <c r="AE541" s="140" t="s">
        <v>5972</v>
      </c>
      <c r="AF541" s="139" t="s">
        <v>1364</v>
      </c>
      <c r="AG541" s="491" t="s">
        <v>5973</v>
      </c>
      <c r="AH541" s="139" t="s">
        <v>3293</v>
      </c>
      <c r="AI541" s="139" t="s">
        <v>5974</v>
      </c>
      <c r="AJ541" s="464">
        <v>538051929176</v>
      </c>
      <c r="AK541" s="140" t="s">
        <v>5975</v>
      </c>
      <c r="AL541" s="461">
        <v>44391</v>
      </c>
      <c r="AM541" s="477"/>
      <c r="AN541" s="465"/>
      <c r="AO541" s="140"/>
      <c r="AP541" s="139"/>
      <c r="AQ541" s="139"/>
      <c r="AR541" s="181"/>
      <c r="AS541" s="458"/>
      <c r="AT541" s="458"/>
      <c r="AU541" s="461">
        <v>28487</v>
      </c>
      <c r="AV541" s="181" t="s">
        <v>1352</v>
      </c>
      <c r="AW541" s="31" t="s">
        <v>32</v>
      </c>
      <c r="AX541" s="139">
        <v>6</v>
      </c>
      <c r="AY541" s="466">
        <f>VLOOKUP(K541,[3]Master!M518:BA901,40,0)</f>
        <v>6</v>
      </c>
      <c r="AZ541" s="58" t="s">
        <v>26</v>
      </c>
      <c r="BA541" s="58" t="s">
        <v>151</v>
      </c>
      <c r="BB541" s="58" t="s">
        <v>1407</v>
      </c>
      <c r="BC541" s="58"/>
    </row>
    <row r="542" spans="1:55" x14ac:dyDescent="0.25">
      <c r="A542" s="10">
        <f t="shared" si="23"/>
        <v>541</v>
      </c>
      <c r="B542" s="181" t="s">
        <v>5976</v>
      </c>
      <c r="C542" s="592" t="s">
        <v>1407</v>
      </c>
      <c r="D542" s="457">
        <v>400295</v>
      </c>
      <c r="E542" s="181" t="s">
        <v>36</v>
      </c>
      <c r="F542" s="97" t="s">
        <v>5977</v>
      </c>
      <c r="G542" s="139">
        <v>6</v>
      </c>
      <c r="H542" s="458">
        <v>0.41666666666666669</v>
      </c>
      <c r="I542" s="458">
        <v>0.75</v>
      </c>
      <c r="J542" s="458">
        <v>0.33333333333333331</v>
      </c>
      <c r="K542" s="143" t="s">
        <v>220</v>
      </c>
      <c r="L542" s="97" t="s">
        <v>5234</v>
      </c>
      <c r="M542" s="97" t="s">
        <v>26</v>
      </c>
      <c r="N542" s="58" t="s">
        <v>38</v>
      </c>
      <c r="O542" s="58" t="s">
        <v>5050</v>
      </c>
      <c r="P542" s="206">
        <v>44207</v>
      </c>
      <c r="Q542" s="460">
        <v>44207</v>
      </c>
      <c r="R542" s="460">
        <v>44936</v>
      </c>
      <c r="S542" s="461">
        <f t="shared" si="24"/>
        <v>44937</v>
      </c>
      <c r="T542" s="139"/>
      <c r="U542" s="139" t="s">
        <v>5978</v>
      </c>
      <c r="V542" s="139">
        <v>2019</v>
      </c>
      <c r="W542" s="139" t="s">
        <v>5979</v>
      </c>
      <c r="X542" s="139"/>
      <c r="Y542" s="462" t="s">
        <v>5920</v>
      </c>
      <c r="Z542" s="140" t="s">
        <v>5980</v>
      </c>
      <c r="AA542" s="140" t="s">
        <v>1841</v>
      </c>
      <c r="AB542" s="460">
        <v>44198</v>
      </c>
      <c r="AC542" s="460">
        <v>46023</v>
      </c>
      <c r="AD542" s="139">
        <v>9182797302</v>
      </c>
      <c r="AE542" s="140" t="s">
        <v>5981</v>
      </c>
      <c r="AF542" s="139" t="s">
        <v>5982</v>
      </c>
      <c r="AG542" s="491" t="s">
        <v>5983</v>
      </c>
      <c r="AH542" s="139" t="s">
        <v>5984</v>
      </c>
      <c r="AI542" s="139" t="s">
        <v>5985</v>
      </c>
      <c r="AJ542" s="464">
        <v>374518043799</v>
      </c>
      <c r="AK542" s="140" t="s">
        <v>5986</v>
      </c>
      <c r="AL542" s="461">
        <v>44413</v>
      </c>
      <c r="AM542" s="477"/>
      <c r="AN542" s="465"/>
      <c r="AO542" s="140"/>
      <c r="AP542" s="139"/>
      <c r="AQ542" s="139"/>
      <c r="AR542" s="181"/>
      <c r="AS542" s="458"/>
      <c r="AT542" s="458"/>
      <c r="AU542" s="461">
        <v>32734</v>
      </c>
      <c r="AV542" s="181" t="s">
        <v>1389</v>
      </c>
      <c r="AW542" s="31" t="s">
        <v>68</v>
      </c>
      <c r="AX542" s="139">
        <v>8</v>
      </c>
      <c r="AY542" s="466">
        <f>VLOOKUP(K542,[3]Master!M519:BA902,40,0)</f>
        <v>8</v>
      </c>
      <c r="AZ542" s="58" t="s">
        <v>26</v>
      </c>
      <c r="BA542" s="58" t="s">
        <v>151</v>
      </c>
      <c r="BB542" s="58" t="s">
        <v>1407</v>
      </c>
      <c r="BC542" s="58"/>
    </row>
    <row r="543" spans="1:55" x14ac:dyDescent="0.25">
      <c r="A543" s="10">
        <f t="shared" si="23"/>
        <v>542</v>
      </c>
      <c r="B543" s="181" t="s">
        <v>5987</v>
      </c>
      <c r="C543" s="592" t="s">
        <v>1407</v>
      </c>
      <c r="D543" s="457">
        <v>400296</v>
      </c>
      <c r="E543" s="181" t="s">
        <v>36</v>
      </c>
      <c r="F543" s="97" t="s">
        <v>5988</v>
      </c>
      <c r="G543" s="139">
        <v>6</v>
      </c>
      <c r="H543" s="458">
        <v>0.375</v>
      </c>
      <c r="I543" s="458">
        <v>0.54166666666666663</v>
      </c>
      <c r="J543" s="458">
        <f>I543-H543</f>
        <v>0.16666666666666663</v>
      </c>
      <c r="K543" s="58" t="s">
        <v>1151</v>
      </c>
      <c r="L543" s="97" t="s">
        <v>5989</v>
      </c>
      <c r="M543" s="97" t="s">
        <v>26</v>
      </c>
      <c r="N543" s="58" t="s">
        <v>38</v>
      </c>
      <c r="O543" s="58" t="s">
        <v>5050</v>
      </c>
      <c r="P543" s="206">
        <v>44214</v>
      </c>
      <c r="Q543" s="460">
        <v>44256</v>
      </c>
      <c r="R543" s="460">
        <v>44985</v>
      </c>
      <c r="S543" s="461">
        <f t="shared" si="24"/>
        <v>44986</v>
      </c>
      <c r="T543" s="139"/>
      <c r="U543" s="139" t="s">
        <v>343</v>
      </c>
      <c r="V543" s="139">
        <v>2019</v>
      </c>
      <c r="W543" s="139" t="s">
        <v>225</v>
      </c>
      <c r="X543" s="139"/>
      <c r="Y543" s="462" t="s">
        <v>5151</v>
      </c>
      <c r="Z543" s="140" t="s">
        <v>5990</v>
      </c>
      <c r="AA543" s="140" t="s">
        <v>1886</v>
      </c>
      <c r="AB543" s="460">
        <v>44152</v>
      </c>
      <c r="AC543" s="460">
        <v>45977</v>
      </c>
      <c r="AD543" s="139">
        <v>9618032826</v>
      </c>
      <c r="AE543" s="467" t="s">
        <v>5991</v>
      </c>
      <c r="AF543" s="139" t="s">
        <v>1430</v>
      </c>
      <c r="AG543" s="491" t="s">
        <v>5992</v>
      </c>
      <c r="AH543" s="139" t="s">
        <v>2027</v>
      </c>
      <c r="AI543" s="139" t="s">
        <v>5993</v>
      </c>
      <c r="AJ543" s="464">
        <v>796600047434</v>
      </c>
      <c r="AK543" s="140" t="s">
        <v>5994</v>
      </c>
      <c r="AL543" s="461">
        <v>44905</v>
      </c>
      <c r="AM543" s="477"/>
      <c r="AN543" s="465"/>
      <c r="AO543" s="140"/>
      <c r="AP543" s="139"/>
      <c r="AQ543" s="139" t="e">
        <v>#REF!</v>
      </c>
      <c r="AR543" s="181"/>
      <c r="AS543" s="458"/>
      <c r="AT543" s="458"/>
      <c r="AU543" s="461">
        <v>33435</v>
      </c>
      <c r="AV543" s="181" t="s">
        <v>1389</v>
      </c>
      <c r="AW543" s="31" t="s">
        <v>32</v>
      </c>
      <c r="AX543" s="139">
        <v>4</v>
      </c>
      <c r="AY543" s="466">
        <f>VLOOKUP(K543,[3]Master!M520:BA903,40,0)</f>
        <v>5</v>
      </c>
      <c r="AZ543" s="58" t="s">
        <v>26</v>
      </c>
      <c r="BA543" s="58" t="s">
        <v>151</v>
      </c>
      <c r="BB543" s="58" t="s">
        <v>1407</v>
      </c>
      <c r="BC543" s="58"/>
    </row>
    <row r="544" spans="1:55" x14ac:dyDescent="0.25">
      <c r="A544" s="10">
        <f t="shared" si="23"/>
        <v>543</v>
      </c>
      <c r="B544" s="181" t="s">
        <v>5995</v>
      </c>
      <c r="C544" s="592" t="s">
        <v>1407</v>
      </c>
      <c r="D544" s="457">
        <v>400297</v>
      </c>
      <c r="E544" s="181" t="s">
        <v>36</v>
      </c>
      <c r="F544" s="97" t="s">
        <v>5996</v>
      </c>
      <c r="G544" s="139">
        <v>6</v>
      </c>
      <c r="H544" s="458">
        <v>0.375</v>
      </c>
      <c r="I544" s="458">
        <v>0.41666666666666669</v>
      </c>
      <c r="J544" s="458">
        <v>4.1666666666666664E-2</v>
      </c>
      <c r="K544" s="35" t="s">
        <v>770</v>
      </c>
      <c r="L544" s="97"/>
      <c r="M544" s="97" t="s">
        <v>1376</v>
      </c>
      <c r="N544" s="58" t="s">
        <v>1393</v>
      </c>
      <c r="O544" s="58"/>
      <c r="P544" s="206">
        <v>44221</v>
      </c>
      <c r="Q544" s="460">
        <v>44221</v>
      </c>
      <c r="R544" s="460">
        <v>44950</v>
      </c>
      <c r="S544" s="461">
        <f t="shared" si="24"/>
        <v>44951</v>
      </c>
      <c r="T544" s="139"/>
      <c r="U544" s="139"/>
      <c r="V544" s="139"/>
      <c r="W544" s="139"/>
      <c r="X544" s="139"/>
      <c r="Y544" s="462" t="s">
        <v>226</v>
      </c>
      <c r="Z544" s="140" t="s">
        <v>5997</v>
      </c>
      <c r="AA544" s="140" t="s">
        <v>1841</v>
      </c>
      <c r="AB544" s="460">
        <v>43269</v>
      </c>
      <c r="AC544" s="460">
        <v>45094</v>
      </c>
      <c r="AD544" s="139">
        <v>7730089291</v>
      </c>
      <c r="AE544" s="140" t="s">
        <v>5998</v>
      </c>
      <c r="AF544" s="139" t="s">
        <v>5999</v>
      </c>
      <c r="AG544" s="491" t="s">
        <v>6000</v>
      </c>
      <c r="AH544" s="139" t="s">
        <v>3754</v>
      </c>
      <c r="AI544" s="139" t="s">
        <v>6001</v>
      </c>
      <c r="AJ544" s="464">
        <v>377027110928</v>
      </c>
      <c r="AK544" s="140" t="s">
        <v>6002</v>
      </c>
      <c r="AL544" s="206">
        <v>44316</v>
      </c>
      <c r="AM544" s="477"/>
      <c r="AN544" s="465"/>
      <c r="AO544" s="140"/>
      <c r="AP544" s="139"/>
      <c r="AQ544" s="139"/>
      <c r="AR544" s="181"/>
      <c r="AS544" s="458"/>
      <c r="AT544" s="458"/>
      <c r="AU544" s="461">
        <v>33900</v>
      </c>
      <c r="AV544" s="181" t="s">
        <v>1389</v>
      </c>
      <c r="AW544" s="31" t="s">
        <v>32</v>
      </c>
      <c r="AX544" s="139">
        <v>1</v>
      </c>
      <c r="AY544" s="466">
        <f>VLOOKUP(K544,[3]Master!M521:BA904,40,0)</f>
        <v>1</v>
      </c>
      <c r="AZ544" s="58" t="s">
        <v>1390</v>
      </c>
      <c r="BA544" s="58" t="s">
        <v>151</v>
      </c>
      <c r="BB544" s="58" t="s">
        <v>1407</v>
      </c>
      <c r="BC544" s="58"/>
    </row>
    <row r="545" spans="1:55" x14ac:dyDescent="0.25">
      <c r="A545" s="10">
        <f t="shared" si="23"/>
        <v>544</v>
      </c>
      <c r="B545" s="181" t="s">
        <v>6003</v>
      </c>
      <c r="C545" s="592" t="s">
        <v>1407</v>
      </c>
      <c r="D545" s="457">
        <v>400298</v>
      </c>
      <c r="E545" s="181" t="s">
        <v>36</v>
      </c>
      <c r="F545" s="97" t="s">
        <v>6004</v>
      </c>
      <c r="G545" s="139">
        <v>6</v>
      </c>
      <c r="H545" s="458">
        <v>0.375</v>
      </c>
      <c r="I545" s="458">
        <v>0.5</v>
      </c>
      <c r="J545" s="458">
        <v>0.125</v>
      </c>
      <c r="K545" s="58" t="s">
        <v>826</v>
      </c>
      <c r="L545" s="97"/>
      <c r="M545" s="63" t="s">
        <v>1355</v>
      </c>
      <c r="N545" s="100" t="s">
        <v>1520</v>
      </c>
      <c r="O545" s="58" t="s">
        <v>5270</v>
      </c>
      <c r="P545" s="206">
        <v>44228</v>
      </c>
      <c r="Q545" s="460">
        <v>44228</v>
      </c>
      <c r="R545" s="460">
        <v>44957</v>
      </c>
      <c r="S545" s="461">
        <f t="shared" si="24"/>
        <v>44958</v>
      </c>
      <c r="T545" s="139"/>
      <c r="U545" s="139"/>
      <c r="V545" s="139"/>
      <c r="W545" s="139"/>
      <c r="X545" s="139"/>
      <c r="Y545" s="462" t="s">
        <v>5214</v>
      </c>
      <c r="Z545" s="140" t="s">
        <v>6005</v>
      </c>
      <c r="AA545" s="140" t="s">
        <v>2242</v>
      </c>
      <c r="AB545" s="460">
        <v>43825</v>
      </c>
      <c r="AC545" s="460">
        <v>45651</v>
      </c>
      <c r="AD545" s="139">
        <v>9582110284</v>
      </c>
      <c r="AE545" s="140" t="s">
        <v>6006</v>
      </c>
      <c r="AF545" s="139" t="s">
        <v>5484</v>
      </c>
      <c r="AG545" s="491" t="s">
        <v>6007</v>
      </c>
      <c r="AH545" s="139" t="s">
        <v>6008</v>
      </c>
      <c r="AI545" s="139" t="s">
        <v>6009</v>
      </c>
      <c r="AJ545" s="464" t="s">
        <v>6010</v>
      </c>
      <c r="AK545" s="140" t="s">
        <v>6011</v>
      </c>
      <c r="AL545" s="206">
        <v>44374</v>
      </c>
      <c r="AM545" s="477"/>
      <c r="AN545" s="465"/>
      <c r="AO545" s="140"/>
      <c r="AP545" s="139"/>
      <c r="AQ545" s="139"/>
      <c r="AR545" s="181"/>
      <c r="AS545" s="458"/>
      <c r="AT545" s="458"/>
      <c r="AU545" s="461">
        <v>30503</v>
      </c>
      <c r="AV545" s="181" t="s">
        <v>1389</v>
      </c>
      <c r="AW545" s="31" t="s">
        <v>32</v>
      </c>
      <c r="AX545" s="139">
        <v>3</v>
      </c>
      <c r="AY545" s="466">
        <f>VLOOKUP(K545,[3]Master!M522:BA905,40,0)</f>
        <v>5</v>
      </c>
      <c r="AZ545" s="58" t="s">
        <v>1373</v>
      </c>
      <c r="BA545" s="58" t="s">
        <v>151</v>
      </c>
      <c r="BB545" s="58" t="s">
        <v>1407</v>
      </c>
      <c r="BC545" s="58"/>
    </row>
    <row r="546" spans="1:55" x14ac:dyDescent="0.25">
      <c r="A546" s="10">
        <f t="shared" si="23"/>
        <v>545</v>
      </c>
      <c r="B546" s="181" t="s">
        <v>6012</v>
      </c>
      <c r="C546" s="592" t="s">
        <v>1407</v>
      </c>
      <c r="D546" s="457">
        <v>400299</v>
      </c>
      <c r="E546" s="181" t="s">
        <v>36</v>
      </c>
      <c r="F546" s="97" t="s">
        <v>6013</v>
      </c>
      <c r="G546" s="139">
        <v>6</v>
      </c>
      <c r="H546" s="458" t="s">
        <v>6014</v>
      </c>
      <c r="I546" s="458" t="s">
        <v>6015</v>
      </c>
      <c r="J546" s="458">
        <v>0.33333333333333331</v>
      </c>
      <c r="K546" s="462" t="s">
        <v>154</v>
      </c>
      <c r="L546" s="97"/>
      <c r="M546" s="63" t="s">
        <v>1355</v>
      </c>
      <c r="N546" s="100" t="s">
        <v>1520</v>
      </c>
      <c r="O546" s="58" t="s">
        <v>5270</v>
      </c>
      <c r="P546" s="206">
        <v>44228</v>
      </c>
      <c r="Q546" s="460">
        <v>44228</v>
      </c>
      <c r="R546" s="460">
        <v>44957</v>
      </c>
      <c r="S546" s="461">
        <f t="shared" si="24"/>
        <v>44958</v>
      </c>
      <c r="T546" s="139"/>
      <c r="U546" s="139"/>
      <c r="V546" s="139"/>
      <c r="W546" s="139"/>
      <c r="X546" s="139"/>
      <c r="Y546" s="462" t="s">
        <v>6016</v>
      </c>
      <c r="Z546" s="140" t="s">
        <v>6017</v>
      </c>
      <c r="AA546" s="140" t="s">
        <v>1886</v>
      </c>
      <c r="AB546" s="460">
        <v>41469</v>
      </c>
      <c r="AC546" s="460">
        <v>43294</v>
      </c>
      <c r="AD546" s="139">
        <v>9704491000</v>
      </c>
      <c r="AE546" s="140" t="s">
        <v>6018</v>
      </c>
      <c r="AF546" s="139" t="s">
        <v>5608</v>
      </c>
      <c r="AG546" s="491" t="s">
        <v>6019</v>
      </c>
      <c r="AH546" s="139" t="s">
        <v>6020</v>
      </c>
      <c r="AI546" s="139" t="s">
        <v>6021</v>
      </c>
      <c r="AJ546" s="464" t="s">
        <v>6022</v>
      </c>
      <c r="AK546" s="140" t="s">
        <v>6023</v>
      </c>
      <c r="AL546" s="206">
        <v>44303</v>
      </c>
      <c r="AM546" s="477"/>
      <c r="AN546" s="465"/>
      <c r="AO546" s="140"/>
      <c r="AP546" s="139"/>
      <c r="AQ546" s="139"/>
      <c r="AR546" s="181"/>
      <c r="AS546" s="458"/>
      <c r="AT546" s="458"/>
      <c r="AU546" s="461">
        <v>32911</v>
      </c>
      <c r="AV546" s="181" t="s">
        <v>1389</v>
      </c>
      <c r="AW546" s="31" t="s">
        <v>68</v>
      </c>
      <c r="AX546" s="139">
        <v>8</v>
      </c>
      <c r="AY546" s="466">
        <f>VLOOKUP(K546,[3]Master!M523:BA906,40,0)</f>
        <v>8</v>
      </c>
      <c r="AZ546" s="58" t="s">
        <v>1373</v>
      </c>
      <c r="BA546" s="58" t="s">
        <v>151</v>
      </c>
      <c r="BB546" s="58" t="s">
        <v>1407</v>
      </c>
      <c r="BC546" s="58"/>
    </row>
    <row r="547" spans="1:55" x14ac:dyDescent="0.25">
      <c r="A547" s="10">
        <f t="shared" si="23"/>
        <v>546</v>
      </c>
      <c r="B547" s="181" t="s">
        <v>6024</v>
      </c>
      <c r="C547" s="592" t="s">
        <v>1407</v>
      </c>
      <c r="D547" s="457">
        <v>400300</v>
      </c>
      <c r="E547" s="181" t="s">
        <v>36</v>
      </c>
      <c r="F547" s="97" t="s">
        <v>6025</v>
      </c>
      <c r="G547" s="139">
        <v>6</v>
      </c>
      <c r="H547" s="458">
        <v>0.33333333333333331</v>
      </c>
      <c r="I547" s="458">
        <v>0.91666666666666663</v>
      </c>
      <c r="J547" s="458">
        <v>0.33333333333333331</v>
      </c>
      <c r="K547" s="58" t="s">
        <v>147</v>
      </c>
      <c r="L547" s="97"/>
      <c r="M547" s="97" t="s">
        <v>3507</v>
      </c>
      <c r="N547" s="58" t="s">
        <v>6026</v>
      </c>
      <c r="O547" s="58" t="s">
        <v>6027</v>
      </c>
      <c r="P547" s="206">
        <v>44228</v>
      </c>
      <c r="Q547" s="460">
        <v>44228</v>
      </c>
      <c r="R547" s="460">
        <v>44957</v>
      </c>
      <c r="S547" s="461">
        <f t="shared" si="24"/>
        <v>44958</v>
      </c>
      <c r="T547" s="139">
        <v>1986</v>
      </c>
      <c r="U547" s="139" t="s">
        <v>653</v>
      </c>
      <c r="V547" s="139">
        <v>1990</v>
      </c>
      <c r="W547" s="139">
        <v>0</v>
      </c>
      <c r="X547" s="139"/>
      <c r="Y547" s="462" t="s">
        <v>5214</v>
      </c>
      <c r="Z547" s="140">
        <v>7591</v>
      </c>
      <c r="AA547" s="140" t="s">
        <v>2910</v>
      </c>
      <c r="AB547" s="460">
        <v>41613</v>
      </c>
      <c r="AC547" s="460" t="s">
        <v>4045</v>
      </c>
      <c r="AD547" s="139">
        <v>7838141433</v>
      </c>
      <c r="AE547" s="140" t="s">
        <v>6028</v>
      </c>
      <c r="AF547" s="139" t="s">
        <v>1430</v>
      </c>
      <c r="AG547" s="491" t="s">
        <v>6029</v>
      </c>
      <c r="AH547" s="139" t="s">
        <v>6030</v>
      </c>
      <c r="AI547" s="139" t="s">
        <v>6031</v>
      </c>
      <c r="AJ547" s="464">
        <v>392863909280</v>
      </c>
      <c r="AK547" s="140" t="s">
        <v>6032</v>
      </c>
      <c r="AL547" s="206">
        <v>44594</v>
      </c>
      <c r="AM547" s="477"/>
      <c r="AN547" s="465"/>
      <c r="AO547" s="140"/>
      <c r="AP547" s="139"/>
      <c r="AQ547" s="139"/>
      <c r="AR547" s="181"/>
      <c r="AS547" s="458"/>
      <c r="AT547" s="458"/>
      <c r="AU547" s="461">
        <v>22788</v>
      </c>
      <c r="AV547" s="181" t="s">
        <v>1389</v>
      </c>
      <c r="AW547" s="31" t="s">
        <v>68</v>
      </c>
      <c r="AX547" s="139">
        <v>8</v>
      </c>
      <c r="AY547" s="466">
        <f>VLOOKUP(K547,[3]Master!M524:BA907,40,0)</f>
        <v>8</v>
      </c>
      <c r="AZ547" s="58" t="s">
        <v>1373</v>
      </c>
      <c r="BA547" s="58" t="s">
        <v>151</v>
      </c>
      <c r="BB547" s="58" t="s">
        <v>1407</v>
      </c>
      <c r="BC547" s="58"/>
    </row>
    <row r="548" spans="1:55" x14ac:dyDescent="0.25">
      <c r="A548" s="10">
        <f t="shared" si="23"/>
        <v>547</v>
      </c>
      <c r="B548" s="181" t="s">
        <v>4942</v>
      </c>
      <c r="C548" s="592" t="s">
        <v>1407</v>
      </c>
      <c r="D548" s="457">
        <v>400301</v>
      </c>
      <c r="E548" s="181" t="s">
        <v>36</v>
      </c>
      <c r="F548" s="97" t="s">
        <v>4943</v>
      </c>
      <c r="G548" s="139">
        <v>6</v>
      </c>
      <c r="H548" s="458" t="s">
        <v>6033</v>
      </c>
      <c r="I548" s="458" t="s">
        <v>6034</v>
      </c>
      <c r="J548" s="458">
        <v>0.125</v>
      </c>
      <c r="K548" s="100" t="s">
        <v>348</v>
      </c>
      <c r="L548" s="97"/>
      <c r="M548" s="97" t="s">
        <v>26</v>
      </c>
      <c r="N548" s="58" t="s">
        <v>38</v>
      </c>
      <c r="O548" s="58" t="s">
        <v>5050</v>
      </c>
      <c r="P548" s="206">
        <v>44228</v>
      </c>
      <c r="Q548" s="460"/>
      <c r="R548" s="460"/>
      <c r="S548" s="461"/>
      <c r="T548" s="139"/>
      <c r="U548" s="139"/>
      <c r="V548" s="139"/>
      <c r="W548" s="139"/>
      <c r="X548" s="139"/>
      <c r="Y548" s="462" t="s">
        <v>5235</v>
      </c>
      <c r="Z548" s="140" t="s">
        <v>4947</v>
      </c>
      <c r="AA548" s="140" t="s">
        <v>1841</v>
      </c>
      <c r="AB548" s="460">
        <v>43367</v>
      </c>
      <c r="AC548" s="460">
        <v>45192</v>
      </c>
      <c r="AD548" s="139">
        <v>8008416988</v>
      </c>
      <c r="AE548" s="140" t="s">
        <v>4948</v>
      </c>
      <c r="AF548" s="139" t="s">
        <v>1430</v>
      </c>
      <c r="AG548" s="491" t="s">
        <v>6035</v>
      </c>
      <c r="AH548" s="139" t="s">
        <v>4098</v>
      </c>
      <c r="AI548" s="139" t="s">
        <v>4951</v>
      </c>
      <c r="AJ548" s="464" t="s">
        <v>4952</v>
      </c>
      <c r="AK548" s="140" t="s">
        <v>6036</v>
      </c>
      <c r="AL548" s="461">
        <v>44298</v>
      </c>
      <c r="AM548" s="477"/>
      <c r="AN548" s="465"/>
      <c r="AO548" s="140"/>
      <c r="AP548" s="139"/>
      <c r="AQ548" s="139"/>
      <c r="AR548" s="181"/>
      <c r="AS548" s="458"/>
      <c r="AT548" s="458"/>
      <c r="AU548" s="461">
        <v>33296</v>
      </c>
      <c r="AV548" s="181" t="s">
        <v>1352</v>
      </c>
      <c r="AW548" s="31" t="s">
        <v>32</v>
      </c>
      <c r="AX548" s="139">
        <v>3</v>
      </c>
      <c r="AY548" s="58">
        <f>VLOOKUP(K548,[3]Master!M525:BA908,40,0)</f>
        <v>3</v>
      </c>
      <c r="AZ548" s="58" t="s">
        <v>26</v>
      </c>
      <c r="BA548" s="58" t="s">
        <v>151</v>
      </c>
      <c r="BB548" s="58" t="s">
        <v>1407</v>
      </c>
      <c r="BC548" s="58"/>
    </row>
    <row r="549" spans="1:55" x14ac:dyDescent="0.25">
      <c r="A549" s="10">
        <f t="shared" si="23"/>
        <v>548</v>
      </c>
      <c r="B549" s="181" t="s">
        <v>6037</v>
      </c>
      <c r="C549" s="592" t="s">
        <v>1407</v>
      </c>
      <c r="D549" s="457">
        <v>400303</v>
      </c>
      <c r="E549" s="181" t="s">
        <v>36</v>
      </c>
      <c r="F549" s="97" t="s">
        <v>6038</v>
      </c>
      <c r="G549" s="139" t="s">
        <v>2237</v>
      </c>
      <c r="H549" s="458"/>
      <c r="I549" s="458"/>
      <c r="J549" s="458"/>
      <c r="K549" s="58" t="s">
        <v>826</v>
      </c>
      <c r="L549" s="97"/>
      <c r="M549" s="97" t="s">
        <v>1544</v>
      </c>
      <c r="N549" s="58" t="s">
        <v>1992</v>
      </c>
      <c r="O549" s="58" t="s">
        <v>5244</v>
      </c>
      <c r="P549" s="206">
        <v>44225</v>
      </c>
      <c r="Q549" s="460">
        <v>44225</v>
      </c>
      <c r="R549" s="460">
        <v>44954</v>
      </c>
      <c r="S549" s="461">
        <f>R549+1</f>
        <v>44955</v>
      </c>
      <c r="T549" s="139">
        <v>2008</v>
      </c>
      <c r="U549" s="139" t="s">
        <v>6039</v>
      </c>
      <c r="V549" s="139">
        <v>2013</v>
      </c>
      <c r="W549" s="139" t="s">
        <v>6039</v>
      </c>
      <c r="X549" s="139"/>
      <c r="Y549" s="462" t="s">
        <v>6040</v>
      </c>
      <c r="Z549" s="140">
        <v>47162</v>
      </c>
      <c r="AA549" s="140" t="s">
        <v>2242</v>
      </c>
      <c r="AB549" s="460">
        <v>44175</v>
      </c>
      <c r="AC549" s="460">
        <v>46000</v>
      </c>
      <c r="AD549" s="139">
        <v>9643643685</v>
      </c>
      <c r="AE549" s="467" t="s">
        <v>6041</v>
      </c>
      <c r="AF549" s="139" t="s">
        <v>1430</v>
      </c>
      <c r="AG549" s="491" t="s">
        <v>6042</v>
      </c>
      <c r="AH549" s="139" t="s">
        <v>6043</v>
      </c>
      <c r="AI549" s="139" t="s">
        <v>6044</v>
      </c>
      <c r="AJ549" s="464" t="s">
        <v>6045</v>
      </c>
      <c r="AK549" s="140" t="s">
        <v>6046</v>
      </c>
      <c r="AL549" s="206">
        <v>44912</v>
      </c>
      <c r="AM549" s="477"/>
      <c r="AN549" s="465"/>
      <c r="AO549" s="140"/>
      <c r="AP549" s="139"/>
      <c r="AQ549" s="139" t="e">
        <v>#REF!</v>
      </c>
      <c r="AR549" s="181"/>
      <c r="AS549" s="458"/>
      <c r="AT549" s="458"/>
      <c r="AU549" s="461">
        <v>31512</v>
      </c>
      <c r="AV549" s="181" t="s">
        <v>1389</v>
      </c>
      <c r="AW549" s="31" t="s">
        <v>32</v>
      </c>
      <c r="AX549" s="139"/>
      <c r="AY549" s="466">
        <f>VLOOKUP(K549,[3]Master!M526:BA909,40,0)</f>
        <v>5</v>
      </c>
      <c r="AZ549" s="58" t="s">
        <v>1373</v>
      </c>
      <c r="BA549" s="58" t="s">
        <v>151</v>
      </c>
      <c r="BB549" s="58" t="s">
        <v>1407</v>
      </c>
      <c r="BC549" s="58"/>
    </row>
    <row r="550" spans="1:55" x14ac:dyDescent="0.25">
      <c r="A550" s="10">
        <f t="shared" si="23"/>
        <v>549</v>
      </c>
      <c r="B550" s="181" t="s">
        <v>6047</v>
      </c>
      <c r="C550" s="592" t="s">
        <v>1407</v>
      </c>
      <c r="D550" s="457">
        <v>401010</v>
      </c>
      <c r="E550" s="181" t="s">
        <v>36</v>
      </c>
      <c r="F550" s="97" t="s">
        <v>6048</v>
      </c>
      <c r="G550" s="139">
        <v>6</v>
      </c>
      <c r="H550" s="469" t="s">
        <v>6049</v>
      </c>
      <c r="I550" s="469" t="s">
        <v>6050</v>
      </c>
      <c r="J550" s="458">
        <v>8.3333333333333329E-2</v>
      </c>
      <c r="K550" s="462" t="s">
        <v>5190</v>
      </c>
      <c r="L550" s="97" t="s">
        <v>6051</v>
      </c>
      <c r="M550" s="97" t="s">
        <v>26</v>
      </c>
      <c r="N550" s="58" t="s">
        <v>38</v>
      </c>
      <c r="O550" s="58" t="s">
        <v>5076</v>
      </c>
      <c r="P550" s="461">
        <v>45451</v>
      </c>
      <c r="Q550" s="461">
        <v>45451</v>
      </c>
      <c r="R550" s="461">
        <v>46180</v>
      </c>
      <c r="S550" s="461">
        <v>46181</v>
      </c>
      <c r="T550" s="139">
        <v>2000</v>
      </c>
      <c r="U550" s="97" t="s">
        <v>6052</v>
      </c>
      <c r="V550" s="139" t="s">
        <v>6053</v>
      </c>
      <c r="W550" s="58" t="s">
        <v>6054</v>
      </c>
      <c r="X550" s="181" t="s">
        <v>30</v>
      </c>
      <c r="Y550" s="58" t="s">
        <v>6055</v>
      </c>
      <c r="Z550" s="140">
        <v>3347</v>
      </c>
      <c r="AA550" s="470" t="s">
        <v>6056</v>
      </c>
      <c r="AB550" s="471">
        <v>40653</v>
      </c>
      <c r="AC550" s="471">
        <v>42479</v>
      </c>
      <c r="AD550" s="472">
        <v>9431161196</v>
      </c>
      <c r="AE550" s="473" t="s">
        <v>6057</v>
      </c>
      <c r="AF550" s="474" t="s">
        <v>1833</v>
      </c>
      <c r="AG550" s="475">
        <v>10042839918</v>
      </c>
      <c r="AH550" s="181" t="s">
        <v>6058</v>
      </c>
      <c r="AI550" s="139" t="s">
        <v>6059</v>
      </c>
      <c r="AJ550" s="476">
        <v>908724344903</v>
      </c>
      <c r="AK550" s="470"/>
      <c r="AL550" s="461">
        <v>45476</v>
      </c>
      <c r="AM550" s="477">
        <v>45500</v>
      </c>
      <c r="AN550" s="478" t="s">
        <v>5072</v>
      </c>
      <c r="AO550" s="140" t="s">
        <v>6060</v>
      </c>
      <c r="AP550" s="58"/>
      <c r="AQ550" s="97" t="s">
        <v>6060</v>
      </c>
      <c r="AR550" s="462"/>
      <c r="AS550" s="479"/>
      <c r="AT550" s="479"/>
      <c r="AU550" s="480">
        <v>27996</v>
      </c>
      <c r="AV550" s="181" t="s">
        <v>1389</v>
      </c>
      <c r="AW550" s="31" t="s">
        <v>32</v>
      </c>
      <c r="AX550" s="139">
        <v>2</v>
      </c>
      <c r="AY550" s="58" t="s">
        <v>2068</v>
      </c>
      <c r="AZ550" s="58" t="s">
        <v>26</v>
      </c>
      <c r="BA550" s="58" t="s">
        <v>151</v>
      </c>
      <c r="BB550" s="58" t="s">
        <v>1407</v>
      </c>
      <c r="BC550" s="58"/>
    </row>
    <row r="551" spans="1:55" x14ac:dyDescent="0.25">
      <c r="A551" s="10">
        <f t="shared" si="23"/>
        <v>550</v>
      </c>
      <c r="B551" s="181" t="s">
        <v>6061</v>
      </c>
      <c r="C551" s="592" t="s">
        <v>1407</v>
      </c>
      <c r="D551" s="457">
        <v>400305</v>
      </c>
      <c r="E551" s="181" t="s">
        <v>36</v>
      </c>
      <c r="F551" s="97" t="s">
        <v>6062</v>
      </c>
      <c r="G551" s="139">
        <v>6</v>
      </c>
      <c r="H551" s="458" t="s">
        <v>6063</v>
      </c>
      <c r="I551" s="458" t="s">
        <v>6064</v>
      </c>
      <c r="J551" s="458">
        <v>0.25</v>
      </c>
      <c r="K551" s="58" t="s">
        <v>147</v>
      </c>
      <c r="L551" s="97" t="s">
        <v>281</v>
      </c>
      <c r="M551" s="97" t="s">
        <v>26</v>
      </c>
      <c r="N551" s="58" t="s">
        <v>38</v>
      </c>
      <c r="O551" s="58" t="s">
        <v>5050</v>
      </c>
      <c r="P551" s="206">
        <v>44235</v>
      </c>
      <c r="Q551" s="460">
        <v>44235</v>
      </c>
      <c r="R551" s="460">
        <v>44964</v>
      </c>
      <c r="S551" s="461">
        <f>R551+1</f>
        <v>44965</v>
      </c>
      <c r="T551" s="139"/>
      <c r="U551" s="139"/>
      <c r="V551" s="139"/>
      <c r="W551" s="139"/>
      <c r="X551" s="139"/>
      <c r="Y551" s="462" t="s">
        <v>6065</v>
      </c>
      <c r="Z551" s="140"/>
      <c r="AA551" s="140"/>
      <c r="AB551" s="460"/>
      <c r="AC551" s="460"/>
      <c r="AD551" s="139">
        <v>8106399430</v>
      </c>
      <c r="AE551" s="140" t="s">
        <v>6066</v>
      </c>
      <c r="AF551" s="139" t="s">
        <v>5055</v>
      </c>
      <c r="AG551" s="491" t="s">
        <v>6067</v>
      </c>
      <c r="AH551" s="139" t="s">
        <v>6068</v>
      </c>
      <c r="AI551" s="139" t="s">
        <v>6069</v>
      </c>
      <c r="AJ551" s="464" t="s">
        <v>6070</v>
      </c>
      <c r="AK551" s="140" t="s">
        <v>6071</v>
      </c>
      <c r="AL551" s="461">
        <v>44374</v>
      </c>
      <c r="AM551" s="477"/>
      <c r="AN551" s="465"/>
      <c r="AO551" s="140"/>
      <c r="AP551" s="139"/>
      <c r="AQ551" s="139"/>
      <c r="AR551" s="181"/>
      <c r="AS551" s="458"/>
      <c r="AT551" s="458"/>
      <c r="AU551" s="461">
        <v>31543</v>
      </c>
      <c r="AV551" s="181" t="s">
        <v>1389</v>
      </c>
      <c r="AW551" s="31" t="s">
        <v>32</v>
      </c>
      <c r="AX551" s="139">
        <v>6</v>
      </c>
      <c r="AY551" s="466">
        <f>VLOOKUP(K551,[3]Master!M528:BA911,40,0)</f>
        <v>8</v>
      </c>
      <c r="AZ551" s="58" t="s">
        <v>26</v>
      </c>
      <c r="BA551" s="58" t="s">
        <v>151</v>
      </c>
      <c r="BB551" s="58" t="s">
        <v>1407</v>
      </c>
      <c r="BC551" s="58"/>
    </row>
    <row r="552" spans="1:55" x14ac:dyDescent="0.25">
      <c r="A552" s="10">
        <f t="shared" si="23"/>
        <v>551</v>
      </c>
      <c r="B552" s="181" t="s">
        <v>5950</v>
      </c>
      <c r="C552" s="592" t="s">
        <v>1407</v>
      </c>
      <c r="D552" s="457">
        <v>400306</v>
      </c>
      <c r="E552" s="181" t="s">
        <v>36</v>
      </c>
      <c r="F552" s="97" t="s">
        <v>5951</v>
      </c>
      <c r="G552" s="139">
        <v>6</v>
      </c>
      <c r="H552" s="458">
        <v>0.4375</v>
      </c>
      <c r="I552" s="458">
        <v>0.47916666666666669</v>
      </c>
      <c r="J552" s="458">
        <v>4.1666666666666664E-2</v>
      </c>
      <c r="K552" s="100" t="s">
        <v>961</v>
      </c>
      <c r="L552" s="97"/>
      <c r="M552" s="97" t="s">
        <v>1376</v>
      </c>
      <c r="N552" s="58" t="s">
        <v>1393</v>
      </c>
      <c r="O552" s="58"/>
      <c r="P552" s="206">
        <v>44244</v>
      </c>
      <c r="Q552" s="460">
        <v>44244</v>
      </c>
      <c r="R552" s="460">
        <v>44973</v>
      </c>
      <c r="S552" s="461">
        <f>R552+1</f>
        <v>44974</v>
      </c>
      <c r="T552" s="139"/>
      <c r="U552" s="139"/>
      <c r="V552" s="139"/>
      <c r="W552" s="139"/>
      <c r="X552" s="139"/>
      <c r="Y552" s="462" t="s">
        <v>226</v>
      </c>
      <c r="Z552" s="140" t="s">
        <v>5952</v>
      </c>
      <c r="AA552" s="140" t="s">
        <v>1841</v>
      </c>
      <c r="AB552" s="460">
        <v>44151</v>
      </c>
      <c r="AC552" s="460">
        <v>45977</v>
      </c>
      <c r="AD552" s="139">
        <v>9533871312</v>
      </c>
      <c r="AE552" s="140" t="s">
        <v>5953</v>
      </c>
      <c r="AF552" s="139" t="s">
        <v>1430</v>
      </c>
      <c r="AG552" s="463">
        <v>50100129627420</v>
      </c>
      <c r="AH552" s="139" t="s">
        <v>2631</v>
      </c>
      <c r="AI552" s="139" t="s">
        <v>5954</v>
      </c>
      <c r="AJ552" s="464">
        <v>636530827583</v>
      </c>
      <c r="AK552" s="140" t="s">
        <v>5955</v>
      </c>
      <c r="AL552" s="206">
        <v>44439</v>
      </c>
      <c r="AM552" s="477"/>
      <c r="AN552" s="465"/>
      <c r="AO552" s="140"/>
      <c r="AP552" s="139"/>
      <c r="AQ552" s="139"/>
      <c r="AR552" s="181"/>
      <c r="AS552" s="458"/>
      <c r="AT552" s="458"/>
      <c r="AU552" s="461">
        <v>34941</v>
      </c>
      <c r="AV552" s="181" t="s">
        <v>1352</v>
      </c>
      <c r="AW552" s="31" t="s">
        <v>32</v>
      </c>
      <c r="AX552" s="139">
        <v>1</v>
      </c>
      <c r="AY552" s="466">
        <f>VLOOKUP(K552,[3]Master!M529:BA912,40,0)</f>
        <v>1</v>
      </c>
      <c r="AZ552" s="58" t="s">
        <v>1390</v>
      </c>
      <c r="BA552" s="58" t="s">
        <v>151</v>
      </c>
      <c r="BB552" s="58" t="s">
        <v>1407</v>
      </c>
      <c r="BC552" s="58"/>
    </row>
    <row r="553" spans="1:55" x14ac:dyDescent="0.25">
      <c r="A553" s="10">
        <f t="shared" si="23"/>
        <v>552</v>
      </c>
      <c r="B553" s="181" t="s">
        <v>6072</v>
      </c>
      <c r="C553" s="592" t="s">
        <v>1407</v>
      </c>
      <c r="D553" s="457">
        <v>400308</v>
      </c>
      <c r="E553" s="181" t="s">
        <v>36</v>
      </c>
      <c r="F553" s="97" t="s">
        <v>6073</v>
      </c>
      <c r="G553" s="139">
        <v>6</v>
      </c>
      <c r="H553" s="469" t="s">
        <v>5491</v>
      </c>
      <c r="I553" s="469" t="s">
        <v>236</v>
      </c>
      <c r="J553" s="458">
        <f>I553-H553</f>
        <v>0.25</v>
      </c>
      <c r="K553" s="143" t="s">
        <v>477</v>
      </c>
      <c r="L553" s="97" t="s">
        <v>2015</v>
      </c>
      <c r="M553" s="63" t="s">
        <v>1355</v>
      </c>
      <c r="N553" s="100" t="s">
        <v>1520</v>
      </c>
      <c r="O553" s="58" t="s">
        <v>5168</v>
      </c>
      <c r="P553" s="206">
        <v>44249</v>
      </c>
      <c r="Q553" s="206">
        <v>44979</v>
      </c>
      <c r="R553" s="206">
        <v>45709</v>
      </c>
      <c r="S553" s="461">
        <v>45710</v>
      </c>
      <c r="T553" s="139">
        <v>2011</v>
      </c>
      <c r="U553" s="181" t="s">
        <v>424</v>
      </c>
      <c r="V553" s="139">
        <v>2016</v>
      </c>
      <c r="W553" s="140" t="s">
        <v>209</v>
      </c>
      <c r="X553" s="181" t="s">
        <v>30</v>
      </c>
      <c r="Y553" s="58" t="s">
        <v>5214</v>
      </c>
      <c r="Z553" s="140">
        <v>72104</v>
      </c>
      <c r="AA553" s="97" t="s">
        <v>1841</v>
      </c>
      <c r="AB553" s="471">
        <v>44889</v>
      </c>
      <c r="AC553" s="471">
        <v>46714</v>
      </c>
      <c r="AD553" s="472">
        <v>9493403133</v>
      </c>
      <c r="AE553" s="473" t="s">
        <v>6074</v>
      </c>
      <c r="AF553" s="97" t="s">
        <v>5086</v>
      </c>
      <c r="AG553" s="482" t="s">
        <v>6075</v>
      </c>
      <c r="AH553" s="181" t="s">
        <v>6076</v>
      </c>
      <c r="AI553" s="139" t="s">
        <v>6077</v>
      </c>
      <c r="AJ553" s="464" t="s">
        <v>6078</v>
      </c>
      <c r="AK553" s="97" t="s">
        <v>6079</v>
      </c>
      <c r="AL553" s="206">
        <v>45414</v>
      </c>
      <c r="AM553" s="477">
        <v>45395</v>
      </c>
      <c r="AN553" s="465" t="s">
        <v>5098</v>
      </c>
      <c r="AO553" s="97"/>
      <c r="AP553" s="58"/>
      <c r="AQ553" s="486"/>
      <c r="AR553" s="462"/>
      <c r="AS553" s="479">
        <v>0.375</v>
      </c>
      <c r="AT553" s="479">
        <v>0.625</v>
      </c>
      <c r="AU553" s="461">
        <v>31797</v>
      </c>
      <c r="AV553" s="181" t="s">
        <v>1389</v>
      </c>
      <c r="AW553" s="31" t="s">
        <v>32</v>
      </c>
      <c r="AX553" s="139">
        <v>6</v>
      </c>
      <c r="AY553" s="466">
        <f>VLOOKUP(K553,[3]Master!M530:BA913,40,0)</f>
        <v>3</v>
      </c>
      <c r="AZ553" s="58" t="s">
        <v>1373</v>
      </c>
      <c r="BA553" s="58" t="s">
        <v>151</v>
      </c>
      <c r="BB553" s="58" t="s">
        <v>1407</v>
      </c>
      <c r="BC553" s="58"/>
    </row>
    <row r="554" spans="1:55" x14ac:dyDescent="0.25">
      <c r="A554" s="10">
        <f t="shared" si="23"/>
        <v>553</v>
      </c>
      <c r="B554" s="181" t="s">
        <v>6080</v>
      </c>
      <c r="C554" s="592" t="s">
        <v>1407</v>
      </c>
      <c r="D554" s="457">
        <v>400309</v>
      </c>
      <c r="E554" s="181" t="s">
        <v>36</v>
      </c>
      <c r="F554" s="97" t="s">
        <v>6081</v>
      </c>
      <c r="G554" s="139">
        <v>6</v>
      </c>
      <c r="H554" s="458">
        <v>0.375</v>
      </c>
      <c r="I554" s="458">
        <v>0.41666666666666669</v>
      </c>
      <c r="J554" s="458">
        <v>4.1666666666666664E-2</v>
      </c>
      <c r="K554" s="58" t="s">
        <v>791</v>
      </c>
      <c r="L554" s="97"/>
      <c r="M554" s="97" t="s">
        <v>1376</v>
      </c>
      <c r="N554" s="58" t="s">
        <v>1393</v>
      </c>
      <c r="O554" s="58"/>
      <c r="P554" s="206">
        <v>44249</v>
      </c>
      <c r="Q554" s="460">
        <v>44249</v>
      </c>
      <c r="R554" s="460">
        <v>44978</v>
      </c>
      <c r="S554" s="461">
        <f t="shared" ref="S554:S567" si="25">R554+1</f>
        <v>44979</v>
      </c>
      <c r="T554" s="139"/>
      <c r="U554" s="139"/>
      <c r="V554" s="139"/>
      <c r="W554" s="139"/>
      <c r="X554" s="139"/>
      <c r="Y554" s="462" t="s">
        <v>226</v>
      </c>
      <c r="Z554" s="140">
        <v>38564</v>
      </c>
      <c r="AA554" s="140" t="s">
        <v>1841</v>
      </c>
      <c r="AB554" s="460">
        <v>43557</v>
      </c>
      <c r="AC554" s="460">
        <v>45383</v>
      </c>
      <c r="AD554" s="139">
        <v>8008925975</v>
      </c>
      <c r="AE554" s="140" t="s">
        <v>6082</v>
      </c>
      <c r="AF554" s="139" t="s">
        <v>1364</v>
      </c>
      <c r="AG554" s="463" t="s">
        <v>6083</v>
      </c>
      <c r="AH554" s="139" t="s">
        <v>6084</v>
      </c>
      <c r="AI554" s="139" t="s">
        <v>6085</v>
      </c>
      <c r="AJ554" s="475" t="s">
        <v>6086</v>
      </c>
      <c r="AK554" s="140" t="s">
        <v>6087</v>
      </c>
      <c r="AL554" s="206">
        <v>44312</v>
      </c>
      <c r="AM554" s="477"/>
      <c r="AN554" s="465"/>
      <c r="AO554" s="140"/>
      <c r="AP554" s="139"/>
      <c r="AQ554" s="139"/>
      <c r="AR554" s="181"/>
      <c r="AS554" s="458"/>
      <c r="AT554" s="458"/>
      <c r="AU554" s="461">
        <v>25319</v>
      </c>
      <c r="AV554" s="181" t="s">
        <v>1352</v>
      </c>
      <c r="AW554" s="31" t="s">
        <v>32</v>
      </c>
      <c r="AX554" s="139">
        <v>1</v>
      </c>
      <c r="AY554" s="466">
        <f>VLOOKUP(K554,[3]Master!M531:BA914,40,0)</f>
        <v>3</v>
      </c>
      <c r="AZ554" s="58" t="s">
        <v>1390</v>
      </c>
      <c r="BA554" s="58" t="s">
        <v>151</v>
      </c>
      <c r="BB554" s="58" t="s">
        <v>1407</v>
      </c>
      <c r="BC554" s="58"/>
    </row>
    <row r="555" spans="1:55" x14ac:dyDescent="0.25">
      <c r="A555" s="10">
        <f t="shared" si="23"/>
        <v>554</v>
      </c>
      <c r="B555" s="181" t="s">
        <v>6080</v>
      </c>
      <c r="C555" s="592" t="s">
        <v>1407</v>
      </c>
      <c r="D555" s="457">
        <v>400310</v>
      </c>
      <c r="E555" s="181" t="s">
        <v>36</v>
      </c>
      <c r="F555" s="97" t="s">
        <v>6081</v>
      </c>
      <c r="G555" s="139">
        <v>6</v>
      </c>
      <c r="H555" s="458">
        <v>0.41666666666666669</v>
      </c>
      <c r="I555" s="458">
        <v>0.45833333333333331</v>
      </c>
      <c r="J555" s="458">
        <v>4.1666666666666664E-2</v>
      </c>
      <c r="K555" s="100" t="s">
        <v>6088</v>
      </c>
      <c r="L555" s="97"/>
      <c r="M555" s="97" t="s">
        <v>1376</v>
      </c>
      <c r="N555" s="58" t="s">
        <v>1393</v>
      </c>
      <c r="O555" s="58"/>
      <c r="P555" s="206">
        <v>44249</v>
      </c>
      <c r="Q555" s="460">
        <v>44249</v>
      </c>
      <c r="R555" s="460">
        <v>44978</v>
      </c>
      <c r="S555" s="461">
        <f t="shared" si="25"/>
        <v>44979</v>
      </c>
      <c r="T555" s="139"/>
      <c r="U555" s="139"/>
      <c r="V555" s="139"/>
      <c r="W555" s="139"/>
      <c r="X555" s="139"/>
      <c r="Y555" s="462" t="s">
        <v>226</v>
      </c>
      <c r="Z555" s="140">
        <v>38564</v>
      </c>
      <c r="AA555" s="140" t="s">
        <v>1841</v>
      </c>
      <c r="AB555" s="460">
        <v>43557</v>
      </c>
      <c r="AC555" s="460">
        <v>45383</v>
      </c>
      <c r="AD555" s="139">
        <v>8008925975</v>
      </c>
      <c r="AE555" s="140" t="s">
        <v>6082</v>
      </c>
      <c r="AF555" s="139" t="s">
        <v>1364</v>
      </c>
      <c r="AG555" s="463" t="s">
        <v>6083</v>
      </c>
      <c r="AH555" s="139" t="s">
        <v>6084</v>
      </c>
      <c r="AI555" s="139" t="s">
        <v>6085</v>
      </c>
      <c r="AJ555" s="475" t="s">
        <v>6086</v>
      </c>
      <c r="AK555" s="140" t="s">
        <v>6087</v>
      </c>
      <c r="AL555" s="206">
        <v>44312</v>
      </c>
      <c r="AM555" s="477"/>
      <c r="AN555" s="465"/>
      <c r="AO555" s="140"/>
      <c r="AP555" s="139"/>
      <c r="AQ555" s="139"/>
      <c r="AR555" s="181"/>
      <c r="AS555" s="458"/>
      <c r="AT555" s="458"/>
      <c r="AU555" s="461">
        <v>25319</v>
      </c>
      <c r="AV555" s="181" t="s">
        <v>1352</v>
      </c>
      <c r="AW555" s="31" t="s">
        <v>32</v>
      </c>
      <c r="AX555" s="139">
        <v>1</v>
      </c>
      <c r="AY555" s="58" t="s">
        <v>1959</v>
      </c>
      <c r="AZ555" s="58" t="s">
        <v>1390</v>
      </c>
      <c r="BA555" s="58" t="s">
        <v>151</v>
      </c>
      <c r="BB555" s="58" t="s">
        <v>1407</v>
      </c>
      <c r="BC555" s="58"/>
    </row>
    <row r="556" spans="1:55" x14ac:dyDescent="0.25">
      <c r="A556" s="10">
        <f t="shared" si="23"/>
        <v>555</v>
      </c>
      <c r="B556" s="181" t="s">
        <v>6089</v>
      </c>
      <c r="C556" s="592" t="s">
        <v>1407</v>
      </c>
      <c r="D556" s="457">
        <v>400311</v>
      </c>
      <c r="E556" s="181" t="s">
        <v>36</v>
      </c>
      <c r="F556" s="97" t="s">
        <v>6090</v>
      </c>
      <c r="G556" s="139">
        <v>6</v>
      </c>
      <c r="H556" s="458">
        <v>0.22916666666666666</v>
      </c>
      <c r="I556" s="458">
        <v>0.3125</v>
      </c>
      <c r="J556" s="458">
        <v>8.3333333333333329E-2</v>
      </c>
      <c r="K556" s="100" t="s">
        <v>819</v>
      </c>
      <c r="L556" s="97" t="s">
        <v>6091</v>
      </c>
      <c r="M556" s="97" t="s">
        <v>26</v>
      </c>
      <c r="N556" s="58" t="s">
        <v>38</v>
      </c>
      <c r="O556" s="58" t="s">
        <v>5050</v>
      </c>
      <c r="P556" s="206">
        <v>44256</v>
      </c>
      <c r="Q556" s="460">
        <v>44256</v>
      </c>
      <c r="R556" s="460">
        <v>44985</v>
      </c>
      <c r="S556" s="461">
        <f t="shared" si="25"/>
        <v>44986</v>
      </c>
      <c r="T556" s="139"/>
      <c r="U556" s="139"/>
      <c r="V556" s="139"/>
      <c r="W556" s="139"/>
      <c r="X556" s="139"/>
      <c r="Y556" s="462" t="s">
        <v>5141</v>
      </c>
      <c r="Z556" s="140" t="s">
        <v>6092</v>
      </c>
      <c r="AA556" s="140" t="s">
        <v>1841</v>
      </c>
      <c r="AB556" s="460">
        <v>43432</v>
      </c>
      <c r="AC556" s="460">
        <v>45257</v>
      </c>
      <c r="AD556" s="139">
        <v>8179333132</v>
      </c>
      <c r="AE556" s="140" t="s">
        <v>6093</v>
      </c>
      <c r="AF556" s="139" t="s">
        <v>1400</v>
      </c>
      <c r="AG556" s="491" t="s">
        <v>6094</v>
      </c>
      <c r="AH556" s="139" t="s">
        <v>6095</v>
      </c>
      <c r="AI556" s="139" t="s">
        <v>6096</v>
      </c>
      <c r="AJ556" s="475" t="s">
        <v>6097</v>
      </c>
      <c r="AK556" s="140" t="s">
        <v>6098</v>
      </c>
      <c r="AL556" s="461">
        <v>44316</v>
      </c>
      <c r="AM556" s="477"/>
      <c r="AN556" s="465"/>
      <c r="AO556" s="140"/>
      <c r="AP556" s="139"/>
      <c r="AQ556" s="139"/>
      <c r="AR556" s="181"/>
      <c r="AS556" s="458"/>
      <c r="AT556" s="458"/>
      <c r="AU556" s="461">
        <v>32646</v>
      </c>
      <c r="AV556" s="181" t="s">
        <v>1389</v>
      </c>
      <c r="AW556" s="31" t="s">
        <v>32</v>
      </c>
      <c r="AX556" s="139">
        <v>2</v>
      </c>
      <c r="AY556" s="466">
        <f>VLOOKUP(K556,[3]Master!M533:BA916,40,0)</f>
        <v>2</v>
      </c>
      <c r="AZ556" s="58" t="s">
        <v>26</v>
      </c>
      <c r="BA556" s="58" t="s">
        <v>151</v>
      </c>
      <c r="BB556" s="58" t="s">
        <v>1407</v>
      </c>
      <c r="BC556" s="58"/>
    </row>
    <row r="557" spans="1:55" x14ac:dyDescent="0.25">
      <c r="A557" s="10">
        <f t="shared" si="23"/>
        <v>556</v>
      </c>
      <c r="B557" s="181" t="s">
        <v>6099</v>
      </c>
      <c r="C557" s="592" t="s">
        <v>1407</v>
      </c>
      <c r="D557" s="457">
        <v>400312</v>
      </c>
      <c r="E557" s="181" t="s">
        <v>36</v>
      </c>
      <c r="F557" s="97" t="s">
        <v>6100</v>
      </c>
      <c r="G557" s="139">
        <v>6</v>
      </c>
      <c r="H557" s="458">
        <v>0.39583333333333331</v>
      </c>
      <c r="I557" s="458">
        <v>0.47916666666666669</v>
      </c>
      <c r="J557" s="458">
        <v>8.3333333333333329E-2</v>
      </c>
      <c r="K557" s="58" t="s">
        <v>11084</v>
      </c>
      <c r="L557" s="97" t="s">
        <v>281</v>
      </c>
      <c r="M557" s="97" t="s">
        <v>26</v>
      </c>
      <c r="N557" s="58" t="s">
        <v>38</v>
      </c>
      <c r="O557" s="58" t="s">
        <v>5050</v>
      </c>
      <c r="P557" s="206">
        <v>44256</v>
      </c>
      <c r="Q557" s="460">
        <v>44256</v>
      </c>
      <c r="R557" s="460">
        <v>44985</v>
      </c>
      <c r="S557" s="461">
        <f t="shared" si="25"/>
        <v>44986</v>
      </c>
      <c r="T557" s="139"/>
      <c r="U557" s="139" t="s">
        <v>642</v>
      </c>
      <c r="V557" s="139">
        <v>2011</v>
      </c>
      <c r="W557" s="139" t="s">
        <v>4526</v>
      </c>
      <c r="X557" s="139"/>
      <c r="Y557" s="462" t="s">
        <v>5078</v>
      </c>
      <c r="Z557" s="140">
        <v>72313</v>
      </c>
      <c r="AA557" s="140" t="s">
        <v>1841</v>
      </c>
      <c r="AB557" s="460">
        <v>43222</v>
      </c>
      <c r="AC557" s="460">
        <v>45047</v>
      </c>
      <c r="AD557" s="139">
        <v>9000291333</v>
      </c>
      <c r="AE557" s="140" t="s">
        <v>6101</v>
      </c>
      <c r="AF557" s="139" t="s">
        <v>1430</v>
      </c>
      <c r="AG557" s="491" t="s">
        <v>6102</v>
      </c>
      <c r="AH557" s="139" t="s">
        <v>4027</v>
      </c>
      <c r="AI557" s="139" t="s">
        <v>6103</v>
      </c>
      <c r="AJ557" s="475" t="s">
        <v>6104</v>
      </c>
      <c r="AK557" s="140" t="s">
        <v>6105</v>
      </c>
      <c r="AL557" s="461">
        <v>44291</v>
      </c>
      <c r="AM557" s="477"/>
      <c r="AN557" s="465"/>
      <c r="AO557" s="140"/>
      <c r="AP557" s="139"/>
      <c r="AQ557" s="139"/>
      <c r="AR557" s="181"/>
      <c r="AS557" s="458"/>
      <c r="AT557" s="458"/>
      <c r="AU557" s="461">
        <v>31870</v>
      </c>
      <c r="AV557" s="181" t="s">
        <v>1389</v>
      </c>
      <c r="AW557" s="31" t="s">
        <v>32</v>
      </c>
      <c r="AX557" s="139">
        <v>2</v>
      </c>
      <c r="AY557" s="58" t="s">
        <v>1959</v>
      </c>
      <c r="AZ557" s="58" t="s">
        <v>26</v>
      </c>
      <c r="BA557" s="58" t="s">
        <v>151</v>
      </c>
      <c r="BB557" s="58" t="s">
        <v>1407</v>
      </c>
      <c r="BC557" s="58"/>
    </row>
    <row r="558" spans="1:55" x14ac:dyDescent="0.25">
      <c r="A558" s="10">
        <f t="shared" si="23"/>
        <v>557</v>
      </c>
      <c r="B558" s="181" t="s">
        <v>6106</v>
      </c>
      <c r="C558" s="592" t="s">
        <v>1407</v>
      </c>
      <c r="D558" s="457">
        <v>400313</v>
      </c>
      <c r="E558" s="181" t="s">
        <v>36</v>
      </c>
      <c r="F558" s="97" t="s">
        <v>6107</v>
      </c>
      <c r="G558" s="139">
        <v>6</v>
      </c>
      <c r="H558" s="458">
        <v>0.25</v>
      </c>
      <c r="I558" s="458">
        <v>0.33333333333333331</v>
      </c>
      <c r="J558" s="458">
        <v>8.3333333333333329E-2</v>
      </c>
      <c r="K558" s="462" t="s">
        <v>1271</v>
      </c>
      <c r="L558" s="97" t="s">
        <v>5370</v>
      </c>
      <c r="M558" s="97" t="s">
        <v>26</v>
      </c>
      <c r="N558" s="58" t="s">
        <v>38</v>
      </c>
      <c r="O558" s="58" t="s">
        <v>5050</v>
      </c>
      <c r="P558" s="206">
        <v>44256</v>
      </c>
      <c r="Q558" s="460">
        <v>44256</v>
      </c>
      <c r="R558" s="460">
        <v>44985</v>
      </c>
      <c r="S558" s="461">
        <f t="shared" si="25"/>
        <v>44986</v>
      </c>
      <c r="T558" s="139"/>
      <c r="U558" s="139"/>
      <c r="V558" s="139"/>
      <c r="W558" s="139"/>
      <c r="X558" s="139"/>
      <c r="Y558" s="462" t="s">
        <v>5078</v>
      </c>
      <c r="Z558" s="140">
        <v>72615</v>
      </c>
      <c r="AA558" s="140" t="s">
        <v>1886</v>
      </c>
      <c r="AB558" s="460">
        <v>44216</v>
      </c>
      <c r="AC558" s="460">
        <v>46041</v>
      </c>
      <c r="AD558" s="139">
        <v>9676684400</v>
      </c>
      <c r="AE558" s="140" t="s">
        <v>6108</v>
      </c>
      <c r="AF558" s="139" t="s">
        <v>6109</v>
      </c>
      <c r="AG558" s="491" t="s">
        <v>6110</v>
      </c>
      <c r="AH558" s="139" t="s">
        <v>6111</v>
      </c>
      <c r="AI558" s="139" t="s">
        <v>6112</v>
      </c>
      <c r="AJ558" s="475" t="s">
        <v>6113</v>
      </c>
      <c r="AK558" s="140" t="s">
        <v>6114</v>
      </c>
      <c r="AL558" s="461">
        <v>44293</v>
      </c>
      <c r="AM558" s="477"/>
      <c r="AN558" s="465"/>
      <c r="AO558" s="140"/>
      <c r="AP558" s="139"/>
      <c r="AQ558" s="139"/>
      <c r="AR558" s="181"/>
      <c r="AS558" s="458"/>
      <c r="AT558" s="458"/>
      <c r="AU558" s="461">
        <v>31958</v>
      </c>
      <c r="AV558" s="181" t="s">
        <v>1389</v>
      </c>
      <c r="AW558" s="31" t="s">
        <v>32</v>
      </c>
      <c r="AX558" s="139">
        <v>2</v>
      </c>
      <c r="AY558" s="58" t="s">
        <v>1968</v>
      </c>
      <c r="AZ558" s="58" t="s">
        <v>26</v>
      </c>
      <c r="BA558" s="58" t="s">
        <v>151</v>
      </c>
      <c r="BB558" s="58" t="s">
        <v>1407</v>
      </c>
      <c r="BC558" s="58"/>
    </row>
    <row r="559" spans="1:55" x14ac:dyDescent="0.25">
      <c r="A559" s="10">
        <f t="shared" si="23"/>
        <v>558</v>
      </c>
      <c r="B559" s="181" t="s">
        <v>6115</v>
      </c>
      <c r="C559" s="592" t="s">
        <v>1407</v>
      </c>
      <c r="D559" s="457">
        <v>400314</v>
      </c>
      <c r="E559" s="181" t="s">
        <v>36</v>
      </c>
      <c r="F559" s="97" t="s">
        <v>6116</v>
      </c>
      <c r="G559" s="139">
        <v>6</v>
      </c>
      <c r="H559" s="458">
        <v>0.20833333333333334</v>
      </c>
      <c r="I559" s="458">
        <v>0.25</v>
      </c>
      <c r="J559" s="458">
        <v>4.1666666666666664E-2</v>
      </c>
      <c r="K559" s="58" t="s">
        <v>207</v>
      </c>
      <c r="L559" s="97"/>
      <c r="M559" s="97" t="s">
        <v>1376</v>
      </c>
      <c r="N559" s="58" t="s">
        <v>1393</v>
      </c>
      <c r="O559" s="58"/>
      <c r="P559" s="206">
        <v>44258</v>
      </c>
      <c r="Q559" s="460">
        <v>44258</v>
      </c>
      <c r="R559" s="460">
        <v>44987</v>
      </c>
      <c r="S559" s="461">
        <f t="shared" si="25"/>
        <v>44988</v>
      </c>
      <c r="T559" s="139"/>
      <c r="U559" s="139"/>
      <c r="V559" s="139"/>
      <c r="W559" s="139"/>
      <c r="X559" s="139"/>
      <c r="Y559" s="462" t="s">
        <v>226</v>
      </c>
      <c r="Z559" s="140">
        <v>69820</v>
      </c>
      <c r="AA559" s="140" t="s">
        <v>1841</v>
      </c>
      <c r="AB559" s="460">
        <v>42516</v>
      </c>
      <c r="AC559" s="460">
        <v>44341</v>
      </c>
      <c r="AD559" s="139">
        <v>9885869190</v>
      </c>
      <c r="AE559" s="140" t="s">
        <v>6117</v>
      </c>
      <c r="AF559" s="139" t="s">
        <v>5086</v>
      </c>
      <c r="AG559" s="491" t="s">
        <v>6118</v>
      </c>
      <c r="AH559" s="139" t="s">
        <v>6119</v>
      </c>
      <c r="AI559" s="139" t="s">
        <v>6120</v>
      </c>
      <c r="AJ559" s="475" t="s">
        <v>6121</v>
      </c>
      <c r="AK559" s="140" t="s">
        <v>6122</v>
      </c>
      <c r="AL559" s="206"/>
      <c r="AM559" s="477"/>
      <c r="AN559" s="465"/>
      <c r="AO559" s="140"/>
      <c r="AP559" s="139"/>
      <c r="AQ559" s="139"/>
      <c r="AR559" s="181"/>
      <c r="AS559" s="458"/>
      <c r="AT559" s="458"/>
      <c r="AU559" s="461">
        <v>31349</v>
      </c>
      <c r="AV559" s="181" t="s">
        <v>1389</v>
      </c>
      <c r="AW559" s="31" t="s">
        <v>32</v>
      </c>
      <c r="AX559" s="139">
        <v>1</v>
      </c>
      <c r="AY559" s="58" t="s">
        <v>1920</v>
      </c>
      <c r="AZ559" s="58" t="s">
        <v>1390</v>
      </c>
      <c r="BA559" s="58" t="s">
        <v>151</v>
      </c>
      <c r="BB559" s="58" t="s">
        <v>1407</v>
      </c>
      <c r="BC559" s="58"/>
    </row>
    <row r="560" spans="1:55" x14ac:dyDescent="0.25">
      <c r="A560" s="10">
        <f t="shared" si="23"/>
        <v>559</v>
      </c>
      <c r="B560" s="181" t="s">
        <v>5571</v>
      </c>
      <c r="C560" s="592" t="s">
        <v>1407</v>
      </c>
      <c r="D560" s="457">
        <v>400316</v>
      </c>
      <c r="E560" s="181" t="s">
        <v>36</v>
      </c>
      <c r="F560" s="97" t="s">
        <v>5572</v>
      </c>
      <c r="G560" s="139">
        <v>6</v>
      </c>
      <c r="H560" s="458">
        <v>0.16666666666666666</v>
      </c>
      <c r="I560" s="458">
        <v>0.25</v>
      </c>
      <c r="J560" s="458">
        <v>8.3333333333333329E-2</v>
      </c>
      <c r="K560" s="100" t="s">
        <v>275</v>
      </c>
      <c r="L560" s="97" t="s">
        <v>5573</v>
      </c>
      <c r="M560" s="97" t="s">
        <v>26</v>
      </c>
      <c r="N560" s="58" t="s">
        <v>38</v>
      </c>
      <c r="O560" s="58" t="s">
        <v>5050</v>
      </c>
      <c r="P560" s="206">
        <v>44258</v>
      </c>
      <c r="Q560" s="460">
        <v>44258</v>
      </c>
      <c r="R560" s="460">
        <v>44960</v>
      </c>
      <c r="S560" s="461">
        <f t="shared" si="25"/>
        <v>44961</v>
      </c>
      <c r="T560" s="139"/>
      <c r="U560" s="139"/>
      <c r="V560" s="139"/>
      <c r="W560" s="139"/>
      <c r="X560" s="139"/>
      <c r="Y560" s="462" t="s">
        <v>5235</v>
      </c>
      <c r="Z560" s="140" t="s">
        <v>5574</v>
      </c>
      <c r="AA560" s="140" t="s">
        <v>1841</v>
      </c>
      <c r="AB560" s="460">
        <v>43683</v>
      </c>
      <c r="AC560" s="460">
        <v>45509</v>
      </c>
      <c r="AD560" s="139">
        <v>9701659680</v>
      </c>
      <c r="AE560" s="140" t="s">
        <v>5575</v>
      </c>
      <c r="AF560" s="139" t="s">
        <v>5086</v>
      </c>
      <c r="AG560" s="463" t="s">
        <v>5576</v>
      </c>
      <c r="AH560" s="139" t="s">
        <v>5577</v>
      </c>
      <c r="AI560" s="139" t="s">
        <v>5578</v>
      </c>
      <c r="AJ560" s="464">
        <v>537551618362</v>
      </c>
      <c r="AK560" s="140" t="s">
        <v>5579</v>
      </c>
      <c r="AL560" s="461">
        <v>44317</v>
      </c>
      <c r="AM560" s="477"/>
      <c r="AN560" s="465"/>
      <c r="AO560" s="140"/>
      <c r="AP560" s="139"/>
      <c r="AQ560" s="139"/>
      <c r="AR560" s="181"/>
      <c r="AS560" s="458"/>
      <c r="AT560" s="458"/>
      <c r="AU560" s="461">
        <v>32247</v>
      </c>
      <c r="AV560" s="181" t="s">
        <v>1389</v>
      </c>
      <c r="AW560" s="31" t="s">
        <v>32</v>
      </c>
      <c r="AX560" s="139">
        <v>2</v>
      </c>
      <c r="AY560" s="466">
        <f>VLOOKUP(K560,[3]Master!M537:BA920,40,0)</f>
        <v>6</v>
      </c>
      <c r="AZ560" s="58" t="s">
        <v>26</v>
      </c>
      <c r="BA560" s="58" t="s">
        <v>151</v>
      </c>
      <c r="BB560" s="58" t="s">
        <v>1407</v>
      </c>
      <c r="BC560" s="58"/>
    </row>
    <row r="561" spans="1:55" x14ac:dyDescent="0.25">
      <c r="A561" s="10">
        <f t="shared" si="23"/>
        <v>560</v>
      </c>
      <c r="B561" s="181" t="s">
        <v>6123</v>
      </c>
      <c r="C561" s="592" t="s">
        <v>1407</v>
      </c>
      <c r="D561" s="457">
        <v>400317</v>
      </c>
      <c r="E561" s="181" t="s">
        <v>36</v>
      </c>
      <c r="F561" s="97" t="s">
        <v>6124</v>
      </c>
      <c r="G561" s="139">
        <v>6</v>
      </c>
      <c r="H561" s="458">
        <v>0.375</v>
      </c>
      <c r="I561" s="458">
        <v>0.41666666666666669</v>
      </c>
      <c r="J561" s="458">
        <v>4.1666666666666664E-2</v>
      </c>
      <c r="K561" s="143" t="s">
        <v>220</v>
      </c>
      <c r="L561" s="97"/>
      <c r="M561" s="97" t="s">
        <v>1376</v>
      </c>
      <c r="N561" s="58" t="s">
        <v>1393</v>
      </c>
      <c r="O561" s="58"/>
      <c r="P561" s="206">
        <v>44267</v>
      </c>
      <c r="Q561" s="460">
        <v>44267</v>
      </c>
      <c r="R561" s="460">
        <v>44996</v>
      </c>
      <c r="S561" s="461">
        <f t="shared" si="25"/>
        <v>44997</v>
      </c>
      <c r="T561" s="139"/>
      <c r="U561" s="139"/>
      <c r="V561" s="139"/>
      <c r="W561" s="139"/>
      <c r="X561" s="139"/>
      <c r="Y561" s="462" t="s">
        <v>226</v>
      </c>
      <c r="Z561" s="140" t="s">
        <v>6125</v>
      </c>
      <c r="AA561" s="140" t="s">
        <v>1841</v>
      </c>
      <c r="AB561" s="460">
        <v>44174</v>
      </c>
      <c r="AC561" s="460">
        <v>46000</v>
      </c>
      <c r="AD561" s="139">
        <v>9848524894</v>
      </c>
      <c r="AE561" s="140" t="s">
        <v>6126</v>
      </c>
      <c r="AF561" s="139" t="s">
        <v>1466</v>
      </c>
      <c r="AG561" s="491" t="s">
        <v>6127</v>
      </c>
      <c r="AH561" s="139" t="s">
        <v>6128</v>
      </c>
      <c r="AI561" s="139" t="s">
        <v>6129</v>
      </c>
      <c r="AJ561" s="475" t="s">
        <v>6130</v>
      </c>
      <c r="AK561" s="140" t="s">
        <v>6131</v>
      </c>
      <c r="AL561" s="206">
        <v>44302</v>
      </c>
      <c r="AM561" s="477"/>
      <c r="AN561" s="465"/>
      <c r="AO561" s="140"/>
      <c r="AP561" s="139"/>
      <c r="AQ561" s="139"/>
      <c r="AR561" s="181"/>
      <c r="AS561" s="458"/>
      <c r="AT561" s="458"/>
      <c r="AU561" s="461">
        <v>35241</v>
      </c>
      <c r="AV561" s="181" t="s">
        <v>1352</v>
      </c>
      <c r="AW561" s="31" t="s">
        <v>32</v>
      </c>
      <c r="AX561" s="139">
        <v>1</v>
      </c>
      <c r="AY561" s="466">
        <f>VLOOKUP(K561,[3]Master!M538:BA921,40,0)</f>
        <v>8</v>
      </c>
      <c r="AZ561" s="58" t="s">
        <v>1390</v>
      </c>
      <c r="BA561" s="58" t="s">
        <v>151</v>
      </c>
      <c r="BB561" s="58" t="s">
        <v>1407</v>
      </c>
      <c r="BC561" s="58"/>
    </row>
    <row r="562" spans="1:55" x14ac:dyDescent="0.25">
      <c r="A562" s="10">
        <f t="shared" si="23"/>
        <v>561</v>
      </c>
      <c r="B562" s="181" t="s">
        <v>6132</v>
      </c>
      <c r="C562" s="592" t="s">
        <v>1407</v>
      </c>
      <c r="D562" s="457">
        <v>400318</v>
      </c>
      <c r="E562" s="181" t="s">
        <v>36</v>
      </c>
      <c r="F562" s="97" t="s">
        <v>6133</v>
      </c>
      <c r="G562" s="139">
        <v>6</v>
      </c>
      <c r="H562" s="458">
        <v>0.33333333333333331</v>
      </c>
      <c r="I562" s="458">
        <v>0.375</v>
      </c>
      <c r="J562" s="458">
        <v>4.1666666666666664E-2</v>
      </c>
      <c r="K562" s="462" t="s">
        <v>532</v>
      </c>
      <c r="L562" s="97"/>
      <c r="M562" s="97" t="s">
        <v>1376</v>
      </c>
      <c r="N562" s="58" t="s">
        <v>1393</v>
      </c>
      <c r="O562" s="58"/>
      <c r="P562" s="206">
        <v>44267</v>
      </c>
      <c r="Q562" s="460">
        <v>44267</v>
      </c>
      <c r="R562" s="460">
        <v>44996</v>
      </c>
      <c r="S562" s="461">
        <f t="shared" si="25"/>
        <v>44997</v>
      </c>
      <c r="T562" s="139"/>
      <c r="U562" s="139"/>
      <c r="V562" s="139"/>
      <c r="W562" s="139"/>
      <c r="X562" s="139"/>
      <c r="Y562" s="462" t="s">
        <v>226</v>
      </c>
      <c r="Z562" s="140" t="s">
        <v>6134</v>
      </c>
      <c r="AA562" s="140" t="s">
        <v>1841</v>
      </c>
      <c r="AB562" s="460"/>
      <c r="AC562" s="460"/>
      <c r="AD562" s="139">
        <v>7780507136</v>
      </c>
      <c r="AE562" s="140" t="s">
        <v>6135</v>
      </c>
      <c r="AF562" s="139" t="s">
        <v>5086</v>
      </c>
      <c r="AG562" s="491" t="s">
        <v>6136</v>
      </c>
      <c r="AH562" s="139" t="s">
        <v>4048</v>
      </c>
      <c r="AI562" s="139" t="s">
        <v>6137</v>
      </c>
      <c r="AJ562" s="475" t="s">
        <v>6138</v>
      </c>
      <c r="AK562" s="140" t="s">
        <v>6139</v>
      </c>
      <c r="AL562" s="206">
        <v>44305</v>
      </c>
      <c r="AM562" s="477"/>
      <c r="AN562" s="465"/>
      <c r="AO562" s="140"/>
      <c r="AP562" s="139"/>
      <c r="AQ562" s="139"/>
      <c r="AR562" s="181"/>
      <c r="AS562" s="458"/>
      <c r="AT562" s="458"/>
      <c r="AU562" s="461">
        <v>32348</v>
      </c>
      <c r="AV562" s="181" t="s">
        <v>1389</v>
      </c>
      <c r="AW562" s="31" t="s">
        <v>32</v>
      </c>
      <c r="AX562" s="139">
        <v>1</v>
      </c>
      <c r="AY562" s="58" t="s">
        <v>1849</v>
      </c>
      <c r="AZ562" s="58" t="s">
        <v>1390</v>
      </c>
      <c r="BA562" s="58" t="s">
        <v>151</v>
      </c>
      <c r="BB562" s="58" t="s">
        <v>1407</v>
      </c>
      <c r="BC562" s="58"/>
    </row>
    <row r="563" spans="1:55" x14ac:dyDescent="0.25">
      <c r="A563" s="10">
        <f t="shared" si="23"/>
        <v>562</v>
      </c>
      <c r="B563" s="181" t="s">
        <v>6140</v>
      </c>
      <c r="C563" s="592" t="s">
        <v>1407</v>
      </c>
      <c r="D563" s="457">
        <v>400320</v>
      </c>
      <c r="E563" s="181" t="s">
        <v>42</v>
      </c>
      <c r="F563" s="97" t="s">
        <v>6141</v>
      </c>
      <c r="G563" s="139">
        <v>6</v>
      </c>
      <c r="H563" s="458">
        <v>0.375</v>
      </c>
      <c r="I563" s="458">
        <v>8.3333333333333329E-2</v>
      </c>
      <c r="J563" s="458">
        <v>0.20833333333333334</v>
      </c>
      <c r="K563" s="143" t="s">
        <v>640</v>
      </c>
      <c r="L563" s="97" t="s">
        <v>6142</v>
      </c>
      <c r="M563" s="97" t="s">
        <v>26</v>
      </c>
      <c r="N563" s="58" t="s">
        <v>38</v>
      </c>
      <c r="O563" s="58" t="s">
        <v>5050</v>
      </c>
      <c r="P563" s="206">
        <v>44270</v>
      </c>
      <c r="Q563" s="460">
        <v>44270</v>
      </c>
      <c r="R563" s="460">
        <v>44999</v>
      </c>
      <c r="S563" s="461">
        <f t="shared" si="25"/>
        <v>45000</v>
      </c>
      <c r="T563" s="139"/>
      <c r="U563" s="139"/>
      <c r="V563" s="139"/>
      <c r="W563" s="139"/>
      <c r="X563" s="139"/>
      <c r="Y563" s="462" t="s">
        <v>5151</v>
      </c>
      <c r="Z563" s="140" t="s">
        <v>6143</v>
      </c>
      <c r="AA563" s="140" t="s">
        <v>1841</v>
      </c>
      <c r="AB563" s="460">
        <v>42915</v>
      </c>
      <c r="AC563" s="460">
        <v>44740</v>
      </c>
      <c r="AD563" s="139">
        <v>8985574678</v>
      </c>
      <c r="AE563" s="140" t="s">
        <v>6144</v>
      </c>
      <c r="AF563" s="139" t="s">
        <v>5086</v>
      </c>
      <c r="AG563" s="491" t="s">
        <v>6145</v>
      </c>
      <c r="AH563" s="139" t="s">
        <v>6146</v>
      </c>
      <c r="AI563" s="139" t="s">
        <v>6147</v>
      </c>
      <c r="AJ563" s="475" t="s">
        <v>6148</v>
      </c>
      <c r="AK563" s="140" t="s">
        <v>6149</v>
      </c>
      <c r="AL563" s="461">
        <v>44416</v>
      </c>
      <c r="AM563" s="477"/>
      <c r="AN563" s="465"/>
      <c r="AO563" s="140"/>
      <c r="AP563" s="139"/>
      <c r="AQ563" s="139"/>
      <c r="AR563" s="181"/>
      <c r="AS563" s="458"/>
      <c r="AT563" s="458"/>
      <c r="AU563" s="461">
        <v>32031</v>
      </c>
      <c r="AV563" s="181" t="s">
        <v>1352</v>
      </c>
      <c r="AW563" s="31" t="s">
        <v>32</v>
      </c>
      <c r="AX563" s="139">
        <v>5</v>
      </c>
      <c r="AY563" s="466">
        <f>VLOOKUP(K563,[3]Master!M540:BA923,40,0)</f>
        <v>5</v>
      </c>
      <c r="AZ563" s="58" t="s">
        <v>26</v>
      </c>
      <c r="BA563" s="58" t="s">
        <v>151</v>
      </c>
      <c r="BB563" s="58" t="s">
        <v>1407</v>
      </c>
      <c r="BC563" s="58"/>
    </row>
    <row r="564" spans="1:55" x14ac:dyDescent="0.25">
      <c r="A564" s="10">
        <f t="shared" si="23"/>
        <v>563</v>
      </c>
      <c r="B564" s="181" t="s">
        <v>6150</v>
      </c>
      <c r="C564" s="592" t="s">
        <v>1407</v>
      </c>
      <c r="D564" s="457">
        <v>400321</v>
      </c>
      <c r="E564" s="181" t="s">
        <v>36</v>
      </c>
      <c r="F564" s="97" t="s">
        <v>6151</v>
      </c>
      <c r="G564" s="139">
        <v>6</v>
      </c>
      <c r="H564" s="458">
        <v>0.33333333333333331</v>
      </c>
      <c r="I564" s="458">
        <v>0.375</v>
      </c>
      <c r="J564" s="458">
        <v>4.1666666666666664E-2</v>
      </c>
      <c r="K564" s="100" t="s">
        <v>287</v>
      </c>
      <c r="L564" s="97" t="s">
        <v>1376</v>
      </c>
      <c r="M564" s="97" t="s">
        <v>1376</v>
      </c>
      <c r="N564" s="58" t="s">
        <v>1393</v>
      </c>
      <c r="O564" s="58" t="s">
        <v>3290</v>
      </c>
      <c r="P564" s="206">
        <v>44272</v>
      </c>
      <c r="Q564" s="460">
        <v>44272</v>
      </c>
      <c r="R564" s="460">
        <v>45001</v>
      </c>
      <c r="S564" s="461">
        <f t="shared" si="25"/>
        <v>45002</v>
      </c>
      <c r="T564" s="139"/>
      <c r="U564" s="139"/>
      <c r="V564" s="139"/>
      <c r="W564" s="139"/>
      <c r="X564" s="139"/>
      <c r="Y564" s="462" t="s">
        <v>226</v>
      </c>
      <c r="Z564" s="140" t="s">
        <v>6152</v>
      </c>
      <c r="AA564" s="140" t="s">
        <v>1886</v>
      </c>
      <c r="AB564" s="460">
        <v>42664</v>
      </c>
      <c r="AC564" s="460">
        <v>44490</v>
      </c>
      <c r="AD564" s="139">
        <v>8247377262</v>
      </c>
      <c r="AE564" s="140" t="s">
        <v>6153</v>
      </c>
      <c r="AF564" s="139" t="s">
        <v>1400</v>
      </c>
      <c r="AG564" s="491" t="s">
        <v>6154</v>
      </c>
      <c r="AH564" s="139" t="s">
        <v>6155</v>
      </c>
      <c r="AI564" s="139" t="s">
        <v>6156</v>
      </c>
      <c r="AJ564" s="475" t="s">
        <v>6157</v>
      </c>
      <c r="AK564" s="140" t="s">
        <v>6158</v>
      </c>
      <c r="AL564" s="206"/>
      <c r="AM564" s="477"/>
      <c r="AN564" s="465"/>
      <c r="AO564" s="140"/>
      <c r="AP564" s="139"/>
      <c r="AQ564" s="139" t="e">
        <v>#REF!</v>
      </c>
      <c r="AR564" s="181"/>
      <c r="AS564" s="458"/>
      <c r="AT564" s="458"/>
      <c r="AU564" s="461">
        <v>33254</v>
      </c>
      <c r="AV564" s="181" t="s">
        <v>1389</v>
      </c>
      <c r="AW564" s="31" t="s">
        <v>32</v>
      </c>
      <c r="AX564" s="139">
        <v>1</v>
      </c>
      <c r="AY564" s="466">
        <f>VLOOKUP(K564,[3]Master!M541:BA924,40,0)</f>
        <v>1</v>
      </c>
      <c r="AZ564" s="58" t="s">
        <v>1390</v>
      </c>
      <c r="BA564" s="58" t="s">
        <v>151</v>
      </c>
      <c r="BB564" s="58" t="s">
        <v>1407</v>
      </c>
      <c r="BC564" s="58"/>
    </row>
    <row r="565" spans="1:55" x14ac:dyDescent="0.25">
      <c r="A565" s="10">
        <f t="shared" si="23"/>
        <v>564</v>
      </c>
      <c r="B565" s="181" t="s">
        <v>6159</v>
      </c>
      <c r="C565" s="592" t="s">
        <v>1407</v>
      </c>
      <c r="D565" s="457">
        <v>400322</v>
      </c>
      <c r="E565" s="181" t="s">
        <v>36</v>
      </c>
      <c r="F565" s="97" t="s">
        <v>6160</v>
      </c>
      <c r="G565" s="139">
        <v>6</v>
      </c>
      <c r="H565" s="458">
        <v>0.375</v>
      </c>
      <c r="I565" s="458">
        <v>0.41666666666666669</v>
      </c>
      <c r="J565" s="458">
        <v>4.1666666666666664E-2</v>
      </c>
      <c r="K565" s="58" t="s">
        <v>693</v>
      </c>
      <c r="L565" s="97"/>
      <c r="M565" s="97" t="s">
        <v>1376</v>
      </c>
      <c r="N565" s="58" t="s">
        <v>1393</v>
      </c>
      <c r="O565" s="58"/>
      <c r="P565" s="206">
        <v>44272</v>
      </c>
      <c r="Q565" s="460">
        <v>44272</v>
      </c>
      <c r="R565" s="460">
        <v>45001</v>
      </c>
      <c r="S565" s="461">
        <f t="shared" si="25"/>
        <v>45002</v>
      </c>
      <c r="T565" s="139"/>
      <c r="U565" s="139"/>
      <c r="V565" s="139"/>
      <c r="W565" s="139"/>
      <c r="X565" s="139"/>
      <c r="Y565" s="462" t="s">
        <v>226</v>
      </c>
      <c r="Z565" s="140" t="s">
        <v>6161</v>
      </c>
      <c r="AA565" s="140" t="s">
        <v>1841</v>
      </c>
      <c r="AB565" s="460">
        <v>44125</v>
      </c>
      <c r="AC565" s="460">
        <v>45951</v>
      </c>
      <c r="AD565" s="139">
        <v>8919081557</v>
      </c>
      <c r="AE565" s="140" t="s">
        <v>6162</v>
      </c>
      <c r="AF565" s="139" t="s">
        <v>1690</v>
      </c>
      <c r="AG565" s="491" t="s">
        <v>6163</v>
      </c>
      <c r="AH565" s="139" t="s">
        <v>6164</v>
      </c>
      <c r="AI565" s="139" t="s">
        <v>6165</v>
      </c>
      <c r="AJ565" s="475" t="s">
        <v>6166</v>
      </c>
      <c r="AK565" s="140" t="s">
        <v>6167</v>
      </c>
      <c r="AL565" s="206">
        <v>44377</v>
      </c>
      <c r="AM565" s="477"/>
      <c r="AN565" s="465"/>
      <c r="AO565" s="140"/>
      <c r="AP565" s="139"/>
      <c r="AQ565" s="139"/>
      <c r="AR565" s="181"/>
      <c r="AS565" s="458"/>
      <c r="AT565" s="458"/>
      <c r="AU565" s="461">
        <v>35658</v>
      </c>
      <c r="AV565" s="181" t="s">
        <v>1389</v>
      </c>
      <c r="AW565" s="31" t="s">
        <v>32</v>
      </c>
      <c r="AX565" s="139">
        <v>1</v>
      </c>
      <c r="AY565" s="466">
        <f>VLOOKUP(K565,[3]Master!M542:BA925,40,0)</f>
        <v>1</v>
      </c>
      <c r="AZ565" s="58" t="s">
        <v>1390</v>
      </c>
      <c r="BA565" s="58" t="s">
        <v>151</v>
      </c>
      <c r="BB565" s="58" t="s">
        <v>1407</v>
      </c>
      <c r="BC565" s="58"/>
    </row>
    <row r="566" spans="1:55" x14ac:dyDescent="0.25">
      <c r="A566" s="10">
        <f t="shared" si="23"/>
        <v>565</v>
      </c>
      <c r="B566" s="181" t="s">
        <v>6168</v>
      </c>
      <c r="C566" s="592" t="s">
        <v>1407</v>
      </c>
      <c r="D566" s="457">
        <v>400323</v>
      </c>
      <c r="E566" s="181" t="s">
        <v>36</v>
      </c>
      <c r="F566" s="97" t="s">
        <v>6169</v>
      </c>
      <c r="G566" s="139">
        <v>6</v>
      </c>
      <c r="H566" s="458">
        <v>0.33333333333333331</v>
      </c>
      <c r="I566" s="458">
        <v>0.41666666666666669</v>
      </c>
      <c r="J566" s="458">
        <v>8.3333333333333329E-2</v>
      </c>
      <c r="K566" s="58" t="s">
        <v>11085</v>
      </c>
      <c r="L566" s="97" t="s">
        <v>6170</v>
      </c>
      <c r="M566" s="97" t="s">
        <v>26</v>
      </c>
      <c r="N566" s="58" t="s">
        <v>38</v>
      </c>
      <c r="O566" s="58" t="s">
        <v>5050</v>
      </c>
      <c r="P566" s="206">
        <v>44277</v>
      </c>
      <c r="Q566" s="460">
        <v>44277</v>
      </c>
      <c r="R566" s="460">
        <v>45006</v>
      </c>
      <c r="S566" s="461">
        <f t="shared" si="25"/>
        <v>45007</v>
      </c>
      <c r="T566" s="139"/>
      <c r="U566" s="139" t="s">
        <v>6171</v>
      </c>
      <c r="V566" s="139">
        <v>2017</v>
      </c>
      <c r="W566" s="139" t="s">
        <v>6172</v>
      </c>
      <c r="X566" s="139"/>
      <c r="Y566" s="462" t="s">
        <v>5078</v>
      </c>
      <c r="Z566" s="140" t="s">
        <v>6173</v>
      </c>
      <c r="AA566" s="140" t="s">
        <v>1841</v>
      </c>
      <c r="AB566" s="460">
        <v>43199</v>
      </c>
      <c r="AC566" s="460">
        <v>45025</v>
      </c>
      <c r="AD566" s="139">
        <v>9786819890</v>
      </c>
      <c r="AE566" s="140" t="s">
        <v>6174</v>
      </c>
      <c r="AF566" s="139" t="s">
        <v>1364</v>
      </c>
      <c r="AG566" s="491" t="s">
        <v>6175</v>
      </c>
      <c r="AH566" s="139" t="s">
        <v>6176</v>
      </c>
      <c r="AI566" s="139" t="s">
        <v>6177</v>
      </c>
      <c r="AJ566" s="475" t="s">
        <v>6178</v>
      </c>
      <c r="AK566" s="140" t="s">
        <v>6179</v>
      </c>
      <c r="AL566" s="461">
        <v>44620</v>
      </c>
      <c r="AM566" s="477"/>
      <c r="AN566" s="465"/>
      <c r="AO566" s="140"/>
      <c r="AP566" s="139"/>
      <c r="AQ566" s="139"/>
      <c r="AR566" s="181"/>
      <c r="AS566" s="458"/>
      <c r="AT566" s="458"/>
      <c r="AU566" s="461">
        <v>33104</v>
      </c>
      <c r="AV566" s="181" t="s">
        <v>1352</v>
      </c>
      <c r="AW566" s="31" t="s">
        <v>32</v>
      </c>
      <c r="AX566" s="139">
        <v>2</v>
      </c>
      <c r="AY566" s="58" t="s">
        <v>1959</v>
      </c>
      <c r="AZ566" s="58" t="s">
        <v>26</v>
      </c>
      <c r="BA566" s="58" t="s">
        <v>151</v>
      </c>
      <c r="BB566" s="58" t="s">
        <v>1407</v>
      </c>
      <c r="BC566" s="58"/>
    </row>
    <row r="567" spans="1:55" x14ac:dyDescent="0.25">
      <c r="A567" s="10">
        <f t="shared" si="23"/>
        <v>566</v>
      </c>
      <c r="B567" s="181" t="s">
        <v>6168</v>
      </c>
      <c r="C567" s="592" t="s">
        <v>1407</v>
      </c>
      <c r="D567" s="457">
        <v>400324</v>
      </c>
      <c r="E567" s="181" t="s">
        <v>36</v>
      </c>
      <c r="F567" s="97" t="s">
        <v>6169</v>
      </c>
      <c r="G567" s="139">
        <v>6</v>
      </c>
      <c r="H567" s="458">
        <v>0.4375</v>
      </c>
      <c r="I567" s="458">
        <v>0.10416666666666667</v>
      </c>
      <c r="J567" s="458">
        <v>0.16666666666666666</v>
      </c>
      <c r="K567" s="100" t="s">
        <v>6088</v>
      </c>
      <c r="L567" s="97" t="s">
        <v>6170</v>
      </c>
      <c r="M567" s="97" t="s">
        <v>26</v>
      </c>
      <c r="N567" s="58" t="s">
        <v>38</v>
      </c>
      <c r="O567" s="58" t="s">
        <v>5050</v>
      </c>
      <c r="P567" s="206">
        <v>44277</v>
      </c>
      <c r="Q567" s="460">
        <v>44277</v>
      </c>
      <c r="R567" s="460">
        <v>45006</v>
      </c>
      <c r="S567" s="461">
        <f t="shared" si="25"/>
        <v>45007</v>
      </c>
      <c r="T567" s="139"/>
      <c r="U567" s="139" t="s">
        <v>6171</v>
      </c>
      <c r="V567" s="139">
        <v>2017</v>
      </c>
      <c r="W567" s="139" t="s">
        <v>6172</v>
      </c>
      <c r="X567" s="139"/>
      <c r="Y567" s="462" t="s">
        <v>5078</v>
      </c>
      <c r="Z567" s="140" t="s">
        <v>6173</v>
      </c>
      <c r="AA567" s="140" t="s">
        <v>1841</v>
      </c>
      <c r="AB567" s="460">
        <v>43199</v>
      </c>
      <c r="AC567" s="460">
        <v>45025</v>
      </c>
      <c r="AD567" s="139">
        <v>9786819890</v>
      </c>
      <c r="AE567" s="140" t="s">
        <v>6174</v>
      </c>
      <c r="AF567" s="139" t="s">
        <v>1364</v>
      </c>
      <c r="AG567" s="491" t="s">
        <v>6175</v>
      </c>
      <c r="AH567" s="139" t="s">
        <v>6176</v>
      </c>
      <c r="AI567" s="139" t="s">
        <v>6177</v>
      </c>
      <c r="AJ567" s="475" t="s">
        <v>6178</v>
      </c>
      <c r="AK567" s="140" t="s">
        <v>6179</v>
      </c>
      <c r="AL567" s="461">
        <v>44620</v>
      </c>
      <c r="AM567" s="477"/>
      <c r="AN567" s="465"/>
      <c r="AO567" s="140"/>
      <c r="AP567" s="139"/>
      <c r="AQ567" s="139"/>
      <c r="AR567" s="181"/>
      <c r="AS567" s="458"/>
      <c r="AT567" s="458"/>
      <c r="AU567" s="461">
        <v>33104</v>
      </c>
      <c r="AV567" s="181" t="s">
        <v>1352</v>
      </c>
      <c r="AW567" s="31" t="s">
        <v>32</v>
      </c>
      <c r="AX567" s="139">
        <v>4</v>
      </c>
      <c r="AY567" s="58" t="s">
        <v>1959</v>
      </c>
      <c r="AZ567" s="58" t="s">
        <v>26</v>
      </c>
      <c r="BA567" s="58" t="s">
        <v>151</v>
      </c>
      <c r="BB567" s="58" t="s">
        <v>1407</v>
      </c>
      <c r="BC567" s="58"/>
    </row>
    <row r="568" spans="1:55" x14ac:dyDescent="0.25">
      <c r="A568" s="10">
        <f t="shared" si="23"/>
        <v>567</v>
      </c>
      <c r="B568" s="181" t="s">
        <v>6180</v>
      </c>
      <c r="C568" s="592" t="s">
        <v>1407</v>
      </c>
      <c r="D568" s="457">
        <v>400986</v>
      </c>
      <c r="E568" s="181" t="s">
        <v>36</v>
      </c>
      <c r="F568" s="97" t="s">
        <v>6181</v>
      </c>
      <c r="G568" s="139">
        <v>6</v>
      </c>
      <c r="H568" s="469">
        <v>0.75</v>
      </c>
      <c r="I568" s="469">
        <v>0.83333333333333337</v>
      </c>
      <c r="J568" s="458">
        <f>I568-H568</f>
        <v>8.333333333333337E-2</v>
      </c>
      <c r="K568" s="143" t="s">
        <v>187</v>
      </c>
      <c r="L568" s="97" t="s">
        <v>6182</v>
      </c>
      <c r="M568" s="97" t="s">
        <v>26</v>
      </c>
      <c r="N568" s="58" t="s">
        <v>38</v>
      </c>
      <c r="O568" s="462" t="s">
        <v>5076</v>
      </c>
      <c r="P568" s="206">
        <v>45404</v>
      </c>
      <c r="Q568" s="206">
        <v>45404</v>
      </c>
      <c r="R568" s="206">
        <v>46133</v>
      </c>
      <c r="S568" s="461">
        <v>46134</v>
      </c>
      <c r="T568" s="139">
        <v>2015</v>
      </c>
      <c r="U568" s="181" t="s">
        <v>515</v>
      </c>
      <c r="V568" s="139">
        <v>2022</v>
      </c>
      <c r="W568" s="140" t="s">
        <v>6183</v>
      </c>
      <c r="X568" s="181" t="s">
        <v>30</v>
      </c>
      <c r="Y568" s="58" t="s">
        <v>5066</v>
      </c>
      <c r="Z568" s="140" t="s">
        <v>6184</v>
      </c>
      <c r="AA568" s="470" t="s">
        <v>1841</v>
      </c>
      <c r="AB568" s="471">
        <v>45386</v>
      </c>
      <c r="AC568" s="471">
        <v>47211</v>
      </c>
      <c r="AD568" s="472">
        <v>9500217564</v>
      </c>
      <c r="AE568" s="473" t="s">
        <v>6185</v>
      </c>
      <c r="AF568" s="474" t="s">
        <v>5086</v>
      </c>
      <c r="AG568" s="475" t="s">
        <v>6186</v>
      </c>
      <c r="AH568" s="181" t="s">
        <v>6187</v>
      </c>
      <c r="AI568" s="139" t="s">
        <v>6188</v>
      </c>
      <c r="AJ568" s="476">
        <v>949922153231</v>
      </c>
      <c r="AK568" s="470"/>
      <c r="AL568" s="461">
        <v>45477</v>
      </c>
      <c r="AM568" s="477" t="s">
        <v>30</v>
      </c>
      <c r="AN568" s="478" t="s">
        <v>5098</v>
      </c>
      <c r="AO568" s="140" t="s">
        <v>6189</v>
      </c>
      <c r="AP568" s="58"/>
      <c r="AQ568" s="140" t="s">
        <v>6189</v>
      </c>
      <c r="AR568" s="462"/>
      <c r="AS568" s="479">
        <v>0.75</v>
      </c>
      <c r="AT568" s="479">
        <v>0.83333333333333337</v>
      </c>
      <c r="AU568" s="480">
        <v>34477</v>
      </c>
      <c r="AV568" s="181" t="s">
        <v>1352</v>
      </c>
      <c r="AW568" s="31" t="s">
        <v>32</v>
      </c>
      <c r="AX568" s="139">
        <v>2</v>
      </c>
      <c r="AY568" s="58" t="s">
        <v>1959</v>
      </c>
      <c r="AZ568" s="58" t="s">
        <v>26</v>
      </c>
      <c r="BA568" s="58" t="s">
        <v>151</v>
      </c>
      <c r="BB568" s="58" t="s">
        <v>1407</v>
      </c>
      <c r="BC568" s="58"/>
    </row>
    <row r="569" spans="1:55" x14ac:dyDescent="0.25">
      <c r="A569" s="10">
        <f t="shared" si="23"/>
        <v>568</v>
      </c>
      <c r="B569" s="181"/>
      <c r="C569" s="592" t="s">
        <v>1407</v>
      </c>
      <c r="D569" s="457">
        <v>400326</v>
      </c>
      <c r="E569" s="181" t="s">
        <v>36</v>
      </c>
      <c r="F569" s="97" t="s">
        <v>6190</v>
      </c>
      <c r="G569" s="139">
        <v>6</v>
      </c>
      <c r="H569" s="458">
        <v>0.375</v>
      </c>
      <c r="I569" s="458">
        <v>0.41666666666666669</v>
      </c>
      <c r="J569" s="458">
        <v>4.1666666666666664E-2</v>
      </c>
      <c r="K569" s="143" t="s">
        <v>754</v>
      </c>
      <c r="L569" s="97"/>
      <c r="M569" s="97" t="s">
        <v>1376</v>
      </c>
      <c r="N569" s="58" t="s">
        <v>1393</v>
      </c>
      <c r="O569" s="58"/>
      <c r="P569" s="206">
        <v>44287</v>
      </c>
      <c r="Q569" s="460">
        <v>44287</v>
      </c>
      <c r="R569" s="460">
        <v>45039</v>
      </c>
      <c r="S569" s="461">
        <f t="shared" ref="S569:S574" si="26">R569+1</f>
        <v>45040</v>
      </c>
      <c r="T569" s="139"/>
      <c r="U569" s="139"/>
      <c r="V569" s="139"/>
      <c r="W569" s="139"/>
      <c r="X569" s="139"/>
      <c r="Y569" s="462" t="s">
        <v>226</v>
      </c>
      <c r="Z569" s="140" t="s">
        <v>6191</v>
      </c>
      <c r="AA569" s="140" t="s">
        <v>1841</v>
      </c>
      <c r="AB569" s="460">
        <v>43959</v>
      </c>
      <c r="AC569" s="460">
        <v>45784</v>
      </c>
      <c r="AD569" s="139">
        <v>7013250899</v>
      </c>
      <c r="AE569" s="140" t="s">
        <v>6192</v>
      </c>
      <c r="AF569" s="139" t="s">
        <v>5617</v>
      </c>
      <c r="AG569" s="491" t="s">
        <v>6193</v>
      </c>
      <c r="AH569" s="139" t="s">
        <v>6194</v>
      </c>
      <c r="AI569" s="139" t="s">
        <v>6195</v>
      </c>
      <c r="AJ569" s="475" t="s">
        <v>6196</v>
      </c>
      <c r="AK569" s="140" t="s">
        <v>6197</v>
      </c>
      <c r="AL569" s="206">
        <v>44301</v>
      </c>
      <c r="AM569" s="477"/>
      <c r="AN569" s="465"/>
      <c r="AO569" s="140"/>
      <c r="AP569" s="139"/>
      <c r="AQ569" s="139"/>
      <c r="AR569" s="181"/>
      <c r="AS569" s="458"/>
      <c r="AT569" s="458"/>
      <c r="AU569" s="461">
        <v>33532</v>
      </c>
      <c r="AV569" s="181" t="s">
        <v>1389</v>
      </c>
      <c r="AW569" s="31" t="s">
        <v>32</v>
      </c>
      <c r="AX569" s="139">
        <v>1</v>
      </c>
      <c r="AY569" s="58" t="s">
        <v>1968</v>
      </c>
      <c r="AZ569" s="58" t="s">
        <v>1390</v>
      </c>
      <c r="BA569" s="58" t="s">
        <v>151</v>
      </c>
      <c r="BB569" s="58" t="s">
        <v>1407</v>
      </c>
      <c r="BC569" s="58"/>
    </row>
    <row r="570" spans="1:55" x14ac:dyDescent="0.25">
      <c r="A570" s="10">
        <f t="shared" si="23"/>
        <v>569</v>
      </c>
      <c r="B570" s="181" t="s">
        <v>6198</v>
      </c>
      <c r="C570" s="592" t="s">
        <v>1407</v>
      </c>
      <c r="D570" s="457">
        <v>400328</v>
      </c>
      <c r="E570" s="181" t="s">
        <v>36</v>
      </c>
      <c r="F570" s="97" t="s">
        <v>6199</v>
      </c>
      <c r="G570" s="139">
        <v>6</v>
      </c>
      <c r="H570" s="458">
        <v>0.39583333333333331</v>
      </c>
      <c r="I570" s="458">
        <v>0.47916666666666669</v>
      </c>
      <c r="J570" s="458">
        <v>8.3333333333333329E-2</v>
      </c>
      <c r="K570" s="587" t="s">
        <v>11086</v>
      </c>
      <c r="L570" s="97" t="s">
        <v>6200</v>
      </c>
      <c r="M570" s="97" t="s">
        <v>26</v>
      </c>
      <c r="N570" s="58" t="s">
        <v>38</v>
      </c>
      <c r="O570" s="58" t="s">
        <v>5050</v>
      </c>
      <c r="P570" s="206">
        <v>44277</v>
      </c>
      <c r="Q570" s="460">
        <v>44277</v>
      </c>
      <c r="R570" s="460">
        <v>45006</v>
      </c>
      <c r="S570" s="461">
        <f t="shared" si="26"/>
        <v>45007</v>
      </c>
      <c r="T570" s="139"/>
      <c r="U570" s="139"/>
      <c r="V570" s="139"/>
      <c r="W570" s="139"/>
      <c r="X570" s="139"/>
      <c r="Y570" s="462" t="s">
        <v>5937</v>
      </c>
      <c r="Z570" s="140" t="s">
        <v>6201</v>
      </c>
      <c r="AA570" s="140" t="s">
        <v>1886</v>
      </c>
      <c r="AB570" s="460">
        <v>42996</v>
      </c>
      <c r="AC570" s="460">
        <v>44821</v>
      </c>
      <c r="AD570" s="139">
        <v>9542843543</v>
      </c>
      <c r="AE570" s="140" t="s">
        <v>6202</v>
      </c>
      <c r="AF570" s="139" t="s">
        <v>5617</v>
      </c>
      <c r="AG570" s="491" t="s">
        <v>6203</v>
      </c>
      <c r="AH570" s="139" t="s">
        <v>6204</v>
      </c>
      <c r="AI570" s="139" t="s">
        <v>6205</v>
      </c>
      <c r="AJ570" s="475" t="s">
        <v>6206</v>
      </c>
      <c r="AK570" s="140" t="s">
        <v>6207</v>
      </c>
      <c r="AL570" s="461">
        <v>44317</v>
      </c>
      <c r="AM570" s="477"/>
      <c r="AN570" s="465"/>
      <c r="AO570" s="140"/>
      <c r="AP570" s="139"/>
      <c r="AQ570" s="139"/>
      <c r="AR570" s="181"/>
      <c r="AS570" s="458"/>
      <c r="AT570" s="458"/>
      <c r="AU570" s="461">
        <v>34570</v>
      </c>
      <c r="AV570" s="181" t="s">
        <v>1389</v>
      </c>
      <c r="AW570" s="31" t="s">
        <v>32</v>
      </c>
      <c r="AX570" s="139">
        <v>2</v>
      </c>
      <c r="AY570" s="58" t="s">
        <v>1849</v>
      </c>
      <c r="AZ570" s="58" t="s">
        <v>26</v>
      </c>
      <c r="BA570" s="58" t="s">
        <v>151</v>
      </c>
      <c r="BB570" s="58" t="s">
        <v>1407</v>
      </c>
      <c r="BC570" s="58"/>
    </row>
    <row r="571" spans="1:55" x14ac:dyDescent="0.25">
      <c r="A571" s="10">
        <f t="shared" si="23"/>
        <v>570</v>
      </c>
      <c r="B571" s="181" t="s">
        <v>6208</v>
      </c>
      <c r="C571" s="592" t="s">
        <v>1407</v>
      </c>
      <c r="D571" s="457">
        <v>400329</v>
      </c>
      <c r="E571" s="181" t="s">
        <v>36</v>
      </c>
      <c r="F571" s="97" t="s">
        <v>6209</v>
      </c>
      <c r="G571" s="139">
        <v>6</v>
      </c>
      <c r="H571" s="458">
        <v>0.33333333333333331</v>
      </c>
      <c r="I571" s="458">
        <v>0.45833333333333331</v>
      </c>
      <c r="J571" s="458">
        <f>I571-H571</f>
        <v>0.125</v>
      </c>
      <c r="K571" s="58" t="s">
        <v>796</v>
      </c>
      <c r="L571" s="97" t="s">
        <v>6210</v>
      </c>
      <c r="M571" s="97" t="s">
        <v>26</v>
      </c>
      <c r="N571" s="58" t="s">
        <v>38</v>
      </c>
      <c r="O571" s="58" t="s">
        <v>5076</v>
      </c>
      <c r="P571" s="206">
        <v>44279</v>
      </c>
      <c r="Q571" s="460">
        <v>44279</v>
      </c>
      <c r="R571" s="460">
        <v>45008</v>
      </c>
      <c r="S571" s="461">
        <f t="shared" si="26"/>
        <v>45009</v>
      </c>
      <c r="T571" s="139"/>
      <c r="U571" s="139" t="s">
        <v>351</v>
      </c>
      <c r="V571" s="139">
        <v>2020</v>
      </c>
      <c r="W571" s="139" t="s">
        <v>5897</v>
      </c>
      <c r="X571" s="139"/>
      <c r="Y571" s="462" t="s">
        <v>5078</v>
      </c>
      <c r="Z571" s="140" t="s">
        <v>6211</v>
      </c>
      <c r="AA571" s="140" t="s">
        <v>1841</v>
      </c>
      <c r="AB571" s="460">
        <v>44448</v>
      </c>
      <c r="AC571" s="460">
        <v>46273</v>
      </c>
      <c r="AD571" s="139">
        <v>8801874565</v>
      </c>
      <c r="AE571" s="140" t="s">
        <v>6212</v>
      </c>
      <c r="AF571" s="139" t="s">
        <v>5617</v>
      </c>
      <c r="AG571" s="491" t="s">
        <v>6213</v>
      </c>
      <c r="AH571" s="139" t="s">
        <v>6214</v>
      </c>
      <c r="AI571" s="139" t="s">
        <v>6215</v>
      </c>
      <c r="AJ571" s="475" t="s">
        <v>6216</v>
      </c>
      <c r="AK571" s="140" t="s">
        <v>6217</v>
      </c>
      <c r="AL571" s="461">
        <v>44945</v>
      </c>
      <c r="AM571" s="477" t="s">
        <v>30</v>
      </c>
      <c r="AN571" s="490"/>
      <c r="AO571" s="140"/>
      <c r="AP571" s="139"/>
      <c r="AQ571" s="139" t="e">
        <v>#REF!</v>
      </c>
      <c r="AR571" s="181"/>
      <c r="AS571" s="458"/>
      <c r="AT571" s="458"/>
      <c r="AU571" s="461">
        <v>33270</v>
      </c>
      <c r="AV571" s="181" t="s">
        <v>1352</v>
      </c>
      <c r="AW571" s="31" t="s">
        <v>32</v>
      </c>
      <c r="AX571" s="139">
        <v>3</v>
      </c>
      <c r="AY571" s="466">
        <f>VLOOKUP(K571,[3]Master!M548:BA931,40,0)</f>
        <v>3</v>
      </c>
      <c r="AZ571" s="58" t="s">
        <v>26</v>
      </c>
      <c r="BA571" s="58" t="s">
        <v>151</v>
      </c>
      <c r="BB571" s="58" t="s">
        <v>1407</v>
      </c>
      <c r="BC571" s="58"/>
    </row>
    <row r="572" spans="1:55" x14ac:dyDescent="0.25">
      <c r="A572" s="10">
        <f t="shared" si="23"/>
        <v>571</v>
      </c>
      <c r="B572" s="181" t="s">
        <v>6218</v>
      </c>
      <c r="C572" s="592" t="s">
        <v>1407</v>
      </c>
      <c r="D572" s="457">
        <v>400330</v>
      </c>
      <c r="E572" s="181" t="s">
        <v>36</v>
      </c>
      <c r="F572" s="97" t="s">
        <v>6219</v>
      </c>
      <c r="G572" s="139">
        <v>6</v>
      </c>
      <c r="H572" s="458">
        <v>0.75</v>
      </c>
      <c r="I572" s="458">
        <v>0.79166666666666663</v>
      </c>
      <c r="J572" s="458">
        <v>4.1666666666666664E-2</v>
      </c>
      <c r="K572" s="100" t="s">
        <v>348</v>
      </c>
      <c r="L572" s="97"/>
      <c r="M572" s="97" t="s">
        <v>1376</v>
      </c>
      <c r="N572" s="58" t="s">
        <v>1393</v>
      </c>
      <c r="O572" s="58"/>
      <c r="P572" s="206">
        <v>44288</v>
      </c>
      <c r="Q572" s="460">
        <v>44288</v>
      </c>
      <c r="R572" s="460">
        <v>45017</v>
      </c>
      <c r="S572" s="461">
        <f t="shared" si="26"/>
        <v>45018</v>
      </c>
      <c r="T572" s="139"/>
      <c r="U572" s="139"/>
      <c r="V572" s="139"/>
      <c r="W572" s="139"/>
      <c r="X572" s="139"/>
      <c r="Y572" s="462" t="s">
        <v>226</v>
      </c>
      <c r="Z572" s="140" t="s">
        <v>6220</v>
      </c>
      <c r="AA572" s="140" t="s">
        <v>1841</v>
      </c>
      <c r="AB572" s="460">
        <v>43792</v>
      </c>
      <c r="AC572" s="460">
        <v>45619</v>
      </c>
      <c r="AD572" s="139">
        <v>8639785060</v>
      </c>
      <c r="AE572" s="140" t="s">
        <v>6221</v>
      </c>
      <c r="AF572" s="139" t="s">
        <v>5086</v>
      </c>
      <c r="AG572" s="491" t="s">
        <v>6222</v>
      </c>
      <c r="AH572" s="139" t="s">
        <v>2312</v>
      </c>
      <c r="AI572" s="139" t="s">
        <v>6223</v>
      </c>
      <c r="AJ572" s="475" t="s">
        <v>6224</v>
      </c>
      <c r="AK572" s="140" t="s">
        <v>6225</v>
      </c>
      <c r="AL572" s="206">
        <v>44487</v>
      </c>
      <c r="AM572" s="477"/>
      <c r="AN572" s="465"/>
      <c r="AO572" s="140"/>
      <c r="AP572" s="139"/>
      <c r="AQ572" s="139"/>
      <c r="AR572" s="181"/>
      <c r="AS572" s="458"/>
      <c r="AT572" s="458"/>
      <c r="AU572" s="461">
        <v>33456</v>
      </c>
      <c r="AV572" s="181" t="s">
        <v>1352</v>
      </c>
      <c r="AW572" s="31" t="s">
        <v>32</v>
      </c>
      <c r="AX572" s="139">
        <v>1</v>
      </c>
      <c r="AY572" s="466">
        <f>VLOOKUP(K572,[3]Master!M549:BA932,40,0)</f>
        <v>1</v>
      </c>
      <c r="AZ572" s="58" t="s">
        <v>1390</v>
      </c>
      <c r="BA572" s="58" t="s">
        <v>151</v>
      </c>
      <c r="BB572" s="58" t="s">
        <v>1407</v>
      </c>
      <c r="BC572" s="58"/>
    </row>
    <row r="573" spans="1:55" x14ac:dyDescent="0.25">
      <c r="A573" s="10">
        <f t="shared" si="23"/>
        <v>572</v>
      </c>
      <c r="B573" s="181" t="s">
        <v>6226</v>
      </c>
      <c r="C573" s="592" t="s">
        <v>1407</v>
      </c>
      <c r="D573" s="457">
        <v>400331</v>
      </c>
      <c r="E573" s="181" t="s">
        <v>36</v>
      </c>
      <c r="F573" s="97" t="s">
        <v>6227</v>
      </c>
      <c r="G573" s="139">
        <v>6</v>
      </c>
      <c r="H573" s="458">
        <v>0.33333333333333331</v>
      </c>
      <c r="I573" s="458">
        <v>0.875</v>
      </c>
      <c r="J573" s="458">
        <v>0.33333333333333331</v>
      </c>
      <c r="K573" s="58" t="s">
        <v>147</v>
      </c>
      <c r="L573" s="97" t="s">
        <v>1582</v>
      </c>
      <c r="M573" s="63" t="s">
        <v>1355</v>
      </c>
      <c r="N573" s="100" t="s">
        <v>1520</v>
      </c>
      <c r="O573" s="58" t="s">
        <v>5270</v>
      </c>
      <c r="P573" s="206">
        <v>44288</v>
      </c>
      <c r="Q573" s="460">
        <v>44288</v>
      </c>
      <c r="R573" s="460">
        <v>45017</v>
      </c>
      <c r="S573" s="461">
        <f t="shared" si="26"/>
        <v>45018</v>
      </c>
      <c r="T573" s="139">
        <v>2012</v>
      </c>
      <c r="U573" s="139" t="s">
        <v>6228</v>
      </c>
      <c r="V573" s="139">
        <v>2020</v>
      </c>
      <c r="W573" s="139" t="s">
        <v>504</v>
      </c>
      <c r="X573" s="139"/>
      <c r="Y573" s="462" t="s">
        <v>6229</v>
      </c>
      <c r="Z573" s="140" t="s">
        <v>6230</v>
      </c>
      <c r="AA573" s="140" t="s">
        <v>1886</v>
      </c>
      <c r="AB573" s="460"/>
      <c r="AC573" s="460"/>
      <c r="AD573" s="139">
        <v>9855614162</v>
      </c>
      <c r="AE573" s="467" t="s">
        <v>6231</v>
      </c>
      <c r="AF573" s="139" t="s">
        <v>5086</v>
      </c>
      <c r="AG573" s="491" t="s">
        <v>6232</v>
      </c>
      <c r="AH573" s="139" t="s">
        <v>3016</v>
      </c>
      <c r="AI573" s="139" t="s">
        <v>6233</v>
      </c>
      <c r="AJ573" s="475" t="s">
        <v>6234</v>
      </c>
      <c r="AK573" s="140" t="s">
        <v>6235</v>
      </c>
      <c r="AL573" s="206">
        <v>44726</v>
      </c>
      <c r="AM573" s="477">
        <v>44666</v>
      </c>
      <c r="AN573" s="465"/>
      <c r="AO573" s="140"/>
      <c r="AP573" s="139"/>
      <c r="AQ573" s="139"/>
      <c r="AR573" s="181"/>
      <c r="AS573" s="458"/>
      <c r="AT573" s="458"/>
      <c r="AU573" s="461">
        <v>33174</v>
      </c>
      <c r="AV573" s="181" t="s">
        <v>1389</v>
      </c>
      <c r="AW573" s="31" t="s">
        <v>68</v>
      </c>
      <c r="AX573" s="139">
        <v>8</v>
      </c>
      <c r="AY573" s="466">
        <f>VLOOKUP(K573,[3]Master!M550:BA933,40,0)</f>
        <v>6</v>
      </c>
      <c r="AZ573" s="58" t="s">
        <v>1373</v>
      </c>
      <c r="BA573" s="58" t="s">
        <v>151</v>
      </c>
      <c r="BB573" s="58" t="s">
        <v>1407</v>
      </c>
      <c r="BC573" s="58"/>
    </row>
    <row r="574" spans="1:55" x14ac:dyDescent="0.25">
      <c r="A574" s="10">
        <f t="shared" si="23"/>
        <v>573</v>
      </c>
      <c r="B574" s="181"/>
      <c r="C574" s="592" t="s">
        <v>1407</v>
      </c>
      <c r="D574" s="457">
        <v>400332</v>
      </c>
      <c r="E574" s="181" t="s">
        <v>36</v>
      </c>
      <c r="F574" s="97" t="s">
        <v>6236</v>
      </c>
      <c r="G574" s="139">
        <v>6</v>
      </c>
      <c r="H574" s="458">
        <v>0.3125</v>
      </c>
      <c r="I574" s="458">
        <v>0.35416666666666669</v>
      </c>
      <c r="J574" s="458">
        <v>4.1666666666666664E-2</v>
      </c>
      <c r="K574" s="143" t="s">
        <v>187</v>
      </c>
      <c r="L574" s="97"/>
      <c r="M574" s="97" t="s">
        <v>1376</v>
      </c>
      <c r="N574" s="58" t="s">
        <v>1393</v>
      </c>
      <c r="O574" s="58"/>
      <c r="P574" s="206">
        <v>44291</v>
      </c>
      <c r="Q574" s="460">
        <v>44291</v>
      </c>
      <c r="R574" s="460">
        <v>45020</v>
      </c>
      <c r="S574" s="461">
        <f t="shared" si="26"/>
        <v>45021</v>
      </c>
      <c r="T574" s="139"/>
      <c r="U574" s="139"/>
      <c r="V574" s="139"/>
      <c r="W574" s="139"/>
      <c r="X574" s="139"/>
      <c r="Y574" s="462"/>
      <c r="Z574" s="140"/>
      <c r="AA574" s="140"/>
      <c r="AB574" s="460"/>
      <c r="AC574" s="460"/>
      <c r="AD574" s="139"/>
      <c r="AE574" s="140"/>
      <c r="AF574" s="139"/>
      <c r="AG574" s="463"/>
      <c r="AH574" s="139"/>
      <c r="AI574" s="139"/>
      <c r="AJ574" s="464"/>
      <c r="AK574" s="140"/>
      <c r="AL574" s="206"/>
      <c r="AM574" s="477"/>
      <c r="AN574" s="465"/>
      <c r="AO574" s="140"/>
      <c r="AP574" s="139"/>
      <c r="AQ574" s="139"/>
      <c r="AR574" s="181"/>
      <c r="AS574" s="458"/>
      <c r="AT574" s="458"/>
      <c r="AU574" s="461">
        <v>34650</v>
      </c>
      <c r="AV574" s="181" t="s">
        <v>1352</v>
      </c>
      <c r="AW574" s="31" t="s">
        <v>32</v>
      </c>
      <c r="AX574" s="139">
        <v>1</v>
      </c>
      <c r="AY574" s="466">
        <f>VLOOKUP(K574,[3]Master!M551:BA934,40,0)</f>
        <v>2</v>
      </c>
      <c r="AZ574" s="58" t="s">
        <v>1390</v>
      </c>
      <c r="BA574" s="58" t="s">
        <v>151</v>
      </c>
      <c r="BB574" s="58" t="s">
        <v>1407</v>
      </c>
      <c r="BC574" s="58"/>
    </row>
    <row r="575" spans="1:55" x14ac:dyDescent="0.25">
      <c r="A575" s="10">
        <f t="shared" si="23"/>
        <v>574</v>
      </c>
      <c r="B575" s="31" t="s">
        <v>6237</v>
      </c>
      <c r="C575" s="592" t="s">
        <v>1407</v>
      </c>
      <c r="D575" s="457">
        <v>400333</v>
      </c>
      <c r="E575" s="181" t="s">
        <v>36</v>
      </c>
      <c r="F575" s="97" t="s">
        <v>6238</v>
      </c>
      <c r="G575" s="139">
        <v>6</v>
      </c>
      <c r="H575" s="458">
        <v>0.70833333333333337</v>
      </c>
      <c r="I575" s="458">
        <v>0.875</v>
      </c>
      <c r="J575" s="458">
        <v>0.16666666666666666</v>
      </c>
      <c r="K575" s="58"/>
      <c r="L575" s="97" t="s">
        <v>6239</v>
      </c>
      <c r="M575" s="97" t="s">
        <v>26</v>
      </c>
      <c r="N575" s="58" t="s">
        <v>38</v>
      </c>
      <c r="O575" s="58" t="s">
        <v>5050</v>
      </c>
      <c r="P575" s="460">
        <v>44291</v>
      </c>
      <c r="Q575" s="460">
        <v>44291</v>
      </c>
      <c r="R575" s="461">
        <v>45020</v>
      </c>
      <c r="S575" s="461">
        <v>45020</v>
      </c>
      <c r="T575" s="139"/>
      <c r="U575" s="139" t="s">
        <v>6240</v>
      </c>
      <c r="V575" s="139">
        <v>2016</v>
      </c>
      <c r="W575" s="139" t="s">
        <v>343</v>
      </c>
      <c r="X575" s="58" t="s">
        <v>30</v>
      </c>
      <c r="Y575" s="139" t="s">
        <v>5078</v>
      </c>
      <c r="Z575" s="462" t="s">
        <v>6241</v>
      </c>
      <c r="AA575" s="140" t="s">
        <v>1886</v>
      </c>
      <c r="AB575" s="460">
        <v>42963</v>
      </c>
      <c r="AC575" s="460">
        <v>44788</v>
      </c>
      <c r="AD575" s="139" t="s">
        <v>6242</v>
      </c>
      <c r="AE575" s="139" t="s">
        <v>6243</v>
      </c>
      <c r="AF575" s="140" t="s">
        <v>5086</v>
      </c>
      <c r="AG575" s="491" t="s">
        <v>6244</v>
      </c>
      <c r="AH575" s="139" t="s">
        <v>2660</v>
      </c>
      <c r="AI575" s="139" t="s">
        <v>6245</v>
      </c>
      <c r="AJ575" s="475" t="s">
        <v>6246</v>
      </c>
      <c r="AK575" s="139" t="s">
        <v>6247</v>
      </c>
      <c r="AL575" s="485">
        <v>44742</v>
      </c>
      <c r="AM575" s="206">
        <v>44690</v>
      </c>
      <c r="AN575" s="140"/>
      <c r="AO575" s="140"/>
      <c r="AP575" s="139"/>
      <c r="AQ575" s="181"/>
      <c r="AR575" s="494"/>
      <c r="AS575" s="458"/>
      <c r="AT575" s="458"/>
      <c r="AU575" s="461">
        <v>32733</v>
      </c>
      <c r="AV575" s="181" t="s">
        <v>1352</v>
      </c>
      <c r="AW575" s="31" t="s">
        <v>32</v>
      </c>
      <c r="AX575" s="139">
        <v>4</v>
      </c>
      <c r="AY575" s="58"/>
      <c r="AZ575" s="58" t="s">
        <v>26</v>
      </c>
      <c r="BA575" s="58" t="s">
        <v>151</v>
      </c>
      <c r="BB575" s="58" t="s">
        <v>1407</v>
      </c>
      <c r="BC575" s="58"/>
    </row>
    <row r="576" spans="1:55" x14ac:dyDescent="0.25">
      <c r="A576" s="10">
        <f t="shared" si="23"/>
        <v>575</v>
      </c>
      <c r="B576" s="181" t="s">
        <v>6248</v>
      </c>
      <c r="C576" s="592" t="s">
        <v>1407</v>
      </c>
      <c r="D576" s="457">
        <v>400334</v>
      </c>
      <c r="E576" s="181" t="s">
        <v>36</v>
      </c>
      <c r="F576" s="97" t="s">
        <v>6249</v>
      </c>
      <c r="G576" s="139">
        <v>6</v>
      </c>
      <c r="H576" s="458">
        <v>0.70833333333333337</v>
      </c>
      <c r="I576" s="458">
        <v>0.875</v>
      </c>
      <c r="J576" s="458">
        <v>0.16666666666666666</v>
      </c>
      <c r="K576" s="58" t="s">
        <v>147</v>
      </c>
      <c r="L576" s="97"/>
      <c r="M576" s="63" t="s">
        <v>1355</v>
      </c>
      <c r="N576" s="100" t="s">
        <v>1520</v>
      </c>
      <c r="O576" s="58" t="s">
        <v>5270</v>
      </c>
      <c r="P576" s="206">
        <v>44288</v>
      </c>
      <c r="Q576" s="460">
        <v>44288</v>
      </c>
      <c r="R576" s="460">
        <v>45019</v>
      </c>
      <c r="S576" s="461">
        <f>R576+1</f>
        <v>45020</v>
      </c>
      <c r="T576" s="139"/>
      <c r="U576" s="139"/>
      <c r="V576" s="139"/>
      <c r="W576" s="139"/>
      <c r="X576" s="139"/>
      <c r="Y576" s="462" t="s">
        <v>1360</v>
      </c>
      <c r="Z576" s="140">
        <v>68407</v>
      </c>
      <c r="AA576" s="140" t="s">
        <v>1841</v>
      </c>
      <c r="AB576" s="460">
        <v>43535</v>
      </c>
      <c r="AC576" s="460">
        <v>45361</v>
      </c>
      <c r="AD576" s="139">
        <v>9908197587</v>
      </c>
      <c r="AE576" s="467" t="s">
        <v>6250</v>
      </c>
      <c r="AF576" s="139" t="s">
        <v>5086</v>
      </c>
      <c r="AG576" s="491" t="s">
        <v>6251</v>
      </c>
      <c r="AH576" s="139" t="s">
        <v>2891</v>
      </c>
      <c r="AI576" s="139" t="s">
        <v>6252</v>
      </c>
      <c r="AJ576" s="475" t="s">
        <v>6253</v>
      </c>
      <c r="AK576" s="140" t="s">
        <v>6254</v>
      </c>
      <c r="AL576" s="206">
        <v>44473</v>
      </c>
      <c r="AM576" s="477"/>
      <c r="AN576" s="465"/>
      <c r="AO576" s="140"/>
      <c r="AP576" s="139"/>
      <c r="AQ576" s="139"/>
      <c r="AR576" s="181"/>
      <c r="AS576" s="458"/>
      <c r="AT576" s="458"/>
      <c r="AU576" s="461">
        <v>31572</v>
      </c>
      <c r="AV576" s="181" t="s">
        <v>1352</v>
      </c>
      <c r="AW576" s="31" t="s">
        <v>32</v>
      </c>
      <c r="AX576" s="139">
        <v>4</v>
      </c>
      <c r="AY576" s="466">
        <f>VLOOKUP(K576,[3]Master!M553:BA936,40,0)</f>
        <v>8</v>
      </c>
      <c r="AZ576" s="58" t="s">
        <v>1373</v>
      </c>
      <c r="BA576" s="58" t="s">
        <v>151</v>
      </c>
      <c r="BB576" s="58" t="s">
        <v>1407</v>
      </c>
      <c r="BC576" s="58"/>
    </row>
    <row r="577" spans="1:55" x14ac:dyDescent="0.25">
      <c r="A577" s="10">
        <f t="shared" si="23"/>
        <v>576</v>
      </c>
      <c r="B577" s="181" t="s">
        <v>6255</v>
      </c>
      <c r="C577" s="592" t="s">
        <v>1407</v>
      </c>
      <c r="D577" s="457">
        <v>400335</v>
      </c>
      <c r="E577" s="181" t="s">
        <v>36</v>
      </c>
      <c r="F577" s="97" t="s">
        <v>6256</v>
      </c>
      <c r="G577" s="139">
        <v>6</v>
      </c>
      <c r="H577" s="458" t="s">
        <v>5491</v>
      </c>
      <c r="I577" s="458" t="s">
        <v>236</v>
      </c>
      <c r="J577" s="458">
        <f>I577-H577</f>
        <v>0.25</v>
      </c>
      <c r="K577" s="58" t="s">
        <v>796</v>
      </c>
      <c r="L577" s="97" t="s">
        <v>5869</v>
      </c>
      <c r="M577" s="97" t="s">
        <v>26</v>
      </c>
      <c r="N577" s="58" t="s">
        <v>38</v>
      </c>
      <c r="O577" s="58" t="s">
        <v>5050</v>
      </c>
      <c r="P577" s="206">
        <v>44303</v>
      </c>
      <c r="Q577" s="460">
        <v>45036</v>
      </c>
      <c r="R577" s="460">
        <v>45766</v>
      </c>
      <c r="S577" s="461">
        <v>45767</v>
      </c>
      <c r="T577" s="139">
        <v>2003</v>
      </c>
      <c r="U577" s="139" t="s">
        <v>196</v>
      </c>
      <c r="V577" s="139">
        <v>2018</v>
      </c>
      <c r="W577" s="139" t="s">
        <v>209</v>
      </c>
      <c r="X577" s="139" t="s">
        <v>30</v>
      </c>
      <c r="Y577" s="462" t="s">
        <v>1236</v>
      </c>
      <c r="Z577" s="140">
        <v>50648</v>
      </c>
      <c r="AA577" s="140" t="s">
        <v>1841</v>
      </c>
      <c r="AB577" s="460">
        <v>43431</v>
      </c>
      <c r="AC577" s="460">
        <v>45256</v>
      </c>
      <c r="AD577" s="488" t="s">
        <v>6257</v>
      </c>
      <c r="AE577" s="140" t="s">
        <v>6258</v>
      </c>
      <c r="AF577" s="139" t="s">
        <v>2284</v>
      </c>
      <c r="AG577" s="463" t="s">
        <v>6259</v>
      </c>
      <c r="AH577" s="139" t="s">
        <v>6260</v>
      </c>
      <c r="AI577" s="139" t="s">
        <v>6261</v>
      </c>
      <c r="AJ577" s="464" t="s">
        <v>6262</v>
      </c>
      <c r="AK577" s="140" t="s">
        <v>6263</v>
      </c>
      <c r="AL577" s="461">
        <v>45297</v>
      </c>
      <c r="AM577" s="477">
        <v>45297</v>
      </c>
      <c r="AN577" s="140"/>
      <c r="AO577" s="140"/>
      <c r="AP577" s="139"/>
      <c r="AQ577" s="58"/>
      <c r="AR577" s="489"/>
      <c r="AS577" s="458">
        <v>0.375</v>
      </c>
      <c r="AT577" s="181">
        <v>0.625</v>
      </c>
      <c r="AU577" s="461">
        <v>28756</v>
      </c>
      <c r="AV577" s="181" t="s">
        <v>1389</v>
      </c>
      <c r="AW577" s="31" t="s">
        <v>32</v>
      </c>
      <c r="AX577" s="139">
        <v>6</v>
      </c>
      <c r="AY577" s="466">
        <f>VLOOKUP(K577,[3]Master!M554:BA937,40,0)</f>
        <v>3</v>
      </c>
      <c r="AZ577" s="58" t="s">
        <v>26</v>
      </c>
      <c r="BA577" s="58" t="s">
        <v>151</v>
      </c>
      <c r="BB577" s="58" t="s">
        <v>1407</v>
      </c>
      <c r="BC577" s="58"/>
    </row>
    <row r="578" spans="1:55" x14ac:dyDescent="0.25">
      <c r="A578" s="10">
        <f t="shared" si="23"/>
        <v>577</v>
      </c>
      <c r="B578" s="181" t="s">
        <v>6264</v>
      </c>
      <c r="C578" s="592" t="s">
        <v>1407</v>
      </c>
      <c r="D578" s="457">
        <v>400336</v>
      </c>
      <c r="E578" s="181" t="s">
        <v>36</v>
      </c>
      <c r="F578" s="97" t="s">
        <v>6265</v>
      </c>
      <c r="G578" s="139">
        <v>6</v>
      </c>
      <c r="H578" s="458">
        <v>0.70833333333333337</v>
      </c>
      <c r="I578" s="458">
        <v>0.79166666666666663</v>
      </c>
      <c r="J578" s="458">
        <v>8.3333333333333329E-2</v>
      </c>
      <c r="K578" s="462" t="s">
        <v>5190</v>
      </c>
      <c r="L578" s="97" t="s">
        <v>6266</v>
      </c>
      <c r="M578" s="97" t="s">
        <v>26</v>
      </c>
      <c r="N578" s="58" t="s">
        <v>38</v>
      </c>
      <c r="O578" s="58" t="s">
        <v>5050</v>
      </c>
      <c r="P578" s="206">
        <v>44532</v>
      </c>
      <c r="Q578" s="460">
        <v>44532</v>
      </c>
      <c r="R578" s="460">
        <v>45261</v>
      </c>
      <c r="S578" s="461">
        <f>R578+1</f>
        <v>45262</v>
      </c>
      <c r="T578" s="139"/>
      <c r="U578" s="139"/>
      <c r="V578" s="139"/>
      <c r="W578" s="139"/>
      <c r="X578" s="139"/>
      <c r="Y578" s="462" t="s">
        <v>5078</v>
      </c>
      <c r="Z578" s="140">
        <v>61645</v>
      </c>
      <c r="AA578" s="140" t="s">
        <v>1841</v>
      </c>
      <c r="AB578" s="460">
        <v>44396</v>
      </c>
      <c r="AC578" s="460">
        <v>46221</v>
      </c>
      <c r="AD578" s="139">
        <v>9440448811</v>
      </c>
      <c r="AE578" s="140" t="s">
        <v>6267</v>
      </c>
      <c r="AF578" s="139" t="s">
        <v>5608</v>
      </c>
      <c r="AG578" s="491" t="s">
        <v>6268</v>
      </c>
      <c r="AH578" s="139" t="s">
        <v>6269</v>
      </c>
      <c r="AI578" s="139" t="s">
        <v>6270</v>
      </c>
      <c r="AJ578" s="475" t="s">
        <v>6271</v>
      </c>
      <c r="AK578" s="140" t="s">
        <v>6272</v>
      </c>
      <c r="AL578" s="461"/>
      <c r="AM578" s="477"/>
      <c r="AN578" s="465"/>
      <c r="AO578" s="140"/>
      <c r="AP578" s="139"/>
      <c r="AQ578" s="139"/>
      <c r="AR578" s="181"/>
      <c r="AS578" s="458"/>
      <c r="AT578" s="458"/>
      <c r="AU578" s="461">
        <v>31013</v>
      </c>
      <c r="AV578" s="181" t="s">
        <v>1389</v>
      </c>
      <c r="AW578" s="31" t="s">
        <v>32</v>
      </c>
      <c r="AX578" s="139">
        <v>2</v>
      </c>
      <c r="AY578" s="58" t="s">
        <v>2068</v>
      </c>
      <c r="AZ578" s="58" t="s">
        <v>26</v>
      </c>
      <c r="BA578" s="58" t="s">
        <v>151</v>
      </c>
      <c r="BB578" s="58" t="s">
        <v>1407</v>
      </c>
      <c r="BC578" s="58"/>
    </row>
    <row r="579" spans="1:55" x14ac:dyDescent="0.25">
      <c r="A579" s="10">
        <f t="shared" si="23"/>
        <v>578</v>
      </c>
      <c r="B579" s="181" t="s">
        <v>6273</v>
      </c>
      <c r="C579" s="592" t="s">
        <v>1407</v>
      </c>
      <c r="D579" s="457">
        <v>400337</v>
      </c>
      <c r="E579" s="181" t="s">
        <v>36</v>
      </c>
      <c r="F579" s="97" t="s">
        <v>6274</v>
      </c>
      <c r="G579" s="139">
        <v>6</v>
      </c>
      <c r="H579" s="458">
        <v>0.70833333333333337</v>
      </c>
      <c r="I579" s="458">
        <v>0.875</v>
      </c>
      <c r="J579" s="458">
        <v>0.125</v>
      </c>
      <c r="K579" s="100" t="s">
        <v>348</v>
      </c>
      <c r="L579" s="97" t="s">
        <v>6275</v>
      </c>
      <c r="M579" s="97" t="s">
        <v>26</v>
      </c>
      <c r="N579" s="58" t="s">
        <v>38</v>
      </c>
      <c r="O579" s="58" t="s">
        <v>5050</v>
      </c>
      <c r="P579" s="206">
        <v>44300</v>
      </c>
      <c r="Q579" s="460">
        <v>44300</v>
      </c>
      <c r="R579" s="460">
        <v>45029</v>
      </c>
      <c r="S579" s="461">
        <f>R579+1</f>
        <v>45030</v>
      </c>
      <c r="T579" s="139"/>
      <c r="U579" s="139"/>
      <c r="V579" s="139"/>
      <c r="W579" s="139"/>
      <c r="X579" s="139"/>
      <c r="Y579" s="462" t="s">
        <v>5078</v>
      </c>
      <c r="Z579" s="140">
        <v>50108</v>
      </c>
      <c r="AA579" s="140" t="s">
        <v>1841</v>
      </c>
      <c r="AB579" s="460">
        <v>44002</v>
      </c>
      <c r="AC579" s="460">
        <v>45827</v>
      </c>
      <c r="AD579" s="139">
        <v>9885385084</v>
      </c>
      <c r="AE579" s="140" t="s">
        <v>6276</v>
      </c>
      <c r="AF579" s="139" t="s">
        <v>1805</v>
      </c>
      <c r="AG579" s="491" t="s">
        <v>6277</v>
      </c>
      <c r="AH579" s="139" t="s">
        <v>2103</v>
      </c>
      <c r="AI579" s="139" t="s">
        <v>6278</v>
      </c>
      <c r="AJ579" s="475" t="s">
        <v>6279</v>
      </c>
      <c r="AK579" s="140" t="s">
        <v>6280</v>
      </c>
      <c r="AL579" s="461">
        <v>44379</v>
      </c>
      <c r="AM579" s="477"/>
      <c r="AN579" s="465"/>
      <c r="AO579" s="140"/>
      <c r="AP579" s="139"/>
      <c r="AQ579" s="139"/>
      <c r="AR579" s="181"/>
      <c r="AS579" s="458"/>
      <c r="AT579" s="458"/>
      <c r="AU579" s="461">
        <v>28312</v>
      </c>
      <c r="AV579" s="181" t="s">
        <v>1352</v>
      </c>
      <c r="AW579" s="31" t="s">
        <v>32</v>
      </c>
      <c r="AX579" s="139">
        <v>3</v>
      </c>
      <c r="AY579" s="466">
        <f>VLOOKUP(K579,[3]Master!M556:BA939,40,0)</f>
        <v>1</v>
      </c>
      <c r="AZ579" s="58" t="s">
        <v>26</v>
      </c>
      <c r="BA579" s="58" t="s">
        <v>151</v>
      </c>
      <c r="BB579" s="58" t="s">
        <v>1407</v>
      </c>
      <c r="BC579" s="58"/>
    </row>
    <row r="580" spans="1:55" x14ac:dyDescent="0.25">
      <c r="A580" s="10">
        <f t="shared" ref="A580:A643" si="27">A579+1</f>
        <v>579</v>
      </c>
      <c r="B580" s="181" t="s">
        <v>6281</v>
      </c>
      <c r="C580" s="592" t="s">
        <v>1407</v>
      </c>
      <c r="D580" s="457">
        <v>400338</v>
      </c>
      <c r="E580" s="181" t="s">
        <v>36</v>
      </c>
      <c r="F580" s="97" t="s">
        <v>6282</v>
      </c>
      <c r="G580" s="139">
        <v>6</v>
      </c>
      <c r="H580" s="458">
        <v>0.33333333333333331</v>
      </c>
      <c r="I580" s="458">
        <v>0.875</v>
      </c>
      <c r="J580" s="458">
        <v>0.33333333333333331</v>
      </c>
      <c r="K580" s="462" t="s">
        <v>154</v>
      </c>
      <c r="L580" s="97" t="s">
        <v>2097</v>
      </c>
      <c r="M580" s="97" t="s">
        <v>2097</v>
      </c>
      <c r="N580" s="58" t="s">
        <v>2098</v>
      </c>
      <c r="O580" s="58" t="s">
        <v>5111</v>
      </c>
      <c r="P580" s="206">
        <v>44303</v>
      </c>
      <c r="Q580" s="460">
        <v>44303</v>
      </c>
      <c r="R580" s="460">
        <v>45032</v>
      </c>
      <c r="S580" s="461">
        <v>45033</v>
      </c>
      <c r="T580" s="139">
        <v>2010</v>
      </c>
      <c r="U580" s="139" t="s">
        <v>6283</v>
      </c>
      <c r="V580" s="139">
        <v>2017</v>
      </c>
      <c r="W580" s="139" t="s">
        <v>209</v>
      </c>
      <c r="X580" s="139" t="s">
        <v>30</v>
      </c>
      <c r="Y580" s="462" t="s">
        <v>4862</v>
      </c>
      <c r="Z580" s="140">
        <v>70111</v>
      </c>
      <c r="AA580" s="140" t="s">
        <v>1841</v>
      </c>
      <c r="AB580" s="460">
        <v>43325</v>
      </c>
      <c r="AC580" s="460">
        <v>45150</v>
      </c>
      <c r="AD580" s="488">
        <v>9121793763</v>
      </c>
      <c r="AE580" s="140" t="s">
        <v>6284</v>
      </c>
      <c r="AF580" s="139" t="s">
        <v>1430</v>
      </c>
      <c r="AG580" s="463" t="s">
        <v>6285</v>
      </c>
      <c r="AH580" s="139" t="s">
        <v>3805</v>
      </c>
      <c r="AI580" s="139" t="s">
        <v>6286</v>
      </c>
      <c r="AJ580" s="464" t="s">
        <v>6287</v>
      </c>
      <c r="AK580" s="140" t="s">
        <v>6288</v>
      </c>
      <c r="AL580" s="206">
        <v>45108</v>
      </c>
      <c r="AM580" s="477"/>
      <c r="AN580" s="465"/>
      <c r="AO580" s="140"/>
      <c r="AP580" s="139"/>
      <c r="AQ580" s="139"/>
      <c r="AR580" s="58"/>
      <c r="AS580" s="458"/>
      <c r="AT580" s="458"/>
      <c r="AU580" s="461">
        <v>31518</v>
      </c>
      <c r="AV580" s="181" t="s">
        <v>1389</v>
      </c>
      <c r="AW580" s="31" t="s">
        <v>68</v>
      </c>
      <c r="AX580" s="139">
        <v>8</v>
      </c>
      <c r="AY580" s="466">
        <f>VLOOKUP(K580,[3]Master!M557:BA940,40,0)</f>
        <v>8</v>
      </c>
      <c r="AZ580" s="58" t="s">
        <v>1373</v>
      </c>
      <c r="BA580" s="58" t="s">
        <v>151</v>
      </c>
      <c r="BB580" s="58" t="s">
        <v>1407</v>
      </c>
      <c r="BC580" s="58"/>
    </row>
    <row r="581" spans="1:55" x14ac:dyDescent="0.25">
      <c r="A581" s="10">
        <f t="shared" si="27"/>
        <v>580</v>
      </c>
      <c r="B581" s="181" t="s">
        <v>6289</v>
      </c>
      <c r="C581" s="592" t="s">
        <v>1407</v>
      </c>
      <c r="D581" s="457">
        <v>400340</v>
      </c>
      <c r="E581" s="181" t="s">
        <v>36</v>
      </c>
      <c r="F581" s="97" t="s">
        <v>6290</v>
      </c>
      <c r="G581" s="139">
        <v>6</v>
      </c>
      <c r="H581" s="458">
        <v>0.33333333333333331</v>
      </c>
      <c r="I581" s="458">
        <v>0.375</v>
      </c>
      <c r="J581" s="458">
        <v>4.1666666666666664E-2</v>
      </c>
      <c r="K581" s="100" t="s">
        <v>680</v>
      </c>
      <c r="L581" s="97"/>
      <c r="M581" s="97" t="s">
        <v>1376</v>
      </c>
      <c r="N581" s="58" t="s">
        <v>1393</v>
      </c>
      <c r="O581" s="58"/>
      <c r="P581" s="206">
        <v>44306</v>
      </c>
      <c r="Q581" s="460">
        <v>44306</v>
      </c>
      <c r="R581" s="460">
        <v>45035</v>
      </c>
      <c r="S581" s="461">
        <f>R581+1</f>
        <v>45036</v>
      </c>
      <c r="T581" s="139"/>
      <c r="U581" s="139"/>
      <c r="V581" s="139" t="s">
        <v>30</v>
      </c>
      <c r="W581" s="139" t="s">
        <v>30</v>
      </c>
      <c r="X581" s="139" t="s">
        <v>30</v>
      </c>
      <c r="Y581" s="462" t="s">
        <v>226</v>
      </c>
      <c r="Z581" s="140" t="s">
        <v>6292</v>
      </c>
      <c r="AA581" s="140" t="s">
        <v>1841</v>
      </c>
      <c r="AB581" s="460">
        <v>44397</v>
      </c>
      <c r="AC581" s="460">
        <v>46223</v>
      </c>
      <c r="AD581" s="139" t="s">
        <v>6293</v>
      </c>
      <c r="AE581" s="140" t="s">
        <v>6294</v>
      </c>
      <c r="AF581" s="139" t="s">
        <v>5086</v>
      </c>
      <c r="AG581" s="491" t="s">
        <v>6295</v>
      </c>
      <c r="AH581" s="139" t="s">
        <v>6296</v>
      </c>
      <c r="AI581" s="139" t="s">
        <v>6297</v>
      </c>
      <c r="AJ581" s="475" t="s">
        <v>6298</v>
      </c>
      <c r="AK581" s="140" t="s">
        <v>6299</v>
      </c>
      <c r="AL581" s="206"/>
      <c r="AM581" s="477"/>
      <c r="AN581" s="465"/>
      <c r="AO581" s="140"/>
      <c r="AP581" s="139"/>
      <c r="AQ581" s="139"/>
      <c r="AR581" s="181"/>
      <c r="AS581" s="458"/>
      <c r="AT581" s="458"/>
      <c r="AU581" s="461">
        <v>35151</v>
      </c>
      <c r="AV581" s="181" t="s">
        <v>1352</v>
      </c>
      <c r="AW581" s="31" t="s">
        <v>32</v>
      </c>
      <c r="AX581" s="139">
        <v>1</v>
      </c>
      <c r="AY581" s="58" t="s">
        <v>2189</v>
      </c>
      <c r="AZ581" s="58" t="s">
        <v>1390</v>
      </c>
      <c r="BA581" s="58" t="s">
        <v>151</v>
      </c>
      <c r="BB581" s="58" t="s">
        <v>1407</v>
      </c>
      <c r="BC581" s="58"/>
    </row>
    <row r="582" spans="1:55" x14ac:dyDescent="0.25">
      <c r="A582" s="10">
        <f t="shared" si="27"/>
        <v>581</v>
      </c>
      <c r="B582" s="181" t="s">
        <v>6300</v>
      </c>
      <c r="C582" s="592" t="s">
        <v>1407</v>
      </c>
      <c r="D582" s="457">
        <v>400341</v>
      </c>
      <c r="E582" s="181" t="s">
        <v>36</v>
      </c>
      <c r="F582" s="97" t="s">
        <v>6301</v>
      </c>
      <c r="G582" s="139">
        <v>6</v>
      </c>
      <c r="H582" s="458">
        <v>0.33333333333333331</v>
      </c>
      <c r="I582" s="458">
        <v>0.875</v>
      </c>
      <c r="J582" s="458">
        <v>0.33333333333333331</v>
      </c>
      <c r="K582" s="58" t="s">
        <v>147</v>
      </c>
      <c r="L582" s="97"/>
      <c r="M582" s="63" t="s">
        <v>1355</v>
      </c>
      <c r="N582" s="100" t="s">
        <v>1520</v>
      </c>
      <c r="O582" s="58" t="s">
        <v>5270</v>
      </c>
      <c r="P582" s="206">
        <v>44308</v>
      </c>
      <c r="Q582" s="460">
        <v>44308</v>
      </c>
      <c r="R582" s="460">
        <v>45037</v>
      </c>
      <c r="S582" s="461">
        <f>R582+1</f>
        <v>45038</v>
      </c>
      <c r="T582" s="139">
        <v>2013</v>
      </c>
      <c r="U582" s="139" t="s">
        <v>653</v>
      </c>
      <c r="V582" s="139">
        <v>2019</v>
      </c>
      <c r="W582" s="139" t="s">
        <v>6302</v>
      </c>
      <c r="X582" s="139"/>
      <c r="Y582" s="462" t="s">
        <v>5214</v>
      </c>
      <c r="Z582" s="140" t="s">
        <v>6303</v>
      </c>
      <c r="AA582" s="140" t="s">
        <v>1841</v>
      </c>
      <c r="AB582" s="460">
        <v>43672</v>
      </c>
      <c r="AC582" s="460">
        <v>45498</v>
      </c>
      <c r="AD582" s="139">
        <v>9582433630</v>
      </c>
      <c r="AE582" s="467" t="s">
        <v>6304</v>
      </c>
      <c r="AF582" s="139" t="s">
        <v>1430</v>
      </c>
      <c r="AG582" s="491" t="s">
        <v>6305</v>
      </c>
      <c r="AH582" s="139" t="s">
        <v>6306</v>
      </c>
      <c r="AI582" s="139" t="s">
        <v>6307</v>
      </c>
      <c r="AJ582" s="475" t="s">
        <v>6308</v>
      </c>
      <c r="AK582" s="140" t="s">
        <v>6309</v>
      </c>
      <c r="AL582" s="206"/>
      <c r="AM582" s="477"/>
      <c r="AN582" s="465"/>
      <c r="AO582" s="140"/>
      <c r="AP582" s="139"/>
      <c r="AQ582" s="139"/>
      <c r="AR582" s="181"/>
      <c r="AS582" s="458"/>
      <c r="AT582" s="458"/>
      <c r="AU582" s="461">
        <v>32853</v>
      </c>
      <c r="AV582" s="181" t="s">
        <v>1389</v>
      </c>
      <c r="AW582" s="31" t="s">
        <v>68</v>
      </c>
      <c r="AX582" s="139">
        <v>8</v>
      </c>
      <c r="AY582" s="466">
        <f>VLOOKUP(K582,[3]Master!M559:BA942,40,0)</f>
        <v>8</v>
      </c>
      <c r="AZ582" s="58" t="s">
        <v>1373</v>
      </c>
      <c r="BA582" s="58" t="s">
        <v>151</v>
      </c>
      <c r="BB582" s="58" t="s">
        <v>1407</v>
      </c>
      <c r="BC582" s="58"/>
    </row>
    <row r="583" spans="1:55" x14ac:dyDescent="0.25">
      <c r="A583" s="10">
        <f t="shared" si="27"/>
        <v>582</v>
      </c>
      <c r="B583" s="181" t="s">
        <v>6310</v>
      </c>
      <c r="C583" s="592" t="s">
        <v>1407</v>
      </c>
      <c r="D583" s="457">
        <v>400342</v>
      </c>
      <c r="E583" s="181" t="s">
        <v>36</v>
      </c>
      <c r="F583" s="97" t="s">
        <v>6311</v>
      </c>
      <c r="G583" s="139">
        <v>6</v>
      </c>
      <c r="H583" s="458">
        <v>0.375</v>
      </c>
      <c r="I583" s="458">
        <v>0.5</v>
      </c>
      <c r="J583" s="458">
        <v>0.125</v>
      </c>
      <c r="K583" s="58" t="s">
        <v>147</v>
      </c>
      <c r="L583" s="97"/>
      <c r="M583" s="97" t="s">
        <v>1376</v>
      </c>
      <c r="N583" s="58" t="s">
        <v>1393</v>
      </c>
      <c r="O583" s="58"/>
      <c r="P583" s="206">
        <v>44312</v>
      </c>
      <c r="Q583" s="460">
        <v>44312</v>
      </c>
      <c r="R583" s="460">
        <v>45041</v>
      </c>
      <c r="S583" s="461">
        <f>R583+1</f>
        <v>45042</v>
      </c>
      <c r="T583" s="139"/>
      <c r="U583" s="139"/>
      <c r="V583" s="139"/>
      <c r="W583" s="139"/>
      <c r="X583" s="139"/>
      <c r="Y583" s="462" t="s">
        <v>226</v>
      </c>
      <c r="Z583" s="140" t="s">
        <v>6312</v>
      </c>
      <c r="AA583" s="140" t="s">
        <v>1886</v>
      </c>
      <c r="AB583" s="460">
        <v>43840</v>
      </c>
      <c r="AC583" s="460">
        <v>45666</v>
      </c>
      <c r="AD583" s="139">
        <v>9493949502</v>
      </c>
      <c r="AE583" s="140" t="s">
        <v>6313</v>
      </c>
      <c r="AF583" s="139" t="s">
        <v>1430</v>
      </c>
      <c r="AG583" s="491" t="s">
        <v>6314</v>
      </c>
      <c r="AH583" s="139" t="s">
        <v>6315</v>
      </c>
      <c r="AI583" s="139" t="s">
        <v>6316</v>
      </c>
      <c r="AJ583" s="475" t="s">
        <v>6317</v>
      </c>
      <c r="AK583" s="140" t="s">
        <v>6318</v>
      </c>
      <c r="AL583" s="206"/>
      <c r="AM583" s="477"/>
      <c r="AN583" s="465"/>
      <c r="AO583" s="140"/>
      <c r="AP583" s="139"/>
      <c r="AQ583" s="139"/>
      <c r="AR583" s="181"/>
      <c r="AS583" s="458"/>
      <c r="AT583" s="458"/>
      <c r="AU583" s="461">
        <v>34790</v>
      </c>
      <c r="AV583" s="181" t="s">
        <v>1352</v>
      </c>
      <c r="AW583" s="31" t="s">
        <v>32</v>
      </c>
      <c r="AX583" s="139">
        <v>3</v>
      </c>
      <c r="AY583" s="466">
        <f>VLOOKUP(K583,[3]Master!M560:BA943,40,0)</f>
        <v>8</v>
      </c>
      <c r="AZ583" s="58" t="s">
        <v>1390</v>
      </c>
      <c r="BA583" s="58" t="s">
        <v>151</v>
      </c>
      <c r="BB583" s="58" t="s">
        <v>1407</v>
      </c>
      <c r="BC583" s="58"/>
    </row>
    <row r="584" spans="1:55" x14ac:dyDescent="0.25">
      <c r="A584" s="10">
        <f t="shared" si="27"/>
        <v>583</v>
      </c>
      <c r="B584" s="181" t="s">
        <v>6319</v>
      </c>
      <c r="C584" s="592" t="s">
        <v>1407</v>
      </c>
      <c r="D584" s="457">
        <v>400343</v>
      </c>
      <c r="E584" s="181" t="s">
        <v>42</v>
      </c>
      <c r="F584" s="97" t="s">
        <v>6320</v>
      </c>
      <c r="G584" s="139">
        <v>6</v>
      </c>
      <c r="H584" s="458">
        <v>0.58333333333333337</v>
      </c>
      <c r="I584" s="458">
        <v>0.83333333333333337</v>
      </c>
      <c r="J584" s="458">
        <v>0.25</v>
      </c>
      <c r="K584" s="143" t="s">
        <v>477</v>
      </c>
      <c r="L584" s="97" t="e">
        <v>#N/A</v>
      </c>
      <c r="M584" s="97" t="s">
        <v>26</v>
      </c>
      <c r="N584" s="58" t="s">
        <v>38</v>
      </c>
      <c r="O584" s="58" t="s">
        <v>5050</v>
      </c>
      <c r="P584" s="206">
        <v>44317</v>
      </c>
      <c r="Q584" s="460">
        <v>44317</v>
      </c>
      <c r="R584" s="460">
        <v>45046</v>
      </c>
      <c r="S584" s="461">
        <f>R584+1</f>
        <v>45047</v>
      </c>
      <c r="T584" s="139"/>
      <c r="U584" s="139"/>
      <c r="V584" s="139"/>
      <c r="W584" s="139"/>
      <c r="X584" s="139"/>
      <c r="Y584" s="462" t="s">
        <v>5937</v>
      </c>
      <c r="Z584" s="140">
        <v>66747</v>
      </c>
      <c r="AA584" s="140" t="s">
        <v>1841</v>
      </c>
      <c r="AB584" s="460">
        <v>43326</v>
      </c>
      <c r="AC584" s="460">
        <v>45151</v>
      </c>
      <c r="AD584" s="139">
        <v>8019270382</v>
      </c>
      <c r="AE584" s="140" t="s">
        <v>6321</v>
      </c>
      <c r="AF584" s="139" t="s">
        <v>5086</v>
      </c>
      <c r="AG584" s="491" t="s">
        <v>6322</v>
      </c>
      <c r="AH584" s="139" t="s">
        <v>3069</v>
      </c>
      <c r="AI584" s="139" t="s">
        <v>6323</v>
      </c>
      <c r="AJ584" s="475" t="s">
        <v>6324</v>
      </c>
      <c r="AK584" s="140" t="s">
        <v>6325</v>
      </c>
      <c r="AL584" s="461">
        <v>44443</v>
      </c>
      <c r="AM584" s="477"/>
      <c r="AN584" s="465"/>
      <c r="AO584" s="140"/>
      <c r="AP584" s="139"/>
      <c r="AQ584" s="139"/>
      <c r="AR584" s="181"/>
      <c r="AS584" s="458"/>
      <c r="AT584" s="458"/>
      <c r="AU584" s="461">
        <v>31481</v>
      </c>
      <c r="AV584" s="181" t="s">
        <v>1352</v>
      </c>
      <c r="AW584" s="31" t="s">
        <v>32</v>
      </c>
      <c r="AX584" s="139">
        <v>6</v>
      </c>
      <c r="AY584" s="466">
        <f>VLOOKUP(K584,[3]Master!M561:BA944,40,0)</f>
        <v>6</v>
      </c>
      <c r="AZ584" s="58" t="s">
        <v>26</v>
      </c>
      <c r="BA584" s="58" t="s">
        <v>151</v>
      </c>
      <c r="BB584" s="58" t="s">
        <v>1407</v>
      </c>
      <c r="BC584" s="58"/>
    </row>
    <row r="585" spans="1:55" x14ac:dyDescent="0.25">
      <c r="A585" s="10">
        <f t="shared" si="27"/>
        <v>584</v>
      </c>
      <c r="B585" s="181" t="s">
        <v>6326</v>
      </c>
      <c r="C585" s="592" t="s">
        <v>1407</v>
      </c>
      <c r="D585" s="457">
        <v>400344</v>
      </c>
      <c r="E585" s="181" t="s">
        <v>9124</v>
      </c>
      <c r="F585" s="97" t="s">
        <v>6327</v>
      </c>
      <c r="G585" s="139">
        <v>6</v>
      </c>
      <c r="H585" s="458" t="s">
        <v>6328</v>
      </c>
      <c r="I585" s="458" t="s">
        <v>3630</v>
      </c>
      <c r="J585" s="458">
        <v>0.125</v>
      </c>
      <c r="K585" s="100" t="s">
        <v>563</v>
      </c>
      <c r="L585" s="97" t="s">
        <v>1544</v>
      </c>
      <c r="M585" s="97" t="s">
        <v>1544</v>
      </c>
      <c r="N585" s="58" t="s">
        <v>1992</v>
      </c>
      <c r="O585" s="58" t="s">
        <v>5817</v>
      </c>
      <c r="P585" s="206">
        <v>44322</v>
      </c>
      <c r="Q585" s="460">
        <v>45052</v>
      </c>
      <c r="R585" s="460">
        <v>45782</v>
      </c>
      <c r="S585" s="461">
        <v>45783</v>
      </c>
      <c r="T585" s="139">
        <v>2010</v>
      </c>
      <c r="U585" s="139" t="s">
        <v>516</v>
      </c>
      <c r="V585" s="139">
        <v>2019</v>
      </c>
      <c r="W585" s="139" t="s">
        <v>343</v>
      </c>
      <c r="X585" s="139" t="s">
        <v>30</v>
      </c>
      <c r="Y585" s="462" t="s">
        <v>5246</v>
      </c>
      <c r="Z585" s="140">
        <v>70684</v>
      </c>
      <c r="AA585" s="140" t="s">
        <v>1886</v>
      </c>
      <c r="AB585" s="460">
        <v>43651</v>
      </c>
      <c r="AC585" s="460">
        <v>45477</v>
      </c>
      <c r="AD585" s="488">
        <v>7207252751</v>
      </c>
      <c r="AE585" s="140" t="s">
        <v>6329</v>
      </c>
      <c r="AF585" s="139" t="s">
        <v>2545</v>
      </c>
      <c r="AG585" s="463" t="s">
        <v>6330</v>
      </c>
      <c r="AH585" s="139" t="s">
        <v>6331</v>
      </c>
      <c r="AI585" s="139" t="s">
        <v>6332</v>
      </c>
      <c r="AJ585" s="464" t="s">
        <v>6333</v>
      </c>
      <c r="AK585" s="140" t="s">
        <v>6334</v>
      </c>
      <c r="AL585" s="206">
        <v>45314</v>
      </c>
      <c r="AM585" s="477">
        <v>45314</v>
      </c>
      <c r="AN585" s="140" t="s">
        <v>5072</v>
      </c>
      <c r="AO585" s="140"/>
      <c r="AP585" s="139"/>
      <c r="AQ585" s="58"/>
      <c r="AR585" s="489"/>
      <c r="AS585" s="458">
        <v>0.33333333333333331</v>
      </c>
      <c r="AT585" s="181">
        <v>0.45833333333333331</v>
      </c>
      <c r="AU585" s="461">
        <v>31953</v>
      </c>
      <c r="AV585" s="181" t="s">
        <v>1389</v>
      </c>
      <c r="AW585" s="31" t="s">
        <v>32</v>
      </c>
      <c r="AX585" s="139">
        <v>3</v>
      </c>
      <c r="AY585" s="466">
        <f>VLOOKUP(K585,[3]Master!M562:BA945,40,0)</f>
        <v>3</v>
      </c>
      <c r="AZ585" s="58" t="s">
        <v>1373</v>
      </c>
      <c r="BA585" s="58" t="s">
        <v>151</v>
      </c>
      <c r="BB585" s="58" t="s">
        <v>1407</v>
      </c>
      <c r="BC585" s="58"/>
    </row>
    <row r="586" spans="1:55" x14ac:dyDescent="0.25">
      <c r="A586" s="10">
        <f t="shared" si="27"/>
        <v>585</v>
      </c>
      <c r="B586" s="181" t="s">
        <v>6335</v>
      </c>
      <c r="C586" s="592" t="s">
        <v>1407</v>
      </c>
      <c r="D586" s="457">
        <v>400345</v>
      </c>
      <c r="E586" s="181" t="s">
        <v>36</v>
      </c>
      <c r="F586" s="97" t="s">
        <v>6336</v>
      </c>
      <c r="G586" s="139">
        <v>6</v>
      </c>
      <c r="H586" s="458">
        <v>0.33333333333333331</v>
      </c>
      <c r="I586" s="458">
        <v>0.91666666666666663</v>
      </c>
      <c r="J586" s="458">
        <v>0.33333333333333331</v>
      </c>
      <c r="K586" s="58" t="s">
        <v>147</v>
      </c>
      <c r="L586" s="97"/>
      <c r="M586" s="63" t="s">
        <v>1355</v>
      </c>
      <c r="N586" s="100" t="s">
        <v>1520</v>
      </c>
      <c r="O586" s="58" t="s">
        <v>5270</v>
      </c>
      <c r="P586" s="206">
        <v>44351</v>
      </c>
      <c r="Q586" s="460">
        <v>44351</v>
      </c>
      <c r="R586" s="460">
        <v>45080</v>
      </c>
      <c r="S586" s="461">
        <f>R586+1</f>
        <v>45081</v>
      </c>
      <c r="T586" s="139"/>
      <c r="U586" s="139"/>
      <c r="V586" s="139"/>
      <c r="W586" s="139"/>
      <c r="X586" s="139"/>
      <c r="Y586" s="462" t="s">
        <v>6337</v>
      </c>
      <c r="Z586" s="140"/>
      <c r="AA586" s="140"/>
      <c r="AB586" s="460"/>
      <c r="AC586" s="460"/>
      <c r="AD586" s="139">
        <v>9558435131</v>
      </c>
      <c r="AE586" s="467" t="s">
        <v>6338</v>
      </c>
      <c r="AF586" s="139" t="s">
        <v>1690</v>
      </c>
      <c r="AG586" s="491" t="s">
        <v>6339</v>
      </c>
      <c r="AH586" s="139" t="s">
        <v>6340</v>
      </c>
      <c r="AI586" s="139" t="s">
        <v>6341</v>
      </c>
      <c r="AJ586" s="475" t="s">
        <v>6342</v>
      </c>
      <c r="AK586" s="140" t="s">
        <v>6343</v>
      </c>
      <c r="AL586" s="206">
        <v>44550</v>
      </c>
      <c r="AM586" s="477"/>
      <c r="AN586" s="465"/>
      <c r="AO586" s="140"/>
      <c r="AP586" s="139"/>
      <c r="AQ586" s="139"/>
      <c r="AR586" s="181"/>
      <c r="AS586" s="458"/>
      <c r="AT586" s="458"/>
      <c r="AU586" s="461">
        <v>32287</v>
      </c>
      <c r="AV586" s="181" t="s">
        <v>1389</v>
      </c>
      <c r="AW586" s="31" t="s">
        <v>68</v>
      </c>
      <c r="AX586" s="139">
        <v>8</v>
      </c>
      <c r="AY586" s="466">
        <f>VLOOKUP(K586,[3]Master!M563:BA946,40,0)</f>
        <v>8</v>
      </c>
      <c r="AZ586" s="58" t="s">
        <v>1373</v>
      </c>
      <c r="BA586" s="58" t="s">
        <v>151</v>
      </c>
      <c r="BB586" s="58" t="s">
        <v>1407</v>
      </c>
      <c r="BC586" s="58"/>
    </row>
    <row r="587" spans="1:55" x14ac:dyDescent="0.25">
      <c r="A587" s="10">
        <f t="shared" si="27"/>
        <v>586</v>
      </c>
      <c r="B587" s="181" t="s">
        <v>6344</v>
      </c>
      <c r="C587" s="592" t="s">
        <v>1407</v>
      </c>
      <c r="D587" s="457">
        <v>400346</v>
      </c>
      <c r="E587" s="181" t="s">
        <v>42</v>
      </c>
      <c r="F587" s="97" t="s">
        <v>6345</v>
      </c>
      <c r="G587" s="139">
        <v>6</v>
      </c>
      <c r="H587" s="458">
        <v>0.41666666666666669</v>
      </c>
      <c r="I587" s="458">
        <v>0.66666666666666663</v>
      </c>
      <c r="J587" s="458">
        <v>0.25</v>
      </c>
      <c r="K587" s="100" t="s">
        <v>922</v>
      </c>
      <c r="L587" s="97" t="s">
        <v>6346</v>
      </c>
      <c r="M587" s="97" t="s">
        <v>26</v>
      </c>
      <c r="N587" s="58" t="s">
        <v>38</v>
      </c>
      <c r="O587" s="58" t="s">
        <v>5050</v>
      </c>
      <c r="P587" s="206">
        <v>44378</v>
      </c>
      <c r="Q587" s="460">
        <v>44378</v>
      </c>
      <c r="R587" s="460">
        <v>45107</v>
      </c>
      <c r="S587" s="461">
        <f>R587+1</f>
        <v>45108</v>
      </c>
      <c r="T587" s="139"/>
      <c r="U587" s="139" t="s">
        <v>6347</v>
      </c>
      <c r="V587" s="139">
        <v>2013</v>
      </c>
      <c r="W587" s="139" t="s">
        <v>331</v>
      </c>
      <c r="X587" s="139"/>
      <c r="Y587" s="462" t="s">
        <v>1236</v>
      </c>
      <c r="Z587" s="140">
        <v>62070</v>
      </c>
      <c r="AA587" s="140" t="s">
        <v>1886</v>
      </c>
      <c r="AB587" s="460"/>
      <c r="AC587" s="460"/>
      <c r="AD587" s="139">
        <v>9866864646</v>
      </c>
      <c r="AE587" s="140" t="s">
        <v>6348</v>
      </c>
      <c r="AF587" s="139" t="s">
        <v>1430</v>
      </c>
      <c r="AG587" s="491" t="s">
        <v>6349</v>
      </c>
      <c r="AH587" s="139" t="s">
        <v>1961</v>
      </c>
      <c r="AI587" s="139" t="s">
        <v>6350</v>
      </c>
      <c r="AJ587" s="475" t="s">
        <v>6351</v>
      </c>
      <c r="AK587" s="140" t="s">
        <v>6352</v>
      </c>
      <c r="AL587" s="461"/>
      <c r="AM587" s="477"/>
      <c r="AN587" s="465"/>
      <c r="AO587" s="140"/>
      <c r="AP587" s="139"/>
      <c r="AQ587" s="139"/>
      <c r="AR587" s="181"/>
      <c r="AS587" s="468"/>
      <c r="AT587" s="468"/>
      <c r="AU587" s="461">
        <v>30967</v>
      </c>
      <c r="AV587" s="181" t="s">
        <v>1389</v>
      </c>
      <c r="AW587" s="31" t="s">
        <v>32</v>
      </c>
      <c r="AX587" s="139">
        <v>6</v>
      </c>
      <c r="AY587" s="466">
        <f>VLOOKUP(K587,[3]Master!M564:BA947,40,0)</f>
        <v>6</v>
      </c>
      <c r="AZ587" s="58" t="s">
        <v>26</v>
      </c>
      <c r="BA587" s="58" t="s">
        <v>151</v>
      </c>
      <c r="BB587" s="58" t="s">
        <v>1407</v>
      </c>
      <c r="BC587" s="58"/>
    </row>
    <row r="588" spans="1:55" x14ac:dyDescent="0.25">
      <c r="A588" s="10">
        <f t="shared" si="27"/>
        <v>587</v>
      </c>
      <c r="B588" s="181" t="s">
        <v>6353</v>
      </c>
      <c r="C588" s="592" t="s">
        <v>1407</v>
      </c>
      <c r="D588" s="457">
        <v>400347</v>
      </c>
      <c r="E588" s="181" t="s">
        <v>36</v>
      </c>
      <c r="F588" s="97" t="s">
        <v>6354</v>
      </c>
      <c r="G588" s="139">
        <v>6</v>
      </c>
      <c r="H588" s="458">
        <v>0.41666666666666669</v>
      </c>
      <c r="I588" s="458">
        <v>0.70833333333333337</v>
      </c>
      <c r="J588" s="458">
        <v>0.29166666666666669</v>
      </c>
      <c r="K588" s="100" t="s">
        <v>348</v>
      </c>
      <c r="L588" s="97" t="e">
        <v>#N/A</v>
      </c>
      <c r="M588" s="97" t="s">
        <v>26</v>
      </c>
      <c r="N588" s="58" t="s">
        <v>38</v>
      </c>
      <c r="O588" s="58" t="s">
        <v>5050</v>
      </c>
      <c r="P588" s="206">
        <v>44378</v>
      </c>
      <c r="Q588" s="460">
        <v>44378</v>
      </c>
      <c r="R588" s="460">
        <v>45107</v>
      </c>
      <c r="S588" s="461">
        <f>R588+1</f>
        <v>45108</v>
      </c>
      <c r="T588" s="139"/>
      <c r="U588" s="139"/>
      <c r="V588" s="139"/>
      <c r="W588" s="139"/>
      <c r="X588" s="139"/>
      <c r="Y588" s="462" t="s">
        <v>5078</v>
      </c>
      <c r="Z588" s="140" t="s">
        <v>6355</v>
      </c>
      <c r="AA588" s="140" t="s">
        <v>1886</v>
      </c>
      <c r="AB588" s="460">
        <v>44189</v>
      </c>
      <c r="AC588" s="460">
        <v>46014</v>
      </c>
      <c r="AD588" s="139">
        <v>9490984089</v>
      </c>
      <c r="AE588" s="140" t="s">
        <v>6356</v>
      </c>
      <c r="AF588" s="139" t="s">
        <v>6357</v>
      </c>
      <c r="AG588" s="491" t="s">
        <v>6358</v>
      </c>
      <c r="AH588" s="139" t="s">
        <v>6359</v>
      </c>
      <c r="AI588" s="139" t="s">
        <v>6360</v>
      </c>
      <c r="AJ588" s="475" t="s">
        <v>6361</v>
      </c>
      <c r="AK588" s="140" t="s">
        <v>6362</v>
      </c>
      <c r="AL588" s="461">
        <v>44437</v>
      </c>
      <c r="AM588" s="477"/>
      <c r="AN588" s="465"/>
      <c r="AO588" s="140"/>
      <c r="AP588" s="139"/>
      <c r="AQ588" s="139"/>
      <c r="AR588" s="181"/>
      <c r="AS588" s="458"/>
      <c r="AT588" s="458"/>
      <c r="AU588" s="461">
        <v>33055</v>
      </c>
      <c r="AV588" s="181" t="s">
        <v>1352</v>
      </c>
      <c r="AW588" s="31" t="s">
        <v>32</v>
      </c>
      <c r="AX588" s="139">
        <v>7</v>
      </c>
      <c r="AY588" s="466">
        <f>VLOOKUP(K588,[3]Master!M565:BA948,40,0)</f>
        <v>1</v>
      </c>
      <c r="AZ588" s="58" t="s">
        <v>26</v>
      </c>
      <c r="BA588" s="58" t="s">
        <v>151</v>
      </c>
      <c r="BB588" s="58" t="s">
        <v>1407</v>
      </c>
      <c r="BC588" s="58"/>
    </row>
    <row r="589" spans="1:55" x14ac:dyDescent="0.25">
      <c r="A589" s="10">
        <f t="shared" si="27"/>
        <v>588</v>
      </c>
      <c r="B589" s="181"/>
      <c r="C589" s="592" t="s">
        <v>1407</v>
      </c>
      <c r="D589" s="457">
        <v>400348</v>
      </c>
      <c r="E589" s="181" t="s">
        <v>36</v>
      </c>
      <c r="F589" s="97" t="s">
        <v>6363</v>
      </c>
      <c r="G589" s="139">
        <v>6</v>
      </c>
      <c r="H589" s="458">
        <v>0.41666666666666669</v>
      </c>
      <c r="I589" s="458">
        <v>0.625</v>
      </c>
      <c r="J589" s="458">
        <v>0.20833333333333334</v>
      </c>
      <c r="K589" s="143" t="s">
        <v>187</v>
      </c>
      <c r="L589" s="97"/>
      <c r="M589" s="97" t="s">
        <v>1376</v>
      </c>
      <c r="N589" s="58" t="s">
        <v>1393</v>
      </c>
      <c r="O589" s="58"/>
      <c r="P589" s="206"/>
      <c r="Q589" s="460"/>
      <c r="R589" s="460"/>
      <c r="S589" s="461" t="s">
        <v>5049</v>
      </c>
      <c r="T589" s="139"/>
      <c r="U589" s="139"/>
      <c r="V589" s="139"/>
      <c r="W589" s="139"/>
      <c r="X589" s="139"/>
      <c r="Y589" s="462" t="s">
        <v>226</v>
      </c>
      <c r="Z589" s="140" t="s">
        <v>6364</v>
      </c>
      <c r="AA589" s="140" t="s">
        <v>1841</v>
      </c>
      <c r="AB589" s="460">
        <v>43396</v>
      </c>
      <c r="AC589" s="460">
        <v>45221</v>
      </c>
      <c r="AD589" s="139">
        <v>7995929957</v>
      </c>
      <c r="AE589" s="140" t="s">
        <v>6365</v>
      </c>
      <c r="AF589" s="139" t="s">
        <v>1690</v>
      </c>
      <c r="AG589" s="491" t="s">
        <v>6366</v>
      </c>
      <c r="AH589" s="139" t="s">
        <v>6367</v>
      </c>
      <c r="AI589" s="139" t="s">
        <v>6368</v>
      </c>
      <c r="AJ589" s="475" t="s">
        <v>6369</v>
      </c>
      <c r="AK589" s="140" t="s">
        <v>6370</v>
      </c>
      <c r="AL589" s="206"/>
      <c r="AM589" s="477"/>
      <c r="AN589" s="465"/>
      <c r="AO589" s="140"/>
      <c r="AP589" s="139"/>
      <c r="AQ589" s="139"/>
      <c r="AR589" s="181"/>
      <c r="AS589" s="458"/>
      <c r="AT589" s="458"/>
      <c r="AU589" s="461">
        <v>32731</v>
      </c>
      <c r="AV589" s="181" t="s">
        <v>1389</v>
      </c>
      <c r="AW589" s="31" t="s">
        <v>32</v>
      </c>
      <c r="AX589" s="139">
        <v>5</v>
      </c>
      <c r="AY589" s="466">
        <f>VLOOKUP(K589,[3]Master!M566:BA949,40,0)</f>
        <v>2</v>
      </c>
      <c r="AZ589" s="58" t="s">
        <v>1390</v>
      </c>
      <c r="BA589" s="58" t="s">
        <v>151</v>
      </c>
      <c r="BB589" s="58" t="s">
        <v>1407</v>
      </c>
      <c r="BC589" s="58"/>
    </row>
    <row r="590" spans="1:55" x14ac:dyDescent="0.25">
      <c r="A590" s="10">
        <f t="shared" si="27"/>
        <v>589</v>
      </c>
      <c r="B590" s="181" t="s">
        <v>6371</v>
      </c>
      <c r="C590" s="592" t="s">
        <v>1407</v>
      </c>
      <c r="D590" s="457">
        <v>400349</v>
      </c>
      <c r="E590" s="181" t="s">
        <v>36</v>
      </c>
      <c r="F590" s="97" t="s">
        <v>6372</v>
      </c>
      <c r="G590" s="139">
        <v>6</v>
      </c>
      <c r="H590" s="458">
        <v>0.39583333333333331</v>
      </c>
      <c r="I590" s="458">
        <v>0.47916666666666669</v>
      </c>
      <c r="J590" s="458">
        <v>8.3333333333333329E-2</v>
      </c>
      <c r="K590" s="35" t="s">
        <v>770</v>
      </c>
      <c r="L590" s="97" t="s">
        <v>6373</v>
      </c>
      <c r="M590" s="97" t="s">
        <v>26</v>
      </c>
      <c r="N590" s="58" t="s">
        <v>38</v>
      </c>
      <c r="O590" s="58" t="s">
        <v>5050</v>
      </c>
      <c r="P590" s="206">
        <v>44385</v>
      </c>
      <c r="Q590" s="460">
        <v>44385</v>
      </c>
      <c r="R590" s="460">
        <v>45114</v>
      </c>
      <c r="S590" s="461">
        <f>R590+1</f>
        <v>45115</v>
      </c>
      <c r="T590" s="139"/>
      <c r="U590" s="139" t="s">
        <v>380</v>
      </c>
      <c r="V590" s="139">
        <v>2019</v>
      </c>
      <c r="W590" s="139" t="s">
        <v>6374</v>
      </c>
      <c r="X590" s="139"/>
      <c r="Y590" s="462" t="s">
        <v>5937</v>
      </c>
      <c r="Z590" s="140" t="s">
        <v>6375</v>
      </c>
      <c r="AA590" s="140" t="s">
        <v>1886</v>
      </c>
      <c r="AB590" s="460"/>
      <c r="AC590" s="460"/>
      <c r="AD590" s="139">
        <v>9959179381</v>
      </c>
      <c r="AE590" s="140" t="s">
        <v>6376</v>
      </c>
      <c r="AF590" s="139" t="s">
        <v>1400</v>
      </c>
      <c r="AG590" s="491" t="s">
        <v>6377</v>
      </c>
      <c r="AH590" s="139" t="s">
        <v>6378</v>
      </c>
      <c r="AI590" s="139" t="s">
        <v>6379</v>
      </c>
      <c r="AJ590" s="475" t="s">
        <v>6380</v>
      </c>
      <c r="AK590" s="140" t="s">
        <v>6381</v>
      </c>
      <c r="AL590" s="461">
        <v>44511</v>
      </c>
      <c r="AM590" s="477"/>
      <c r="AN590" s="465"/>
      <c r="AO590" s="140"/>
      <c r="AP590" s="139"/>
      <c r="AQ590" s="139"/>
      <c r="AR590" s="181"/>
      <c r="AS590" s="458"/>
      <c r="AT590" s="458"/>
      <c r="AU590" s="461">
        <v>33390</v>
      </c>
      <c r="AV590" s="181" t="s">
        <v>1389</v>
      </c>
      <c r="AW590" s="31" t="s">
        <v>32</v>
      </c>
      <c r="AX590" s="139">
        <v>2</v>
      </c>
      <c r="AY590" s="466">
        <f>VLOOKUP(K590,[3]Master!M567:BA950,40,0)</f>
        <v>2</v>
      </c>
      <c r="AZ590" s="58" t="s">
        <v>26</v>
      </c>
      <c r="BA590" s="58" t="s">
        <v>151</v>
      </c>
      <c r="BB590" s="58" t="s">
        <v>1407</v>
      </c>
      <c r="BC590" s="58"/>
    </row>
    <row r="591" spans="1:55" x14ac:dyDescent="0.25">
      <c r="A591" s="10">
        <f t="shared" si="27"/>
        <v>590</v>
      </c>
      <c r="B591" s="181" t="s">
        <v>6382</v>
      </c>
      <c r="C591" s="592" t="s">
        <v>1407</v>
      </c>
      <c r="D591" s="457">
        <v>400350</v>
      </c>
      <c r="E591" s="181" t="s">
        <v>36</v>
      </c>
      <c r="F591" s="97" t="s">
        <v>6383</v>
      </c>
      <c r="G591" s="139">
        <v>6</v>
      </c>
      <c r="H591" s="458">
        <v>0.33333333333333331</v>
      </c>
      <c r="I591" s="458">
        <v>0.875</v>
      </c>
      <c r="J591" s="458">
        <v>0.33333333333333331</v>
      </c>
      <c r="K591" s="462" t="s">
        <v>154</v>
      </c>
      <c r="L591" s="97" t="s">
        <v>2015</v>
      </c>
      <c r="M591" s="63" t="s">
        <v>1355</v>
      </c>
      <c r="N591" s="100" t="s">
        <v>1520</v>
      </c>
      <c r="O591" s="58" t="s">
        <v>5270</v>
      </c>
      <c r="P591" s="206">
        <v>44389</v>
      </c>
      <c r="Q591" s="460">
        <v>44389</v>
      </c>
      <c r="R591" s="460">
        <v>45118</v>
      </c>
      <c r="S591" s="461">
        <f>R591+1</f>
        <v>45119</v>
      </c>
      <c r="T591" s="139">
        <v>2011</v>
      </c>
      <c r="U591" s="139" t="s">
        <v>6384</v>
      </c>
      <c r="V591" s="139">
        <v>2017</v>
      </c>
      <c r="W591" s="139" t="s">
        <v>4449</v>
      </c>
      <c r="X591" s="139"/>
      <c r="Y591" s="462" t="s">
        <v>5214</v>
      </c>
      <c r="Z591" s="140" t="s">
        <v>6385</v>
      </c>
      <c r="AA591" s="140" t="s">
        <v>1841</v>
      </c>
      <c r="AB591" s="460">
        <v>43216</v>
      </c>
      <c r="AC591" s="460">
        <v>45041</v>
      </c>
      <c r="AD591" s="139">
        <v>9701631133</v>
      </c>
      <c r="AE591" s="140" t="s">
        <v>6386</v>
      </c>
      <c r="AF591" s="139" t="s">
        <v>6387</v>
      </c>
      <c r="AG591" s="491" t="s">
        <v>6388</v>
      </c>
      <c r="AH591" s="139" t="s">
        <v>6389</v>
      </c>
      <c r="AI591" s="139" t="s">
        <v>6390</v>
      </c>
      <c r="AJ591" s="475" t="s">
        <v>6391</v>
      </c>
      <c r="AK591" s="140" t="s">
        <v>6392</v>
      </c>
      <c r="AL591" s="206">
        <v>44712</v>
      </c>
      <c r="AM591" s="477">
        <v>44650</v>
      </c>
      <c r="AN591" s="465"/>
      <c r="AO591" s="140"/>
      <c r="AP591" s="139"/>
      <c r="AQ591" s="139"/>
      <c r="AR591" s="181"/>
      <c r="AS591" s="458"/>
      <c r="AT591" s="458"/>
      <c r="AU591" s="461">
        <v>32173</v>
      </c>
      <c r="AV591" s="181" t="s">
        <v>1389</v>
      </c>
      <c r="AW591" s="31" t="s">
        <v>68</v>
      </c>
      <c r="AX591" s="139">
        <v>8</v>
      </c>
      <c r="AY591" s="466">
        <f>VLOOKUP(K591,[3]Master!M568:BA951,40,0)</f>
        <v>8</v>
      </c>
      <c r="AZ591" s="58" t="s">
        <v>1373</v>
      </c>
      <c r="BA591" s="58" t="s">
        <v>151</v>
      </c>
      <c r="BB591" s="58" t="s">
        <v>1407</v>
      </c>
      <c r="BC591" s="58"/>
    </row>
    <row r="592" spans="1:55" x14ac:dyDescent="0.25">
      <c r="A592" s="10">
        <f t="shared" si="27"/>
        <v>591</v>
      </c>
      <c r="B592" s="181" t="s">
        <v>6393</v>
      </c>
      <c r="C592" s="592" t="s">
        <v>1407</v>
      </c>
      <c r="D592" s="457">
        <v>400351</v>
      </c>
      <c r="E592" s="181" t="s">
        <v>36</v>
      </c>
      <c r="F592" s="97" t="s">
        <v>6394</v>
      </c>
      <c r="G592" s="139">
        <v>6</v>
      </c>
      <c r="H592" s="458">
        <v>0.375</v>
      </c>
      <c r="I592" s="458">
        <v>0.875</v>
      </c>
      <c r="J592" s="141">
        <v>0.33333333333333331</v>
      </c>
      <c r="K592" s="100" t="s">
        <v>348</v>
      </c>
      <c r="L592" s="97"/>
      <c r="M592" s="63" t="s">
        <v>1355</v>
      </c>
      <c r="N592" s="100" t="s">
        <v>1520</v>
      </c>
      <c r="O592" s="58" t="s">
        <v>5270</v>
      </c>
      <c r="P592" s="206">
        <v>44403</v>
      </c>
      <c r="Q592" s="460">
        <v>44403</v>
      </c>
      <c r="R592" s="460">
        <v>45132</v>
      </c>
      <c r="S592" s="461">
        <f>R592+1</f>
        <v>45133</v>
      </c>
      <c r="T592" s="139">
        <v>2009</v>
      </c>
      <c r="U592" s="139" t="s">
        <v>4526</v>
      </c>
      <c r="V592" s="139">
        <v>2014</v>
      </c>
      <c r="W592" s="139" t="s">
        <v>209</v>
      </c>
      <c r="X592" s="139"/>
      <c r="Y592" s="462" t="s">
        <v>5214</v>
      </c>
      <c r="Z592" s="140">
        <v>62277</v>
      </c>
      <c r="AA592" s="140" t="s">
        <v>1841</v>
      </c>
      <c r="AB592" s="460">
        <v>44124</v>
      </c>
      <c r="AC592" s="460">
        <v>45949</v>
      </c>
      <c r="AD592" s="139">
        <v>7799319498</v>
      </c>
      <c r="AE592" s="467" t="s">
        <v>6395</v>
      </c>
      <c r="AF592" s="139" t="s">
        <v>1430</v>
      </c>
      <c r="AG592" s="491" t="s">
        <v>6396</v>
      </c>
      <c r="AH592" s="139" t="s">
        <v>5320</v>
      </c>
      <c r="AI592" s="139" t="s">
        <v>6397</v>
      </c>
      <c r="AJ592" s="475" t="s">
        <v>6398</v>
      </c>
      <c r="AK592" s="140" t="s">
        <v>6399</v>
      </c>
      <c r="AL592" s="206">
        <v>44515</v>
      </c>
      <c r="AM592" s="477"/>
      <c r="AN592" s="465"/>
      <c r="AO592" s="140"/>
      <c r="AP592" s="139"/>
      <c r="AQ592" s="139"/>
      <c r="AR592" s="181"/>
      <c r="AS592" s="458"/>
      <c r="AT592" s="458"/>
      <c r="AU592" s="461">
        <v>30437</v>
      </c>
      <c r="AV592" s="181" t="s">
        <v>1389</v>
      </c>
      <c r="AW592" s="31" t="s">
        <v>32</v>
      </c>
      <c r="AX592" s="139">
        <v>8</v>
      </c>
      <c r="AY592" s="466">
        <f>VLOOKUP(K592,[3]Master!M569:BA952,40,0)</f>
        <v>1</v>
      </c>
      <c r="AZ592" s="58" t="s">
        <v>1373</v>
      </c>
      <c r="BA592" s="58" t="s">
        <v>151</v>
      </c>
      <c r="BB592" s="58" t="s">
        <v>1407</v>
      </c>
      <c r="BC592" s="58"/>
    </row>
    <row r="593" spans="1:55" x14ac:dyDescent="0.25">
      <c r="A593" s="10">
        <f t="shared" si="27"/>
        <v>592</v>
      </c>
      <c r="B593" s="181" t="s">
        <v>6400</v>
      </c>
      <c r="C593" s="592" t="s">
        <v>1407</v>
      </c>
      <c r="D593" s="457">
        <v>400352</v>
      </c>
      <c r="E593" s="181" t="s">
        <v>36</v>
      </c>
      <c r="F593" s="97" t="s">
        <v>6401</v>
      </c>
      <c r="G593" s="139">
        <v>6</v>
      </c>
      <c r="H593" s="458">
        <v>0.41666666666666669</v>
      </c>
      <c r="I593" s="458">
        <v>0.66666666666666663</v>
      </c>
      <c r="J593" s="458">
        <v>0.25</v>
      </c>
      <c r="K593" s="58" t="s">
        <v>446</v>
      </c>
      <c r="L593" s="97" t="e">
        <v>#N/A</v>
      </c>
      <c r="M593" s="97" t="s">
        <v>26</v>
      </c>
      <c r="N593" s="58" t="s">
        <v>38</v>
      </c>
      <c r="O593" s="58" t="s">
        <v>5050</v>
      </c>
      <c r="P593" s="206">
        <v>44412</v>
      </c>
      <c r="Q593" s="460">
        <v>44412</v>
      </c>
      <c r="R593" s="460">
        <v>45141</v>
      </c>
      <c r="S593" s="461">
        <f>R593+1</f>
        <v>45142</v>
      </c>
      <c r="T593" s="139"/>
      <c r="U593" s="139"/>
      <c r="V593" s="139"/>
      <c r="W593" s="139"/>
      <c r="X593" s="139"/>
      <c r="Y593" s="462" t="s">
        <v>5078</v>
      </c>
      <c r="Z593" s="140" t="s">
        <v>6402</v>
      </c>
      <c r="AA593" s="140" t="s">
        <v>1841</v>
      </c>
      <c r="AB593" s="460">
        <v>43404</v>
      </c>
      <c r="AC593" s="460">
        <v>45229</v>
      </c>
      <c r="AD593" s="139">
        <v>9985243342</v>
      </c>
      <c r="AE593" s="140" t="s">
        <v>6403</v>
      </c>
      <c r="AF593" s="139" t="s">
        <v>1805</v>
      </c>
      <c r="AG593" s="491" t="s">
        <v>6404</v>
      </c>
      <c r="AH593" s="139" t="s">
        <v>6405</v>
      </c>
      <c r="AI593" s="139" t="s">
        <v>6406</v>
      </c>
      <c r="AJ593" s="475" t="s">
        <v>6407</v>
      </c>
      <c r="AK593" s="140" t="s">
        <v>6408</v>
      </c>
      <c r="AL593" s="461">
        <v>44439</v>
      </c>
      <c r="AM593" s="477"/>
      <c r="AN593" s="465"/>
      <c r="AO593" s="140"/>
      <c r="AP593" s="139"/>
      <c r="AQ593" s="139"/>
      <c r="AR593" s="181"/>
      <c r="AS593" s="458"/>
      <c r="AT593" s="458"/>
      <c r="AU593" s="461">
        <v>32368</v>
      </c>
      <c r="AV593" s="181" t="s">
        <v>1389</v>
      </c>
      <c r="AW593" s="31" t="s">
        <v>32</v>
      </c>
      <c r="AX593" s="139">
        <v>6</v>
      </c>
      <c r="AY593" s="466">
        <f>VLOOKUP(K593,[3]Master!M570:BA953,40,0)</f>
        <v>6</v>
      </c>
      <c r="AZ593" s="58" t="s">
        <v>26</v>
      </c>
      <c r="BA593" s="58" t="s">
        <v>151</v>
      </c>
      <c r="BB593" s="58" t="s">
        <v>1407</v>
      </c>
      <c r="BC593" s="58"/>
    </row>
    <row r="594" spans="1:55" x14ac:dyDescent="0.25">
      <c r="A594" s="10">
        <f t="shared" si="27"/>
        <v>593</v>
      </c>
      <c r="B594" s="181" t="s">
        <v>6409</v>
      </c>
      <c r="C594" s="592" t="s">
        <v>1407</v>
      </c>
      <c r="D594" s="457">
        <v>400921</v>
      </c>
      <c r="E594" s="181" t="s">
        <v>36</v>
      </c>
      <c r="F594" s="97" t="s">
        <v>6410</v>
      </c>
      <c r="G594" s="139">
        <v>6</v>
      </c>
      <c r="H594" s="469" t="s">
        <v>235</v>
      </c>
      <c r="I594" s="469" t="s">
        <v>4228</v>
      </c>
      <c r="J594" s="458">
        <f>I594-H594</f>
        <v>0.33333333333333331</v>
      </c>
      <c r="K594" s="100" t="s">
        <v>287</v>
      </c>
      <c r="L594" s="97" t="s">
        <v>1424</v>
      </c>
      <c r="M594" s="63" t="s">
        <v>1355</v>
      </c>
      <c r="N594" s="100" t="s">
        <v>1520</v>
      </c>
      <c r="O594" s="58" t="s">
        <v>5330</v>
      </c>
      <c r="P594" s="206">
        <v>45306</v>
      </c>
      <c r="Q594" s="206">
        <v>45306</v>
      </c>
      <c r="R594" s="206">
        <v>46036</v>
      </c>
      <c r="S594" s="461">
        <v>46037</v>
      </c>
      <c r="T594" s="139">
        <v>2010</v>
      </c>
      <c r="U594" s="181" t="s">
        <v>6411</v>
      </c>
      <c r="V594" s="139">
        <v>2015</v>
      </c>
      <c r="W594" s="97" t="s">
        <v>6412</v>
      </c>
      <c r="X594" s="181" t="s">
        <v>30</v>
      </c>
      <c r="Y594" s="58" t="s">
        <v>5066</v>
      </c>
      <c r="Z594" s="140" t="s">
        <v>6413</v>
      </c>
      <c r="AA594" s="470" t="s">
        <v>1841</v>
      </c>
      <c r="AB594" s="471">
        <v>45303</v>
      </c>
      <c r="AC594" s="471">
        <v>47129</v>
      </c>
      <c r="AD594" s="472">
        <v>9743825162</v>
      </c>
      <c r="AE594" s="473" t="s">
        <v>6414</v>
      </c>
      <c r="AF594" s="474" t="s">
        <v>6415</v>
      </c>
      <c r="AG594" s="475" t="s">
        <v>6416</v>
      </c>
      <c r="AH594" s="181" t="s">
        <v>6417</v>
      </c>
      <c r="AI594" s="139" t="s">
        <v>6418</v>
      </c>
      <c r="AJ594" s="476">
        <v>614768181229</v>
      </c>
      <c r="AK594" s="470"/>
      <c r="AL594" s="206">
        <v>45478</v>
      </c>
      <c r="AM594" s="477" t="s">
        <v>30</v>
      </c>
      <c r="AN594" s="478" t="s">
        <v>5072</v>
      </c>
      <c r="AO594" s="140" t="s">
        <v>6419</v>
      </c>
      <c r="AP594" s="58"/>
      <c r="AQ594" s="97" t="s">
        <v>6419</v>
      </c>
      <c r="AR594" s="462"/>
      <c r="AS594" s="479">
        <v>0.33333333333333331</v>
      </c>
      <c r="AT594" s="479">
        <v>0.66666666666666663</v>
      </c>
      <c r="AU594" s="480">
        <v>31959</v>
      </c>
      <c r="AV594" s="181" t="s">
        <v>1352</v>
      </c>
      <c r="AW594" s="31" t="s">
        <v>68</v>
      </c>
      <c r="AX594" s="139">
        <v>8</v>
      </c>
      <c r="AY594" s="58" t="s">
        <v>1881</v>
      </c>
      <c r="AZ594" s="58" t="s">
        <v>1373</v>
      </c>
      <c r="BA594" s="58" t="s">
        <v>151</v>
      </c>
      <c r="BB594" s="58" t="s">
        <v>1407</v>
      </c>
      <c r="BC594" s="58"/>
    </row>
    <row r="595" spans="1:55" x14ac:dyDescent="0.25">
      <c r="A595" s="10">
        <f t="shared" si="27"/>
        <v>594</v>
      </c>
      <c r="B595" s="181" t="s">
        <v>6420</v>
      </c>
      <c r="C595" s="592" t="s">
        <v>1407</v>
      </c>
      <c r="D595" s="457">
        <v>400354</v>
      </c>
      <c r="E595" s="181" t="s">
        <v>36</v>
      </c>
      <c r="F595" s="97" t="s">
        <v>6421</v>
      </c>
      <c r="G595" s="139">
        <v>6</v>
      </c>
      <c r="H595" s="458">
        <v>0.375</v>
      </c>
      <c r="I595" s="458">
        <v>0.5</v>
      </c>
      <c r="J595" s="458">
        <v>0.125</v>
      </c>
      <c r="K595" s="58" t="s">
        <v>147</v>
      </c>
      <c r="L595" s="97"/>
      <c r="M595" s="97" t="s">
        <v>1376</v>
      </c>
      <c r="N595" s="58" t="s">
        <v>1393</v>
      </c>
      <c r="O595" s="58"/>
      <c r="P595" s="206">
        <v>44424</v>
      </c>
      <c r="Q595" s="460">
        <v>44424</v>
      </c>
      <c r="R595" s="460">
        <v>45153</v>
      </c>
      <c r="S595" s="461">
        <f>R595+1</f>
        <v>45154</v>
      </c>
      <c r="T595" s="139"/>
      <c r="U595" s="139"/>
      <c r="V595" s="139"/>
      <c r="W595" s="139"/>
      <c r="X595" s="139"/>
      <c r="Y595" s="462" t="s">
        <v>226</v>
      </c>
      <c r="Z595" s="140" t="s">
        <v>6422</v>
      </c>
      <c r="AA595" s="140" t="s">
        <v>1841</v>
      </c>
      <c r="AB595" s="460">
        <v>42931</v>
      </c>
      <c r="AC595" s="460">
        <v>44757</v>
      </c>
      <c r="AD595" s="139">
        <v>9908401786</v>
      </c>
      <c r="AE595" s="140" t="s">
        <v>6423</v>
      </c>
      <c r="AF595" s="139" t="s">
        <v>1364</v>
      </c>
      <c r="AG595" s="491" t="s">
        <v>6424</v>
      </c>
      <c r="AH595" s="139" t="s">
        <v>6425</v>
      </c>
      <c r="AI595" s="139" t="s">
        <v>6426</v>
      </c>
      <c r="AJ595" s="475" t="s">
        <v>6427</v>
      </c>
      <c r="AK595" s="140" t="s">
        <v>6428</v>
      </c>
      <c r="AL595" s="206"/>
      <c r="AM595" s="477"/>
      <c r="AN595" s="465"/>
      <c r="AO595" s="140"/>
      <c r="AP595" s="139"/>
      <c r="AQ595" s="139"/>
      <c r="AR595" s="181"/>
      <c r="AS595" s="458"/>
      <c r="AT595" s="458"/>
      <c r="AU595" s="461">
        <v>34036</v>
      </c>
      <c r="AV595" s="181" t="s">
        <v>1352</v>
      </c>
      <c r="AW595" s="31" t="s">
        <v>32</v>
      </c>
      <c r="AX595" s="139">
        <v>3</v>
      </c>
      <c r="AY595" s="466">
        <f>VLOOKUP(K595,[3]Master!M572:BA955,40,0)</f>
        <v>8</v>
      </c>
      <c r="AZ595" s="58" t="s">
        <v>1390</v>
      </c>
      <c r="BA595" s="58" t="s">
        <v>151</v>
      </c>
      <c r="BB595" s="58" t="s">
        <v>1407</v>
      </c>
      <c r="BC595" s="58"/>
    </row>
    <row r="596" spans="1:55" x14ac:dyDescent="0.25">
      <c r="A596" s="10">
        <f t="shared" si="27"/>
        <v>595</v>
      </c>
      <c r="B596" s="181" t="s">
        <v>6429</v>
      </c>
      <c r="C596" s="592" t="s">
        <v>1407</v>
      </c>
      <c r="D596" s="457">
        <v>400355</v>
      </c>
      <c r="E596" s="181" t="s">
        <v>36</v>
      </c>
      <c r="F596" s="97" t="s">
        <v>6430</v>
      </c>
      <c r="G596" s="139">
        <v>6</v>
      </c>
      <c r="H596" s="458" t="s">
        <v>5491</v>
      </c>
      <c r="I596" s="458" t="s">
        <v>5118</v>
      </c>
      <c r="J596" s="458">
        <v>4.1666666666666664E-2</v>
      </c>
      <c r="K596" s="143" t="s">
        <v>802</v>
      </c>
      <c r="L596" s="97" t="s">
        <v>1376</v>
      </c>
      <c r="M596" s="97" t="s">
        <v>1376</v>
      </c>
      <c r="N596" s="58" t="s">
        <v>1393</v>
      </c>
      <c r="O596" s="58" t="s">
        <v>3290</v>
      </c>
      <c r="P596" s="206">
        <v>44420</v>
      </c>
      <c r="Q596" s="460">
        <v>45150</v>
      </c>
      <c r="R596" s="460">
        <v>45880</v>
      </c>
      <c r="S596" s="461">
        <v>45881</v>
      </c>
      <c r="T596" s="139">
        <v>2015</v>
      </c>
      <c r="U596" s="139" t="s">
        <v>6431</v>
      </c>
      <c r="V596" s="139" t="s">
        <v>1424</v>
      </c>
      <c r="W596" s="139" t="s">
        <v>1424</v>
      </c>
      <c r="X596" s="139" t="s">
        <v>30</v>
      </c>
      <c r="Y596" s="462" t="s">
        <v>226</v>
      </c>
      <c r="Z596" s="140" t="s">
        <v>6432</v>
      </c>
      <c r="AA596" s="140" t="s">
        <v>1841</v>
      </c>
      <c r="AB596" s="460">
        <v>42682</v>
      </c>
      <c r="AC596" s="460">
        <v>44508</v>
      </c>
      <c r="AD596" s="488">
        <v>8247615706</v>
      </c>
      <c r="AE596" s="140" t="s">
        <v>6433</v>
      </c>
      <c r="AF596" s="139" t="s">
        <v>1364</v>
      </c>
      <c r="AG596" s="463" t="s">
        <v>6434</v>
      </c>
      <c r="AH596" s="139" t="s">
        <v>6435</v>
      </c>
      <c r="AI596" s="139" t="s">
        <v>6436</v>
      </c>
      <c r="AJ596" s="464" t="s">
        <v>6437</v>
      </c>
      <c r="AK596" s="140" t="s">
        <v>6438</v>
      </c>
      <c r="AL596" s="206">
        <v>45330</v>
      </c>
      <c r="AM596" s="477">
        <v>45330</v>
      </c>
      <c r="AN596" s="140"/>
      <c r="AO596" s="140"/>
      <c r="AP596" s="139"/>
      <c r="AQ596" s="58"/>
      <c r="AR596" s="489"/>
      <c r="AS596" s="458">
        <v>0.375</v>
      </c>
      <c r="AT596" s="181">
        <v>0.41666666666666669</v>
      </c>
      <c r="AU596" s="461">
        <v>33704</v>
      </c>
      <c r="AV596" s="181" t="s">
        <v>1389</v>
      </c>
      <c r="AW596" s="31" t="s">
        <v>32</v>
      </c>
      <c r="AX596" s="139">
        <v>1</v>
      </c>
      <c r="AY596" s="466">
        <f>VLOOKUP(K596,[3]Master!M573:BA956,40,0)</f>
        <v>1</v>
      </c>
      <c r="AZ596" s="58" t="s">
        <v>1390</v>
      </c>
      <c r="BA596" s="58" t="s">
        <v>151</v>
      </c>
      <c r="BB596" s="58" t="s">
        <v>1407</v>
      </c>
      <c r="BC596" s="58"/>
    </row>
    <row r="597" spans="1:55" x14ac:dyDescent="0.25">
      <c r="A597" s="10">
        <f t="shared" si="27"/>
        <v>596</v>
      </c>
      <c r="B597" s="181" t="s">
        <v>6439</v>
      </c>
      <c r="C597" s="592" t="s">
        <v>1407</v>
      </c>
      <c r="D597" s="457">
        <v>400356</v>
      </c>
      <c r="E597" s="181" t="s">
        <v>36</v>
      </c>
      <c r="F597" s="97" t="s">
        <v>6440</v>
      </c>
      <c r="G597" s="139">
        <v>6</v>
      </c>
      <c r="H597" s="458">
        <v>0.6875</v>
      </c>
      <c r="I597" s="458">
        <v>0.72916666666666663</v>
      </c>
      <c r="J597" s="458">
        <v>0.125</v>
      </c>
      <c r="K597" s="58" t="s">
        <v>446</v>
      </c>
      <c r="L597" s="97" t="s">
        <v>6441</v>
      </c>
      <c r="M597" s="97" t="s">
        <v>26</v>
      </c>
      <c r="N597" s="58" t="s">
        <v>38</v>
      </c>
      <c r="O597" s="58" t="s">
        <v>5050</v>
      </c>
      <c r="P597" s="206">
        <v>44420</v>
      </c>
      <c r="Q597" s="460">
        <v>44420</v>
      </c>
      <c r="R597" s="460">
        <v>45149</v>
      </c>
      <c r="S597" s="461">
        <f>R597+1</f>
        <v>45150</v>
      </c>
      <c r="T597" s="139"/>
      <c r="U597" s="139" t="s">
        <v>209</v>
      </c>
      <c r="V597" s="139">
        <v>2014</v>
      </c>
      <c r="W597" s="139" t="s">
        <v>141</v>
      </c>
      <c r="X597" s="139"/>
      <c r="Y597" s="462" t="s">
        <v>5078</v>
      </c>
      <c r="Z597" s="140">
        <v>65788</v>
      </c>
      <c r="AA597" s="140" t="s">
        <v>1841</v>
      </c>
      <c r="AB597" s="460">
        <v>44250</v>
      </c>
      <c r="AC597" s="460">
        <v>46075</v>
      </c>
      <c r="AD597" s="139">
        <v>9441210456</v>
      </c>
      <c r="AE597" s="140" t="s">
        <v>6442</v>
      </c>
      <c r="AF597" s="139" t="s">
        <v>5086</v>
      </c>
      <c r="AG597" s="491" t="s">
        <v>6443</v>
      </c>
      <c r="AH597" s="139" t="s">
        <v>6444</v>
      </c>
      <c r="AI597" s="139" t="s">
        <v>6445</v>
      </c>
      <c r="AJ597" s="475" t="s">
        <v>6446</v>
      </c>
      <c r="AK597" s="140" t="s">
        <v>6447</v>
      </c>
      <c r="AL597" s="461">
        <v>44528</v>
      </c>
      <c r="AM597" s="477"/>
      <c r="AN597" s="465"/>
      <c r="AO597" s="140"/>
      <c r="AP597" s="139"/>
      <c r="AQ597" s="139"/>
      <c r="AR597" s="181"/>
      <c r="AS597" s="458"/>
      <c r="AT597" s="458"/>
      <c r="AU597" s="461">
        <v>31432</v>
      </c>
      <c r="AV597" s="181" t="s">
        <v>1352</v>
      </c>
      <c r="AW597" s="31" t="s">
        <v>32</v>
      </c>
      <c r="AX597" s="139">
        <v>3</v>
      </c>
      <c r="AY597" s="466">
        <f>VLOOKUP(K597,[3]Master!M574:BA957,40,0)</f>
        <v>6</v>
      </c>
      <c r="AZ597" s="58" t="s">
        <v>26</v>
      </c>
      <c r="BA597" s="58" t="s">
        <v>151</v>
      </c>
      <c r="BB597" s="58" t="s">
        <v>1407</v>
      </c>
      <c r="BC597" s="58"/>
    </row>
    <row r="598" spans="1:55" x14ac:dyDescent="0.25">
      <c r="A598" s="10">
        <f t="shared" si="27"/>
        <v>597</v>
      </c>
      <c r="B598" s="181" t="s">
        <v>6448</v>
      </c>
      <c r="C598" s="592" t="s">
        <v>1407</v>
      </c>
      <c r="D598" s="457">
        <v>400357</v>
      </c>
      <c r="E598" s="181" t="s">
        <v>36</v>
      </c>
      <c r="F598" s="97" t="s">
        <v>6449</v>
      </c>
      <c r="G598" s="139">
        <v>6</v>
      </c>
      <c r="H598" s="458">
        <v>0.70833333333333337</v>
      </c>
      <c r="I598" s="458">
        <v>0.83333333333333337</v>
      </c>
      <c r="J598" s="458">
        <v>0.125</v>
      </c>
      <c r="K598" s="100" t="s">
        <v>287</v>
      </c>
      <c r="L598" s="97" t="s">
        <v>6450</v>
      </c>
      <c r="M598" s="97" t="s">
        <v>26</v>
      </c>
      <c r="N598" s="58" t="s">
        <v>38</v>
      </c>
      <c r="O598" s="58" t="s">
        <v>5050</v>
      </c>
      <c r="P598" s="206">
        <v>44433</v>
      </c>
      <c r="Q598" s="460">
        <v>44433</v>
      </c>
      <c r="R598" s="460">
        <v>45162</v>
      </c>
      <c r="S598" s="461">
        <f>R598+1</f>
        <v>45163</v>
      </c>
      <c r="T598" s="139"/>
      <c r="U598" s="139" t="s">
        <v>141</v>
      </c>
      <c r="V598" s="139">
        <v>2021</v>
      </c>
      <c r="W598" s="139" t="s">
        <v>231</v>
      </c>
      <c r="X598" s="139"/>
      <c r="Y598" s="462" t="s">
        <v>5078</v>
      </c>
      <c r="Z598" s="495" t="s">
        <v>6451</v>
      </c>
      <c r="AA598" s="140" t="s">
        <v>1841</v>
      </c>
      <c r="AB598" s="460"/>
      <c r="AC598" s="460"/>
      <c r="AD598" s="139">
        <v>8125888364</v>
      </c>
      <c r="AE598" s="140" t="s">
        <v>6452</v>
      </c>
      <c r="AF598" s="139" t="s">
        <v>1805</v>
      </c>
      <c r="AG598" s="491" t="s">
        <v>6453</v>
      </c>
      <c r="AH598" s="139" t="s">
        <v>3669</v>
      </c>
      <c r="AI598" s="139" t="s">
        <v>6454</v>
      </c>
      <c r="AJ598" s="475" t="s">
        <v>6455</v>
      </c>
      <c r="AK598" s="140" t="s">
        <v>6456</v>
      </c>
      <c r="AL598" s="461">
        <v>44530</v>
      </c>
      <c r="AM598" s="477"/>
      <c r="AN598" s="465"/>
      <c r="AO598" s="140"/>
      <c r="AP598" s="139"/>
      <c r="AQ598" s="139"/>
      <c r="AR598" s="181"/>
      <c r="AS598" s="458"/>
      <c r="AT598" s="458"/>
      <c r="AU598" s="461">
        <v>33023</v>
      </c>
      <c r="AV598" s="181" t="s">
        <v>1389</v>
      </c>
      <c r="AW598" s="31" t="s">
        <v>32</v>
      </c>
      <c r="AX598" s="139">
        <v>3</v>
      </c>
      <c r="AY598" s="466">
        <f>VLOOKUP(K598,[3]Master!M575:BA958,40,0)</f>
        <v>8</v>
      </c>
      <c r="AZ598" s="58" t="s">
        <v>26</v>
      </c>
      <c r="BA598" s="58" t="s">
        <v>151</v>
      </c>
      <c r="BB598" s="58" t="s">
        <v>1407</v>
      </c>
      <c r="BC598" s="58"/>
    </row>
    <row r="599" spans="1:55" x14ac:dyDescent="0.25">
      <c r="A599" s="10">
        <f t="shared" si="27"/>
        <v>598</v>
      </c>
      <c r="B599" s="181" t="s">
        <v>6457</v>
      </c>
      <c r="C599" s="592" t="s">
        <v>1407</v>
      </c>
      <c r="D599" s="457">
        <v>400358</v>
      </c>
      <c r="E599" s="181" t="s">
        <v>36</v>
      </c>
      <c r="F599" s="97" t="s">
        <v>6458</v>
      </c>
      <c r="G599" s="139">
        <v>6</v>
      </c>
      <c r="H599" s="458">
        <v>0.375</v>
      </c>
      <c r="I599" s="458">
        <v>0.45833333333333331</v>
      </c>
      <c r="J599" s="458">
        <v>8.3333333333333329E-2</v>
      </c>
      <c r="K599" s="100" t="s">
        <v>275</v>
      </c>
      <c r="L599" s="97"/>
      <c r="M599" s="97" t="s">
        <v>1376</v>
      </c>
      <c r="N599" s="58" t="s">
        <v>1393</v>
      </c>
      <c r="O599" s="58"/>
      <c r="P599" s="206">
        <v>44432</v>
      </c>
      <c r="Q599" s="460">
        <v>44432</v>
      </c>
      <c r="R599" s="460">
        <v>45161</v>
      </c>
      <c r="S599" s="461">
        <f>R599+1</f>
        <v>45162</v>
      </c>
      <c r="T599" s="139"/>
      <c r="U599" s="139"/>
      <c r="V599" s="139"/>
      <c r="W599" s="139"/>
      <c r="X599" s="139"/>
      <c r="Y599" s="462" t="s">
        <v>6459</v>
      </c>
      <c r="Z599" s="495" t="s">
        <v>6460</v>
      </c>
      <c r="AA599" s="140" t="s">
        <v>1841</v>
      </c>
      <c r="AB599" s="460">
        <v>43707</v>
      </c>
      <c r="AC599" s="460">
        <v>45533</v>
      </c>
      <c r="AD599" s="139">
        <v>9848057900</v>
      </c>
      <c r="AE599" s="140" t="s">
        <v>6461</v>
      </c>
      <c r="AF599" s="139" t="s">
        <v>1430</v>
      </c>
      <c r="AG599" s="491" t="s">
        <v>6462</v>
      </c>
      <c r="AH599" s="139" t="s">
        <v>1952</v>
      </c>
      <c r="AI599" s="139" t="s">
        <v>6463</v>
      </c>
      <c r="AJ599" s="475" t="s">
        <v>6464</v>
      </c>
      <c r="AK599" s="140" t="s">
        <v>6465</v>
      </c>
      <c r="AL599" s="206">
        <v>44530</v>
      </c>
      <c r="AM599" s="477"/>
      <c r="AN599" s="465"/>
      <c r="AO599" s="140"/>
      <c r="AP599" s="139"/>
      <c r="AQ599" s="139"/>
      <c r="AR599" s="181"/>
      <c r="AS599" s="458"/>
      <c r="AT599" s="458"/>
      <c r="AU599" s="461">
        <v>19900</v>
      </c>
      <c r="AV599" s="181" t="s">
        <v>1389</v>
      </c>
      <c r="AW599" s="31" t="s">
        <v>32</v>
      </c>
      <c r="AX599" s="139">
        <v>2</v>
      </c>
      <c r="AY599" s="466">
        <f>VLOOKUP(K599,[3]Master!M576:BA959,40,0)</f>
        <v>2</v>
      </c>
      <c r="AZ599" s="58" t="s">
        <v>1390</v>
      </c>
      <c r="BA599" s="58" t="s">
        <v>151</v>
      </c>
      <c r="BB599" s="58" t="s">
        <v>1407</v>
      </c>
      <c r="BC599" s="58"/>
    </row>
    <row r="600" spans="1:55" x14ac:dyDescent="0.25">
      <c r="A600" s="10">
        <f t="shared" si="27"/>
        <v>599</v>
      </c>
      <c r="B600" s="181" t="s">
        <v>6466</v>
      </c>
      <c r="C600" s="592" t="s">
        <v>1407</v>
      </c>
      <c r="D600" s="457">
        <v>400359</v>
      </c>
      <c r="E600" s="181" t="s">
        <v>36</v>
      </c>
      <c r="F600" s="97" t="s">
        <v>6467</v>
      </c>
      <c r="G600" s="139">
        <v>6</v>
      </c>
      <c r="H600" s="458">
        <v>0.375</v>
      </c>
      <c r="I600" s="458">
        <v>0.41666666666666669</v>
      </c>
      <c r="J600" s="458">
        <v>4.1666666666666664E-2</v>
      </c>
      <c r="K600" s="58" t="s">
        <v>693</v>
      </c>
      <c r="L600" s="97"/>
      <c r="M600" s="97" t="s">
        <v>1376</v>
      </c>
      <c r="N600" s="58" t="s">
        <v>1393</v>
      </c>
      <c r="O600" s="58"/>
      <c r="P600" s="206">
        <v>44425</v>
      </c>
      <c r="Q600" s="460">
        <v>44425</v>
      </c>
      <c r="R600" s="460">
        <v>45154</v>
      </c>
      <c r="S600" s="461">
        <f>R600+1</f>
        <v>45155</v>
      </c>
      <c r="T600" s="139"/>
      <c r="U600" s="139"/>
      <c r="V600" s="139"/>
      <c r="W600" s="139"/>
      <c r="X600" s="139"/>
      <c r="Y600" s="462" t="s">
        <v>226</v>
      </c>
      <c r="Z600" s="140" t="s">
        <v>6468</v>
      </c>
      <c r="AA600" s="140" t="s">
        <v>1841</v>
      </c>
      <c r="AB600" s="460">
        <v>43081</v>
      </c>
      <c r="AC600" s="460">
        <v>44907</v>
      </c>
      <c r="AD600" s="139">
        <v>9849110901</v>
      </c>
      <c r="AE600" s="140" t="s">
        <v>6469</v>
      </c>
      <c r="AF600" s="139" t="s">
        <v>5608</v>
      </c>
      <c r="AG600" s="491" t="s">
        <v>6470</v>
      </c>
      <c r="AH600" s="139" t="s">
        <v>2976</v>
      </c>
      <c r="AI600" s="139" t="s">
        <v>6471</v>
      </c>
      <c r="AJ600" s="475" t="s">
        <v>6472</v>
      </c>
      <c r="AK600" s="140" t="s">
        <v>6473</v>
      </c>
      <c r="AL600" s="206"/>
      <c r="AM600" s="477"/>
      <c r="AN600" s="465"/>
      <c r="AO600" s="140"/>
      <c r="AP600" s="139"/>
      <c r="AQ600" s="139"/>
      <c r="AR600" s="181"/>
      <c r="AS600" s="458"/>
      <c r="AT600" s="458"/>
      <c r="AU600" s="461">
        <v>32182</v>
      </c>
      <c r="AV600" s="181" t="s">
        <v>1389</v>
      </c>
      <c r="AW600" s="31" t="s">
        <v>32</v>
      </c>
      <c r="AX600" s="139">
        <v>1</v>
      </c>
      <c r="AY600" s="466">
        <f>VLOOKUP(K600,[3]Master!M577:BA960,40,0)</f>
        <v>1</v>
      </c>
      <c r="AZ600" s="58" t="s">
        <v>1390</v>
      </c>
      <c r="BA600" s="58" t="s">
        <v>151</v>
      </c>
      <c r="BB600" s="58" t="s">
        <v>1407</v>
      </c>
      <c r="BC600" s="58"/>
    </row>
    <row r="601" spans="1:55" x14ac:dyDescent="0.25">
      <c r="A601" s="10">
        <f t="shared" si="27"/>
        <v>600</v>
      </c>
      <c r="B601" s="181" t="s">
        <v>6474</v>
      </c>
      <c r="C601" s="592" t="s">
        <v>1407</v>
      </c>
      <c r="D601" s="457">
        <v>400360</v>
      </c>
      <c r="E601" s="181" t="s">
        <v>36</v>
      </c>
      <c r="F601" s="97" t="s">
        <v>6475</v>
      </c>
      <c r="G601" s="139">
        <v>6</v>
      </c>
      <c r="H601" s="458">
        <v>0.70833333333333337</v>
      </c>
      <c r="I601" s="458">
        <v>0.79166666666666663</v>
      </c>
      <c r="J601" s="458">
        <v>8.3333333333333329E-2</v>
      </c>
      <c r="K601" s="100" t="s">
        <v>194</v>
      </c>
      <c r="L601" s="97"/>
      <c r="M601" s="63" t="s">
        <v>1355</v>
      </c>
      <c r="N601" s="100" t="s">
        <v>1520</v>
      </c>
      <c r="O601" s="58" t="s">
        <v>5270</v>
      </c>
      <c r="P601" s="206">
        <v>44427</v>
      </c>
      <c r="Q601" s="460">
        <v>44427</v>
      </c>
      <c r="R601" s="460">
        <v>45156</v>
      </c>
      <c r="S601" s="461">
        <f>R601+1</f>
        <v>45157</v>
      </c>
      <c r="T601" s="139">
        <v>2009</v>
      </c>
      <c r="U601" s="139" t="s">
        <v>3417</v>
      </c>
      <c r="V601" s="139">
        <v>2015</v>
      </c>
      <c r="W601" s="139" t="s">
        <v>6476</v>
      </c>
      <c r="X601" s="139"/>
      <c r="Y601" s="462" t="s">
        <v>5214</v>
      </c>
      <c r="Z601" s="140" t="s">
        <v>4045</v>
      </c>
      <c r="AA601" s="140" t="s">
        <v>1886</v>
      </c>
      <c r="AB601" s="460">
        <v>42683</v>
      </c>
      <c r="AC601" s="460">
        <v>44508</v>
      </c>
      <c r="AD601" s="139" t="s">
        <v>6477</v>
      </c>
      <c r="AE601" s="467" t="s">
        <v>6478</v>
      </c>
      <c r="AF601" s="139" t="s">
        <v>5086</v>
      </c>
      <c r="AG601" s="491" t="s">
        <v>6479</v>
      </c>
      <c r="AH601" s="139" t="s">
        <v>6480</v>
      </c>
      <c r="AI601" s="139" t="s">
        <v>6481</v>
      </c>
      <c r="AJ601" s="475" t="s">
        <v>6482</v>
      </c>
      <c r="AK601" s="140" t="s">
        <v>6483</v>
      </c>
      <c r="AL601" s="206"/>
      <c r="AM601" s="477"/>
      <c r="AN601" s="465"/>
      <c r="AO601" s="140"/>
      <c r="AP601" s="139"/>
      <c r="AQ601" s="139" t="e">
        <f>DATEDIF(P601,#REF!,"Y")&amp;"."&amp;DATEDIF(P601,#REF!,"ym")</f>
        <v>#REF!</v>
      </c>
      <c r="AR601" s="181"/>
      <c r="AS601" s="458"/>
      <c r="AT601" s="458"/>
      <c r="AU601" s="461">
        <v>31188</v>
      </c>
      <c r="AV601" s="181" t="s">
        <v>1352</v>
      </c>
      <c r="AW601" s="31" t="s">
        <v>32</v>
      </c>
      <c r="AX601" s="139">
        <v>2</v>
      </c>
      <c r="AY601" s="466">
        <f>VLOOKUP(K601,[3]Master!M578:BA961,40,0)</f>
        <v>2</v>
      </c>
      <c r="AZ601" s="58" t="s">
        <v>1373</v>
      </c>
      <c r="BA601" s="58" t="s">
        <v>151</v>
      </c>
      <c r="BB601" s="58" t="s">
        <v>1407</v>
      </c>
      <c r="BC601" s="58"/>
    </row>
    <row r="602" spans="1:55" x14ac:dyDescent="0.25">
      <c r="A602" s="10">
        <f t="shared" si="27"/>
        <v>601</v>
      </c>
      <c r="B602" s="181" t="s">
        <v>6484</v>
      </c>
      <c r="C602" s="592" t="s">
        <v>1407</v>
      </c>
      <c r="D602" s="457">
        <v>400361</v>
      </c>
      <c r="E602" s="181" t="s">
        <v>36</v>
      </c>
      <c r="F602" s="97" t="s">
        <v>6485</v>
      </c>
      <c r="G602" s="139">
        <v>6</v>
      </c>
      <c r="H602" s="458">
        <v>0.375</v>
      </c>
      <c r="I602" s="458">
        <v>0.5</v>
      </c>
      <c r="J602" s="458">
        <f>I602-H602</f>
        <v>0.125</v>
      </c>
      <c r="K602" s="462" t="s">
        <v>557</v>
      </c>
      <c r="L602" s="97" t="s">
        <v>6486</v>
      </c>
      <c r="M602" s="97" t="s">
        <v>26</v>
      </c>
      <c r="N602" s="58" t="s">
        <v>38</v>
      </c>
      <c r="O602" s="58"/>
      <c r="P602" s="206">
        <v>44963</v>
      </c>
      <c r="Q602" s="460">
        <v>44963</v>
      </c>
      <c r="R602" s="460">
        <v>45693</v>
      </c>
      <c r="S602" s="461">
        <v>45694</v>
      </c>
      <c r="T602" s="139">
        <v>2014</v>
      </c>
      <c r="U602" s="139" t="s">
        <v>4215</v>
      </c>
      <c r="V602" s="139">
        <v>2019</v>
      </c>
      <c r="W602" s="139" t="s">
        <v>653</v>
      </c>
      <c r="X602" s="139" t="s">
        <v>30</v>
      </c>
      <c r="Y602" s="462" t="s">
        <v>1611</v>
      </c>
      <c r="Z602" s="140" t="s">
        <v>6487</v>
      </c>
      <c r="AA602" s="140" t="s">
        <v>1841</v>
      </c>
      <c r="AB602" s="460">
        <v>44963</v>
      </c>
      <c r="AC602" s="460">
        <v>45693</v>
      </c>
      <c r="AD602" s="488">
        <v>8971229135</v>
      </c>
      <c r="AE602" s="140" t="s">
        <v>6488</v>
      </c>
      <c r="AF602" s="139" t="s">
        <v>6489</v>
      </c>
      <c r="AG602" s="463" t="s">
        <v>6490</v>
      </c>
      <c r="AH602" s="139" t="s">
        <v>4593</v>
      </c>
      <c r="AI602" s="139" t="s">
        <v>6491</v>
      </c>
      <c r="AJ602" s="464">
        <v>681748355411</v>
      </c>
      <c r="AK602" s="140" t="s">
        <v>6492</v>
      </c>
      <c r="AL602" s="461"/>
      <c r="AM602" s="477"/>
      <c r="AN602" s="465"/>
      <c r="AO602" s="140"/>
      <c r="AP602" s="139"/>
      <c r="AQ602" s="139"/>
      <c r="AR602" s="58"/>
      <c r="AS602" s="458"/>
      <c r="AT602" s="458"/>
      <c r="AU602" s="461">
        <v>33757</v>
      </c>
      <c r="AV602" s="181" t="s">
        <v>1389</v>
      </c>
      <c r="AW602" s="31" t="s">
        <v>32</v>
      </c>
      <c r="AX602" s="139">
        <v>3</v>
      </c>
      <c r="AY602" s="58" t="s">
        <v>1959</v>
      </c>
      <c r="AZ602" s="58" t="s">
        <v>26</v>
      </c>
      <c r="BA602" s="58" t="s">
        <v>151</v>
      </c>
      <c r="BB602" s="58" t="s">
        <v>1407</v>
      </c>
      <c r="BC602" s="58"/>
    </row>
    <row r="603" spans="1:55" x14ac:dyDescent="0.25">
      <c r="A603" s="10">
        <f t="shared" si="27"/>
        <v>602</v>
      </c>
      <c r="B603" s="181" t="s">
        <v>6493</v>
      </c>
      <c r="C603" s="592" t="s">
        <v>1407</v>
      </c>
      <c r="D603" s="457">
        <v>400363</v>
      </c>
      <c r="E603" s="181" t="s">
        <v>36</v>
      </c>
      <c r="F603" s="97" t="s">
        <v>6494</v>
      </c>
      <c r="G603" s="139">
        <v>6</v>
      </c>
      <c r="H603" s="458">
        <v>0.35416666666666669</v>
      </c>
      <c r="I603" s="458">
        <v>0.4375</v>
      </c>
      <c r="J603" s="458">
        <f>I603-H603</f>
        <v>8.3333333333333315E-2</v>
      </c>
      <c r="K603" s="143" t="s">
        <v>378</v>
      </c>
      <c r="L603" s="97" t="s">
        <v>6495</v>
      </c>
      <c r="M603" s="97" t="s">
        <v>26</v>
      </c>
      <c r="N603" s="58" t="s">
        <v>38</v>
      </c>
      <c r="O603" s="58" t="s">
        <v>5076</v>
      </c>
      <c r="P603" s="206">
        <v>44440</v>
      </c>
      <c r="Q603" s="460">
        <v>44440</v>
      </c>
      <c r="R603" s="460">
        <v>45169</v>
      </c>
      <c r="S603" s="461">
        <v>45170</v>
      </c>
      <c r="T603" s="139"/>
      <c r="U603" s="139" t="s">
        <v>156</v>
      </c>
      <c r="V603" s="139">
        <v>2009</v>
      </c>
      <c r="W603" s="139" t="s">
        <v>6496</v>
      </c>
      <c r="X603" s="139" t="s">
        <v>30</v>
      </c>
      <c r="Y603" s="462" t="s">
        <v>5151</v>
      </c>
      <c r="Z603" s="140">
        <v>16772</v>
      </c>
      <c r="AA603" s="140" t="s">
        <v>1362</v>
      </c>
      <c r="AB603" s="460"/>
      <c r="AC603" s="460"/>
      <c r="AD603" s="488">
        <v>8086304945</v>
      </c>
      <c r="AE603" s="140" t="s">
        <v>6497</v>
      </c>
      <c r="AF603" s="139" t="s">
        <v>1430</v>
      </c>
      <c r="AG603" s="463" t="s">
        <v>6498</v>
      </c>
      <c r="AH603" s="139" t="s">
        <v>3307</v>
      </c>
      <c r="AI603" s="139" t="s">
        <v>6499</v>
      </c>
      <c r="AJ603" s="464" t="s">
        <v>6500</v>
      </c>
      <c r="AK603" s="140" t="s">
        <v>6501</v>
      </c>
      <c r="AL603" s="461">
        <v>45291</v>
      </c>
      <c r="AM603" s="477">
        <v>45266</v>
      </c>
      <c r="AN603" s="465"/>
      <c r="AO603" s="140"/>
      <c r="AP603" s="139"/>
      <c r="AQ603" s="139"/>
      <c r="AR603" s="58"/>
      <c r="AS603" s="458">
        <v>0.35416666666666669</v>
      </c>
      <c r="AT603" s="458">
        <v>0.4375</v>
      </c>
      <c r="AU603" s="461">
        <v>26958</v>
      </c>
      <c r="AV603" s="181" t="s">
        <v>1352</v>
      </c>
      <c r="AW603" s="31" t="s">
        <v>32</v>
      </c>
      <c r="AX603" s="139">
        <v>2</v>
      </c>
      <c r="AY603" s="466">
        <f>VLOOKUP(K603,[3]Master!M580:BA963,40,0)</f>
        <v>2</v>
      </c>
      <c r="AZ603" s="58" t="s">
        <v>26</v>
      </c>
      <c r="BA603" s="58" t="s">
        <v>151</v>
      </c>
      <c r="BB603" s="58" t="s">
        <v>1407</v>
      </c>
      <c r="BC603" s="58"/>
    </row>
    <row r="604" spans="1:55" x14ac:dyDescent="0.25">
      <c r="A604" s="10">
        <f t="shared" si="27"/>
        <v>603</v>
      </c>
      <c r="B604" s="181" t="s">
        <v>6502</v>
      </c>
      <c r="C604" s="592" t="s">
        <v>1407</v>
      </c>
      <c r="D604" s="457">
        <v>400364</v>
      </c>
      <c r="E604" s="181" t="s">
        <v>36</v>
      </c>
      <c r="F604" s="97" t="s">
        <v>6503</v>
      </c>
      <c r="G604" s="139">
        <v>6</v>
      </c>
      <c r="H604" s="458">
        <v>0.375</v>
      </c>
      <c r="I604" s="458">
        <v>0.47916666666666669</v>
      </c>
      <c r="J604" s="458">
        <v>0.10416666666666667</v>
      </c>
      <c r="K604" s="587" t="s">
        <v>11086</v>
      </c>
      <c r="L604" s="97" t="s">
        <v>6504</v>
      </c>
      <c r="M604" s="97" t="s">
        <v>26</v>
      </c>
      <c r="N604" s="58" t="s">
        <v>38</v>
      </c>
      <c r="O604" s="58" t="s">
        <v>5050</v>
      </c>
      <c r="P604" s="206">
        <v>44440</v>
      </c>
      <c r="Q604" s="460">
        <v>44440</v>
      </c>
      <c r="R604" s="460">
        <v>45169</v>
      </c>
      <c r="S604" s="461">
        <f>R604+1</f>
        <v>45170</v>
      </c>
      <c r="T604" s="139"/>
      <c r="U604" s="139" t="s">
        <v>1127</v>
      </c>
      <c r="V604" s="139">
        <v>2020</v>
      </c>
      <c r="W604" s="139" t="s">
        <v>351</v>
      </c>
      <c r="X604" s="139"/>
      <c r="Y604" s="462" t="s">
        <v>5078</v>
      </c>
      <c r="Z604" s="140" t="s">
        <v>6505</v>
      </c>
      <c r="AA604" s="140" t="s">
        <v>1841</v>
      </c>
      <c r="AB604" s="460">
        <v>44400</v>
      </c>
      <c r="AC604" s="460">
        <v>46225</v>
      </c>
      <c r="AD604" s="139">
        <v>9581692884</v>
      </c>
      <c r="AE604" s="140" t="s">
        <v>6506</v>
      </c>
      <c r="AF604" s="139" t="s">
        <v>1430</v>
      </c>
      <c r="AG604" s="491" t="s">
        <v>6507</v>
      </c>
      <c r="AH604" s="139" t="s">
        <v>6508</v>
      </c>
      <c r="AI604" s="139" t="s">
        <v>6509</v>
      </c>
      <c r="AJ604" s="475" t="s">
        <v>6510</v>
      </c>
      <c r="AK604" s="140" t="s">
        <v>6511</v>
      </c>
      <c r="AL604" s="461"/>
      <c r="AM604" s="477"/>
      <c r="AN604" s="465"/>
      <c r="AO604" s="140"/>
      <c r="AP604" s="139"/>
      <c r="AQ604" s="139"/>
      <c r="AR604" s="181"/>
      <c r="AS604" s="458"/>
      <c r="AT604" s="458"/>
      <c r="AU604" s="461">
        <v>32550</v>
      </c>
      <c r="AV604" s="181" t="s">
        <v>1352</v>
      </c>
      <c r="AW604" s="31" t="s">
        <v>32</v>
      </c>
      <c r="AX604" s="139">
        <v>2.5</v>
      </c>
      <c r="AY604" s="58" t="s">
        <v>1849</v>
      </c>
      <c r="AZ604" s="58" t="s">
        <v>26</v>
      </c>
      <c r="BA604" s="58" t="s">
        <v>151</v>
      </c>
      <c r="BB604" s="58" t="s">
        <v>1407</v>
      </c>
      <c r="BC604" s="58"/>
    </row>
    <row r="605" spans="1:55" x14ac:dyDescent="0.25">
      <c r="A605" s="10">
        <f t="shared" si="27"/>
        <v>604</v>
      </c>
      <c r="B605" s="181" t="s">
        <v>6512</v>
      </c>
      <c r="C605" s="592" t="s">
        <v>1407</v>
      </c>
      <c r="D605" s="457">
        <v>400365</v>
      </c>
      <c r="E605" s="181" t="s">
        <v>36</v>
      </c>
      <c r="F605" s="97" t="s">
        <v>6513</v>
      </c>
      <c r="G605" s="139">
        <v>6</v>
      </c>
      <c r="H605" s="458">
        <v>0.54166666666666663</v>
      </c>
      <c r="I605" s="458">
        <v>0.875</v>
      </c>
      <c r="J605" s="458">
        <f>I605-H605</f>
        <v>0.33333333333333337</v>
      </c>
      <c r="K605" s="58" t="s">
        <v>147</v>
      </c>
      <c r="L605" s="97" t="s">
        <v>2015</v>
      </c>
      <c r="M605" s="63" t="s">
        <v>1355</v>
      </c>
      <c r="N605" s="100" t="s">
        <v>1520</v>
      </c>
      <c r="O605" s="58" t="s">
        <v>5270</v>
      </c>
      <c r="P605" s="206">
        <v>44440</v>
      </c>
      <c r="Q605" s="460">
        <v>44440</v>
      </c>
      <c r="R605" s="460">
        <v>45169</v>
      </c>
      <c r="S605" s="461">
        <f>R605+1</f>
        <v>45170</v>
      </c>
      <c r="T605" s="139">
        <v>2012</v>
      </c>
      <c r="U605" s="139" t="s">
        <v>448</v>
      </c>
      <c r="V605" s="139">
        <v>2018</v>
      </c>
      <c r="W605" s="139" t="s">
        <v>196</v>
      </c>
      <c r="X605" s="139"/>
      <c r="Y605" s="462" t="s">
        <v>3647</v>
      </c>
      <c r="Z605" s="140" t="s">
        <v>6514</v>
      </c>
      <c r="AA605" s="140" t="s">
        <v>1841</v>
      </c>
      <c r="AB605" s="460">
        <v>43307</v>
      </c>
      <c r="AC605" s="460">
        <v>45132</v>
      </c>
      <c r="AD605" s="139">
        <v>8500820918</v>
      </c>
      <c r="AE605" s="467" t="s">
        <v>6515</v>
      </c>
      <c r="AF605" s="139" t="s">
        <v>1805</v>
      </c>
      <c r="AG605" s="491" t="s">
        <v>6516</v>
      </c>
      <c r="AH605" s="139" t="s">
        <v>6517</v>
      </c>
      <c r="AI605" s="139" t="s">
        <v>6518</v>
      </c>
      <c r="AJ605" s="475" t="s">
        <v>6519</v>
      </c>
      <c r="AK605" s="140" t="s">
        <v>6520</v>
      </c>
      <c r="AL605" s="206">
        <v>44807</v>
      </c>
      <c r="AM605" s="477">
        <v>44739</v>
      </c>
      <c r="AN605" s="465"/>
      <c r="AO605" s="140"/>
      <c r="AP605" s="139"/>
      <c r="AQ605" s="139" t="e">
        <v>#REF!</v>
      </c>
      <c r="AR605" s="181"/>
      <c r="AS605" s="458"/>
      <c r="AT605" s="458"/>
      <c r="AU605" s="461">
        <v>32325</v>
      </c>
      <c r="AV605" s="181" t="s">
        <v>1352</v>
      </c>
      <c r="AW605" s="31" t="s">
        <v>32</v>
      </c>
      <c r="AX605" s="139">
        <v>8</v>
      </c>
      <c r="AY605" s="466">
        <f>VLOOKUP(K605,[3]Master!M582:BA965,40,0)</f>
        <v>8</v>
      </c>
      <c r="AZ605" s="58" t="s">
        <v>1373</v>
      </c>
      <c r="BA605" s="58" t="s">
        <v>151</v>
      </c>
      <c r="BB605" s="58" t="s">
        <v>1407</v>
      </c>
      <c r="BC605" s="58"/>
    </row>
    <row r="606" spans="1:55" x14ac:dyDescent="0.25">
      <c r="A606" s="10">
        <f t="shared" si="27"/>
        <v>605</v>
      </c>
      <c r="B606" s="181" t="s">
        <v>6521</v>
      </c>
      <c r="C606" s="592" t="s">
        <v>1407</v>
      </c>
      <c r="D606" s="457">
        <v>400366</v>
      </c>
      <c r="E606" s="181" t="s">
        <v>36</v>
      </c>
      <c r="F606" s="97" t="s">
        <v>6522</v>
      </c>
      <c r="G606" s="139">
        <v>6</v>
      </c>
      <c r="H606" s="458">
        <v>0.45833333333333331</v>
      </c>
      <c r="I606" s="458">
        <v>0.79166666666666663</v>
      </c>
      <c r="J606" s="458">
        <v>0.33333333333333331</v>
      </c>
      <c r="K606" s="35" t="s">
        <v>1884</v>
      </c>
      <c r="L606" s="97" t="s">
        <v>5102</v>
      </c>
      <c r="M606" s="97" t="s">
        <v>26</v>
      </c>
      <c r="N606" s="58" t="s">
        <v>38</v>
      </c>
      <c r="O606" s="58" t="s">
        <v>5050</v>
      </c>
      <c r="P606" s="206">
        <v>44440</v>
      </c>
      <c r="Q606" s="460">
        <v>44440</v>
      </c>
      <c r="R606" s="460">
        <v>45169</v>
      </c>
      <c r="S606" s="461">
        <f>R606+1</f>
        <v>45170</v>
      </c>
      <c r="T606" s="139"/>
      <c r="U606" s="139" t="s">
        <v>343</v>
      </c>
      <c r="V606" s="139">
        <v>2020</v>
      </c>
      <c r="W606" s="139" t="s">
        <v>214</v>
      </c>
      <c r="X606" s="139"/>
      <c r="Y606" s="462" t="s">
        <v>5078</v>
      </c>
      <c r="Z606" s="140" t="s">
        <v>6523</v>
      </c>
      <c r="AA606" s="140" t="s">
        <v>1886</v>
      </c>
      <c r="AB606" s="460">
        <v>44432</v>
      </c>
      <c r="AC606" s="460">
        <v>46257</v>
      </c>
      <c r="AD606" s="139">
        <v>9666878072</v>
      </c>
      <c r="AE606" s="140" t="s">
        <v>6524</v>
      </c>
      <c r="AF606" s="139" t="s">
        <v>5086</v>
      </c>
      <c r="AG606" s="491" t="s">
        <v>6525</v>
      </c>
      <c r="AH606" s="139" t="s">
        <v>3550</v>
      </c>
      <c r="AI606" s="139" t="s">
        <v>6526</v>
      </c>
      <c r="AJ606" s="475" t="s">
        <v>6527</v>
      </c>
      <c r="AK606" s="140" t="s">
        <v>6528</v>
      </c>
      <c r="AL606" s="461">
        <v>44506</v>
      </c>
      <c r="AM606" s="477"/>
      <c r="AN606" s="465"/>
      <c r="AO606" s="140"/>
      <c r="AP606" s="139"/>
      <c r="AQ606" s="139"/>
      <c r="AR606" s="181"/>
      <c r="AS606" s="458"/>
      <c r="AT606" s="458"/>
      <c r="AU606" s="461">
        <v>32660</v>
      </c>
      <c r="AV606" s="181" t="s">
        <v>1352</v>
      </c>
      <c r="AW606" s="31" t="s">
        <v>68</v>
      </c>
      <c r="AX606" s="139">
        <v>8</v>
      </c>
      <c r="AY606" s="466">
        <f>VLOOKUP(K606,[3]Master!M583:BA966,40,0)</f>
        <v>8</v>
      </c>
      <c r="AZ606" s="58" t="s">
        <v>26</v>
      </c>
      <c r="BA606" s="58" t="s">
        <v>151</v>
      </c>
      <c r="BB606" s="58" t="s">
        <v>1407</v>
      </c>
      <c r="BC606" s="58"/>
    </row>
    <row r="607" spans="1:55" x14ac:dyDescent="0.25">
      <c r="A607" s="10">
        <f t="shared" si="27"/>
        <v>606</v>
      </c>
      <c r="B607" s="181" t="s">
        <v>6529</v>
      </c>
      <c r="C607" s="592" t="s">
        <v>1407</v>
      </c>
      <c r="D607" s="457">
        <v>400983</v>
      </c>
      <c r="E607" s="181" t="s">
        <v>36</v>
      </c>
      <c r="F607" s="97" t="s">
        <v>6530</v>
      </c>
      <c r="G607" s="139">
        <v>6</v>
      </c>
      <c r="H607" s="469">
        <v>0.70833333333333337</v>
      </c>
      <c r="I607" s="469">
        <v>0.79166666666666663</v>
      </c>
      <c r="J607" s="458">
        <f>I607-H607</f>
        <v>8.3333333333333259E-2</v>
      </c>
      <c r="K607" s="143" t="s">
        <v>513</v>
      </c>
      <c r="L607" s="97" t="s">
        <v>1424</v>
      </c>
      <c r="M607" s="97" t="s">
        <v>1376</v>
      </c>
      <c r="N607" s="58" t="s">
        <v>1393</v>
      </c>
      <c r="O607" s="58" t="s">
        <v>1424</v>
      </c>
      <c r="P607" s="206">
        <v>45400</v>
      </c>
      <c r="Q607" s="206">
        <v>45400</v>
      </c>
      <c r="R607" s="206">
        <v>46129</v>
      </c>
      <c r="S607" s="461">
        <v>46130</v>
      </c>
      <c r="T607" s="139">
        <v>2019</v>
      </c>
      <c r="U607" s="181" t="s">
        <v>516</v>
      </c>
      <c r="V607" s="139" t="s">
        <v>1424</v>
      </c>
      <c r="W607" s="140" t="s">
        <v>1424</v>
      </c>
      <c r="X607" s="139" t="s">
        <v>1424</v>
      </c>
      <c r="Y607" s="58" t="s">
        <v>226</v>
      </c>
      <c r="Z607" s="140" t="s">
        <v>6531</v>
      </c>
      <c r="AA607" s="470" t="s">
        <v>1841</v>
      </c>
      <c r="AB607" s="471">
        <v>45196</v>
      </c>
      <c r="AC607" s="471">
        <v>47022</v>
      </c>
      <c r="AD607" s="472">
        <v>9000915377</v>
      </c>
      <c r="AE607" s="473" t="s">
        <v>6532</v>
      </c>
      <c r="AF607" s="474" t="s">
        <v>6533</v>
      </c>
      <c r="AG607" s="475" t="s">
        <v>6534</v>
      </c>
      <c r="AH607" s="181" t="s">
        <v>6535</v>
      </c>
      <c r="AI607" s="139" t="s">
        <v>6536</v>
      </c>
      <c r="AJ607" s="476">
        <v>665275643437</v>
      </c>
      <c r="AK607" s="470"/>
      <c r="AL607" s="206">
        <v>45478</v>
      </c>
      <c r="AM607" s="477" t="s">
        <v>30</v>
      </c>
      <c r="AN607" s="478" t="s">
        <v>1592</v>
      </c>
      <c r="AO607" s="140" t="s">
        <v>6537</v>
      </c>
      <c r="AP607" s="58"/>
      <c r="AQ607" s="140" t="s">
        <v>6537</v>
      </c>
      <c r="AR607" s="462"/>
      <c r="AS607" s="479">
        <v>0.70833333333333337</v>
      </c>
      <c r="AT607" s="479">
        <v>0.79166666666666663</v>
      </c>
      <c r="AU607" s="480">
        <v>34884</v>
      </c>
      <c r="AV607" s="181" t="s">
        <v>1389</v>
      </c>
      <c r="AW607" s="31" t="s">
        <v>32</v>
      </c>
      <c r="AX607" s="139">
        <v>2</v>
      </c>
      <c r="AY607" s="58" t="s">
        <v>1959</v>
      </c>
      <c r="AZ607" s="58" t="s">
        <v>1390</v>
      </c>
      <c r="BA607" s="58" t="s">
        <v>151</v>
      </c>
      <c r="BB607" s="58" t="s">
        <v>1407</v>
      </c>
      <c r="BC607" s="58"/>
    </row>
    <row r="608" spans="1:55" x14ac:dyDescent="0.25">
      <c r="A608" s="10">
        <f t="shared" si="27"/>
        <v>607</v>
      </c>
      <c r="B608" s="181" t="s">
        <v>6538</v>
      </c>
      <c r="C608" s="592" t="s">
        <v>1407</v>
      </c>
      <c r="D608" s="457">
        <v>400369</v>
      </c>
      <c r="E608" s="181" t="s">
        <v>36</v>
      </c>
      <c r="F608" s="97" t="s">
        <v>6539</v>
      </c>
      <c r="G608" s="139">
        <v>6</v>
      </c>
      <c r="H608" s="458">
        <v>0.33333333333333331</v>
      </c>
      <c r="I608" s="458">
        <v>0.875</v>
      </c>
      <c r="J608" s="458">
        <v>0.33333333333333331</v>
      </c>
      <c r="K608" s="58" t="s">
        <v>147</v>
      </c>
      <c r="L608" s="97"/>
      <c r="M608" s="97" t="s">
        <v>1544</v>
      </c>
      <c r="N608" s="58" t="s">
        <v>1992</v>
      </c>
      <c r="O608" s="58" t="s">
        <v>5817</v>
      </c>
      <c r="P608" s="206">
        <v>44445</v>
      </c>
      <c r="Q608" s="460">
        <v>44445</v>
      </c>
      <c r="R608" s="460">
        <v>45174</v>
      </c>
      <c r="S608" s="461">
        <v>45175</v>
      </c>
      <c r="T608" s="139">
        <v>2015</v>
      </c>
      <c r="U608" s="139" t="s">
        <v>6540</v>
      </c>
      <c r="V608" s="139">
        <v>2019</v>
      </c>
      <c r="W608" s="139" t="s">
        <v>6541</v>
      </c>
      <c r="X608" s="139" t="s">
        <v>30</v>
      </c>
      <c r="Y608" s="462" t="s">
        <v>5246</v>
      </c>
      <c r="Z608" s="140">
        <v>72488</v>
      </c>
      <c r="AA608" s="140" t="s">
        <v>1323</v>
      </c>
      <c r="AB608" s="460"/>
      <c r="AC608" s="460"/>
      <c r="AD608" s="139">
        <v>9163247407</v>
      </c>
      <c r="AE608" s="467" t="s">
        <v>6542</v>
      </c>
      <c r="AF608" s="139" t="s">
        <v>5086</v>
      </c>
      <c r="AG608" s="463" t="s">
        <v>6543</v>
      </c>
      <c r="AH608" s="139" t="s">
        <v>6544</v>
      </c>
      <c r="AI608" s="139" t="s">
        <v>6545</v>
      </c>
      <c r="AJ608" s="464" t="s">
        <v>6546</v>
      </c>
      <c r="AK608" s="140" t="s">
        <v>6547</v>
      </c>
      <c r="AL608" s="206"/>
      <c r="AM608" s="477"/>
      <c r="AN608" s="465"/>
      <c r="AO608" s="140"/>
      <c r="AP608" s="139"/>
      <c r="AQ608" s="139"/>
      <c r="AR608" s="181"/>
      <c r="AS608" s="458"/>
      <c r="AT608" s="458"/>
      <c r="AU608" s="461">
        <v>33538</v>
      </c>
      <c r="AV608" s="181" t="s">
        <v>1389</v>
      </c>
      <c r="AW608" s="31" t="s">
        <v>68</v>
      </c>
      <c r="AX608" s="139">
        <v>8</v>
      </c>
      <c r="AY608" s="466">
        <f>VLOOKUP(K608,[3]Master!M585:BA968,40,0)</f>
        <v>8</v>
      </c>
      <c r="AZ608" s="58" t="s">
        <v>1373</v>
      </c>
      <c r="BA608" s="58" t="s">
        <v>151</v>
      </c>
      <c r="BB608" s="58" t="s">
        <v>1407</v>
      </c>
      <c r="BC608" s="58"/>
    </row>
    <row r="609" spans="1:55" x14ac:dyDescent="0.25">
      <c r="A609" s="10">
        <f t="shared" si="27"/>
        <v>608</v>
      </c>
      <c r="B609" s="181" t="s">
        <v>6548</v>
      </c>
      <c r="C609" s="592" t="s">
        <v>1407</v>
      </c>
      <c r="D609" s="457">
        <v>400370</v>
      </c>
      <c r="E609" s="181" t="s">
        <v>36</v>
      </c>
      <c r="F609" s="97" t="s">
        <v>6549</v>
      </c>
      <c r="G609" s="139">
        <v>6</v>
      </c>
      <c r="H609" s="458">
        <v>0.41666666666666669</v>
      </c>
      <c r="I609" s="458">
        <v>0.58333333333333337</v>
      </c>
      <c r="J609" s="458">
        <v>0.16666666666666666</v>
      </c>
      <c r="K609" s="58" t="s">
        <v>826</v>
      </c>
      <c r="L609" s="97"/>
      <c r="M609" s="63" t="s">
        <v>1355</v>
      </c>
      <c r="N609" s="100" t="s">
        <v>1520</v>
      </c>
      <c r="O609" s="58" t="s">
        <v>5270</v>
      </c>
      <c r="P609" s="206">
        <v>44445</v>
      </c>
      <c r="Q609" s="460">
        <v>44445</v>
      </c>
      <c r="R609" s="460">
        <v>45174</v>
      </c>
      <c r="S609" s="461">
        <f t="shared" ref="S609:S614" si="28">R609+1</f>
        <v>45175</v>
      </c>
      <c r="T609" s="139">
        <v>1995</v>
      </c>
      <c r="U609" s="139" t="s">
        <v>6550</v>
      </c>
      <c r="V609" s="139">
        <v>2002</v>
      </c>
      <c r="W609" s="139" t="s">
        <v>6551</v>
      </c>
      <c r="X609" s="139"/>
      <c r="Y609" s="462" t="s">
        <v>3647</v>
      </c>
      <c r="Z609" s="140">
        <v>82579</v>
      </c>
      <c r="AA609" s="140" t="s">
        <v>2242</v>
      </c>
      <c r="AB609" s="460">
        <v>43098</v>
      </c>
      <c r="AC609" s="460">
        <v>44923</v>
      </c>
      <c r="AD609" s="139">
        <v>9811180454</v>
      </c>
      <c r="AE609" s="140" t="s">
        <v>6552</v>
      </c>
      <c r="AF609" s="139" t="s">
        <v>1430</v>
      </c>
      <c r="AG609" s="491" t="s">
        <v>6553</v>
      </c>
      <c r="AH609" s="139" t="s">
        <v>6554</v>
      </c>
      <c r="AI609" s="139" t="s">
        <v>6555</v>
      </c>
      <c r="AJ609" s="475" t="s">
        <v>6556</v>
      </c>
      <c r="AK609" s="140" t="s">
        <v>6557</v>
      </c>
      <c r="AL609" s="206">
        <v>44592</v>
      </c>
      <c r="AM609" s="477"/>
      <c r="AN609" s="465"/>
      <c r="AO609" s="140"/>
      <c r="AP609" s="139"/>
      <c r="AQ609" s="139"/>
      <c r="AR609" s="181"/>
      <c r="AS609" s="458"/>
      <c r="AT609" s="458"/>
      <c r="AU609" s="461">
        <v>25639</v>
      </c>
      <c r="AV609" s="181" t="s">
        <v>1389</v>
      </c>
      <c r="AW609" s="31" t="s">
        <v>32</v>
      </c>
      <c r="AX609" s="139">
        <v>4</v>
      </c>
      <c r="AY609" s="466">
        <f>VLOOKUP(K609,[3]Master!M586:BA969,40,0)</f>
        <v>4</v>
      </c>
      <c r="AZ609" s="58" t="s">
        <v>1373</v>
      </c>
      <c r="BA609" s="58" t="s">
        <v>151</v>
      </c>
      <c r="BB609" s="58" t="s">
        <v>1407</v>
      </c>
      <c r="BC609" s="58"/>
    </row>
    <row r="610" spans="1:55" x14ac:dyDescent="0.25">
      <c r="A610" s="10">
        <f t="shared" si="27"/>
        <v>609</v>
      </c>
      <c r="B610" s="181" t="s">
        <v>6558</v>
      </c>
      <c r="C610" s="592" t="s">
        <v>1407</v>
      </c>
      <c r="D610" s="457">
        <v>400371</v>
      </c>
      <c r="E610" s="181" t="s">
        <v>36</v>
      </c>
      <c r="F610" s="97" t="s">
        <v>6559</v>
      </c>
      <c r="G610" s="139">
        <v>6</v>
      </c>
      <c r="H610" s="458">
        <v>0.39583333333333331</v>
      </c>
      <c r="I610" s="458">
        <v>0.4375</v>
      </c>
      <c r="J610" s="458">
        <v>4.1666666666666664E-2</v>
      </c>
      <c r="K610" s="143" t="s">
        <v>754</v>
      </c>
      <c r="L610" s="97"/>
      <c r="M610" s="97" t="s">
        <v>1376</v>
      </c>
      <c r="N610" s="58" t="s">
        <v>1393</v>
      </c>
      <c r="O610" s="58"/>
      <c r="P610" s="206">
        <v>44445</v>
      </c>
      <c r="Q610" s="460">
        <v>44445</v>
      </c>
      <c r="R610" s="460">
        <v>45174</v>
      </c>
      <c r="S610" s="461">
        <f t="shared" si="28"/>
        <v>45175</v>
      </c>
      <c r="T610" s="139"/>
      <c r="U610" s="139"/>
      <c r="V610" s="139"/>
      <c r="W610" s="139"/>
      <c r="X610" s="139"/>
      <c r="Y610" s="462" t="s">
        <v>226</v>
      </c>
      <c r="Z610" s="140" t="s">
        <v>6560</v>
      </c>
      <c r="AA610" s="140" t="s">
        <v>1841</v>
      </c>
      <c r="AB610" s="460">
        <v>44207</v>
      </c>
      <c r="AC610" s="460">
        <v>46033</v>
      </c>
      <c r="AD610" s="139">
        <v>9908016647</v>
      </c>
      <c r="AE610" s="140" t="s">
        <v>6561</v>
      </c>
      <c r="AF610" s="139" t="s">
        <v>1400</v>
      </c>
      <c r="AG610" s="491" t="s">
        <v>6562</v>
      </c>
      <c r="AH610" s="139" t="s">
        <v>4556</v>
      </c>
      <c r="AI610" s="139" t="s">
        <v>6563</v>
      </c>
      <c r="AJ610" s="475" t="s">
        <v>6564</v>
      </c>
      <c r="AK610" s="140" t="s">
        <v>6565</v>
      </c>
      <c r="AL610" s="206">
        <v>44481</v>
      </c>
      <c r="AM610" s="477"/>
      <c r="AN610" s="465"/>
      <c r="AO610" s="140"/>
      <c r="AP610" s="139"/>
      <c r="AQ610" s="139"/>
      <c r="AR610" s="181"/>
      <c r="AS610" s="458"/>
      <c r="AT610" s="458"/>
      <c r="AU610" s="461">
        <v>34344</v>
      </c>
      <c r="AV610" s="181" t="s">
        <v>1389</v>
      </c>
      <c r="AW610" s="31" t="s">
        <v>32</v>
      </c>
      <c r="AX610" s="139">
        <v>1</v>
      </c>
      <c r="AY610" s="58" t="s">
        <v>1968</v>
      </c>
      <c r="AZ610" s="58" t="s">
        <v>1390</v>
      </c>
      <c r="BA610" s="58" t="s">
        <v>151</v>
      </c>
      <c r="BB610" s="58" t="s">
        <v>1407</v>
      </c>
      <c r="BC610" s="58"/>
    </row>
    <row r="611" spans="1:55" x14ac:dyDescent="0.25">
      <c r="A611" s="10">
        <f t="shared" si="27"/>
        <v>610</v>
      </c>
      <c r="B611" s="181"/>
      <c r="C611" s="592" t="s">
        <v>1407</v>
      </c>
      <c r="D611" s="457">
        <v>400372</v>
      </c>
      <c r="E611" s="181" t="s">
        <v>36</v>
      </c>
      <c r="F611" s="97" t="s">
        <v>6566</v>
      </c>
      <c r="G611" s="139">
        <v>6</v>
      </c>
      <c r="H611" s="458">
        <v>0.375</v>
      </c>
      <c r="I611" s="458">
        <v>0.45833333333333331</v>
      </c>
      <c r="J611" s="458">
        <v>8.3333333333333329E-2</v>
      </c>
      <c r="K611" s="143" t="s">
        <v>187</v>
      </c>
      <c r="L611" s="97"/>
      <c r="M611" s="97" t="s">
        <v>1376</v>
      </c>
      <c r="N611" s="58" t="s">
        <v>1393</v>
      </c>
      <c r="O611" s="58"/>
      <c r="P611" s="206">
        <v>44454</v>
      </c>
      <c r="Q611" s="460">
        <v>44454</v>
      </c>
      <c r="R611" s="460">
        <v>45183</v>
      </c>
      <c r="S611" s="461">
        <f t="shared" si="28"/>
        <v>45184</v>
      </c>
      <c r="T611" s="139"/>
      <c r="U611" s="139"/>
      <c r="V611" s="139"/>
      <c r="W611" s="139"/>
      <c r="X611" s="139"/>
      <c r="Y611" s="462" t="s">
        <v>226</v>
      </c>
      <c r="Z611" s="140" t="s">
        <v>6567</v>
      </c>
      <c r="AA611" s="140" t="s">
        <v>1886</v>
      </c>
      <c r="AB611" s="460" t="s">
        <v>5049</v>
      </c>
      <c r="AC611" s="460" t="s">
        <v>5049</v>
      </c>
      <c r="AD611" s="139">
        <v>9618805487</v>
      </c>
      <c r="AE611" s="140" t="s">
        <v>6568</v>
      </c>
      <c r="AF611" s="139" t="s">
        <v>5049</v>
      </c>
      <c r="AG611" s="463" t="s">
        <v>5049</v>
      </c>
      <c r="AH611" s="139" t="s">
        <v>5049</v>
      </c>
      <c r="AI611" s="139" t="s">
        <v>5049</v>
      </c>
      <c r="AJ611" s="464" t="s">
        <v>5049</v>
      </c>
      <c r="AK611" s="140" t="s">
        <v>5049</v>
      </c>
      <c r="AL611" s="206">
        <v>44460</v>
      </c>
      <c r="AM611" s="477"/>
      <c r="AN611" s="465"/>
      <c r="AO611" s="140"/>
      <c r="AP611" s="139"/>
      <c r="AQ611" s="139"/>
      <c r="AR611" s="181"/>
      <c r="AS611" s="458"/>
      <c r="AT611" s="458"/>
      <c r="AU611" s="461" t="s">
        <v>5049</v>
      </c>
      <c r="AV611" s="181" t="s">
        <v>1389</v>
      </c>
      <c r="AW611" s="31" t="s">
        <v>32</v>
      </c>
      <c r="AX611" s="139">
        <v>2</v>
      </c>
      <c r="AY611" s="466">
        <f>VLOOKUP(K611,[3]Master!M588:BA971,40,0)</f>
        <v>5</v>
      </c>
      <c r="AZ611" s="58" t="s">
        <v>1390</v>
      </c>
      <c r="BA611" s="58" t="s">
        <v>151</v>
      </c>
      <c r="BB611" s="58" t="s">
        <v>1407</v>
      </c>
      <c r="BC611" s="58"/>
    </row>
    <row r="612" spans="1:55" x14ac:dyDescent="0.25">
      <c r="A612" s="10">
        <f t="shared" si="27"/>
        <v>611</v>
      </c>
      <c r="B612" s="181" t="s">
        <v>6569</v>
      </c>
      <c r="C612" s="592" t="s">
        <v>1407</v>
      </c>
      <c r="D612" s="457">
        <v>400373</v>
      </c>
      <c r="E612" s="181" t="s">
        <v>36</v>
      </c>
      <c r="F612" s="97" t="s">
        <v>6570</v>
      </c>
      <c r="G612" s="139">
        <v>6</v>
      </c>
      <c r="H612" s="458">
        <v>0.375</v>
      </c>
      <c r="I612" s="458">
        <v>0.70833333333333337</v>
      </c>
      <c r="J612" s="458">
        <v>0.33333333333333331</v>
      </c>
      <c r="K612" s="100" t="s">
        <v>563</v>
      </c>
      <c r="L612" s="97" t="s">
        <v>5102</v>
      </c>
      <c r="M612" s="97" t="s">
        <v>26</v>
      </c>
      <c r="N612" s="58" t="s">
        <v>38</v>
      </c>
      <c r="O612" s="58" t="s">
        <v>5050</v>
      </c>
      <c r="P612" s="206">
        <v>44452</v>
      </c>
      <c r="Q612" s="460">
        <v>44452</v>
      </c>
      <c r="R612" s="460">
        <v>45181</v>
      </c>
      <c r="S612" s="461">
        <f t="shared" si="28"/>
        <v>45182</v>
      </c>
      <c r="T612" s="139"/>
      <c r="U612" s="139" t="s">
        <v>950</v>
      </c>
      <c r="V612" s="139">
        <v>2020</v>
      </c>
      <c r="W612" s="139" t="s">
        <v>214</v>
      </c>
      <c r="X612" s="139"/>
      <c r="Y612" s="462" t="s">
        <v>5078</v>
      </c>
      <c r="Z612" s="140" t="s">
        <v>6571</v>
      </c>
      <c r="AA612" s="140" t="s">
        <v>1886</v>
      </c>
      <c r="AB612" s="460">
        <v>44432</v>
      </c>
      <c r="AC612" s="460">
        <v>46257</v>
      </c>
      <c r="AD612" s="139">
        <v>8686718688</v>
      </c>
      <c r="AE612" s="140" t="s">
        <v>6572</v>
      </c>
      <c r="AF612" s="139" t="s">
        <v>5086</v>
      </c>
      <c r="AG612" s="491" t="s">
        <v>6573</v>
      </c>
      <c r="AH612" s="139" t="s">
        <v>3550</v>
      </c>
      <c r="AI612" s="139" t="s">
        <v>6574</v>
      </c>
      <c r="AJ612" s="475" t="s">
        <v>6575</v>
      </c>
      <c r="AK612" s="140" t="s">
        <v>6576</v>
      </c>
      <c r="AL612" s="461">
        <v>44507</v>
      </c>
      <c r="AM612" s="477"/>
      <c r="AN612" s="465"/>
      <c r="AO612" s="140"/>
      <c r="AP612" s="139"/>
      <c r="AQ612" s="139"/>
      <c r="AR612" s="181"/>
      <c r="AS612" s="458"/>
      <c r="AT612" s="458"/>
      <c r="AU612" s="461">
        <v>33022</v>
      </c>
      <c r="AV612" s="181" t="s">
        <v>1389</v>
      </c>
      <c r="AW612" s="31" t="s">
        <v>68</v>
      </c>
      <c r="AX612" s="139">
        <v>8</v>
      </c>
      <c r="AY612" s="466">
        <f>VLOOKUP(K612,[3]Master!M589:BA972,40,0)</f>
        <v>8</v>
      </c>
      <c r="AZ612" s="58" t="s">
        <v>26</v>
      </c>
      <c r="BA612" s="58" t="s">
        <v>151</v>
      </c>
      <c r="BB612" s="58" t="s">
        <v>1407</v>
      </c>
      <c r="BC612" s="58"/>
    </row>
    <row r="613" spans="1:55" x14ac:dyDescent="0.25">
      <c r="A613" s="10">
        <f t="shared" si="27"/>
        <v>612</v>
      </c>
      <c r="B613" s="181" t="s">
        <v>6577</v>
      </c>
      <c r="C613" s="592" t="s">
        <v>1407</v>
      </c>
      <c r="D613" s="457">
        <v>400374</v>
      </c>
      <c r="E613" s="181" t="s">
        <v>36</v>
      </c>
      <c r="F613" s="97" t="s">
        <v>6578</v>
      </c>
      <c r="G613" s="139">
        <v>6</v>
      </c>
      <c r="H613" s="458">
        <v>0.375</v>
      </c>
      <c r="I613" s="458">
        <v>0.41666666666666669</v>
      </c>
      <c r="J613" s="458">
        <v>4.1666666666666664E-2</v>
      </c>
      <c r="K613" s="462" t="s">
        <v>532</v>
      </c>
      <c r="L613" s="97"/>
      <c r="M613" s="97" t="s">
        <v>1376</v>
      </c>
      <c r="N613" s="58" t="s">
        <v>1393</v>
      </c>
      <c r="O613" s="58"/>
      <c r="P613" s="206">
        <v>44454</v>
      </c>
      <c r="Q613" s="460">
        <v>44454</v>
      </c>
      <c r="R613" s="460">
        <v>45183</v>
      </c>
      <c r="S613" s="461">
        <f t="shared" si="28"/>
        <v>45184</v>
      </c>
      <c r="T613" s="139"/>
      <c r="U613" s="139"/>
      <c r="V613" s="139"/>
      <c r="W613" s="139"/>
      <c r="X613" s="139"/>
      <c r="Y613" s="462" t="s">
        <v>226</v>
      </c>
      <c r="Z613" s="140" t="s">
        <v>6579</v>
      </c>
      <c r="AA613" s="140" t="s">
        <v>1886</v>
      </c>
      <c r="AB613" s="460">
        <v>43308</v>
      </c>
      <c r="AC613" s="460">
        <v>45133</v>
      </c>
      <c r="AD613" s="139">
        <v>6302236292</v>
      </c>
      <c r="AE613" s="140" t="s">
        <v>6580</v>
      </c>
      <c r="AF613" s="139" t="s">
        <v>1430</v>
      </c>
      <c r="AG613" s="491" t="s">
        <v>6581</v>
      </c>
      <c r="AH613" s="139" t="s">
        <v>6582</v>
      </c>
      <c r="AI613" s="139" t="s">
        <v>6583</v>
      </c>
      <c r="AJ613" s="475" t="s">
        <v>6584</v>
      </c>
      <c r="AK613" s="140" t="s">
        <v>6585</v>
      </c>
      <c r="AL613" s="206">
        <v>44507</v>
      </c>
      <c r="AM613" s="477"/>
      <c r="AN613" s="465"/>
      <c r="AO613" s="140"/>
      <c r="AP613" s="139"/>
      <c r="AQ613" s="139"/>
      <c r="AR613" s="181"/>
      <c r="AS613" s="458"/>
      <c r="AT613" s="458"/>
      <c r="AU613" s="461">
        <v>33240</v>
      </c>
      <c r="AV613" s="181" t="s">
        <v>1389</v>
      </c>
      <c r="AW613" s="31" t="s">
        <v>32</v>
      </c>
      <c r="AX613" s="139">
        <v>1</v>
      </c>
      <c r="AY613" s="58" t="s">
        <v>1849</v>
      </c>
      <c r="AZ613" s="58" t="s">
        <v>1390</v>
      </c>
      <c r="BA613" s="58" t="s">
        <v>151</v>
      </c>
      <c r="BB613" s="58" t="s">
        <v>1407</v>
      </c>
      <c r="BC613" s="58"/>
    </row>
    <row r="614" spans="1:55" x14ac:dyDescent="0.25">
      <c r="A614" s="10">
        <f t="shared" si="27"/>
        <v>613</v>
      </c>
      <c r="B614" s="181" t="s">
        <v>6586</v>
      </c>
      <c r="C614" s="592" t="s">
        <v>1407</v>
      </c>
      <c r="D614" s="457">
        <v>400375</v>
      </c>
      <c r="E614" s="181" t="s">
        <v>36</v>
      </c>
      <c r="F614" s="97" t="s">
        <v>6587</v>
      </c>
      <c r="G614" s="139">
        <v>6</v>
      </c>
      <c r="H614" s="458">
        <v>0.375</v>
      </c>
      <c r="I614" s="458">
        <v>0.45833333333333331</v>
      </c>
      <c r="J614" s="458">
        <v>8.3333333333333329E-2</v>
      </c>
      <c r="K614" s="58" t="s">
        <v>341</v>
      </c>
      <c r="L614" s="97"/>
      <c r="M614" s="97" t="s">
        <v>1376</v>
      </c>
      <c r="N614" s="58" t="s">
        <v>1393</v>
      </c>
      <c r="O614" s="58"/>
      <c r="P614" s="206">
        <v>44455</v>
      </c>
      <c r="Q614" s="460">
        <v>44455</v>
      </c>
      <c r="R614" s="460">
        <v>45184</v>
      </c>
      <c r="S614" s="461">
        <f t="shared" si="28"/>
        <v>45185</v>
      </c>
      <c r="T614" s="139"/>
      <c r="U614" s="139"/>
      <c r="V614" s="139"/>
      <c r="W614" s="139"/>
      <c r="X614" s="139"/>
      <c r="Y614" s="462" t="s">
        <v>226</v>
      </c>
      <c r="Z614" s="140">
        <v>139638</v>
      </c>
      <c r="AA614" s="140" t="s">
        <v>1560</v>
      </c>
      <c r="AB614" s="460">
        <v>44125</v>
      </c>
      <c r="AC614" s="460">
        <v>45950</v>
      </c>
      <c r="AD614" s="139">
        <v>8660649553</v>
      </c>
      <c r="AE614" s="140" t="s">
        <v>6588</v>
      </c>
      <c r="AF614" s="139" t="s">
        <v>5086</v>
      </c>
      <c r="AG614" s="491" t="s">
        <v>6589</v>
      </c>
      <c r="AH614" s="139" t="s">
        <v>6590</v>
      </c>
      <c r="AI614" s="139" t="s">
        <v>6591</v>
      </c>
      <c r="AJ614" s="475" t="s">
        <v>6592</v>
      </c>
      <c r="AK614" s="140" t="s">
        <v>6593</v>
      </c>
      <c r="AL614" s="206">
        <v>44538</v>
      </c>
      <c r="AM614" s="477"/>
      <c r="AN614" s="465"/>
      <c r="AO614" s="140"/>
      <c r="AP614" s="139"/>
      <c r="AQ614" s="139"/>
      <c r="AR614" s="181"/>
      <c r="AS614" s="458"/>
      <c r="AT614" s="458"/>
      <c r="AU614" s="461">
        <v>35035</v>
      </c>
      <c r="AV614" s="181" t="s">
        <v>1352</v>
      </c>
      <c r="AW614" s="31" t="s">
        <v>32</v>
      </c>
      <c r="AX614" s="139">
        <v>2</v>
      </c>
      <c r="AY614" s="466">
        <f>VLOOKUP(K614,[3]Master!M591:BA974,40,0)</f>
        <v>2</v>
      </c>
      <c r="AZ614" s="58" t="s">
        <v>1390</v>
      </c>
      <c r="BA614" s="58" t="s">
        <v>151</v>
      </c>
      <c r="BB614" s="58" t="s">
        <v>1407</v>
      </c>
      <c r="BC614" s="58"/>
    </row>
    <row r="615" spans="1:55" x14ac:dyDescent="0.25">
      <c r="A615" s="10">
        <f t="shared" si="27"/>
        <v>614</v>
      </c>
      <c r="B615" s="181" t="s">
        <v>6594</v>
      </c>
      <c r="C615" s="592" t="s">
        <v>1407</v>
      </c>
      <c r="D615" s="457">
        <v>400376</v>
      </c>
      <c r="E615" s="181" t="s">
        <v>36</v>
      </c>
      <c r="F615" s="97" t="s">
        <v>6595</v>
      </c>
      <c r="G615" s="139">
        <v>6</v>
      </c>
      <c r="H615" s="458">
        <v>0.375</v>
      </c>
      <c r="I615" s="458">
        <v>0.45833333333333331</v>
      </c>
      <c r="J615" s="458">
        <v>8.3333333333333329E-2</v>
      </c>
      <c r="K615" s="143" t="s">
        <v>187</v>
      </c>
      <c r="L615" s="97"/>
      <c r="M615" s="97" t="s">
        <v>1376</v>
      </c>
      <c r="N615" s="58" t="s">
        <v>1393</v>
      </c>
      <c r="O615" s="58"/>
      <c r="P615" s="206">
        <v>44462</v>
      </c>
      <c r="Q615" s="460">
        <v>44462</v>
      </c>
      <c r="R615" s="460">
        <v>45191</v>
      </c>
      <c r="S615" s="461">
        <v>45192</v>
      </c>
      <c r="T615" s="139"/>
      <c r="U615" s="139"/>
      <c r="V615" s="139"/>
      <c r="W615" s="139"/>
      <c r="X615" s="139"/>
      <c r="Y615" s="462" t="s">
        <v>226</v>
      </c>
      <c r="Z615" s="140" t="s">
        <v>6596</v>
      </c>
      <c r="AA615" s="140" t="s">
        <v>1841</v>
      </c>
      <c r="AB615" s="460">
        <v>44286</v>
      </c>
      <c r="AC615" s="460">
        <v>46112</v>
      </c>
      <c r="AD615" s="139">
        <v>9346342665</v>
      </c>
      <c r="AE615" s="140" t="s">
        <v>6597</v>
      </c>
      <c r="AF615" s="139" t="s">
        <v>5086</v>
      </c>
      <c r="AG615" s="491" t="s">
        <v>6598</v>
      </c>
      <c r="AH615" s="139" t="s">
        <v>4625</v>
      </c>
      <c r="AI615" s="139" t="s">
        <v>6599</v>
      </c>
      <c r="AJ615" s="475" t="s">
        <v>6600</v>
      </c>
      <c r="AK615" s="140" t="s">
        <v>6601</v>
      </c>
      <c r="AL615" s="206">
        <v>44688</v>
      </c>
      <c r="AM615" s="477">
        <v>44651</v>
      </c>
      <c r="AN615" s="465"/>
      <c r="AO615" s="140"/>
      <c r="AP615" s="139"/>
      <c r="AQ615" s="139"/>
      <c r="AR615" s="181"/>
      <c r="AS615" s="468"/>
      <c r="AT615" s="468"/>
      <c r="AU615" s="461">
        <v>34663</v>
      </c>
      <c r="AV615" s="181" t="s">
        <v>1389</v>
      </c>
      <c r="AW615" s="31" t="s">
        <v>32</v>
      </c>
      <c r="AX615" s="139">
        <v>2</v>
      </c>
      <c r="AY615" s="466">
        <f>VLOOKUP(K615,[3]Master!M592:BA975,40,0)</f>
        <v>2</v>
      </c>
      <c r="AZ615" s="58" t="s">
        <v>1390</v>
      </c>
      <c r="BA615" s="58" t="s">
        <v>151</v>
      </c>
      <c r="BB615" s="58" t="s">
        <v>1407</v>
      </c>
      <c r="BC615" s="58"/>
    </row>
    <row r="616" spans="1:55" x14ac:dyDescent="0.25">
      <c r="A616" s="10">
        <f t="shared" si="27"/>
        <v>615</v>
      </c>
      <c r="B616" s="181" t="s">
        <v>6602</v>
      </c>
      <c r="C616" s="592" t="s">
        <v>1407</v>
      </c>
      <c r="D616" s="457">
        <v>400377</v>
      </c>
      <c r="E616" s="181" t="s">
        <v>36</v>
      </c>
      <c r="F616" s="97" t="s">
        <v>6603</v>
      </c>
      <c r="G616" s="139">
        <v>6</v>
      </c>
      <c r="H616" s="458">
        <v>0.44791666666666669</v>
      </c>
      <c r="I616" s="458">
        <v>0.78125</v>
      </c>
      <c r="J616" s="458">
        <f t="shared" ref="J616:J621" si="29">I616-H616</f>
        <v>0.33333333333333331</v>
      </c>
      <c r="K616" s="58" t="s">
        <v>341</v>
      </c>
      <c r="L616" s="97" t="s">
        <v>6604</v>
      </c>
      <c r="M616" s="97" t="s">
        <v>26</v>
      </c>
      <c r="N616" s="58" t="s">
        <v>38</v>
      </c>
      <c r="O616" s="58" t="s">
        <v>5050</v>
      </c>
      <c r="P616" s="206">
        <v>44466</v>
      </c>
      <c r="Q616" s="460">
        <v>44466</v>
      </c>
      <c r="R616" s="460">
        <v>45195</v>
      </c>
      <c r="S616" s="461">
        <v>45196</v>
      </c>
      <c r="T616" s="139"/>
      <c r="U616" s="139" t="s">
        <v>57</v>
      </c>
      <c r="V616" s="139">
        <v>2018</v>
      </c>
      <c r="W616" s="139" t="s">
        <v>326</v>
      </c>
      <c r="X616" s="139"/>
      <c r="Y616" s="462" t="s">
        <v>6605</v>
      </c>
      <c r="Z616" s="140" t="s">
        <v>6606</v>
      </c>
      <c r="AA616" s="140" t="s">
        <v>1560</v>
      </c>
      <c r="AB616" s="460"/>
      <c r="AC616" s="460"/>
      <c r="AD616" s="139" t="s">
        <v>6607</v>
      </c>
      <c r="AE616" s="140" t="s">
        <v>6608</v>
      </c>
      <c r="AF616" s="139" t="s">
        <v>5086</v>
      </c>
      <c r="AG616" s="491" t="s">
        <v>6609</v>
      </c>
      <c r="AH616" s="139" t="s">
        <v>6610</v>
      </c>
      <c r="AI616" s="139" t="s">
        <v>6611</v>
      </c>
      <c r="AJ616" s="475" t="s">
        <v>6612</v>
      </c>
      <c r="AK616" s="140" t="s">
        <v>6613</v>
      </c>
      <c r="AL616" s="461">
        <v>44844</v>
      </c>
      <c r="AM616" s="477">
        <v>44767</v>
      </c>
      <c r="AN616" s="465"/>
      <c r="AO616" s="140"/>
      <c r="AP616" s="139"/>
      <c r="AQ616" s="139" t="s">
        <v>6614</v>
      </c>
      <c r="AR616" s="181"/>
      <c r="AS616" s="458"/>
      <c r="AT616" s="458"/>
      <c r="AU616" s="461">
        <v>33173</v>
      </c>
      <c r="AV616" s="181" t="s">
        <v>1352</v>
      </c>
      <c r="AW616" s="31" t="s">
        <v>68</v>
      </c>
      <c r="AX616" s="139">
        <v>8</v>
      </c>
      <c r="AY616" s="466">
        <f>VLOOKUP(K616,[3]Master!M593:BA976,40,0)</f>
        <v>2</v>
      </c>
      <c r="AZ616" s="58" t="s">
        <v>26</v>
      </c>
      <c r="BA616" s="58" t="s">
        <v>151</v>
      </c>
      <c r="BB616" s="58" t="s">
        <v>1407</v>
      </c>
      <c r="BC616" s="58"/>
    </row>
    <row r="617" spans="1:55" x14ac:dyDescent="0.25">
      <c r="A617" s="10">
        <f t="shared" si="27"/>
        <v>616</v>
      </c>
      <c r="B617" s="181" t="s">
        <v>6615</v>
      </c>
      <c r="C617" s="592" t="s">
        <v>1407</v>
      </c>
      <c r="D617" s="457">
        <v>400378</v>
      </c>
      <c r="E617" s="181" t="s">
        <v>36</v>
      </c>
      <c r="F617" s="97" t="s">
        <v>6616</v>
      </c>
      <c r="G617" s="139">
        <v>6</v>
      </c>
      <c r="H617" s="458">
        <v>0.35416666666666669</v>
      </c>
      <c r="I617" s="458">
        <v>0.6875</v>
      </c>
      <c r="J617" s="458">
        <f t="shared" si="29"/>
        <v>0.33333333333333331</v>
      </c>
      <c r="K617" s="462" t="s">
        <v>532</v>
      </c>
      <c r="L617" s="97" t="s">
        <v>6617</v>
      </c>
      <c r="M617" s="97" t="s">
        <v>26</v>
      </c>
      <c r="N617" s="58" t="s">
        <v>38</v>
      </c>
      <c r="O617" s="58" t="s">
        <v>5076</v>
      </c>
      <c r="P617" s="206">
        <v>44466</v>
      </c>
      <c r="Q617" s="460">
        <v>44466</v>
      </c>
      <c r="R617" s="460">
        <v>45195</v>
      </c>
      <c r="S617" s="461">
        <v>45196</v>
      </c>
      <c r="T617" s="139"/>
      <c r="U617" s="139" t="s">
        <v>209</v>
      </c>
      <c r="V617" s="139">
        <v>2018</v>
      </c>
      <c r="W617" s="139" t="s">
        <v>141</v>
      </c>
      <c r="X617" s="139" t="s">
        <v>30</v>
      </c>
      <c r="Y617" s="462" t="s">
        <v>1236</v>
      </c>
      <c r="Z617" s="140" t="s">
        <v>6618</v>
      </c>
      <c r="AA617" s="140" t="s">
        <v>1841</v>
      </c>
      <c r="AB617" s="460">
        <v>44154</v>
      </c>
      <c r="AC617" s="460">
        <v>45979</v>
      </c>
      <c r="AD617" s="139">
        <v>8885435543</v>
      </c>
      <c r="AE617" s="467" t="s">
        <v>6619</v>
      </c>
      <c r="AF617" s="139" t="s">
        <v>5086</v>
      </c>
      <c r="AG617" s="463" t="s">
        <v>6620</v>
      </c>
      <c r="AH617" s="139" t="s">
        <v>2891</v>
      </c>
      <c r="AI617" s="139" t="s">
        <v>6621</v>
      </c>
      <c r="AJ617" s="464" t="s">
        <v>6622</v>
      </c>
      <c r="AK617" s="140" t="s">
        <v>6623</v>
      </c>
      <c r="AL617" s="461">
        <v>45016</v>
      </c>
      <c r="AM617" s="477"/>
      <c r="AN617" s="465"/>
      <c r="AO617" s="140"/>
      <c r="AP617" s="139"/>
      <c r="AQ617" s="139"/>
      <c r="AR617" s="181"/>
      <c r="AS617" s="458"/>
      <c r="AT617" s="458"/>
      <c r="AU617" s="461">
        <v>33451</v>
      </c>
      <c r="AV617" s="181" t="s">
        <v>1389</v>
      </c>
      <c r="AW617" s="31" t="s">
        <v>68</v>
      </c>
      <c r="AX617" s="139">
        <v>8</v>
      </c>
      <c r="AY617" s="58" t="s">
        <v>1849</v>
      </c>
      <c r="AZ617" s="58" t="s">
        <v>26</v>
      </c>
      <c r="BA617" s="58" t="s">
        <v>151</v>
      </c>
      <c r="BB617" s="58" t="s">
        <v>1407</v>
      </c>
      <c r="BC617" s="58"/>
    </row>
    <row r="618" spans="1:55" x14ac:dyDescent="0.25">
      <c r="A618" s="10">
        <f t="shared" si="27"/>
        <v>617</v>
      </c>
      <c r="B618" s="181" t="s">
        <v>6624</v>
      </c>
      <c r="C618" s="592" t="s">
        <v>1407</v>
      </c>
      <c r="D618" s="457">
        <v>400379</v>
      </c>
      <c r="E618" s="181" t="s">
        <v>36</v>
      </c>
      <c r="F618" s="97" t="s">
        <v>6625</v>
      </c>
      <c r="G618" s="139">
        <v>6</v>
      </c>
      <c r="H618" s="458">
        <v>0.375</v>
      </c>
      <c r="I618" s="458">
        <v>0.45833333333333331</v>
      </c>
      <c r="J618" s="458">
        <f t="shared" si="29"/>
        <v>8.3333333333333315E-2</v>
      </c>
      <c r="K618" s="58" t="s">
        <v>446</v>
      </c>
      <c r="L618" s="97"/>
      <c r="M618" s="97" t="s">
        <v>1376</v>
      </c>
      <c r="N618" s="58" t="s">
        <v>1393</v>
      </c>
      <c r="O618" s="58"/>
      <c r="P618" s="206">
        <v>44470</v>
      </c>
      <c r="Q618" s="460">
        <v>44470</v>
      </c>
      <c r="R618" s="460">
        <v>45199</v>
      </c>
      <c r="S618" s="461">
        <f>R618+1</f>
        <v>45200</v>
      </c>
      <c r="T618" s="139"/>
      <c r="U618" s="139"/>
      <c r="V618" s="139" t="s">
        <v>30</v>
      </c>
      <c r="W618" s="139" t="s">
        <v>30</v>
      </c>
      <c r="X618" s="139" t="s">
        <v>30</v>
      </c>
      <c r="Y618" s="462" t="s">
        <v>226</v>
      </c>
      <c r="Z618" s="140" t="s">
        <v>6626</v>
      </c>
      <c r="AA618" s="140" t="s">
        <v>1841</v>
      </c>
      <c r="AB618" s="460">
        <v>43771</v>
      </c>
      <c r="AC618" s="460">
        <v>45598</v>
      </c>
      <c r="AD618" s="139">
        <v>9030652777</v>
      </c>
      <c r="AE618" s="467" t="s">
        <v>6627</v>
      </c>
      <c r="AF618" s="139" t="s">
        <v>1466</v>
      </c>
      <c r="AG618" s="491" t="s">
        <v>6628</v>
      </c>
      <c r="AH618" s="139" t="s">
        <v>6629</v>
      </c>
      <c r="AI618" s="139" t="s">
        <v>6630</v>
      </c>
      <c r="AJ618" s="475" t="s">
        <v>6631</v>
      </c>
      <c r="AK618" s="140" t="s">
        <v>6632</v>
      </c>
      <c r="AL618" s="206">
        <v>44804</v>
      </c>
      <c r="AM618" s="477">
        <v>44742</v>
      </c>
      <c r="AN618" s="465"/>
      <c r="AO618" s="140"/>
      <c r="AP618" s="139"/>
      <c r="AQ618" s="139"/>
      <c r="AR618" s="181"/>
      <c r="AS618" s="458"/>
      <c r="AT618" s="458"/>
      <c r="AU618" s="461">
        <v>34915</v>
      </c>
      <c r="AV618" s="181" t="s">
        <v>1389</v>
      </c>
      <c r="AW618" s="31" t="s">
        <v>32</v>
      </c>
      <c r="AX618" s="139">
        <v>2</v>
      </c>
      <c r="AY618" s="466">
        <f>VLOOKUP(K618,[3]Master!M595:BA978,40,0)</f>
        <v>3</v>
      </c>
      <c r="AZ618" s="58" t="s">
        <v>1390</v>
      </c>
      <c r="BA618" s="58" t="s">
        <v>151</v>
      </c>
      <c r="BB618" s="58" t="s">
        <v>1407</v>
      </c>
      <c r="BC618" s="58"/>
    </row>
    <row r="619" spans="1:55" x14ac:dyDescent="0.25">
      <c r="A619" s="10">
        <f t="shared" si="27"/>
        <v>618</v>
      </c>
      <c r="B619" s="181" t="s">
        <v>6633</v>
      </c>
      <c r="C619" s="592" t="s">
        <v>1407</v>
      </c>
      <c r="D619" s="457">
        <v>400367</v>
      </c>
      <c r="E619" s="181" t="s">
        <v>36</v>
      </c>
      <c r="F619" s="97" t="s">
        <v>6634</v>
      </c>
      <c r="G619" s="139">
        <v>6</v>
      </c>
      <c r="H619" s="469" t="s">
        <v>6635</v>
      </c>
      <c r="I619" s="469" t="s">
        <v>6636</v>
      </c>
      <c r="J619" s="458">
        <f t="shared" si="29"/>
        <v>0.33333333333333331</v>
      </c>
      <c r="K619" s="100" t="s">
        <v>563</v>
      </c>
      <c r="L619" s="97" t="s">
        <v>6637</v>
      </c>
      <c r="M619" s="97" t="s">
        <v>26</v>
      </c>
      <c r="N619" s="58" t="s">
        <v>38</v>
      </c>
      <c r="O619" s="58" t="s">
        <v>5076</v>
      </c>
      <c r="P619" s="206">
        <v>44440</v>
      </c>
      <c r="Q619" s="206">
        <v>45170</v>
      </c>
      <c r="R619" s="206">
        <v>45900</v>
      </c>
      <c r="S619" s="461">
        <v>45901</v>
      </c>
      <c r="T619" s="139">
        <v>2008</v>
      </c>
      <c r="U619" s="181" t="s">
        <v>214</v>
      </c>
      <c r="V619" s="139">
        <v>2018</v>
      </c>
      <c r="W619" s="140" t="s">
        <v>695</v>
      </c>
      <c r="X619" s="181" t="s">
        <v>30</v>
      </c>
      <c r="Y619" s="58" t="s">
        <v>5078</v>
      </c>
      <c r="Z619" s="140">
        <v>60529</v>
      </c>
      <c r="AA619" s="97" t="s">
        <v>1886</v>
      </c>
      <c r="AB619" s="471">
        <v>43337</v>
      </c>
      <c r="AC619" s="471">
        <v>45162</v>
      </c>
      <c r="AD619" s="472">
        <v>8500739220</v>
      </c>
      <c r="AE619" s="473" t="s">
        <v>6638</v>
      </c>
      <c r="AF619" s="97" t="s">
        <v>5086</v>
      </c>
      <c r="AG619" s="482" t="s">
        <v>6639</v>
      </c>
      <c r="AH619" s="181" t="s">
        <v>6640</v>
      </c>
      <c r="AI619" s="139" t="s">
        <v>6641</v>
      </c>
      <c r="AJ619" s="464" t="s">
        <v>6642</v>
      </c>
      <c r="AK619" s="97" t="s">
        <v>6643</v>
      </c>
      <c r="AL619" s="461">
        <v>45480</v>
      </c>
      <c r="AM619" s="477">
        <v>45463</v>
      </c>
      <c r="AN619" s="465" t="s">
        <v>1592</v>
      </c>
      <c r="AO619" s="97"/>
      <c r="AP619" s="58"/>
      <c r="AQ619" s="486"/>
      <c r="AR619" s="462"/>
      <c r="AS619" s="479">
        <v>0.39583333333333331</v>
      </c>
      <c r="AT619" s="479">
        <v>0.72916666666666663</v>
      </c>
      <c r="AU619" s="461">
        <v>30844</v>
      </c>
      <c r="AV619" s="181" t="s">
        <v>1389</v>
      </c>
      <c r="AW619" s="31" t="s">
        <v>68</v>
      </c>
      <c r="AX619" s="139">
        <v>8</v>
      </c>
      <c r="AY619" s="466">
        <f>VLOOKUP(K619,[3]Master!M596:BA979,40,0)</f>
        <v>8</v>
      </c>
      <c r="AZ619" s="58" t="s">
        <v>26</v>
      </c>
      <c r="BA619" s="58" t="s">
        <v>151</v>
      </c>
      <c r="BB619" s="58" t="s">
        <v>1407</v>
      </c>
      <c r="BC619" s="58"/>
    </row>
    <row r="620" spans="1:55" x14ac:dyDescent="0.25">
      <c r="A620" s="10">
        <f t="shared" si="27"/>
        <v>619</v>
      </c>
      <c r="B620" s="181" t="s">
        <v>6644</v>
      </c>
      <c r="C620" s="592" t="s">
        <v>1407</v>
      </c>
      <c r="D620" s="457">
        <v>400381</v>
      </c>
      <c r="E620" s="181" t="s">
        <v>36</v>
      </c>
      <c r="F620" s="97" t="s">
        <v>6645</v>
      </c>
      <c r="G620" s="139">
        <v>6</v>
      </c>
      <c r="H620" s="469" t="s">
        <v>5491</v>
      </c>
      <c r="I620" s="469" t="s">
        <v>1084</v>
      </c>
      <c r="J620" s="458">
        <f t="shared" si="29"/>
        <v>0.16666666666666663</v>
      </c>
      <c r="K620" s="58" t="s">
        <v>1224</v>
      </c>
      <c r="L620" s="97" t="s">
        <v>6646</v>
      </c>
      <c r="M620" s="97" t="s">
        <v>26</v>
      </c>
      <c r="N620" s="58" t="s">
        <v>38</v>
      </c>
      <c r="O620" s="58" t="s">
        <v>5076</v>
      </c>
      <c r="P620" s="206">
        <v>44474</v>
      </c>
      <c r="Q620" s="206">
        <v>45204</v>
      </c>
      <c r="R620" s="206">
        <v>45934</v>
      </c>
      <c r="S620" s="461">
        <v>45935</v>
      </c>
      <c r="T620" s="139">
        <v>2013</v>
      </c>
      <c r="U620" s="181" t="s">
        <v>380</v>
      </c>
      <c r="V620" s="139">
        <v>2018</v>
      </c>
      <c r="W620" s="140" t="s">
        <v>175</v>
      </c>
      <c r="X620" s="181" t="s">
        <v>30</v>
      </c>
      <c r="Y620" s="58" t="s">
        <v>1236</v>
      </c>
      <c r="Z620" s="140" t="s">
        <v>6647</v>
      </c>
      <c r="AA620" s="97" t="s">
        <v>1841</v>
      </c>
      <c r="AB620" s="471">
        <v>45207</v>
      </c>
      <c r="AC620" s="471">
        <v>47033</v>
      </c>
      <c r="AD620" s="472">
        <v>9398378101</v>
      </c>
      <c r="AE620" s="473" t="s">
        <v>6648</v>
      </c>
      <c r="AF620" s="97" t="s">
        <v>1805</v>
      </c>
      <c r="AG620" s="482" t="s">
        <v>6649</v>
      </c>
      <c r="AH620" s="181" t="s">
        <v>6650</v>
      </c>
      <c r="AI620" s="139" t="s">
        <v>6651</v>
      </c>
      <c r="AJ620" s="464">
        <v>697353538070</v>
      </c>
      <c r="AK620" s="97" t="s">
        <v>6652</v>
      </c>
      <c r="AL620" s="461">
        <v>45412</v>
      </c>
      <c r="AM620" s="477">
        <v>45369</v>
      </c>
      <c r="AN620" s="465" t="s">
        <v>5098</v>
      </c>
      <c r="AO620" s="97"/>
      <c r="AP620" s="58"/>
      <c r="AQ620" s="486"/>
      <c r="AR620" s="462"/>
      <c r="AS620" s="479">
        <v>0.375</v>
      </c>
      <c r="AT620" s="479">
        <v>0.54166666666666663</v>
      </c>
      <c r="AU620" s="461">
        <v>32537</v>
      </c>
      <c r="AV620" s="181" t="s">
        <v>1352</v>
      </c>
      <c r="AW620" s="31" t="s">
        <v>32</v>
      </c>
      <c r="AX620" s="139">
        <v>4</v>
      </c>
      <c r="AY620" s="466">
        <f>VLOOKUP(K620,[3]Master!M597:BA980,40,0)</f>
        <v>4</v>
      </c>
      <c r="AZ620" s="58" t="s">
        <v>26</v>
      </c>
      <c r="BA620" s="58" t="s">
        <v>151</v>
      </c>
      <c r="BB620" s="58" t="s">
        <v>1407</v>
      </c>
      <c r="BC620" s="58"/>
    </row>
    <row r="621" spans="1:55" x14ac:dyDescent="0.25">
      <c r="A621" s="10">
        <f t="shared" si="27"/>
        <v>620</v>
      </c>
      <c r="B621" s="181" t="s">
        <v>6653</v>
      </c>
      <c r="C621" s="592" t="s">
        <v>1407</v>
      </c>
      <c r="D621" s="457">
        <v>400865</v>
      </c>
      <c r="E621" s="181" t="s">
        <v>36</v>
      </c>
      <c r="F621" s="97" t="s">
        <v>6654</v>
      </c>
      <c r="G621" s="139">
        <v>6</v>
      </c>
      <c r="H621" s="469" t="s">
        <v>5089</v>
      </c>
      <c r="I621" s="469" t="s">
        <v>146</v>
      </c>
      <c r="J621" s="458">
        <f t="shared" si="29"/>
        <v>0.33333333333333331</v>
      </c>
      <c r="K621" s="143" t="s">
        <v>538</v>
      </c>
      <c r="L621" s="97" t="s">
        <v>6655</v>
      </c>
      <c r="M621" s="97" t="s">
        <v>26</v>
      </c>
      <c r="N621" s="58" t="s">
        <v>38</v>
      </c>
      <c r="O621" s="462" t="s">
        <v>5076</v>
      </c>
      <c r="P621" s="206">
        <v>45215</v>
      </c>
      <c r="Q621" s="206">
        <v>45215</v>
      </c>
      <c r="R621" s="206">
        <v>45945</v>
      </c>
      <c r="S621" s="461">
        <v>45946</v>
      </c>
      <c r="T621" s="139">
        <v>2018</v>
      </c>
      <c r="U621" s="181" t="s">
        <v>196</v>
      </c>
      <c r="V621" s="139">
        <v>2023</v>
      </c>
      <c r="W621" s="140" t="s">
        <v>6656</v>
      </c>
      <c r="X621" s="181" t="s">
        <v>30</v>
      </c>
      <c r="Y621" s="58" t="s">
        <v>5066</v>
      </c>
      <c r="Z621" s="140" t="s">
        <v>6657</v>
      </c>
      <c r="AA621" s="470" t="s">
        <v>1841</v>
      </c>
      <c r="AB621" s="471">
        <v>45211</v>
      </c>
      <c r="AC621" s="471">
        <v>47037</v>
      </c>
      <c r="AD621" s="472" t="s">
        <v>6658</v>
      </c>
      <c r="AE621" s="473" t="s">
        <v>6659</v>
      </c>
      <c r="AF621" s="474" t="s">
        <v>1364</v>
      </c>
      <c r="AG621" s="481" t="s">
        <v>6660</v>
      </c>
      <c r="AH621" s="181" t="s">
        <v>6661</v>
      </c>
      <c r="AI621" s="139" t="s">
        <v>6662</v>
      </c>
      <c r="AJ621" s="476">
        <v>375826877202</v>
      </c>
      <c r="AK621" s="470"/>
      <c r="AL621" s="461">
        <v>45481</v>
      </c>
      <c r="AM621" s="477">
        <v>45335</v>
      </c>
      <c r="AN621" s="478" t="s">
        <v>6663</v>
      </c>
      <c r="AO621" s="140" t="s">
        <v>6664</v>
      </c>
      <c r="AP621" s="58"/>
      <c r="AQ621" s="97" t="s">
        <v>6664</v>
      </c>
      <c r="AR621" s="462"/>
      <c r="AS621" s="479">
        <v>0.35416666666666669</v>
      </c>
      <c r="AT621" s="479">
        <v>0.6875</v>
      </c>
      <c r="AU621" s="480">
        <v>34049</v>
      </c>
      <c r="AV621" s="181" t="s">
        <v>1352</v>
      </c>
      <c r="AW621" s="31" t="s">
        <v>68</v>
      </c>
      <c r="AX621" s="139">
        <v>8</v>
      </c>
      <c r="AY621" s="58" t="s">
        <v>1904</v>
      </c>
      <c r="AZ621" s="58" t="s">
        <v>26</v>
      </c>
      <c r="BA621" s="58" t="s">
        <v>151</v>
      </c>
      <c r="BB621" s="58" t="s">
        <v>1407</v>
      </c>
      <c r="BC621" s="58"/>
    </row>
    <row r="622" spans="1:55" x14ac:dyDescent="0.25">
      <c r="A622" s="10">
        <f t="shared" si="27"/>
        <v>621</v>
      </c>
      <c r="B622" s="181" t="s">
        <v>346</v>
      </c>
      <c r="C622" s="592" t="s">
        <v>1407</v>
      </c>
      <c r="D622" s="457">
        <v>400383</v>
      </c>
      <c r="E622" s="181" t="s">
        <v>36</v>
      </c>
      <c r="F622" s="97" t="s">
        <v>347</v>
      </c>
      <c r="G622" s="139">
        <v>6</v>
      </c>
      <c r="H622" s="458">
        <v>0.125</v>
      </c>
      <c r="I622" s="458">
        <v>0.33333333333333331</v>
      </c>
      <c r="J622" s="458">
        <v>0.20833333333333334</v>
      </c>
      <c r="K622" s="100" t="s">
        <v>348</v>
      </c>
      <c r="L622" s="97" t="s">
        <v>349</v>
      </c>
      <c r="M622" s="97" t="s">
        <v>26</v>
      </c>
      <c r="N622" s="58" t="s">
        <v>38</v>
      </c>
      <c r="O622" s="58" t="s">
        <v>5050</v>
      </c>
      <c r="P622" s="206">
        <v>44477</v>
      </c>
      <c r="Q622" s="460">
        <v>44477</v>
      </c>
      <c r="R622" s="460">
        <v>45206</v>
      </c>
      <c r="S622" s="461">
        <f>R622+1</f>
        <v>45207</v>
      </c>
      <c r="T622" s="139"/>
      <c r="U622" s="139" t="s">
        <v>350</v>
      </c>
      <c r="V622" s="139">
        <v>2021</v>
      </c>
      <c r="W622" s="139" t="s">
        <v>351</v>
      </c>
      <c r="X622" s="139"/>
      <c r="Y622" s="462" t="s">
        <v>5078</v>
      </c>
      <c r="Z622" s="140"/>
      <c r="AA622" s="140"/>
      <c r="AB622" s="460"/>
      <c r="AC622" s="460"/>
      <c r="AD622" s="139">
        <v>7989783601</v>
      </c>
      <c r="AE622" s="140" t="s">
        <v>352</v>
      </c>
      <c r="AF622" s="139" t="s">
        <v>1430</v>
      </c>
      <c r="AG622" s="491" t="s">
        <v>2379</v>
      </c>
      <c r="AH622" s="139" t="s">
        <v>2380</v>
      </c>
      <c r="AI622" s="139" t="s">
        <v>2381</v>
      </c>
      <c r="AJ622" s="475" t="s">
        <v>2382</v>
      </c>
      <c r="AK622" s="140" t="s">
        <v>6665</v>
      </c>
      <c r="AL622" s="461">
        <v>44639</v>
      </c>
      <c r="AM622" s="477"/>
      <c r="AN622" s="465"/>
      <c r="AO622" s="140"/>
      <c r="AP622" s="139"/>
      <c r="AQ622" s="139"/>
      <c r="AR622" s="181"/>
      <c r="AS622" s="458"/>
      <c r="AT622" s="458"/>
      <c r="AU622" s="461">
        <v>32524</v>
      </c>
      <c r="AV622" s="181" t="s">
        <v>1389</v>
      </c>
      <c r="AW622" s="31" t="s">
        <v>32</v>
      </c>
      <c r="AX622" s="139">
        <v>5</v>
      </c>
      <c r="AY622" s="466">
        <f>VLOOKUP(K622,[3]Master!M599:BA982,40,0)</f>
        <v>5</v>
      </c>
      <c r="AZ622" s="58" t="s">
        <v>26</v>
      </c>
      <c r="BA622" s="58" t="s">
        <v>151</v>
      </c>
      <c r="BB622" s="58" t="s">
        <v>1407</v>
      </c>
      <c r="BC622" s="58"/>
    </row>
    <row r="623" spans="1:55" x14ac:dyDescent="0.25">
      <c r="A623" s="10">
        <f t="shared" si="27"/>
        <v>622</v>
      </c>
      <c r="B623" s="181" t="s">
        <v>6666</v>
      </c>
      <c r="C623" s="592" t="s">
        <v>1407</v>
      </c>
      <c r="D623" s="457">
        <v>400384</v>
      </c>
      <c r="E623" s="181" t="s">
        <v>36</v>
      </c>
      <c r="F623" s="97" t="s">
        <v>6667</v>
      </c>
      <c r="G623" s="139">
        <v>6</v>
      </c>
      <c r="H623" s="458">
        <v>0.35416666666666669</v>
      </c>
      <c r="I623" s="458">
        <v>0.6875</v>
      </c>
      <c r="J623" s="458">
        <f>I623-H623</f>
        <v>0.33333333333333331</v>
      </c>
      <c r="K623" s="58" t="s">
        <v>446</v>
      </c>
      <c r="L623" s="97" t="s">
        <v>6668</v>
      </c>
      <c r="M623" s="97" t="s">
        <v>26</v>
      </c>
      <c r="N623" s="58" t="s">
        <v>38</v>
      </c>
      <c r="O623" s="58" t="s">
        <v>5076</v>
      </c>
      <c r="P623" s="206">
        <v>44480</v>
      </c>
      <c r="Q623" s="460">
        <v>44774</v>
      </c>
      <c r="R623" s="460">
        <v>45504</v>
      </c>
      <c r="S623" s="461">
        <v>45505</v>
      </c>
      <c r="T623" s="139">
        <v>2012</v>
      </c>
      <c r="U623" s="139" t="s">
        <v>6669</v>
      </c>
      <c r="V623" s="139">
        <v>2020</v>
      </c>
      <c r="W623" s="139" t="s">
        <v>406</v>
      </c>
      <c r="X623" s="139" t="s">
        <v>30</v>
      </c>
      <c r="Y623" s="462" t="s">
        <v>5078</v>
      </c>
      <c r="Z623" s="140" t="s">
        <v>6670</v>
      </c>
      <c r="AA623" s="140" t="s">
        <v>1841</v>
      </c>
      <c r="AB623" s="460">
        <v>44246</v>
      </c>
      <c r="AC623" s="460">
        <v>46071</v>
      </c>
      <c r="AD623" s="139">
        <v>8790155528</v>
      </c>
      <c r="AE623" s="467" t="s">
        <v>6671</v>
      </c>
      <c r="AF623" s="139" t="s">
        <v>5443</v>
      </c>
      <c r="AG623" s="463" t="s">
        <v>6672</v>
      </c>
      <c r="AH623" s="139" t="s">
        <v>3754</v>
      </c>
      <c r="AI623" s="139" t="s">
        <v>6673</v>
      </c>
      <c r="AJ623" s="464" t="s">
        <v>6674</v>
      </c>
      <c r="AK623" s="140" t="s">
        <v>6675</v>
      </c>
      <c r="AL623" s="461"/>
      <c r="AM623" s="477"/>
      <c r="AN623" s="465"/>
      <c r="AO623" s="140"/>
      <c r="AP623" s="139"/>
      <c r="AQ623" s="139"/>
      <c r="AR623" s="181"/>
      <c r="AS623" s="458"/>
      <c r="AT623" s="458"/>
      <c r="AU623" s="461">
        <v>32744</v>
      </c>
      <c r="AV623" s="181" t="s">
        <v>1389</v>
      </c>
      <c r="AW623" s="31" t="s">
        <v>68</v>
      </c>
      <c r="AX623" s="139">
        <v>8</v>
      </c>
      <c r="AY623" s="466">
        <f>VLOOKUP(K623,[3]Master!M600:BA983,40,0)</f>
        <v>2</v>
      </c>
      <c r="AZ623" s="58" t="s">
        <v>26</v>
      </c>
      <c r="BA623" s="58" t="s">
        <v>151</v>
      </c>
      <c r="BB623" s="58" t="s">
        <v>1407</v>
      </c>
      <c r="BC623" s="58"/>
    </row>
    <row r="624" spans="1:55" x14ac:dyDescent="0.25">
      <c r="A624" s="10">
        <f t="shared" si="27"/>
        <v>623</v>
      </c>
      <c r="B624" s="181" t="s">
        <v>6676</v>
      </c>
      <c r="C624" s="592" t="s">
        <v>1407</v>
      </c>
      <c r="D624" s="457">
        <v>400385</v>
      </c>
      <c r="E624" s="181" t="s">
        <v>36</v>
      </c>
      <c r="F624" s="97" t="s">
        <v>6677</v>
      </c>
      <c r="G624" s="139">
        <v>6</v>
      </c>
      <c r="H624" s="458">
        <v>0.375</v>
      </c>
      <c r="I624" s="469">
        <v>8.3333333333333329E-2</v>
      </c>
      <c r="J624" s="458">
        <v>0.20833333333333334</v>
      </c>
      <c r="K624" s="100" t="s">
        <v>174</v>
      </c>
      <c r="L624" s="97" t="s">
        <v>6678</v>
      </c>
      <c r="M624" s="97" t="s">
        <v>26</v>
      </c>
      <c r="N624" s="58" t="s">
        <v>38</v>
      </c>
      <c r="O624" s="58" t="s">
        <v>5050</v>
      </c>
      <c r="P624" s="206">
        <v>44480</v>
      </c>
      <c r="Q624" s="460">
        <v>44480</v>
      </c>
      <c r="R624" s="460">
        <v>45209</v>
      </c>
      <c r="S624" s="461">
        <f t="shared" ref="S624:S634" si="30">R624+1</f>
        <v>45210</v>
      </c>
      <c r="T624" s="139"/>
      <c r="U624" s="139" t="s">
        <v>6679</v>
      </c>
      <c r="V624" s="139">
        <v>2020</v>
      </c>
      <c r="W624" s="139" t="s">
        <v>6680</v>
      </c>
      <c r="X624" s="139"/>
      <c r="Y624" s="462" t="s">
        <v>5078</v>
      </c>
      <c r="Z624" s="140" t="s">
        <v>6681</v>
      </c>
      <c r="AA624" s="140" t="s">
        <v>1841</v>
      </c>
      <c r="AB624" s="460">
        <v>44463</v>
      </c>
      <c r="AC624" s="460">
        <v>46288</v>
      </c>
      <c r="AD624" s="139" t="s">
        <v>6682</v>
      </c>
      <c r="AE624" s="140" t="s">
        <v>6683</v>
      </c>
      <c r="AF624" s="139" t="s">
        <v>1364</v>
      </c>
      <c r="AG624" s="491" t="s">
        <v>6684</v>
      </c>
      <c r="AH624" s="139" t="s">
        <v>6685</v>
      </c>
      <c r="AI624" s="139" t="s">
        <v>6686</v>
      </c>
      <c r="AJ624" s="475" t="s">
        <v>6687</v>
      </c>
      <c r="AK624" s="140" t="s">
        <v>6688</v>
      </c>
      <c r="AL624" s="461"/>
      <c r="AM624" s="477"/>
      <c r="AN624" s="465"/>
      <c r="AO624" s="140"/>
      <c r="AP624" s="139"/>
      <c r="AQ624" s="139"/>
      <c r="AR624" s="181"/>
      <c r="AS624" s="458"/>
      <c r="AT624" s="458"/>
      <c r="AU624" s="461">
        <v>32189</v>
      </c>
      <c r="AV624" s="181" t="s">
        <v>1389</v>
      </c>
      <c r="AW624" s="31" t="s">
        <v>32</v>
      </c>
      <c r="AX624" s="139">
        <v>5</v>
      </c>
      <c r="AY624" s="466">
        <f>VLOOKUP(K624,[3]Master!M601:BA984,40,0)</f>
        <v>5</v>
      </c>
      <c r="AZ624" s="58" t="s">
        <v>26</v>
      </c>
      <c r="BA624" s="58" t="s">
        <v>151</v>
      </c>
      <c r="BB624" s="58" t="s">
        <v>1407</v>
      </c>
      <c r="BC624" s="58"/>
    </row>
    <row r="625" spans="1:55" x14ac:dyDescent="0.25">
      <c r="A625" s="10">
        <f t="shared" si="27"/>
        <v>624</v>
      </c>
      <c r="B625" s="181" t="s">
        <v>6602</v>
      </c>
      <c r="C625" s="592" t="s">
        <v>1407</v>
      </c>
      <c r="D625" s="457">
        <v>400386</v>
      </c>
      <c r="E625" s="181" t="s">
        <v>36</v>
      </c>
      <c r="F625" s="97" t="s">
        <v>6603</v>
      </c>
      <c r="G625" s="139">
        <v>6</v>
      </c>
      <c r="H625" s="458">
        <v>0.72916666666666663</v>
      </c>
      <c r="I625" s="458">
        <v>0.79166666666666663</v>
      </c>
      <c r="J625" s="458">
        <f>I625-H625</f>
        <v>6.25E-2</v>
      </c>
      <c r="K625" s="587" t="s">
        <v>11087</v>
      </c>
      <c r="L625" s="97" t="s">
        <v>6604</v>
      </c>
      <c r="M625" s="97" t="s">
        <v>26</v>
      </c>
      <c r="N625" s="58" t="s">
        <v>38</v>
      </c>
      <c r="O625" s="58" t="s">
        <v>5050</v>
      </c>
      <c r="P625" s="206">
        <v>44480</v>
      </c>
      <c r="Q625" s="460">
        <v>44480</v>
      </c>
      <c r="R625" s="460">
        <v>45209</v>
      </c>
      <c r="S625" s="461">
        <f t="shared" si="30"/>
        <v>45210</v>
      </c>
      <c r="T625" s="139"/>
      <c r="U625" s="139" t="s">
        <v>57</v>
      </c>
      <c r="V625" s="139">
        <v>2018</v>
      </c>
      <c r="W625" s="139" t="s">
        <v>326</v>
      </c>
      <c r="X625" s="139"/>
      <c r="Y625" s="462" t="s">
        <v>1236</v>
      </c>
      <c r="Z625" s="140" t="s">
        <v>6606</v>
      </c>
      <c r="AA625" s="140" t="s">
        <v>1560</v>
      </c>
      <c r="AB625" s="460"/>
      <c r="AC625" s="460"/>
      <c r="AD625" s="139" t="s">
        <v>6607</v>
      </c>
      <c r="AE625" s="140" t="s">
        <v>6608</v>
      </c>
      <c r="AF625" s="139" t="s">
        <v>5086</v>
      </c>
      <c r="AG625" s="491" t="s">
        <v>6609</v>
      </c>
      <c r="AH625" s="139" t="s">
        <v>6610</v>
      </c>
      <c r="AI625" s="139" t="s">
        <v>6611</v>
      </c>
      <c r="AJ625" s="475" t="s">
        <v>6612</v>
      </c>
      <c r="AK625" s="140" t="s">
        <v>6613</v>
      </c>
      <c r="AL625" s="461"/>
      <c r="AM625" s="477"/>
      <c r="AN625" s="465"/>
      <c r="AO625" s="140"/>
      <c r="AP625" s="139"/>
      <c r="AQ625" s="139"/>
      <c r="AR625" s="181"/>
      <c r="AS625" s="458"/>
      <c r="AT625" s="458"/>
      <c r="AU625" s="461">
        <v>33173</v>
      </c>
      <c r="AV625" s="181" t="s">
        <v>1352</v>
      </c>
      <c r="AW625" s="31" t="s">
        <v>32</v>
      </c>
      <c r="AX625" s="139">
        <v>1.5</v>
      </c>
      <c r="AY625" s="58" t="s">
        <v>1881</v>
      </c>
      <c r="AZ625" s="58" t="s">
        <v>26</v>
      </c>
      <c r="BA625" s="58" t="s">
        <v>151</v>
      </c>
      <c r="BB625" s="58" t="s">
        <v>1407</v>
      </c>
      <c r="BC625" s="58"/>
    </row>
    <row r="626" spans="1:55" x14ac:dyDescent="0.25">
      <c r="A626" s="10">
        <f t="shared" si="27"/>
        <v>625</v>
      </c>
      <c r="B626" s="181" t="s">
        <v>6689</v>
      </c>
      <c r="C626" s="592" t="s">
        <v>1407</v>
      </c>
      <c r="D626" s="457">
        <v>400387</v>
      </c>
      <c r="E626" s="181" t="s">
        <v>36</v>
      </c>
      <c r="F626" s="97" t="s">
        <v>6690</v>
      </c>
      <c r="G626" s="139">
        <v>6</v>
      </c>
      <c r="H626" s="458">
        <v>0.625</v>
      </c>
      <c r="I626" s="458">
        <v>0.79166666666666663</v>
      </c>
      <c r="J626" s="458">
        <f>I626-H626</f>
        <v>0.16666666666666663</v>
      </c>
      <c r="K626" s="58" t="s">
        <v>1151</v>
      </c>
      <c r="L626" s="97"/>
      <c r="M626" s="63" t="s">
        <v>1355</v>
      </c>
      <c r="N626" s="100" t="s">
        <v>1520</v>
      </c>
      <c r="O626" s="58" t="s">
        <v>5270</v>
      </c>
      <c r="P626" s="206">
        <v>44482</v>
      </c>
      <c r="Q626" s="460">
        <v>44482</v>
      </c>
      <c r="R626" s="460">
        <v>45212</v>
      </c>
      <c r="S626" s="461">
        <f t="shared" si="30"/>
        <v>45213</v>
      </c>
      <c r="T626" s="139">
        <v>2009</v>
      </c>
      <c r="U626" s="139" t="s">
        <v>6691</v>
      </c>
      <c r="V626" s="139">
        <v>2019</v>
      </c>
      <c r="W626" s="139" t="s">
        <v>6692</v>
      </c>
      <c r="X626" s="139"/>
      <c r="Y626" s="462" t="s">
        <v>5214</v>
      </c>
      <c r="Z626" s="140">
        <v>65922</v>
      </c>
      <c r="AA626" s="140" t="s">
        <v>1886</v>
      </c>
      <c r="AB626" s="460">
        <v>43871</v>
      </c>
      <c r="AC626" s="460">
        <v>45697</v>
      </c>
      <c r="AD626" s="139">
        <v>8500776452</v>
      </c>
      <c r="AE626" s="140" t="s">
        <v>6693</v>
      </c>
      <c r="AF626" s="139" t="s">
        <v>1430</v>
      </c>
      <c r="AG626" s="491" t="s">
        <v>6694</v>
      </c>
      <c r="AH626" s="139" t="s">
        <v>6695</v>
      </c>
      <c r="AI626" s="139" t="s">
        <v>6696</v>
      </c>
      <c r="AJ626" s="475" t="s">
        <v>6697</v>
      </c>
      <c r="AK626" s="140" t="s">
        <v>6698</v>
      </c>
      <c r="AL626" s="206">
        <v>44904</v>
      </c>
      <c r="AM626" s="477">
        <v>44844</v>
      </c>
      <c r="AN626" s="465"/>
      <c r="AO626" s="140"/>
      <c r="AP626" s="139"/>
      <c r="AQ626" s="139" t="e">
        <v>#REF!</v>
      </c>
      <c r="AR626" s="181"/>
      <c r="AS626" s="458"/>
      <c r="AT626" s="458"/>
      <c r="AU626" s="461">
        <v>31231</v>
      </c>
      <c r="AV626" s="181" t="s">
        <v>1352</v>
      </c>
      <c r="AW626" s="31" t="s">
        <v>32</v>
      </c>
      <c r="AX626" s="139">
        <v>4</v>
      </c>
      <c r="AY626" s="466">
        <f>VLOOKUP(K626,[3]Master!M603:BA986,40,0)</f>
        <v>4</v>
      </c>
      <c r="AZ626" s="58" t="s">
        <v>1373</v>
      </c>
      <c r="BA626" s="58" t="s">
        <v>151</v>
      </c>
      <c r="BB626" s="58" t="s">
        <v>1407</v>
      </c>
      <c r="BC626" s="58"/>
    </row>
    <row r="627" spans="1:55" x14ac:dyDescent="0.25">
      <c r="A627" s="10">
        <f t="shared" si="27"/>
        <v>626</v>
      </c>
      <c r="B627" s="181" t="s">
        <v>6699</v>
      </c>
      <c r="C627" s="592" t="s">
        <v>1407</v>
      </c>
      <c r="D627" s="457">
        <v>400388</v>
      </c>
      <c r="E627" s="181" t="s">
        <v>36</v>
      </c>
      <c r="F627" s="97" t="s">
        <v>6700</v>
      </c>
      <c r="G627" s="139">
        <v>6</v>
      </c>
      <c r="H627" s="458">
        <v>0.375</v>
      </c>
      <c r="I627" s="458">
        <v>0.41666666666666669</v>
      </c>
      <c r="J627" s="458">
        <v>4.1666666666666664E-2</v>
      </c>
      <c r="K627" s="143" t="s">
        <v>1266</v>
      </c>
      <c r="L627" s="97"/>
      <c r="M627" s="97" t="s">
        <v>1376</v>
      </c>
      <c r="N627" s="58" t="s">
        <v>1393</v>
      </c>
      <c r="O627" s="58"/>
      <c r="P627" s="206">
        <v>44489</v>
      </c>
      <c r="Q627" s="460">
        <v>44489</v>
      </c>
      <c r="R627" s="460">
        <v>45218</v>
      </c>
      <c r="S627" s="461">
        <f t="shared" si="30"/>
        <v>45219</v>
      </c>
      <c r="T627" s="139"/>
      <c r="U627" s="139"/>
      <c r="V627" s="139"/>
      <c r="W627" s="139"/>
      <c r="X627" s="139"/>
      <c r="Y627" s="462" t="s">
        <v>226</v>
      </c>
      <c r="Z627" s="140" t="s">
        <v>6701</v>
      </c>
      <c r="AA627" s="140" t="s">
        <v>1841</v>
      </c>
      <c r="AB627" s="460">
        <v>44285</v>
      </c>
      <c r="AC627" s="460">
        <v>46111</v>
      </c>
      <c r="AD627" s="139">
        <v>8179930426</v>
      </c>
      <c r="AE627" s="140" t="s">
        <v>6702</v>
      </c>
      <c r="AF627" s="139" t="s">
        <v>5608</v>
      </c>
      <c r="AG627" s="491" t="s">
        <v>6703</v>
      </c>
      <c r="AH627" s="139" t="s">
        <v>6704</v>
      </c>
      <c r="AI627" s="139" t="s">
        <v>6705</v>
      </c>
      <c r="AJ627" s="475" t="s">
        <v>6706</v>
      </c>
      <c r="AK627" s="140" t="s">
        <v>6707</v>
      </c>
      <c r="AL627" s="206">
        <v>44556</v>
      </c>
      <c r="AM627" s="477"/>
      <c r="AN627" s="465"/>
      <c r="AO627" s="140"/>
      <c r="AP627" s="139"/>
      <c r="AQ627" s="139"/>
      <c r="AR627" s="181"/>
      <c r="AS627" s="458"/>
      <c r="AT627" s="458"/>
      <c r="AU627" s="461">
        <v>34335</v>
      </c>
      <c r="AV627" s="181" t="s">
        <v>1389</v>
      </c>
      <c r="AW627" s="31" t="s">
        <v>32</v>
      </c>
      <c r="AX627" s="139">
        <v>1</v>
      </c>
      <c r="AY627" s="466">
        <f>VLOOKUP(K627,[3]Master!M604:BA987,40,0)</f>
        <v>1</v>
      </c>
      <c r="AZ627" s="58" t="s">
        <v>1390</v>
      </c>
      <c r="BA627" s="58" t="s">
        <v>151</v>
      </c>
      <c r="BB627" s="58" t="s">
        <v>1407</v>
      </c>
      <c r="BC627" s="58"/>
    </row>
    <row r="628" spans="1:55" x14ac:dyDescent="0.25">
      <c r="A628" s="10">
        <f t="shared" si="27"/>
        <v>627</v>
      </c>
      <c r="B628" s="181" t="s">
        <v>6708</v>
      </c>
      <c r="C628" s="592" t="s">
        <v>1407</v>
      </c>
      <c r="D628" s="457">
        <v>400389</v>
      </c>
      <c r="E628" s="181" t="s">
        <v>36</v>
      </c>
      <c r="F628" s="97" t="s">
        <v>6709</v>
      </c>
      <c r="G628" s="139">
        <v>6</v>
      </c>
      <c r="H628" s="458">
        <v>0.375</v>
      </c>
      <c r="I628" s="458">
        <v>0.41666666666666669</v>
      </c>
      <c r="J628" s="458">
        <v>4.1666666666666664E-2</v>
      </c>
      <c r="K628" s="35" t="s">
        <v>983</v>
      </c>
      <c r="L628" s="97"/>
      <c r="M628" s="97" t="s">
        <v>1376</v>
      </c>
      <c r="N628" s="58" t="s">
        <v>1393</v>
      </c>
      <c r="O628" s="58"/>
      <c r="P628" s="206">
        <v>44489</v>
      </c>
      <c r="Q628" s="460">
        <v>44489</v>
      </c>
      <c r="R628" s="460">
        <v>45218</v>
      </c>
      <c r="S628" s="461">
        <f t="shared" si="30"/>
        <v>45219</v>
      </c>
      <c r="T628" s="139"/>
      <c r="U628" s="139"/>
      <c r="V628" s="139"/>
      <c r="W628" s="139"/>
      <c r="X628" s="139"/>
      <c r="Y628" s="462" t="s">
        <v>226</v>
      </c>
      <c r="Z628" s="140">
        <v>58231</v>
      </c>
      <c r="AA628" s="140" t="s">
        <v>1841</v>
      </c>
      <c r="AB628" s="460">
        <v>44286</v>
      </c>
      <c r="AC628" s="460">
        <v>46111</v>
      </c>
      <c r="AD628" s="139">
        <v>9441206440</v>
      </c>
      <c r="AE628" s="140" t="s">
        <v>6710</v>
      </c>
      <c r="AF628" s="139" t="s">
        <v>1805</v>
      </c>
      <c r="AG628" s="491" t="s">
        <v>6711</v>
      </c>
      <c r="AH628" s="139" t="s">
        <v>6712</v>
      </c>
      <c r="AI628" s="139" t="s">
        <v>6713</v>
      </c>
      <c r="AJ628" s="475" t="s">
        <v>6714</v>
      </c>
      <c r="AK628" s="140" t="s">
        <v>6715</v>
      </c>
      <c r="AL628" s="206">
        <v>44516</v>
      </c>
      <c r="AM628" s="477"/>
      <c r="AN628" s="465"/>
      <c r="AO628" s="140"/>
      <c r="AP628" s="139"/>
      <c r="AQ628" s="139"/>
      <c r="AR628" s="181"/>
      <c r="AS628" s="458"/>
      <c r="AT628" s="458"/>
      <c r="AU628" s="461">
        <v>29514</v>
      </c>
      <c r="AV628" s="181" t="s">
        <v>1389</v>
      </c>
      <c r="AW628" s="31" t="s">
        <v>32</v>
      </c>
      <c r="AX628" s="139">
        <v>1</v>
      </c>
      <c r="AY628" s="58" t="s">
        <v>2006</v>
      </c>
      <c r="AZ628" s="58" t="s">
        <v>1390</v>
      </c>
      <c r="BA628" s="58" t="s">
        <v>151</v>
      </c>
      <c r="BB628" s="58" t="s">
        <v>1407</v>
      </c>
      <c r="BC628" s="58"/>
    </row>
    <row r="629" spans="1:55" x14ac:dyDescent="0.25">
      <c r="A629" s="10">
        <f t="shared" si="27"/>
        <v>628</v>
      </c>
      <c r="B629" s="181" t="s">
        <v>6716</v>
      </c>
      <c r="C629" s="592" t="s">
        <v>1407</v>
      </c>
      <c r="D629" s="457">
        <v>400391</v>
      </c>
      <c r="E629" s="181" t="s">
        <v>36</v>
      </c>
      <c r="F629" s="97" t="s">
        <v>6717</v>
      </c>
      <c r="G629" s="139">
        <v>6</v>
      </c>
      <c r="H629" s="458">
        <v>0.375</v>
      </c>
      <c r="I629" s="458">
        <v>0.83333333333333337</v>
      </c>
      <c r="J629" s="458">
        <v>0.33333333333333331</v>
      </c>
      <c r="K629" s="100" t="s">
        <v>287</v>
      </c>
      <c r="L629" s="97"/>
      <c r="M629" s="97" t="s">
        <v>2097</v>
      </c>
      <c r="N629" s="58" t="s">
        <v>2098</v>
      </c>
      <c r="O629" s="58" t="s">
        <v>5405</v>
      </c>
      <c r="P629" s="206">
        <v>44489</v>
      </c>
      <c r="Q629" s="460">
        <v>44489</v>
      </c>
      <c r="R629" s="460">
        <v>45218</v>
      </c>
      <c r="S629" s="461">
        <f t="shared" si="30"/>
        <v>45219</v>
      </c>
      <c r="T629" s="139">
        <v>2009</v>
      </c>
      <c r="U629" s="139" t="s">
        <v>169</v>
      </c>
      <c r="V629" s="139">
        <v>2020</v>
      </c>
      <c r="W629" s="139" t="s">
        <v>209</v>
      </c>
      <c r="X629" s="139"/>
      <c r="Y629" s="462" t="s">
        <v>4862</v>
      </c>
      <c r="Z629" s="140">
        <v>67666</v>
      </c>
      <c r="AA629" s="140" t="s">
        <v>1841</v>
      </c>
      <c r="AB629" s="460">
        <v>42816</v>
      </c>
      <c r="AC629" s="460">
        <v>44641</v>
      </c>
      <c r="AD629" s="139">
        <v>9966288822</v>
      </c>
      <c r="AE629" s="140" t="s">
        <v>6718</v>
      </c>
      <c r="AF629" s="139" t="s">
        <v>5086</v>
      </c>
      <c r="AG629" s="491" t="s">
        <v>6719</v>
      </c>
      <c r="AH629" s="139" t="s">
        <v>2891</v>
      </c>
      <c r="AI629" s="139" t="s">
        <v>6720</v>
      </c>
      <c r="AJ629" s="475" t="s">
        <v>6721</v>
      </c>
      <c r="AK629" s="140" t="s">
        <v>6722</v>
      </c>
      <c r="AL629" s="206">
        <v>44592</v>
      </c>
      <c r="AM629" s="477"/>
      <c r="AN629" s="465"/>
      <c r="AO629" s="140"/>
      <c r="AP629" s="139"/>
      <c r="AQ629" s="139"/>
      <c r="AR629" s="181"/>
      <c r="AS629" s="458"/>
      <c r="AT629" s="458"/>
      <c r="AU629" s="461">
        <v>31276</v>
      </c>
      <c r="AV629" s="181" t="s">
        <v>1389</v>
      </c>
      <c r="AW629" s="31" t="s">
        <v>68</v>
      </c>
      <c r="AX629" s="139">
        <v>8</v>
      </c>
      <c r="AY629" s="466">
        <f>VLOOKUP(K629,[3]Master!M606:BA989,40,0)</f>
        <v>8</v>
      </c>
      <c r="AZ629" s="58" t="s">
        <v>1373</v>
      </c>
      <c r="BA629" s="58" t="s">
        <v>151</v>
      </c>
      <c r="BB629" s="58" t="s">
        <v>1407</v>
      </c>
      <c r="BC629" s="58"/>
    </row>
    <row r="630" spans="1:55" x14ac:dyDescent="0.25">
      <c r="A630" s="10">
        <f t="shared" si="27"/>
        <v>629</v>
      </c>
      <c r="B630" s="181" t="s">
        <v>6723</v>
      </c>
      <c r="C630" s="592" t="s">
        <v>1407</v>
      </c>
      <c r="D630" s="457">
        <v>400392</v>
      </c>
      <c r="E630" s="181" t="s">
        <v>36</v>
      </c>
      <c r="F630" s="97" t="s">
        <v>6724</v>
      </c>
      <c r="G630" s="139">
        <v>6</v>
      </c>
      <c r="H630" s="458">
        <v>0.41666666666666669</v>
      </c>
      <c r="I630" s="458">
        <v>0.5</v>
      </c>
      <c r="J630" s="458">
        <v>8.3333333333333329E-2</v>
      </c>
      <c r="K630" s="35" t="s">
        <v>770</v>
      </c>
      <c r="L630" s="97" t="s">
        <v>6725</v>
      </c>
      <c r="M630" s="97" t="s">
        <v>26</v>
      </c>
      <c r="N630" s="58" t="s">
        <v>38</v>
      </c>
      <c r="O630" s="58" t="s">
        <v>5050</v>
      </c>
      <c r="P630" s="206">
        <v>44490</v>
      </c>
      <c r="Q630" s="460">
        <v>44490</v>
      </c>
      <c r="R630" s="460">
        <v>45219</v>
      </c>
      <c r="S630" s="461">
        <f t="shared" si="30"/>
        <v>45220</v>
      </c>
      <c r="T630" s="139"/>
      <c r="U630" s="139"/>
      <c r="V630" s="139"/>
      <c r="W630" s="139"/>
      <c r="X630" s="139"/>
      <c r="Y630" s="462" t="s">
        <v>5151</v>
      </c>
      <c r="Z630" s="140" t="s">
        <v>6726</v>
      </c>
      <c r="AA630" s="140" t="s">
        <v>1841</v>
      </c>
      <c r="AB630" s="460"/>
      <c r="AC630" s="460"/>
      <c r="AD630" s="139">
        <v>9701544912</v>
      </c>
      <c r="AE630" s="140" t="s">
        <v>6727</v>
      </c>
      <c r="AF630" s="139"/>
      <c r="AG630" s="463"/>
      <c r="AH630" s="139"/>
      <c r="AI630" s="139" t="s">
        <v>6728</v>
      </c>
      <c r="AJ630" s="475" t="s">
        <v>6729</v>
      </c>
      <c r="AK630" s="140" t="s">
        <v>6730</v>
      </c>
      <c r="AL630" s="461">
        <v>44500</v>
      </c>
      <c r="AM630" s="477"/>
      <c r="AN630" s="465"/>
      <c r="AO630" s="140"/>
      <c r="AP630" s="139"/>
      <c r="AQ630" s="139"/>
      <c r="AR630" s="181"/>
      <c r="AS630" s="458"/>
      <c r="AT630" s="458"/>
      <c r="AU630" s="461">
        <v>27465</v>
      </c>
      <c r="AV630" s="181" t="s">
        <v>1389</v>
      </c>
      <c r="AW630" s="31" t="s">
        <v>32</v>
      </c>
      <c r="AX630" s="139">
        <v>2</v>
      </c>
      <c r="AY630" s="58" t="s">
        <v>2006</v>
      </c>
      <c r="AZ630" s="58" t="s">
        <v>26</v>
      </c>
      <c r="BA630" s="58" t="s">
        <v>151</v>
      </c>
      <c r="BB630" s="58" t="s">
        <v>1407</v>
      </c>
      <c r="BC630" s="58"/>
    </row>
    <row r="631" spans="1:55" x14ac:dyDescent="0.25">
      <c r="A631" s="10">
        <f t="shared" si="27"/>
        <v>630</v>
      </c>
      <c r="B631" s="181" t="s">
        <v>6731</v>
      </c>
      <c r="C631" s="592" t="s">
        <v>1407</v>
      </c>
      <c r="D631" s="457">
        <v>400393</v>
      </c>
      <c r="E631" s="181" t="s">
        <v>36</v>
      </c>
      <c r="F631" s="97" t="s">
        <v>6732</v>
      </c>
      <c r="G631" s="139">
        <v>6</v>
      </c>
      <c r="H631" s="458">
        <v>0.375</v>
      </c>
      <c r="I631" s="458">
        <v>0.41666666666666669</v>
      </c>
      <c r="J631" s="458">
        <v>4.1666666666666664E-2</v>
      </c>
      <c r="K631" s="100" t="s">
        <v>1187</v>
      </c>
      <c r="L631" s="97"/>
      <c r="M631" s="97" t="s">
        <v>1376</v>
      </c>
      <c r="N631" s="58" t="s">
        <v>1393</v>
      </c>
      <c r="O631" s="58"/>
      <c r="P631" s="206">
        <v>44490</v>
      </c>
      <c r="Q631" s="460">
        <v>44490</v>
      </c>
      <c r="R631" s="460">
        <v>45219</v>
      </c>
      <c r="S631" s="461">
        <f t="shared" si="30"/>
        <v>45220</v>
      </c>
      <c r="T631" s="139"/>
      <c r="U631" s="139"/>
      <c r="V631" s="139"/>
      <c r="W631" s="139"/>
      <c r="X631" s="139"/>
      <c r="Y631" s="462" t="s">
        <v>226</v>
      </c>
      <c r="Z631" s="140" t="s">
        <v>6733</v>
      </c>
      <c r="AA631" s="140" t="s">
        <v>1841</v>
      </c>
      <c r="AB631" s="460">
        <v>44378</v>
      </c>
      <c r="AC631" s="460">
        <v>46204</v>
      </c>
      <c r="AD631" s="139">
        <v>7093649883</v>
      </c>
      <c r="AE631" s="140" t="s">
        <v>6734</v>
      </c>
      <c r="AF631" s="139" t="s">
        <v>1805</v>
      </c>
      <c r="AG631" s="491" t="s">
        <v>6735</v>
      </c>
      <c r="AH631" s="139" t="s">
        <v>6736</v>
      </c>
      <c r="AI631" s="139" t="s">
        <v>6737</v>
      </c>
      <c r="AJ631" s="475" t="s">
        <v>6738</v>
      </c>
      <c r="AK631" s="140" t="s">
        <v>6739</v>
      </c>
      <c r="AL631" s="206">
        <v>44578</v>
      </c>
      <c r="AM631" s="477"/>
      <c r="AN631" s="465"/>
      <c r="AO631" s="140"/>
      <c r="AP631" s="139"/>
      <c r="AQ631" s="139"/>
      <c r="AR631" s="181"/>
      <c r="AS631" s="458"/>
      <c r="AT631" s="458"/>
      <c r="AU631" s="461">
        <v>34418</v>
      </c>
      <c r="AV631" s="181" t="s">
        <v>1389</v>
      </c>
      <c r="AW631" s="31" t="s">
        <v>32</v>
      </c>
      <c r="AX631" s="139">
        <v>1</v>
      </c>
      <c r="AY631" s="466">
        <f>VLOOKUP(K631,[3]Master!M608:BA991,40,0)</f>
        <v>1</v>
      </c>
      <c r="AZ631" s="58" t="s">
        <v>1390</v>
      </c>
      <c r="BA631" s="58" t="s">
        <v>151</v>
      </c>
      <c r="BB631" s="58" t="s">
        <v>1407</v>
      </c>
      <c r="BC631" s="58"/>
    </row>
    <row r="632" spans="1:55" x14ac:dyDescent="0.25">
      <c r="A632" s="10">
        <f t="shared" si="27"/>
        <v>631</v>
      </c>
      <c r="B632" s="181" t="s">
        <v>6740</v>
      </c>
      <c r="C632" s="592" t="s">
        <v>1407</v>
      </c>
      <c r="D632" s="457">
        <v>400394</v>
      </c>
      <c r="E632" s="181" t="s">
        <v>36</v>
      </c>
      <c r="F632" s="97" t="s">
        <v>6741</v>
      </c>
      <c r="G632" s="139">
        <v>6</v>
      </c>
      <c r="H632" s="458">
        <v>0.375</v>
      </c>
      <c r="I632" s="458">
        <v>0.41666666666666669</v>
      </c>
      <c r="J632" s="458">
        <v>4.1666666666666664E-2</v>
      </c>
      <c r="K632" s="35" t="s">
        <v>404</v>
      </c>
      <c r="L632" s="97"/>
      <c r="M632" s="97" t="s">
        <v>1376</v>
      </c>
      <c r="N632" s="58" t="s">
        <v>1393</v>
      </c>
      <c r="O632" s="58"/>
      <c r="P632" s="206">
        <v>44490</v>
      </c>
      <c r="Q632" s="460">
        <v>44490</v>
      </c>
      <c r="R632" s="460">
        <v>45219</v>
      </c>
      <c r="S632" s="461">
        <f t="shared" si="30"/>
        <v>45220</v>
      </c>
      <c r="T632" s="139"/>
      <c r="U632" s="139"/>
      <c r="V632" s="139"/>
      <c r="W632" s="139"/>
      <c r="X632" s="139"/>
      <c r="Y632" s="462" t="s">
        <v>226</v>
      </c>
      <c r="Z632" s="140" t="s">
        <v>6742</v>
      </c>
      <c r="AA632" s="140" t="s">
        <v>1841</v>
      </c>
      <c r="AB632" s="460">
        <v>43416</v>
      </c>
      <c r="AC632" s="460">
        <v>45242</v>
      </c>
      <c r="AD632" s="139">
        <v>9885970207</v>
      </c>
      <c r="AE632" s="140" t="s">
        <v>6743</v>
      </c>
      <c r="AF632" s="139" t="s">
        <v>5086</v>
      </c>
      <c r="AG632" s="491" t="s">
        <v>6744</v>
      </c>
      <c r="AH632" s="139" t="s">
        <v>6745</v>
      </c>
      <c r="AI632" s="139" t="s">
        <v>6746</v>
      </c>
      <c r="AJ632" s="475" t="s">
        <v>6747</v>
      </c>
      <c r="AK632" s="140" t="s">
        <v>6748</v>
      </c>
      <c r="AL632" s="206"/>
      <c r="AM632" s="477"/>
      <c r="AN632" s="465"/>
      <c r="AO632" s="140"/>
      <c r="AP632" s="139"/>
      <c r="AQ632" s="139"/>
      <c r="AR632" s="181"/>
      <c r="AS632" s="458"/>
      <c r="AT632" s="458"/>
      <c r="AU632" s="461">
        <v>33953</v>
      </c>
      <c r="AV632" s="181" t="s">
        <v>1352</v>
      </c>
      <c r="AW632" s="31" t="s">
        <v>32</v>
      </c>
      <c r="AX632" s="139">
        <v>1</v>
      </c>
      <c r="AY632" s="466">
        <f>VLOOKUP(K632,[3]Master!M609:BA992,40,0)</f>
        <v>1</v>
      </c>
      <c r="AZ632" s="58" t="s">
        <v>1390</v>
      </c>
      <c r="BA632" s="58" t="s">
        <v>151</v>
      </c>
      <c r="BB632" s="58" t="s">
        <v>1407</v>
      </c>
      <c r="BC632" s="58"/>
    </row>
    <row r="633" spans="1:55" x14ac:dyDescent="0.25">
      <c r="A633" s="10">
        <f t="shared" si="27"/>
        <v>632</v>
      </c>
      <c r="B633" s="181" t="s">
        <v>6749</v>
      </c>
      <c r="C633" s="592" t="s">
        <v>1407</v>
      </c>
      <c r="D633" s="457">
        <v>400395</v>
      </c>
      <c r="E633" s="181" t="s">
        <v>36</v>
      </c>
      <c r="F633" s="97" t="s">
        <v>6750</v>
      </c>
      <c r="G633" s="139">
        <v>6</v>
      </c>
      <c r="H633" s="458">
        <v>0.375</v>
      </c>
      <c r="I633" s="458">
        <v>0.5</v>
      </c>
      <c r="J633" s="458">
        <v>0.125</v>
      </c>
      <c r="K633" s="58" t="s">
        <v>6751</v>
      </c>
      <c r="L633" s="97" t="s">
        <v>6752</v>
      </c>
      <c r="M633" s="97" t="s">
        <v>26</v>
      </c>
      <c r="N633" s="58" t="s">
        <v>38</v>
      </c>
      <c r="O633" s="58" t="s">
        <v>5050</v>
      </c>
      <c r="P633" s="206">
        <v>44491</v>
      </c>
      <c r="Q633" s="460">
        <v>44491</v>
      </c>
      <c r="R633" s="460">
        <v>45220</v>
      </c>
      <c r="S633" s="461">
        <f t="shared" si="30"/>
        <v>45221</v>
      </c>
      <c r="T633" s="139"/>
      <c r="U633" s="139" t="s">
        <v>6753</v>
      </c>
      <c r="V633" s="139">
        <v>2021</v>
      </c>
      <c r="W633" s="139" t="s">
        <v>456</v>
      </c>
      <c r="X633" s="139"/>
      <c r="Y633" s="462" t="s">
        <v>5078</v>
      </c>
      <c r="Z633" s="140" t="s">
        <v>6754</v>
      </c>
      <c r="AA633" s="140" t="s">
        <v>1841</v>
      </c>
      <c r="AB633" s="460"/>
      <c r="AC633" s="460"/>
      <c r="AD633" s="139">
        <v>9182624935</v>
      </c>
      <c r="AE633" s="140" t="s">
        <v>6755</v>
      </c>
      <c r="AF633" s="139" t="s">
        <v>1430</v>
      </c>
      <c r="AG633" s="491" t="s">
        <v>6756</v>
      </c>
      <c r="AH633" s="139" t="s">
        <v>6757</v>
      </c>
      <c r="AI633" s="139" t="s">
        <v>6758</v>
      </c>
      <c r="AJ633" s="475" t="s">
        <v>6759</v>
      </c>
      <c r="AK633" s="140" t="s">
        <v>6760</v>
      </c>
      <c r="AL633" s="461">
        <v>44528</v>
      </c>
      <c r="AM633" s="477"/>
      <c r="AN633" s="465"/>
      <c r="AO633" s="140"/>
      <c r="AP633" s="139"/>
      <c r="AQ633" s="139"/>
      <c r="AR633" s="181"/>
      <c r="AS633" s="458"/>
      <c r="AT633" s="458"/>
      <c r="AU633" s="461">
        <v>32895</v>
      </c>
      <c r="AV633" s="181" t="s">
        <v>1389</v>
      </c>
      <c r="AW633" s="31" t="s">
        <v>32</v>
      </c>
      <c r="AX633" s="139">
        <v>3</v>
      </c>
      <c r="AY633" s="58" t="s">
        <v>1904</v>
      </c>
      <c r="AZ633" s="58" t="s">
        <v>26</v>
      </c>
      <c r="BA633" s="58" t="s">
        <v>151</v>
      </c>
      <c r="BB633" s="58" t="s">
        <v>1407</v>
      </c>
      <c r="BC633" s="58"/>
    </row>
    <row r="634" spans="1:55" x14ac:dyDescent="0.25">
      <c r="A634" s="10">
        <f t="shared" si="27"/>
        <v>633</v>
      </c>
      <c r="B634" s="181" t="s">
        <v>6761</v>
      </c>
      <c r="C634" s="592" t="s">
        <v>1407</v>
      </c>
      <c r="D634" s="457">
        <v>400396</v>
      </c>
      <c r="E634" s="181" t="s">
        <v>36</v>
      </c>
      <c r="F634" s="97" t="s">
        <v>6762</v>
      </c>
      <c r="G634" s="139">
        <v>6</v>
      </c>
      <c r="H634" s="458">
        <v>0.39583333333333331</v>
      </c>
      <c r="I634" s="458">
        <v>6.25E-2</v>
      </c>
      <c r="J634" s="458">
        <v>0.16666666666666666</v>
      </c>
      <c r="K634" s="100" t="s">
        <v>348</v>
      </c>
      <c r="L634" s="97" t="s">
        <v>6763</v>
      </c>
      <c r="M634" s="97" t="s">
        <v>26</v>
      </c>
      <c r="N634" s="58" t="s">
        <v>38</v>
      </c>
      <c r="O634" s="58" t="s">
        <v>5050</v>
      </c>
      <c r="P634" s="206">
        <v>44496</v>
      </c>
      <c r="Q634" s="460">
        <v>44496</v>
      </c>
      <c r="R634" s="460">
        <v>45225</v>
      </c>
      <c r="S634" s="461">
        <f t="shared" si="30"/>
        <v>45226</v>
      </c>
      <c r="T634" s="139"/>
      <c r="U634" s="139" t="s">
        <v>380</v>
      </c>
      <c r="V634" s="139">
        <v>2019</v>
      </c>
      <c r="W634" s="139" t="s">
        <v>449</v>
      </c>
      <c r="X634" s="139"/>
      <c r="Y634" s="462" t="s">
        <v>5151</v>
      </c>
      <c r="Z634" s="140" t="s">
        <v>6764</v>
      </c>
      <c r="AA634" s="140" t="s">
        <v>1841</v>
      </c>
      <c r="AB634" s="460">
        <v>43668</v>
      </c>
      <c r="AC634" s="460">
        <v>45494</v>
      </c>
      <c r="AD634" s="139">
        <v>9959440011</v>
      </c>
      <c r="AE634" s="140" t="s">
        <v>6765</v>
      </c>
      <c r="AF634" s="139" t="s">
        <v>1364</v>
      </c>
      <c r="AG634" s="491" t="s">
        <v>6766</v>
      </c>
      <c r="AH634" s="139" t="s">
        <v>5326</v>
      </c>
      <c r="AI634" s="139" t="s">
        <v>6767</v>
      </c>
      <c r="AJ634" s="475" t="s">
        <v>6768</v>
      </c>
      <c r="AK634" s="140" t="s">
        <v>6769</v>
      </c>
      <c r="AL634" s="461">
        <v>44620</v>
      </c>
      <c r="AM634" s="477">
        <v>44620</v>
      </c>
      <c r="AN634" s="140" t="s">
        <v>6770</v>
      </c>
      <c r="AO634" s="140"/>
      <c r="AP634" s="139"/>
      <c r="AQ634" s="139"/>
      <c r="AR634" s="181"/>
      <c r="AS634" s="458"/>
      <c r="AT634" s="458"/>
      <c r="AU634" s="461">
        <v>32748</v>
      </c>
      <c r="AV634" s="181" t="s">
        <v>1389</v>
      </c>
      <c r="AW634" s="31" t="s">
        <v>32</v>
      </c>
      <c r="AX634" s="139">
        <v>4</v>
      </c>
      <c r="AY634" s="466">
        <f>VLOOKUP(K634,[3]Master!M611:BA994,40,0)</f>
        <v>5</v>
      </c>
      <c r="AZ634" s="58" t="s">
        <v>26</v>
      </c>
      <c r="BA634" s="58" t="s">
        <v>151</v>
      </c>
      <c r="BB634" s="58" t="s">
        <v>1407</v>
      </c>
      <c r="BC634" s="58"/>
    </row>
    <row r="635" spans="1:55" x14ac:dyDescent="0.25">
      <c r="A635" s="10">
        <f t="shared" si="27"/>
        <v>634</v>
      </c>
      <c r="B635" s="181" t="s">
        <v>6771</v>
      </c>
      <c r="C635" s="592" t="s">
        <v>1407</v>
      </c>
      <c r="D635" s="457">
        <v>400980</v>
      </c>
      <c r="E635" s="181" t="s">
        <v>36</v>
      </c>
      <c r="F635" s="97" t="s">
        <v>6772</v>
      </c>
      <c r="G635" s="139">
        <v>6</v>
      </c>
      <c r="H635" s="469">
        <v>0.375</v>
      </c>
      <c r="I635" s="469">
        <v>0.41666666666666669</v>
      </c>
      <c r="J635" s="458">
        <v>4.1666666666666664E-2</v>
      </c>
      <c r="K635" s="100" t="s">
        <v>287</v>
      </c>
      <c r="L635" s="97" t="s">
        <v>1424</v>
      </c>
      <c r="M635" s="97" t="s">
        <v>1376</v>
      </c>
      <c r="N635" s="58" t="s">
        <v>1393</v>
      </c>
      <c r="O635" s="58" t="s">
        <v>1424</v>
      </c>
      <c r="P635" s="206">
        <v>45394</v>
      </c>
      <c r="Q635" s="206">
        <v>45394</v>
      </c>
      <c r="R635" s="206">
        <v>46123</v>
      </c>
      <c r="S635" s="461">
        <v>46124</v>
      </c>
      <c r="T635" s="139">
        <v>2023</v>
      </c>
      <c r="U635" s="181" t="s">
        <v>6773</v>
      </c>
      <c r="V635" s="139" t="s">
        <v>1424</v>
      </c>
      <c r="W635" s="97" t="s">
        <v>1424</v>
      </c>
      <c r="X635" s="181" t="s">
        <v>30</v>
      </c>
      <c r="Y635" s="58" t="s">
        <v>226</v>
      </c>
      <c r="Z635" s="140" t="s">
        <v>6774</v>
      </c>
      <c r="AA635" s="470" t="s">
        <v>1841</v>
      </c>
      <c r="AB635" s="471">
        <v>45253</v>
      </c>
      <c r="AC635" s="471">
        <v>47079</v>
      </c>
      <c r="AD635" s="472">
        <v>8340075776</v>
      </c>
      <c r="AE635" s="473" t="s">
        <v>6775</v>
      </c>
      <c r="AF635" s="474" t="s">
        <v>1364</v>
      </c>
      <c r="AG635" s="475" t="s">
        <v>6776</v>
      </c>
      <c r="AH635" s="181" t="s">
        <v>6777</v>
      </c>
      <c r="AI635" s="139" t="s">
        <v>6778</v>
      </c>
      <c r="AJ635" s="476">
        <v>697773235678</v>
      </c>
      <c r="AK635" s="470"/>
      <c r="AL635" s="206">
        <v>45482</v>
      </c>
      <c r="AM635" s="477">
        <v>45451</v>
      </c>
      <c r="AN635" s="478" t="s">
        <v>6779</v>
      </c>
      <c r="AO635" s="140" t="s">
        <v>6780</v>
      </c>
      <c r="AP635" s="58"/>
      <c r="AQ635" s="140" t="s">
        <v>6780</v>
      </c>
      <c r="AR635" s="462"/>
      <c r="AS635" s="479">
        <v>0.375</v>
      </c>
      <c r="AT635" s="479">
        <v>0.41666666666666669</v>
      </c>
      <c r="AU635" s="480">
        <v>36556</v>
      </c>
      <c r="AV635" s="181" t="s">
        <v>1389</v>
      </c>
      <c r="AW635" s="31" t="s">
        <v>32</v>
      </c>
      <c r="AX635" s="139">
        <v>1</v>
      </c>
      <c r="AY635" s="58" t="s">
        <v>1881</v>
      </c>
      <c r="AZ635" s="58" t="s">
        <v>1390</v>
      </c>
      <c r="BA635" s="58" t="s">
        <v>151</v>
      </c>
      <c r="BB635" s="58" t="s">
        <v>1407</v>
      </c>
      <c r="BC635" s="58"/>
    </row>
    <row r="636" spans="1:55" x14ac:dyDescent="0.25">
      <c r="A636" s="10">
        <f t="shared" si="27"/>
        <v>635</v>
      </c>
      <c r="B636" s="181" t="s">
        <v>6781</v>
      </c>
      <c r="C636" s="592" t="s">
        <v>1407</v>
      </c>
      <c r="D636" s="457">
        <v>400398</v>
      </c>
      <c r="E636" s="181" t="s">
        <v>36</v>
      </c>
      <c r="F636" s="97" t="s">
        <v>6782</v>
      </c>
      <c r="G636" s="139">
        <v>6</v>
      </c>
      <c r="H636" s="458">
        <v>0.375</v>
      </c>
      <c r="I636" s="458">
        <v>0.45833333333333331</v>
      </c>
      <c r="J636" s="458">
        <v>8.3333333333333329E-2</v>
      </c>
      <c r="K636" s="462" t="s">
        <v>557</v>
      </c>
      <c r="L636" s="97" t="s">
        <v>6783</v>
      </c>
      <c r="M636" s="97" t="s">
        <v>26</v>
      </c>
      <c r="N636" s="58" t="s">
        <v>38</v>
      </c>
      <c r="O636" s="58" t="s">
        <v>5050</v>
      </c>
      <c r="P636" s="206">
        <v>44503</v>
      </c>
      <c r="Q636" s="460">
        <v>44503</v>
      </c>
      <c r="R636" s="460">
        <v>45232</v>
      </c>
      <c r="S636" s="461">
        <f>R636+1</f>
        <v>45233</v>
      </c>
      <c r="T636" s="139"/>
      <c r="U636" s="139" t="s">
        <v>6784</v>
      </c>
      <c r="V636" s="139">
        <v>2016</v>
      </c>
      <c r="W636" s="139" t="s">
        <v>6785</v>
      </c>
      <c r="X636" s="139"/>
      <c r="Y636" s="462" t="s">
        <v>5078</v>
      </c>
      <c r="Z636" s="140" t="s">
        <v>6786</v>
      </c>
      <c r="AA636" s="140" t="s">
        <v>1886</v>
      </c>
      <c r="AB636" s="460">
        <v>42991</v>
      </c>
      <c r="AC636" s="460">
        <v>44816</v>
      </c>
      <c r="AD636" s="139">
        <v>7893761388</v>
      </c>
      <c r="AE636" s="140" t="s">
        <v>6787</v>
      </c>
      <c r="AF636" s="139" t="s">
        <v>1805</v>
      </c>
      <c r="AG636" s="491" t="s">
        <v>6788</v>
      </c>
      <c r="AH636" s="139" t="s">
        <v>6789</v>
      </c>
      <c r="AI636" s="139" t="s">
        <v>6790</v>
      </c>
      <c r="AJ636" s="475" t="s">
        <v>6791</v>
      </c>
      <c r="AK636" s="140" t="s">
        <v>6792</v>
      </c>
      <c r="AL636" s="461">
        <v>44592</v>
      </c>
      <c r="AM636" s="477"/>
      <c r="AN636" s="465"/>
      <c r="AO636" s="140"/>
      <c r="AP636" s="139"/>
      <c r="AQ636" s="139"/>
      <c r="AR636" s="181"/>
      <c r="AS636" s="458"/>
      <c r="AT636" s="458"/>
      <c r="AU636" s="461">
        <v>32695</v>
      </c>
      <c r="AV636" s="181" t="s">
        <v>1352</v>
      </c>
      <c r="AW636" s="31" t="s">
        <v>32</v>
      </c>
      <c r="AX636" s="139">
        <v>2</v>
      </c>
      <c r="AY636" s="58" t="s">
        <v>1959</v>
      </c>
      <c r="AZ636" s="58" t="s">
        <v>26</v>
      </c>
      <c r="BA636" s="58" t="s">
        <v>151</v>
      </c>
      <c r="BB636" s="58" t="s">
        <v>1407</v>
      </c>
      <c r="BC636" s="58"/>
    </row>
    <row r="637" spans="1:55" x14ac:dyDescent="0.25">
      <c r="A637" s="10">
        <f t="shared" si="27"/>
        <v>636</v>
      </c>
      <c r="B637" s="181" t="s">
        <v>6793</v>
      </c>
      <c r="C637" s="592" t="s">
        <v>1407</v>
      </c>
      <c r="D637" s="457">
        <v>400399</v>
      </c>
      <c r="E637" s="181" t="s">
        <v>36</v>
      </c>
      <c r="F637" s="97" t="s">
        <v>6794</v>
      </c>
      <c r="G637" s="139">
        <v>6</v>
      </c>
      <c r="H637" s="458">
        <v>0.375</v>
      </c>
      <c r="I637" s="458">
        <v>0.41666666666666669</v>
      </c>
      <c r="J637" s="458">
        <v>4.1666666666666664E-2</v>
      </c>
      <c r="K637" s="100" t="s">
        <v>6088</v>
      </c>
      <c r="L637" s="97"/>
      <c r="M637" s="97" t="s">
        <v>1376</v>
      </c>
      <c r="N637" s="58" t="s">
        <v>1393</v>
      </c>
      <c r="O637" s="58"/>
      <c r="P637" s="206">
        <v>44509</v>
      </c>
      <c r="Q637" s="460">
        <v>44509</v>
      </c>
      <c r="R637" s="460">
        <v>45238</v>
      </c>
      <c r="S637" s="461">
        <f>R637+1</f>
        <v>45239</v>
      </c>
      <c r="T637" s="139"/>
      <c r="U637" s="139"/>
      <c r="V637" s="139"/>
      <c r="W637" s="139"/>
      <c r="X637" s="139"/>
      <c r="Y637" s="462" t="s">
        <v>226</v>
      </c>
      <c r="Z637" s="140" t="s">
        <v>6795</v>
      </c>
      <c r="AA637" s="140" t="s">
        <v>1841</v>
      </c>
      <c r="AB637" s="460">
        <v>43839</v>
      </c>
      <c r="AC637" s="460">
        <v>45666</v>
      </c>
      <c r="AD637" s="139">
        <v>7013978106</v>
      </c>
      <c r="AE637" s="140" t="s">
        <v>6796</v>
      </c>
      <c r="AF637" s="139" t="s">
        <v>5086</v>
      </c>
      <c r="AG637" s="491" t="s">
        <v>6797</v>
      </c>
      <c r="AH637" s="139" t="s">
        <v>6798</v>
      </c>
      <c r="AI637" s="139" t="s">
        <v>6799</v>
      </c>
      <c r="AJ637" s="475" t="s">
        <v>6800</v>
      </c>
      <c r="AK637" s="140" t="s">
        <v>6801</v>
      </c>
      <c r="AL637" s="206">
        <v>44537</v>
      </c>
      <c r="AM637" s="477"/>
      <c r="AN637" s="465"/>
      <c r="AO637" s="140"/>
      <c r="AP637" s="139"/>
      <c r="AQ637" s="139"/>
      <c r="AR637" s="181"/>
      <c r="AS637" s="458"/>
      <c r="AT637" s="458"/>
      <c r="AU637" s="461">
        <v>34873</v>
      </c>
      <c r="AV637" s="181" t="s">
        <v>1352</v>
      </c>
      <c r="AW637" s="31" t="s">
        <v>32</v>
      </c>
      <c r="AX637" s="139">
        <v>1</v>
      </c>
      <c r="AY637" s="58" t="s">
        <v>1959</v>
      </c>
      <c r="AZ637" s="58" t="s">
        <v>1390</v>
      </c>
      <c r="BA637" s="58" t="s">
        <v>151</v>
      </c>
      <c r="BB637" s="58" t="s">
        <v>1407</v>
      </c>
      <c r="BC637" s="58"/>
    </row>
    <row r="638" spans="1:55" x14ac:dyDescent="0.25">
      <c r="A638" s="10">
        <f t="shared" si="27"/>
        <v>637</v>
      </c>
      <c r="B638" s="181" t="s">
        <v>6802</v>
      </c>
      <c r="C638" s="592" t="s">
        <v>1407</v>
      </c>
      <c r="D638" s="457">
        <v>400400</v>
      </c>
      <c r="E638" s="181" t="s">
        <v>36</v>
      </c>
      <c r="F638" s="97" t="s">
        <v>6803</v>
      </c>
      <c r="G638" s="139">
        <v>6</v>
      </c>
      <c r="H638" s="458">
        <v>0.33333333333333331</v>
      </c>
      <c r="I638" s="458">
        <v>0.45833333333333331</v>
      </c>
      <c r="J638" s="458">
        <f>I638-H638</f>
        <v>0.125</v>
      </c>
      <c r="K638" s="58" t="s">
        <v>791</v>
      </c>
      <c r="L638" s="97" t="s">
        <v>6804</v>
      </c>
      <c r="M638" s="97" t="s">
        <v>26</v>
      </c>
      <c r="N638" s="58" t="s">
        <v>38</v>
      </c>
      <c r="O638" s="58" t="s">
        <v>5050</v>
      </c>
      <c r="P638" s="206">
        <v>44511</v>
      </c>
      <c r="Q638" s="460">
        <v>44511</v>
      </c>
      <c r="R638" s="460">
        <v>45240</v>
      </c>
      <c r="S638" s="461">
        <f>R638+1</f>
        <v>45241</v>
      </c>
      <c r="T638" s="139"/>
      <c r="U638" s="139"/>
      <c r="V638" s="139" t="s">
        <v>163</v>
      </c>
      <c r="W638" s="139">
        <v>2013</v>
      </c>
      <c r="X638" s="139" t="s">
        <v>169</v>
      </c>
      <c r="Y638" s="462" t="s">
        <v>5078</v>
      </c>
      <c r="Z638" s="140">
        <v>64732</v>
      </c>
      <c r="AA638" s="140" t="s">
        <v>1841</v>
      </c>
      <c r="AB638" s="460">
        <v>42516</v>
      </c>
      <c r="AC638" s="460">
        <v>44341</v>
      </c>
      <c r="AD638" s="139">
        <v>9885393933</v>
      </c>
      <c r="AE638" s="467" t="s">
        <v>6805</v>
      </c>
      <c r="AF638" s="139" t="s">
        <v>1400</v>
      </c>
      <c r="AG638" s="491" t="s">
        <v>6806</v>
      </c>
      <c r="AH638" s="139" t="s">
        <v>6807</v>
      </c>
      <c r="AI638" s="139" t="s">
        <v>6808</v>
      </c>
      <c r="AJ638" s="475" t="s">
        <v>6809</v>
      </c>
      <c r="AK638" s="140" t="s">
        <v>6810</v>
      </c>
      <c r="AL638" s="461">
        <v>44804</v>
      </c>
      <c r="AM638" s="477">
        <v>44749</v>
      </c>
      <c r="AN638" s="465"/>
      <c r="AO638" s="140"/>
      <c r="AP638" s="139"/>
      <c r="AQ638" s="139"/>
      <c r="AR638" s="181"/>
      <c r="AS638" s="458"/>
      <c r="AT638" s="458"/>
      <c r="AU638" s="461">
        <v>31274</v>
      </c>
      <c r="AV638" s="181" t="s">
        <v>1352</v>
      </c>
      <c r="AW638" s="31" t="s">
        <v>32</v>
      </c>
      <c r="AX638" s="139">
        <v>3</v>
      </c>
      <c r="AY638" s="58" t="s">
        <v>1959</v>
      </c>
      <c r="AZ638" s="58" t="s">
        <v>26</v>
      </c>
      <c r="BA638" s="58" t="s">
        <v>151</v>
      </c>
      <c r="BB638" s="58" t="s">
        <v>1407</v>
      </c>
      <c r="BC638" s="58"/>
    </row>
    <row r="639" spans="1:55" x14ac:dyDescent="0.25">
      <c r="A639" s="10">
        <f t="shared" si="27"/>
        <v>638</v>
      </c>
      <c r="B639" s="181" t="s">
        <v>6811</v>
      </c>
      <c r="C639" s="592" t="s">
        <v>1407</v>
      </c>
      <c r="D639" s="457">
        <v>400401</v>
      </c>
      <c r="E639" s="181" t="s">
        <v>36</v>
      </c>
      <c r="F639" s="97" t="s">
        <v>6812</v>
      </c>
      <c r="G639" s="139">
        <v>6</v>
      </c>
      <c r="H639" s="458">
        <v>0.375</v>
      </c>
      <c r="I639" s="458">
        <v>0.41666666666666669</v>
      </c>
      <c r="J639" s="458">
        <v>4.1666666666666664E-2</v>
      </c>
      <c r="K639" s="100" t="s">
        <v>194</v>
      </c>
      <c r="L639" s="97"/>
      <c r="M639" s="97" t="s">
        <v>1376</v>
      </c>
      <c r="N639" s="58" t="s">
        <v>1393</v>
      </c>
      <c r="O639" s="58"/>
      <c r="P639" s="206">
        <v>44512</v>
      </c>
      <c r="Q639" s="460">
        <v>44512</v>
      </c>
      <c r="R639" s="460">
        <v>45241</v>
      </c>
      <c r="S639" s="461">
        <f>R639+1</f>
        <v>45242</v>
      </c>
      <c r="T639" s="139"/>
      <c r="U639" s="139"/>
      <c r="V639" s="139"/>
      <c r="W639" s="139"/>
      <c r="X639" s="139"/>
      <c r="Y639" s="462" t="s">
        <v>226</v>
      </c>
      <c r="Z639" s="140" t="s">
        <v>6813</v>
      </c>
      <c r="AA639" s="140" t="s">
        <v>1841</v>
      </c>
      <c r="AB639" s="460">
        <v>43850</v>
      </c>
      <c r="AC639" s="460">
        <v>45677</v>
      </c>
      <c r="AD639" s="139">
        <v>9014018801</v>
      </c>
      <c r="AE639" s="140" t="s">
        <v>6814</v>
      </c>
      <c r="AF639" s="139" t="s">
        <v>1430</v>
      </c>
      <c r="AG639" s="491" t="s">
        <v>6815</v>
      </c>
      <c r="AH639" s="139" t="s">
        <v>6816</v>
      </c>
      <c r="AI639" s="139" t="s">
        <v>6817</v>
      </c>
      <c r="AJ639" s="475" t="s">
        <v>6818</v>
      </c>
      <c r="AK639" s="140" t="s">
        <v>6819</v>
      </c>
      <c r="AL639" s="206">
        <v>44571</v>
      </c>
      <c r="AM639" s="477"/>
      <c r="AN639" s="465"/>
      <c r="AO639" s="140"/>
      <c r="AP639" s="139"/>
      <c r="AQ639" s="139"/>
      <c r="AR639" s="181"/>
      <c r="AS639" s="458"/>
      <c r="AT639" s="458"/>
      <c r="AU639" s="461">
        <v>34773</v>
      </c>
      <c r="AV639" s="181" t="s">
        <v>1389</v>
      </c>
      <c r="AW639" s="31" t="s">
        <v>32</v>
      </c>
      <c r="AX639" s="139">
        <v>1</v>
      </c>
      <c r="AY639" s="466">
        <f>VLOOKUP(K639,[3]Master!M616:BA999,40,0)</f>
        <v>1</v>
      </c>
      <c r="AZ639" s="58" t="s">
        <v>1390</v>
      </c>
      <c r="BA639" s="58" t="s">
        <v>151</v>
      </c>
      <c r="BB639" s="58" t="s">
        <v>1407</v>
      </c>
      <c r="BC639" s="58"/>
    </row>
    <row r="640" spans="1:55" x14ac:dyDescent="0.25">
      <c r="A640" s="10">
        <f t="shared" si="27"/>
        <v>639</v>
      </c>
      <c r="B640" s="181" t="s">
        <v>6820</v>
      </c>
      <c r="C640" s="592" t="s">
        <v>1407</v>
      </c>
      <c r="D640" s="457">
        <v>400402</v>
      </c>
      <c r="E640" s="181" t="s">
        <v>36</v>
      </c>
      <c r="F640" s="97" t="s">
        <v>6821</v>
      </c>
      <c r="G640" s="139">
        <v>6</v>
      </c>
      <c r="H640" s="458">
        <v>0.375</v>
      </c>
      <c r="I640" s="458">
        <v>0.41666666666666669</v>
      </c>
      <c r="J640" s="458">
        <v>4.1666666666666664E-2</v>
      </c>
      <c r="K640" s="462" t="s">
        <v>850</v>
      </c>
      <c r="L640" s="97"/>
      <c r="M640" s="97" t="s">
        <v>1376</v>
      </c>
      <c r="N640" s="58" t="s">
        <v>1393</v>
      </c>
      <c r="O640" s="58"/>
      <c r="P640" s="206">
        <v>44515</v>
      </c>
      <c r="Q640" s="460">
        <v>44515</v>
      </c>
      <c r="R640" s="460">
        <v>45244</v>
      </c>
      <c r="S640" s="461">
        <f>R640+1</f>
        <v>45245</v>
      </c>
      <c r="T640" s="139"/>
      <c r="U640" s="139"/>
      <c r="V640" s="139"/>
      <c r="W640" s="139"/>
      <c r="X640" s="139"/>
      <c r="Y640" s="462" t="s">
        <v>226</v>
      </c>
      <c r="Z640" s="140" t="s">
        <v>6822</v>
      </c>
      <c r="AA640" s="140" t="s">
        <v>1841</v>
      </c>
      <c r="AB640" s="460">
        <v>44462</v>
      </c>
      <c r="AC640" s="460">
        <v>46287</v>
      </c>
      <c r="AD640" s="139">
        <v>9440660000</v>
      </c>
      <c r="AE640" s="140" t="s">
        <v>6823</v>
      </c>
      <c r="AF640" s="139" t="s">
        <v>1400</v>
      </c>
      <c r="AG640" s="491" t="s">
        <v>6824</v>
      </c>
      <c r="AH640" s="139" t="s">
        <v>6825</v>
      </c>
      <c r="AI640" s="139" t="s">
        <v>6826</v>
      </c>
      <c r="AJ640" s="475" t="s">
        <v>6827</v>
      </c>
      <c r="AK640" s="140" t="s">
        <v>6828</v>
      </c>
      <c r="AL640" s="206"/>
      <c r="AM640" s="477"/>
      <c r="AN640" s="465"/>
      <c r="AO640" s="140"/>
      <c r="AP640" s="139"/>
      <c r="AQ640" s="139"/>
      <c r="AR640" s="181"/>
      <c r="AS640" s="458"/>
      <c r="AT640" s="458"/>
      <c r="AU640" s="461">
        <v>32370</v>
      </c>
      <c r="AV640" s="181" t="s">
        <v>1389</v>
      </c>
      <c r="AW640" s="31" t="s">
        <v>32</v>
      </c>
      <c r="AX640" s="139">
        <v>1</v>
      </c>
      <c r="AY640" s="466">
        <f>VLOOKUP(K640,[3]Master!M617:BA1000,40,0)</f>
        <v>1</v>
      </c>
      <c r="AZ640" s="58" t="s">
        <v>1390</v>
      </c>
      <c r="BA640" s="58" t="s">
        <v>151</v>
      </c>
      <c r="BB640" s="58" t="s">
        <v>1407</v>
      </c>
      <c r="BC640" s="58"/>
    </row>
    <row r="641" spans="1:55" x14ac:dyDescent="0.25">
      <c r="A641" s="10">
        <f t="shared" si="27"/>
        <v>640</v>
      </c>
      <c r="B641" s="181" t="s">
        <v>6829</v>
      </c>
      <c r="C641" s="592" t="s">
        <v>1407</v>
      </c>
      <c r="D641" s="457">
        <v>400403</v>
      </c>
      <c r="E641" s="181" t="s">
        <v>36</v>
      </c>
      <c r="F641" s="97" t="s">
        <v>6830</v>
      </c>
      <c r="G641" s="139">
        <v>6</v>
      </c>
      <c r="H641" s="458">
        <v>0.41666666666666669</v>
      </c>
      <c r="I641" s="458">
        <v>0.58333333333333337</v>
      </c>
      <c r="J641" s="458">
        <f>I641-H641</f>
        <v>0.16666666666666669</v>
      </c>
      <c r="K641" s="35" t="s">
        <v>770</v>
      </c>
      <c r="L641" s="97" t="s">
        <v>6831</v>
      </c>
      <c r="M641" s="97" t="s">
        <v>26</v>
      </c>
      <c r="N641" s="58" t="s">
        <v>38</v>
      </c>
      <c r="O641" s="58" t="s">
        <v>5076</v>
      </c>
      <c r="P641" s="206">
        <v>44518</v>
      </c>
      <c r="Q641" s="460">
        <v>44518</v>
      </c>
      <c r="R641" s="460">
        <v>45247</v>
      </c>
      <c r="S641" s="461">
        <v>45248</v>
      </c>
      <c r="T641" s="139"/>
      <c r="U641" s="139" t="s">
        <v>6832</v>
      </c>
      <c r="V641" s="139">
        <v>2021</v>
      </c>
      <c r="W641" s="139" t="s">
        <v>6833</v>
      </c>
      <c r="X641" s="139" t="s">
        <v>30</v>
      </c>
      <c r="Y641" s="462" t="s">
        <v>5078</v>
      </c>
      <c r="Z641" s="140"/>
      <c r="AA641" s="140"/>
      <c r="AB641" s="460"/>
      <c r="AC641" s="460"/>
      <c r="AD641" s="139">
        <v>8884157154</v>
      </c>
      <c r="AE641" s="467" t="s">
        <v>6834</v>
      </c>
      <c r="AF641" s="139" t="s">
        <v>1430</v>
      </c>
      <c r="AG641" s="463" t="s">
        <v>6835</v>
      </c>
      <c r="AH641" s="139" t="s">
        <v>6836</v>
      </c>
      <c r="AI641" s="139" t="s">
        <v>6837</v>
      </c>
      <c r="AJ641" s="464" t="s">
        <v>6838</v>
      </c>
      <c r="AK641" s="140" t="s">
        <v>6839</v>
      </c>
      <c r="AL641" s="461"/>
      <c r="AM641" s="477"/>
      <c r="AN641" s="465"/>
      <c r="AO641" s="140"/>
      <c r="AP641" s="139"/>
      <c r="AQ641" s="139"/>
      <c r="AR641" s="181"/>
      <c r="AS641" s="458"/>
      <c r="AT641" s="458"/>
      <c r="AU641" s="461">
        <v>33039</v>
      </c>
      <c r="AV641" s="181" t="s">
        <v>1352</v>
      </c>
      <c r="AW641" s="31" t="s">
        <v>32</v>
      </c>
      <c r="AX641" s="139">
        <v>4</v>
      </c>
      <c r="AY641" s="58" t="s">
        <v>2006</v>
      </c>
      <c r="AZ641" s="58" t="s">
        <v>26</v>
      </c>
      <c r="BA641" s="58" t="s">
        <v>151</v>
      </c>
      <c r="BB641" s="58" t="s">
        <v>1407</v>
      </c>
      <c r="BC641" s="58"/>
    </row>
    <row r="642" spans="1:55" x14ac:dyDescent="0.25">
      <c r="A642" s="10">
        <f t="shared" si="27"/>
        <v>641</v>
      </c>
      <c r="B642" s="181" t="s">
        <v>6840</v>
      </c>
      <c r="C642" s="592" t="s">
        <v>1407</v>
      </c>
      <c r="D642" s="457">
        <v>400404</v>
      </c>
      <c r="E642" s="181" t="s">
        <v>36</v>
      </c>
      <c r="F642" s="97" t="s">
        <v>6841</v>
      </c>
      <c r="G642" s="139">
        <v>6</v>
      </c>
      <c r="H642" s="458">
        <v>0.41666666666666669</v>
      </c>
      <c r="I642" s="458">
        <v>0.75</v>
      </c>
      <c r="J642" s="458">
        <f>I642-H642</f>
        <v>0.33333333333333331</v>
      </c>
      <c r="K642" s="58" t="s">
        <v>663</v>
      </c>
      <c r="L642" s="97" t="s">
        <v>6842</v>
      </c>
      <c r="M642" s="97" t="s">
        <v>26</v>
      </c>
      <c r="N642" s="58" t="s">
        <v>38</v>
      </c>
      <c r="O642" s="58" t="s">
        <v>5076</v>
      </c>
      <c r="P642" s="206">
        <v>44521</v>
      </c>
      <c r="Q642" s="460">
        <v>44521</v>
      </c>
      <c r="R642" s="460">
        <v>45250</v>
      </c>
      <c r="S642" s="461">
        <v>45251</v>
      </c>
      <c r="T642" s="139"/>
      <c r="U642" s="139" t="s">
        <v>6843</v>
      </c>
      <c r="V642" s="139">
        <v>2021</v>
      </c>
      <c r="W642" s="139" t="s">
        <v>6844</v>
      </c>
      <c r="X642" s="139" t="s">
        <v>30</v>
      </c>
      <c r="Y642" s="462" t="s">
        <v>1236</v>
      </c>
      <c r="Z642" s="140" t="s">
        <v>6845</v>
      </c>
      <c r="AA642" s="140" t="s">
        <v>1841</v>
      </c>
      <c r="AB642" s="460">
        <v>43482</v>
      </c>
      <c r="AC642" s="460">
        <v>45309</v>
      </c>
      <c r="AD642" s="139">
        <v>8977938185</v>
      </c>
      <c r="AE642" s="467" t="s">
        <v>6846</v>
      </c>
      <c r="AF642" s="139" t="s">
        <v>5086</v>
      </c>
      <c r="AG642" s="463" t="s">
        <v>6847</v>
      </c>
      <c r="AH642" s="139" t="s">
        <v>6848</v>
      </c>
      <c r="AI642" s="139" t="s">
        <v>6849</v>
      </c>
      <c r="AJ642" s="464" t="s">
        <v>6850</v>
      </c>
      <c r="AK642" s="140" t="s">
        <v>6851</v>
      </c>
      <c r="AL642" s="461"/>
      <c r="AM642" s="477"/>
      <c r="AN642" s="465"/>
      <c r="AO642" s="140"/>
      <c r="AP642" s="139"/>
      <c r="AQ642" s="139"/>
      <c r="AR642" s="181"/>
      <c r="AS642" s="458"/>
      <c r="AT642" s="458"/>
      <c r="AU642" s="461">
        <v>32857</v>
      </c>
      <c r="AV642" s="181" t="s">
        <v>1389</v>
      </c>
      <c r="AW642" s="31" t="s">
        <v>68</v>
      </c>
      <c r="AX642" s="139">
        <v>8</v>
      </c>
      <c r="AY642" s="58" t="s">
        <v>1904</v>
      </c>
      <c r="AZ642" s="58" t="s">
        <v>26</v>
      </c>
      <c r="BA642" s="58" t="s">
        <v>151</v>
      </c>
      <c r="BB642" s="58" t="s">
        <v>1407</v>
      </c>
      <c r="BC642" s="58"/>
    </row>
    <row r="643" spans="1:55" x14ac:dyDescent="0.25">
      <c r="A643" s="10">
        <f t="shared" si="27"/>
        <v>642</v>
      </c>
      <c r="B643" s="181" t="s">
        <v>6852</v>
      </c>
      <c r="C643" s="592" t="s">
        <v>1407</v>
      </c>
      <c r="D643" s="457">
        <v>400406</v>
      </c>
      <c r="E643" s="181" t="s">
        <v>36</v>
      </c>
      <c r="F643" s="97" t="s">
        <v>6853</v>
      </c>
      <c r="G643" s="139">
        <v>6</v>
      </c>
      <c r="H643" s="458">
        <v>0.5</v>
      </c>
      <c r="I643" s="458">
        <v>0.33333333333333331</v>
      </c>
      <c r="J643" s="458">
        <v>0.33333333333333331</v>
      </c>
      <c r="K643" s="100" t="s">
        <v>680</v>
      </c>
      <c r="L643" s="97" t="s">
        <v>6854</v>
      </c>
      <c r="M643" s="97" t="s">
        <v>26</v>
      </c>
      <c r="N643" s="58" t="s">
        <v>38</v>
      </c>
      <c r="O643" s="58" t="s">
        <v>5050</v>
      </c>
      <c r="P643" s="206">
        <v>44529</v>
      </c>
      <c r="Q643" s="460">
        <v>44529</v>
      </c>
      <c r="R643" s="460">
        <v>45258</v>
      </c>
      <c r="S643" s="461">
        <f>R643+1</f>
        <v>45259</v>
      </c>
      <c r="T643" s="139"/>
      <c r="U643" s="139" t="s">
        <v>6855</v>
      </c>
      <c r="V643" s="139">
        <v>2017</v>
      </c>
      <c r="W643" s="139" t="s">
        <v>6856</v>
      </c>
      <c r="X643" s="139"/>
      <c r="Y643" s="462" t="s">
        <v>1236</v>
      </c>
      <c r="Z643" s="140" t="s">
        <v>6857</v>
      </c>
      <c r="AA643" s="140" t="s">
        <v>1841</v>
      </c>
      <c r="AB643" s="460">
        <v>43424</v>
      </c>
      <c r="AC643" s="460">
        <v>45249</v>
      </c>
      <c r="AD643" s="139">
        <v>9010525605</v>
      </c>
      <c r="AE643" s="140" t="s">
        <v>6858</v>
      </c>
      <c r="AF643" s="139" t="s">
        <v>1364</v>
      </c>
      <c r="AG643" s="491" t="s">
        <v>6859</v>
      </c>
      <c r="AH643" s="139" t="s">
        <v>2035</v>
      </c>
      <c r="AI643" s="139" t="s">
        <v>6860</v>
      </c>
      <c r="AJ643" s="475" t="s">
        <v>6861</v>
      </c>
      <c r="AK643" s="140" t="s">
        <v>6862</v>
      </c>
      <c r="AL643" s="461">
        <v>44610</v>
      </c>
      <c r="AM643" s="477"/>
      <c r="AN643" s="465"/>
      <c r="AO643" s="140"/>
      <c r="AP643" s="139"/>
      <c r="AQ643" s="139"/>
      <c r="AR643" s="181"/>
      <c r="AS643" s="458"/>
      <c r="AT643" s="458"/>
      <c r="AU643" s="461">
        <v>32386</v>
      </c>
      <c r="AV643" s="181" t="s">
        <v>1352</v>
      </c>
      <c r="AW643" s="31" t="s">
        <v>68</v>
      </c>
      <c r="AX643" s="139">
        <v>8</v>
      </c>
      <c r="AY643" s="58" t="s">
        <v>2189</v>
      </c>
      <c r="AZ643" s="58" t="s">
        <v>26</v>
      </c>
      <c r="BA643" s="58" t="s">
        <v>151</v>
      </c>
      <c r="BB643" s="58" t="s">
        <v>1407</v>
      </c>
      <c r="BC643" s="58"/>
    </row>
    <row r="644" spans="1:55" x14ac:dyDescent="0.25">
      <c r="A644" s="10">
        <f t="shared" ref="A644:A707" si="31">A643+1</f>
        <v>643</v>
      </c>
      <c r="B644" s="181" t="s">
        <v>6863</v>
      </c>
      <c r="C644" s="592" t="s">
        <v>1407</v>
      </c>
      <c r="D644" s="457">
        <v>400407</v>
      </c>
      <c r="E644" s="181" t="s">
        <v>9124</v>
      </c>
      <c r="F644" s="97" t="s">
        <v>6864</v>
      </c>
      <c r="G644" s="139">
        <v>6</v>
      </c>
      <c r="H644" s="458" t="s">
        <v>6865</v>
      </c>
      <c r="I644" s="458" t="s">
        <v>6866</v>
      </c>
      <c r="J644" s="458">
        <v>0.4375</v>
      </c>
      <c r="K644" s="143" t="s">
        <v>587</v>
      </c>
      <c r="L644" s="97" t="s">
        <v>6867</v>
      </c>
      <c r="M644" s="97" t="s">
        <v>26</v>
      </c>
      <c r="N644" s="58" t="s">
        <v>38</v>
      </c>
      <c r="O644" s="58" t="s">
        <v>5050</v>
      </c>
      <c r="P644" s="206">
        <v>44529</v>
      </c>
      <c r="Q644" s="460">
        <v>44529</v>
      </c>
      <c r="R644" s="460">
        <v>45258</v>
      </c>
      <c r="S644" s="461">
        <f>R644+1</f>
        <v>45259</v>
      </c>
      <c r="T644" s="139">
        <v>2013</v>
      </c>
      <c r="U644" s="139" t="s">
        <v>6844</v>
      </c>
      <c r="V644" s="139">
        <v>2021</v>
      </c>
      <c r="W644" s="139" t="s">
        <v>6868</v>
      </c>
      <c r="X644" s="139"/>
      <c r="Y644" s="462" t="s">
        <v>5078</v>
      </c>
      <c r="Z644" s="140"/>
      <c r="AA644" s="140"/>
      <c r="AB644" s="460"/>
      <c r="AC644" s="460"/>
      <c r="AD644" s="139">
        <v>8099133476</v>
      </c>
      <c r="AE644" s="467" t="s">
        <v>6869</v>
      </c>
      <c r="AF644" s="139" t="s">
        <v>1466</v>
      </c>
      <c r="AG644" s="491" t="s">
        <v>6870</v>
      </c>
      <c r="AH644" s="139" t="s">
        <v>6871</v>
      </c>
      <c r="AI644" s="139" t="s">
        <v>6872</v>
      </c>
      <c r="AJ644" s="475" t="s">
        <v>6873</v>
      </c>
      <c r="AK644" s="140" t="s">
        <v>6874</v>
      </c>
      <c r="AL644" s="461">
        <v>44868</v>
      </c>
      <c r="AM644" s="477">
        <v>44792</v>
      </c>
      <c r="AN644" s="465"/>
      <c r="AO644" s="140"/>
      <c r="AP644" s="139"/>
      <c r="AQ644" s="139" t="e">
        <v>#REF!</v>
      </c>
      <c r="AR644" s="181"/>
      <c r="AS644" s="458"/>
      <c r="AT644" s="458"/>
      <c r="AU644" s="461">
        <v>32786</v>
      </c>
      <c r="AV644" s="181" t="s">
        <v>1352</v>
      </c>
      <c r="AW644" s="31" t="s">
        <v>68</v>
      </c>
      <c r="AX644" s="139">
        <v>10.5</v>
      </c>
      <c r="AY644" s="466">
        <f>VLOOKUP(K644,[3]Master!M621:BA1004,40,0)</f>
        <v>10.5</v>
      </c>
      <c r="AZ644" s="58" t="s">
        <v>26</v>
      </c>
      <c r="BA644" s="58" t="s">
        <v>151</v>
      </c>
      <c r="BB644" s="58" t="s">
        <v>1407</v>
      </c>
      <c r="BC644" s="58"/>
    </row>
    <row r="645" spans="1:55" x14ac:dyDescent="0.25">
      <c r="A645" s="10">
        <f t="shared" si="31"/>
        <v>644</v>
      </c>
      <c r="B645" s="181" t="s">
        <v>6875</v>
      </c>
      <c r="C645" s="592" t="s">
        <v>1407</v>
      </c>
      <c r="D645" s="457">
        <v>400408</v>
      </c>
      <c r="E645" s="181" t="s">
        <v>36</v>
      </c>
      <c r="F645" s="97" t="s">
        <v>6876</v>
      </c>
      <c r="G645" s="139">
        <v>6</v>
      </c>
      <c r="H645" s="458">
        <v>0.45833333333333331</v>
      </c>
      <c r="I645" s="458">
        <v>0.54166666666666663</v>
      </c>
      <c r="J645" s="458">
        <f>I645-H645</f>
        <v>8.3333333333333315E-2</v>
      </c>
      <c r="K645" s="100" t="s">
        <v>680</v>
      </c>
      <c r="L645" s="97" t="s">
        <v>6877</v>
      </c>
      <c r="M645" s="63" t="s">
        <v>1355</v>
      </c>
      <c r="N645" s="100" t="s">
        <v>1520</v>
      </c>
      <c r="O645" s="58" t="s">
        <v>5270</v>
      </c>
      <c r="P645" s="206">
        <v>44531</v>
      </c>
      <c r="Q645" s="460">
        <v>44531</v>
      </c>
      <c r="R645" s="460">
        <v>45260</v>
      </c>
      <c r="S645" s="461">
        <f>R645+1</f>
        <v>45261</v>
      </c>
      <c r="T645" s="139">
        <v>2015</v>
      </c>
      <c r="U645" s="139" t="s">
        <v>3416</v>
      </c>
      <c r="V645" s="139">
        <v>2018</v>
      </c>
      <c r="W645" s="139" t="s">
        <v>906</v>
      </c>
      <c r="X645" s="139"/>
      <c r="Y645" s="462" t="s">
        <v>5214</v>
      </c>
      <c r="Z645" s="140" t="s">
        <v>6878</v>
      </c>
      <c r="AA645" s="140" t="s">
        <v>1841</v>
      </c>
      <c r="AB645" s="460">
        <v>44425</v>
      </c>
      <c r="AC645" s="460">
        <v>46250</v>
      </c>
      <c r="AD645" s="139">
        <v>7780269909</v>
      </c>
      <c r="AE645" s="467" t="s">
        <v>6879</v>
      </c>
      <c r="AF645" s="139" t="s">
        <v>1430</v>
      </c>
      <c r="AG645" s="491" t="s">
        <v>6880</v>
      </c>
      <c r="AH645" s="139" t="s">
        <v>6881</v>
      </c>
      <c r="AI645" s="139" t="s">
        <v>6882</v>
      </c>
      <c r="AJ645" s="475" t="s">
        <v>6883</v>
      </c>
      <c r="AK645" s="140" t="s">
        <v>6884</v>
      </c>
      <c r="AL645" s="206">
        <v>44833</v>
      </c>
      <c r="AM645" s="477"/>
      <c r="AN645" s="465"/>
      <c r="AO645" s="140"/>
      <c r="AP645" s="139"/>
      <c r="AQ645" s="139" t="e">
        <f>DATEDIF(P645,#REF!,"Y")&amp;"."&amp;DATEDIF(P645,#REF!,"ym")</f>
        <v>#REF!</v>
      </c>
      <c r="AR645" s="181"/>
      <c r="AS645" s="458"/>
      <c r="AT645" s="458"/>
      <c r="AU645" s="461">
        <v>32427</v>
      </c>
      <c r="AV645" s="181" t="s">
        <v>1352</v>
      </c>
      <c r="AW645" s="31" t="s">
        <v>32</v>
      </c>
      <c r="AX645" s="139">
        <v>2</v>
      </c>
      <c r="AY645" s="58" t="s">
        <v>2189</v>
      </c>
      <c r="AZ645" s="58" t="s">
        <v>1373</v>
      </c>
      <c r="BA645" s="58" t="s">
        <v>151</v>
      </c>
      <c r="BB645" s="58" t="s">
        <v>1407</v>
      </c>
      <c r="BC645" s="58"/>
    </row>
    <row r="646" spans="1:55" x14ac:dyDescent="0.25">
      <c r="A646" s="10">
        <f t="shared" si="31"/>
        <v>645</v>
      </c>
      <c r="B646" s="181" t="s">
        <v>6885</v>
      </c>
      <c r="C646" s="592" t="s">
        <v>1407</v>
      </c>
      <c r="D646" s="457">
        <v>400409</v>
      </c>
      <c r="E646" s="181" t="s">
        <v>36</v>
      </c>
      <c r="F646" s="97" t="s">
        <v>6886</v>
      </c>
      <c r="G646" s="139">
        <v>6</v>
      </c>
      <c r="H646" s="458">
        <v>0.35416666666666669</v>
      </c>
      <c r="I646" s="458">
        <v>0.47916666666666669</v>
      </c>
      <c r="J646" s="458">
        <v>0.125</v>
      </c>
      <c r="K646" s="58" t="s">
        <v>6751</v>
      </c>
      <c r="L646" s="97" t="s">
        <v>6887</v>
      </c>
      <c r="M646" s="97" t="s">
        <v>26</v>
      </c>
      <c r="N646" s="58" t="s">
        <v>38</v>
      </c>
      <c r="O646" s="58" t="s">
        <v>5050</v>
      </c>
      <c r="P646" s="206">
        <v>44536</v>
      </c>
      <c r="Q646" s="460">
        <v>44536</v>
      </c>
      <c r="R646" s="460">
        <v>45265</v>
      </c>
      <c r="S646" s="461">
        <f>R646+1</f>
        <v>45266</v>
      </c>
      <c r="T646" s="139">
        <v>2015</v>
      </c>
      <c r="U646" s="139" t="s">
        <v>380</v>
      </c>
      <c r="V646" s="139">
        <v>2021</v>
      </c>
      <c r="W646" s="139" t="s">
        <v>251</v>
      </c>
      <c r="X646" s="139"/>
      <c r="Y646" s="462" t="s">
        <v>5078</v>
      </c>
      <c r="Z646" s="140"/>
      <c r="AA646" s="140"/>
      <c r="AB646" s="460"/>
      <c r="AC646" s="460"/>
      <c r="AD646" s="139">
        <v>8688416470</v>
      </c>
      <c r="AE646" s="140" t="s">
        <v>6888</v>
      </c>
      <c r="AF646" s="139" t="s">
        <v>1805</v>
      </c>
      <c r="AG646" s="491" t="s">
        <v>6889</v>
      </c>
      <c r="AH646" s="139" t="s">
        <v>6890</v>
      </c>
      <c r="AI646" s="139" t="s">
        <v>6891</v>
      </c>
      <c r="AJ646" s="475" t="s">
        <v>6892</v>
      </c>
      <c r="AK646" s="140" t="s">
        <v>6893</v>
      </c>
      <c r="AL646" s="461">
        <v>44565</v>
      </c>
      <c r="AM646" s="477"/>
      <c r="AN646" s="465"/>
      <c r="AO646" s="140"/>
      <c r="AP646" s="139"/>
      <c r="AQ646" s="139"/>
      <c r="AR646" s="181"/>
      <c r="AS646" s="458"/>
      <c r="AT646" s="458"/>
      <c r="AU646" s="461">
        <v>34205</v>
      </c>
      <c r="AV646" s="181" t="s">
        <v>1389</v>
      </c>
      <c r="AW646" s="31" t="s">
        <v>32</v>
      </c>
      <c r="AX646" s="139">
        <v>3</v>
      </c>
      <c r="AY646" s="58" t="s">
        <v>1904</v>
      </c>
      <c r="AZ646" s="58" t="s">
        <v>26</v>
      </c>
      <c r="BA646" s="58" t="s">
        <v>151</v>
      </c>
      <c r="BB646" s="58" t="s">
        <v>1407</v>
      </c>
      <c r="BC646" s="58"/>
    </row>
    <row r="647" spans="1:55" x14ac:dyDescent="0.25">
      <c r="A647" s="10">
        <f t="shared" si="31"/>
        <v>646</v>
      </c>
      <c r="B647" s="181" t="s">
        <v>6894</v>
      </c>
      <c r="C647" s="592" t="s">
        <v>1407</v>
      </c>
      <c r="D647" s="457">
        <v>400410</v>
      </c>
      <c r="E647" s="181" t="s">
        <v>36</v>
      </c>
      <c r="F647" s="97" t="s">
        <v>6895</v>
      </c>
      <c r="G647" s="139">
        <v>6</v>
      </c>
      <c r="H647" s="469" t="s">
        <v>6636</v>
      </c>
      <c r="I647" s="469" t="s">
        <v>1105</v>
      </c>
      <c r="J647" s="458">
        <f>I647-H647</f>
        <v>8.333333333333337E-2</v>
      </c>
      <c r="K647" s="143" t="s">
        <v>477</v>
      </c>
      <c r="L647" s="97" t="s">
        <v>6896</v>
      </c>
      <c r="M647" s="97" t="s">
        <v>26</v>
      </c>
      <c r="N647" s="58" t="s">
        <v>38</v>
      </c>
      <c r="O647" s="58" t="s">
        <v>5076</v>
      </c>
      <c r="P647" s="206">
        <v>44533</v>
      </c>
      <c r="Q647" s="206">
        <v>45263</v>
      </c>
      <c r="R647" s="206">
        <v>45993</v>
      </c>
      <c r="S647" s="461">
        <v>45994</v>
      </c>
      <c r="T647" s="139">
        <v>2014</v>
      </c>
      <c r="U647" s="181" t="s">
        <v>6897</v>
      </c>
      <c r="V647" s="139">
        <v>2021</v>
      </c>
      <c r="W647" s="140" t="s">
        <v>906</v>
      </c>
      <c r="X647" s="181" t="s">
        <v>30</v>
      </c>
      <c r="Y647" s="58" t="s">
        <v>5078</v>
      </c>
      <c r="Z647" s="140" t="s">
        <v>6898</v>
      </c>
      <c r="AA647" s="97" t="s">
        <v>1841</v>
      </c>
      <c r="AB647" s="471">
        <v>44845</v>
      </c>
      <c r="AC647" s="471">
        <v>46670</v>
      </c>
      <c r="AD647" s="472">
        <v>9700562575</v>
      </c>
      <c r="AE647" s="473" t="s">
        <v>6899</v>
      </c>
      <c r="AF647" s="97" t="s">
        <v>1430</v>
      </c>
      <c r="AG647" s="482" t="s">
        <v>6900</v>
      </c>
      <c r="AH647" s="181" t="s">
        <v>1961</v>
      </c>
      <c r="AI647" s="139" t="s">
        <v>6901</v>
      </c>
      <c r="AJ647" s="464" t="s">
        <v>6902</v>
      </c>
      <c r="AK647" s="97" t="s">
        <v>6903</v>
      </c>
      <c r="AL647" s="461">
        <v>45435</v>
      </c>
      <c r="AM647" s="477"/>
      <c r="AN647" s="465"/>
      <c r="AO647" s="97"/>
      <c r="AP647" s="58"/>
      <c r="AQ647" s="486"/>
      <c r="AR647" s="462"/>
      <c r="AS647" s="479">
        <v>0.72916666666666663</v>
      </c>
      <c r="AT647" s="479">
        <v>0.8125</v>
      </c>
      <c r="AU647" s="461">
        <v>33351</v>
      </c>
      <c r="AV647" s="181" t="s">
        <v>1352</v>
      </c>
      <c r="AW647" s="31" t="s">
        <v>32</v>
      </c>
      <c r="AX647" s="139">
        <v>2</v>
      </c>
      <c r="AY647" s="466">
        <f>VLOOKUP(K647,[3]Master!M624:BA1007,40,0)</f>
        <v>2</v>
      </c>
      <c r="AZ647" s="58" t="s">
        <v>26</v>
      </c>
      <c r="BA647" s="58" t="s">
        <v>151</v>
      </c>
      <c r="BB647" s="58" t="s">
        <v>1407</v>
      </c>
      <c r="BC647" s="58"/>
    </row>
    <row r="648" spans="1:55" x14ac:dyDescent="0.25">
      <c r="A648" s="10">
        <f t="shared" si="31"/>
        <v>647</v>
      </c>
      <c r="B648" s="181" t="s">
        <v>328</v>
      </c>
      <c r="C648" s="592" t="s">
        <v>1407</v>
      </c>
      <c r="D648" s="457">
        <v>400412</v>
      </c>
      <c r="E648" s="181" t="s">
        <v>36</v>
      </c>
      <c r="F648" s="97" t="s">
        <v>6904</v>
      </c>
      <c r="G648" s="139">
        <v>6</v>
      </c>
      <c r="H648" s="458">
        <v>0.625</v>
      </c>
      <c r="I648" s="458">
        <v>0.83333333333333337</v>
      </c>
      <c r="J648" s="458">
        <f>I648-H648</f>
        <v>0.20833333333333337</v>
      </c>
      <c r="K648" s="100" t="s">
        <v>680</v>
      </c>
      <c r="L648" s="97" t="s">
        <v>6905</v>
      </c>
      <c r="M648" s="97" t="s">
        <v>26</v>
      </c>
      <c r="N648" s="58" t="s">
        <v>38</v>
      </c>
      <c r="O648" s="58" t="s">
        <v>5050</v>
      </c>
      <c r="P648" s="206">
        <v>44543</v>
      </c>
      <c r="Q648" s="460">
        <v>44543</v>
      </c>
      <c r="R648" s="460">
        <v>45272</v>
      </c>
      <c r="S648" s="461">
        <f>R648+1</f>
        <v>45273</v>
      </c>
      <c r="T648" s="139">
        <v>2013</v>
      </c>
      <c r="U648" s="139" t="s">
        <v>331</v>
      </c>
      <c r="V648" s="139">
        <v>2021</v>
      </c>
      <c r="W648" s="139" t="s">
        <v>332</v>
      </c>
      <c r="X648" s="139"/>
      <c r="Y648" s="462" t="s">
        <v>5078</v>
      </c>
      <c r="Z648" s="140" t="s">
        <v>2291</v>
      </c>
      <c r="AA648" s="140" t="s">
        <v>6906</v>
      </c>
      <c r="AB648" s="460">
        <v>44714</v>
      </c>
      <c r="AC648" s="460">
        <v>46539</v>
      </c>
      <c r="AD648" s="139">
        <v>9642789670</v>
      </c>
      <c r="AE648" s="140" t="s">
        <v>333</v>
      </c>
      <c r="AF648" s="139" t="s">
        <v>5086</v>
      </c>
      <c r="AG648" s="491" t="s">
        <v>2292</v>
      </c>
      <c r="AH648" s="139" t="s">
        <v>2293</v>
      </c>
      <c r="AI648" s="139" t="s">
        <v>2294</v>
      </c>
      <c r="AJ648" s="475" t="s">
        <v>2295</v>
      </c>
      <c r="AK648" s="140" t="s">
        <v>2296</v>
      </c>
      <c r="AL648" s="461"/>
      <c r="AM648" s="477"/>
      <c r="AN648" s="465"/>
      <c r="AO648" s="140"/>
      <c r="AP648" s="139"/>
      <c r="AQ648" s="139" t="e">
        <v>#REF!</v>
      </c>
      <c r="AR648" s="181"/>
      <c r="AS648" s="458"/>
      <c r="AT648" s="458"/>
      <c r="AU648" s="461">
        <v>33372</v>
      </c>
      <c r="AV648" s="181" t="s">
        <v>1352</v>
      </c>
      <c r="AW648" s="31" t="s">
        <v>32</v>
      </c>
      <c r="AX648" s="139">
        <v>5</v>
      </c>
      <c r="AY648" s="58" t="s">
        <v>2189</v>
      </c>
      <c r="AZ648" s="58" t="s">
        <v>26</v>
      </c>
      <c r="BA648" s="58" t="s">
        <v>151</v>
      </c>
      <c r="BB648" s="58" t="s">
        <v>1407</v>
      </c>
      <c r="BC648" s="58"/>
    </row>
    <row r="649" spans="1:55" x14ac:dyDescent="0.25">
      <c r="A649" s="10">
        <f t="shared" si="31"/>
        <v>648</v>
      </c>
      <c r="B649" s="181"/>
      <c r="C649" s="592" t="s">
        <v>1407</v>
      </c>
      <c r="D649" s="457">
        <v>400413</v>
      </c>
      <c r="E649" s="181" t="s">
        <v>36</v>
      </c>
      <c r="F649" s="97" t="s">
        <v>6907</v>
      </c>
      <c r="G649" s="139">
        <v>6</v>
      </c>
      <c r="H649" s="458">
        <v>0.72916666666666663</v>
      </c>
      <c r="I649" s="458">
        <v>0.8125</v>
      </c>
      <c r="J649" s="458">
        <v>8.3333333333333329E-2</v>
      </c>
      <c r="K649" s="58"/>
      <c r="L649" s="97" t="s">
        <v>6908</v>
      </c>
      <c r="M649" s="97" t="s">
        <v>26</v>
      </c>
      <c r="N649" s="58" t="s">
        <v>38</v>
      </c>
      <c r="O649" s="58" t="s">
        <v>5050</v>
      </c>
      <c r="P649" s="460">
        <v>44545</v>
      </c>
      <c r="Q649" s="460">
        <v>44545</v>
      </c>
      <c r="R649" s="461">
        <v>45274</v>
      </c>
      <c r="S649" s="461">
        <v>45274</v>
      </c>
      <c r="T649" s="139">
        <v>2017</v>
      </c>
      <c r="U649" s="139" t="s">
        <v>6909</v>
      </c>
      <c r="V649" s="139">
        <v>2021</v>
      </c>
      <c r="W649" s="139" t="s">
        <v>3416</v>
      </c>
      <c r="X649" s="139"/>
      <c r="Y649" s="462" t="s">
        <v>5078</v>
      </c>
      <c r="Z649" s="140"/>
      <c r="AA649" s="460"/>
      <c r="AB649" s="460"/>
      <c r="AC649" s="139">
        <v>9703890632</v>
      </c>
      <c r="AD649" s="488" t="s">
        <v>6910</v>
      </c>
      <c r="AE649" s="140" t="s">
        <v>1364</v>
      </c>
      <c r="AF649" s="491" t="s">
        <v>6911</v>
      </c>
      <c r="AG649" s="139" t="s">
        <v>6912</v>
      </c>
      <c r="AH649" s="139" t="s">
        <v>6913</v>
      </c>
      <c r="AI649" s="475" t="s">
        <v>6914</v>
      </c>
      <c r="AJ649" s="139" t="s">
        <v>6915</v>
      </c>
      <c r="AK649" s="465">
        <v>44754</v>
      </c>
      <c r="AL649" s="461">
        <v>44706</v>
      </c>
      <c r="AM649" s="477"/>
      <c r="AN649" s="140"/>
      <c r="AO649" s="140"/>
      <c r="AP649" s="139"/>
      <c r="AQ649" s="181"/>
      <c r="AR649" s="494"/>
      <c r="AS649" s="458"/>
      <c r="AT649" s="458"/>
      <c r="AU649" s="461">
        <v>34207</v>
      </c>
      <c r="AV649" s="181" t="s">
        <v>1389</v>
      </c>
      <c r="AW649" s="31" t="s">
        <v>32</v>
      </c>
      <c r="AX649" s="139">
        <v>2</v>
      </c>
      <c r="AY649" s="58"/>
      <c r="AZ649" s="58" t="s">
        <v>26</v>
      </c>
      <c r="BA649" s="58" t="s">
        <v>151</v>
      </c>
      <c r="BB649" s="58" t="s">
        <v>1407</v>
      </c>
      <c r="BC649" s="58"/>
    </row>
    <row r="650" spans="1:55" x14ac:dyDescent="0.25">
      <c r="A650" s="10">
        <f t="shared" si="31"/>
        <v>649</v>
      </c>
      <c r="B650" s="181" t="s">
        <v>6916</v>
      </c>
      <c r="C650" s="592" t="s">
        <v>1407</v>
      </c>
      <c r="D650" s="457">
        <v>400414</v>
      </c>
      <c r="E650" s="181" t="s">
        <v>36</v>
      </c>
      <c r="F650" s="97" t="s">
        <v>6917</v>
      </c>
      <c r="G650" s="139">
        <v>6</v>
      </c>
      <c r="H650" s="458">
        <v>0.70833333333333337</v>
      </c>
      <c r="I650" s="458">
        <v>0.875</v>
      </c>
      <c r="J650" s="458">
        <f>I650-H650</f>
        <v>0.16666666666666663</v>
      </c>
      <c r="K650" s="100" t="s">
        <v>287</v>
      </c>
      <c r="L650" s="97" t="s">
        <v>2015</v>
      </c>
      <c r="M650" s="63" t="s">
        <v>1355</v>
      </c>
      <c r="N650" s="100" t="s">
        <v>1520</v>
      </c>
      <c r="O650" s="58" t="s">
        <v>5168</v>
      </c>
      <c r="P650" s="206">
        <v>44545</v>
      </c>
      <c r="Q650" s="460">
        <v>44545</v>
      </c>
      <c r="R650" s="460">
        <v>45274</v>
      </c>
      <c r="S650" s="461">
        <v>45275</v>
      </c>
      <c r="T650" s="139">
        <v>2012</v>
      </c>
      <c r="U650" s="139" t="s">
        <v>499</v>
      </c>
      <c r="V650" s="139">
        <v>2018</v>
      </c>
      <c r="W650" s="139" t="s">
        <v>6692</v>
      </c>
      <c r="X650" s="139" t="s">
        <v>30</v>
      </c>
      <c r="Y650" s="462" t="s">
        <v>5214</v>
      </c>
      <c r="Z650" s="140" t="s">
        <v>6918</v>
      </c>
      <c r="AA650" s="140" t="s">
        <v>1841</v>
      </c>
      <c r="AB650" s="460">
        <v>43846</v>
      </c>
      <c r="AC650" s="460">
        <v>45672</v>
      </c>
      <c r="AD650" s="488">
        <v>8885650988</v>
      </c>
      <c r="AE650" s="140" t="s">
        <v>6919</v>
      </c>
      <c r="AF650" s="139" t="s">
        <v>1430</v>
      </c>
      <c r="AG650" s="463" t="s">
        <v>6920</v>
      </c>
      <c r="AH650" s="139" t="s">
        <v>6921</v>
      </c>
      <c r="AI650" s="139" t="s">
        <v>6922</v>
      </c>
      <c r="AJ650" s="464" t="s">
        <v>6923</v>
      </c>
      <c r="AK650" s="140" t="s">
        <v>6924</v>
      </c>
      <c r="AL650" s="206">
        <v>45138</v>
      </c>
      <c r="AM650" s="477"/>
      <c r="AN650" s="465"/>
      <c r="AO650" s="140"/>
      <c r="AP650" s="139"/>
      <c r="AQ650" s="139"/>
      <c r="AR650" s="58"/>
      <c r="AS650" s="458"/>
      <c r="AT650" s="458"/>
      <c r="AU650" s="461">
        <v>32138</v>
      </c>
      <c r="AV650" s="181" t="s">
        <v>1352</v>
      </c>
      <c r="AW650" s="31" t="s">
        <v>32</v>
      </c>
      <c r="AX650" s="139">
        <v>4</v>
      </c>
      <c r="AY650" s="466">
        <f>VLOOKUP(K650,[3]Master!M627:BA1010,40,0)</f>
        <v>8</v>
      </c>
      <c r="AZ650" s="58" t="s">
        <v>1373</v>
      </c>
      <c r="BA650" s="58" t="s">
        <v>151</v>
      </c>
      <c r="BB650" s="58" t="s">
        <v>1407</v>
      </c>
      <c r="BC650" s="58"/>
    </row>
    <row r="651" spans="1:55" x14ac:dyDescent="0.25">
      <c r="A651" s="10">
        <f t="shared" si="31"/>
        <v>650</v>
      </c>
      <c r="B651" s="181" t="s">
        <v>6925</v>
      </c>
      <c r="C651" s="592" t="s">
        <v>1407</v>
      </c>
      <c r="D651" s="457">
        <v>400415</v>
      </c>
      <c r="E651" s="181" t="s">
        <v>36</v>
      </c>
      <c r="F651" s="97" t="s">
        <v>6926</v>
      </c>
      <c r="G651" s="139">
        <v>6</v>
      </c>
      <c r="H651" s="458">
        <v>0.625</v>
      </c>
      <c r="I651" s="458">
        <v>0.79166666666666663</v>
      </c>
      <c r="J651" s="458">
        <f>I651-H651</f>
        <v>0.16666666666666663</v>
      </c>
      <c r="K651" s="143" t="s">
        <v>587</v>
      </c>
      <c r="L651" s="97" t="s">
        <v>2097</v>
      </c>
      <c r="M651" s="97" t="s">
        <v>2097</v>
      </c>
      <c r="N651" s="58" t="s">
        <v>2098</v>
      </c>
      <c r="O651" s="58" t="s">
        <v>5111</v>
      </c>
      <c r="P651" s="206">
        <v>44545</v>
      </c>
      <c r="Q651" s="460">
        <v>44545</v>
      </c>
      <c r="R651" s="460">
        <v>45274</v>
      </c>
      <c r="S651" s="461">
        <f>R651+1</f>
        <v>45275</v>
      </c>
      <c r="T651" s="139">
        <v>2015</v>
      </c>
      <c r="U651" s="139" t="s">
        <v>6927</v>
      </c>
      <c r="V651" s="139">
        <v>2021</v>
      </c>
      <c r="W651" s="139" t="s">
        <v>141</v>
      </c>
      <c r="X651" s="139"/>
      <c r="Y651" s="462" t="s">
        <v>4862</v>
      </c>
      <c r="Z651" s="140"/>
      <c r="AA651" s="140"/>
      <c r="AB651" s="460"/>
      <c r="AC651" s="460"/>
      <c r="AD651" s="139" t="s">
        <v>6928</v>
      </c>
      <c r="AE651" s="140" t="s">
        <v>6929</v>
      </c>
      <c r="AF651" s="139" t="s">
        <v>5086</v>
      </c>
      <c r="AG651" s="491" t="s">
        <v>6930</v>
      </c>
      <c r="AH651" s="139" t="s">
        <v>5559</v>
      </c>
      <c r="AI651" s="139" t="s">
        <v>6931</v>
      </c>
      <c r="AJ651" s="475" t="s">
        <v>6932</v>
      </c>
      <c r="AK651" s="140" t="s">
        <v>6933</v>
      </c>
      <c r="AL651" s="206">
        <v>44865</v>
      </c>
      <c r="AM651" s="477">
        <v>44802</v>
      </c>
      <c r="AN651" s="465"/>
      <c r="AO651" s="140"/>
      <c r="AP651" s="139"/>
      <c r="AQ651" s="139" t="e">
        <v>#REF!</v>
      </c>
      <c r="AR651" s="181"/>
      <c r="AS651" s="458"/>
      <c r="AT651" s="458"/>
      <c r="AU651" s="461">
        <v>33810</v>
      </c>
      <c r="AV651" s="181" t="s">
        <v>1389</v>
      </c>
      <c r="AW651" s="31" t="s">
        <v>32</v>
      </c>
      <c r="AX651" s="139">
        <v>4</v>
      </c>
      <c r="AY651" s="466">
        <f>VLOOKUP(K651,[3]Master!M628:BA1011,40,0)</f>
        <v>10.5</v>
      </c>
      <c r="AZ651" s="58" t="s">
        <v>1373</v>
      </c>
      <c r="BA651" s="58" t="s">
        <v>151</v>
      </c>
      <c r="BB651" s="58" t="s">
        <v>1407</v>
      </c>
      <c r="BC651" s="58"/>
    </row>
    <row r="652" spans="1:55" x14ac:dyDescent="0.25">
      <c r="A652" s="10">
        <f t="shared" si="31"/>
        <v>651</v>
      </c>
      <c r="B652" s="181" t="s">
        <v>6934</v>
      </c>
      <c r="C652" s="592" t="s">
        <v>1407</v>
      </c>
      <c r="D652" s="457">
        <v>400416</v>
      </c>
      <c r="E652" s="181" t="s">
        <v>36</v>
      </c>
      <c r="F652" s="97" t="s">
        <v>6935</v>
      </c>
      <c r="G652" s="139">
        <v>6</v>
      </c>
      <c r="H652" s="458">
        <v>0.41666666666666669</v>
      </c>
      <c r="I652" s="458">
        <v>0.75</v>
      </c>
      <c r="J652" s="458">
        <f>I652-H652</f>
        <v>0.33333333333333331</v>
      </c>
      <c r="K652" s="100" t="s">
        <v>563</v>
      </c>
      <c r="L652" s="97" t="s">
        <v>6936</v>
      </c>
      <c r="M652" s="97" t="s">
        <v>26</v>
      </c>
      <c r="N652" s="58" t="s">
        <v>38</v>
      </c>
      <c r="O652" s="58" t="s">
        <v>5076</v>
      </c>
      <c r="P652" s="206">
        <v>44545</v>
      </c>
      <c r="Q652" s="460">
        <v>44545</v>
      </c>
      <c r="R652" s="460">
        <v>45274</v>
      </c>
      <c r="S652" s="461">
        <v>45275</v>
      </c>
      <c r="T652" s="139">
        <v>2013</v>
      </c>
      <c r="U652" s="139" t="s">
        <v>57</v>
      </c>
      <c r="V652" s="139">
        <v>2019</v>
      </c>
      <c r="W652" s="139" t="s">
        <v>6937</v>
      </c>
      <c r="X652" s="139" t="s">
        <v>30</v>
      </c>
      <c r="Y652" s="462" t="s">
        <v>5078</v>
      </c>
      <c r="Z652" s="140" t="s">
        <v>6938</v>
      </c>
      <c r="AA652" s="140" t="s">
        <v>1886</v>
      </c>
      <c r="AB652" s="460">
        <v>43649</v>
      </c>
      <c r="AC652" s="460">
        <v>45475</v>
      </c>
      <c r="AD652" s="139" t="s">
        <v>6939</v>
      </c>
      <c r="AE652" s="467" t="s">
        <v>6940</v>
      </c>
      <c r="AF652" s="139" t="s">
        <v>5086</v>
      </c>
      <c r="AG652" s="463" t="s">
        <v>6941</v>
      </c>
      <c r="AH652" s="139" t="s">
        <v>2660</v>
      </c>
      <c r="AI652" s="139" t="s">
        <v>6942</v>
      </c>
      <c r="AJ652" s="464" t="s">
        <v>6943</v>
      </c>
      <c r="AK652" s="140" t="s">
        <v>6944</v>
      </c>
      <c r="AL652" s="461">
        <v>45108</v>
      </c>
      <c r="AM652" s="477"/>
      <c r="AN652" s="465"/>
      <c r="AO652" s="140"/>
      <c r="AP652" s="139"/>
      <c r="AQ652" s="139" t="e">
        <v>#N/A</v>
      </c>
      <c r="AR652" s="181"/>
      <c r="AS652" s="458"/>
      <c r="AT652" s="458"/>
      <c r="AU652" s="461">
        <v>33433</v>
      </c>
      <c r="AV652" s="181" t="s">
        <v>1389</v>
      </c>
      <c r="AW652" s="31" t="s">
        <v>68</v>
      </c>
      <c r="AX652" s="139">
        <v>8</v>
      </c>
      <c r="AY652" s="466">
        <f>VLOOKUP(K652,[3]Master!M629:BA1012,40,0)</f>
        <v>8</v>
      </c>
      <c r="AZ652" s="58" t="s">
        <v>26</v>
      </c>
      <c r="BA652" s="58" t="s">
        <v>151</v>
      </c>
      <c r="BB652" s="58" t="s">
        <v>1407</v>
      </c>
      <c r="BC652" s="58"/>
    </row>
    <row r="653" spans="1:55" x14ac:dyDescent="0.25">
      <c r="A653" s="10">
        <f t="shared" si="31"/>
        <v>652</v>
      </c>
      <c r="B653" s="181" t="s">
        <v>6945</v>
      </c>
      <c r="C653" s="592" t="s">
        <v>1407</v>
      </c>
      <c r="D653" s="457">
        <v>400872</v>
      </c>
      <c r="E653" s="181" t="s">
        <v>36</v>
      </c>
      <c r="F653" s="97" t="s">
        <v>6946</v>
      </c>
      <c r="G653" s="139">
        <v>6</v>
      </c>
      <c r="H653" s="469" t="s">
        <v>1084</v>
      </c>
      <c r="I653" s="469" t="s">
        <v>978</v>
      </c>
      <c r="J653" s="458">
        <f>I653-H653</f>
        <v>0.33333333333333337</v>
      </c>
      <c r="K653" s="58" t="s">
        <v>147</v>
      </c>
      <c r="L653" s="97" t="s">
        <v>1424</v>
      </c>
      <c r="M653" s="63" t="s">
        <v>1355</v>
      </c>
      <c r="N653" s="100" t="s">
        <v>1520</v>
      </c>
      <c r="O653" s="58" t="s">
        <v>6947</v>
      </c>
      <c r="P653" s="206">
        <v>45236</v>
      </c>
      <c r="Q653" s="206">
        <v>45236</v>
      </c>
      <c r="R653" s="206">
        <v>45966</v>
      </c>
      <c r="S653" s="461">
        <v>45967</v>
      </c>
      <c r="T653" s="139">
        <v>2018</v>
      </c>
      <c r="U653" s="181" t="s">
        <v>196</v>
      </c>
      <c r="V653" s="139">
        <v>2022</v>
      </c>
      <c r="W653" s="140" t="s">
        <v>473</v>
      </c>
      <c r="X653" s="181" t="s">
        <v>30</v>
      </c>
      <c r="Y653" s="58" t="s">
        <v>5066</v>
      </c>
      <c r="Z653" s="140" t="s">
        <v>6948</v>
      </c>
      <c r="AA653" s="470" t="s">
        <v>1841</v>
      </c>
      <c r="AB653" s="471">
        <v>45117</v>
      </c>
      <c r="AC653" s="471">
        <v>46943</v>
      </c>
      <c r="AD653" s="472">
        <v>9550248164</v>
      </c>
      <c r="AE653" s="473" t="s">
        <v>6949</v>
      </c>
      <c r="AF653" s="474" t="s">
        <v>1805</v>
      </c>
      <c r="AG653" s="475">
        <v>107910100074871</v>
      </c>
      <c r="AH653" s="181" t="s">
        <v>3669</v>
      </c>
      <c r="AI653" s="139" t="s">
        <v>6950</v>
      </c>
      <c r="AJ653" s="476">
        <v>663123798252</v>
      </c>
      <c r="AK653" s="470"/>
      <c r="AL653" s="206">
        <v>45486</v>
      </c>
      <c r="AM653" s="477">
        <v>45479</v>
      </c>
      <c r="AN653" s="478" t="s">
        <v>3793</v>
      </c>
      <c r="AO653" s="140" t="s">
        <v>6951</v>
      </c>
      <c r="AP653" s="58"/>
      <c r="AQ653" s="97" t="s">
        <v>6951</v>
      </c>
      <c r="AR653" s="462"/>
      <c r="AS653" s="479">
        <v>0.54166666666666663</v>
      </c>
      <c r="AT653" s="479">
        <v>0.875</v>
      </c>
      <c r="AU653" s="480">
        <v>34722</v>
      </c>
      <c r="AV653" s="181" t="s">
        <v>1352</v>
      </c>
      <c r="AW653" s="31" t="s">
        <v>68</v>
      </c>
      <c r="AX653" s="139">
        <v>8</v>
      </c>
      <c r="AY653" s="58" t="s">
        <v>1849</v>
      </c>
      <c r="AZ653" s="58" t="s">
        <v>1373</v>
      </c>
      <c r="BA653" s="58" t="s">
        <v>151</v>
      </c>
      <c r="BB653" s="58" t="s">
        <v>1407</v>
      </c>
      <c r="BC653" s="58"/>
    </row>
    <row r="654" spans="1:55" x14ac:dyDescent="0.25">
      <c r="A654" s="10">
        <f t="shared" si="31"/>
        <v>653</v>
      </c>
      <c r="B654" s="181" t="s">
        <v>6952</v>
      </c>
      <c r="C654" s="592" t="s">
        <v>1407</v>
      </c>
      <c r="D654" s="457">
        <v>400418</v>
      </c>
      <c r="E654" s="181" t="s">
        <v>9124</v>
      </c>
      <c r="F654" s="97" t="s">
        <v>6953</v>
      </c>
      <c r="G654" s="139">
        <v>6</v>
      </c>
      <c r="H654" s="458" t="s">
        <v>6954</v>
      </c>
      <c r="I654" s="458" t="s">
        <v>6955</v>
      </c>
      <c r="J654" s="458">
        <v>0.33333333333333331</v>
      </c>
      <c r="K654" s="143" t="s">
        <v>587</v>
      </c>
      <c r="L654" s="97" t="s">
        <v>2097</v>
      </c>
      <c r="M654" s="97" t="s">
        <v>2097</v>
      </c>
      <c r="N654" s="58" t="s">
        <v>2098</v>
      </c>
      <c r="O654" s="58" t="s">
        <v>5111</v>
      </c>
      <c r="P654" s="206">
        <v>44550</v>
      </c>
      <c r="Q654" s="460">
        <v>44550</v>
      </c>
      <c r="R654" s="460">
        <v>45279</v>
      </c>
      <c r="S654" s="461">
        <v>45280</v>
      </c>
      <c r="T654" s="139">
        <v>2014</v>
      </c>
      <c r="U654" s="139" t="s">
        <v>6956</v>
      </c>
      <c r="V654" s="139">
        <v>2019</v>
      </c>
      <c r="W654" s="139" t="s">
        <v>209</v>
      </c>
      <c r="X654" s="139" t="s">
        <v>30</v>
      </c>
      <c r="Y654" s="462" t="s">
        <v>4862</v>
      </c>
      <c r="Z654" s="140" t="s">
        <v>6957</v>
      </c>
      <c r="AA654" s="140" t="s">
        <v>1841</v>
      </c>
      <c r="AB654" s="460">
        <v>43666</v>
      </c>
      <c r="AC654" s="460">
        <v>45492</v>
      </c>
      <c r="AD654" s="488">
        <v>9052116933</v>
      </c>
      <c r="AE654" s="140" t="s">
        <v>6958</v>
      </c>
      <c r="AF654" s="139" t="s">
        <v>1400</v>
      </c>
      <c r="AG654" s="463" t="s">
        <v>6959</v>
      </c>
      <c r="AH654" s="139" t="s">
        <v>3113</v>
      </c>
      <c r="AI654" s="139" t="s">
        <v>6960</v>
      </c>
      <c r="AJ654" s="464" t="s">
        <v>6961</v>
      </c>
      <c r="AK654" s="140" t="s">
        <v>6962</v>
      </c>
      <c r="AL654" s="206">
        <v>45211</v>
      </c>
      <c r="AM654" s="477">
        <v>45150</v>
      </c>
      <c r="AN654" s="465"/>
      <c r="AO654" s="140"/>
      <c r="AP654" s="139"/>
      <c r="AQ654" s="139"/>
      <c r="AR654" s="58"/>
      <c r="AS654" s="458"/>
      <c r="AT654" s="458"/>
      <c r="AU654" s="461">
        <v>33107</v>
      </c>
      <c r="AV654" s="181" t="s">
        <v>1352</v>
      </c>
      <c r="AW654" s="31" t="s">
        <v>32</v>
      </c>
      <c r="AX654" s="139">
        <v>8</v>
      </c>
      <c r="AY654" s="466">
        <f>VLOOKUP(K654,[3]Master!M631:BA1014,40,0)</f>
        <v>10.5</v>
      </c>
      <c r="AZ654" s="58" t="s">
        <v>1373</v>
      </c>
      <c r="BA654" s="58" t="s">
        <v>151</v>
      </c>
      <c r="BB654" s="58" t="s">
        <v>1407</v>
      </c>
      <c r="BC654" s="58"/>
    </row>
    <row r="655" spans="1:55" x14ac:dyDescent="0.25">
      <c r="A655" s="10">
        <f t="shared" si="31"/>
        <v>654</v>
      </c>
      <c r="B655" s="181" t="s">
        <v>6963</v>
      </c>
      <c r="C655" s="592" t="s">
        <v>1407</v>
      </c>
      <c r="D655" s="457">
        <v>400419</v>
      </c>
      <c r="E655" s="181" t="s">
        <v>36</v>
      </c>
      <c r="F655" s="97" t="s">
        <v>6964</v>
      </c>
      <c r="G655" s="139">
        <v>6</v>
      </c>
      <c r="H655" s="458">
        <v>0.33333333333333331</v>
      </c>
      <c r="I655" s="458">
        <v>0.875</v>
      </c>
      <c r="J655" s="458">
        <v>0.33333333333333331</v>
      </c>
      <c r="K655" s="35" t="s">
        <v>593</v>
      </c>
      <c r="L655" s="97"/>
      <c r="M655" s="63" t="s">
        <v>1355</v>
      </c>
      <c r="N655" s="100" t="s">
        <v>1520</v>
      </c>
      <c r="O655" s="58" t="s">
        <v>5270</v>
      </c>
      <c r="P655" s="206">
        <v>44564</v>
      </c>
      <c r="Q655" s="460">
        <v>44564</v>
      </c>
      <c r="R655" s="460">
        <v>45293</v>
      </c>
      <c r="S655" s="461">
        <f>R655+1</f>
        <v>45294</v>
      </c>
      <c r="T655" s="139"/>
      <c r="U655" s="139">
        <v>2010</v>
      </c>
      <c r="V655" s="139" t="s">
        <v>230</v>
      </c>
      <c r="W655" s="139">
        <v>2016</v>
      </c>
      <c r="X655" s="139" t="s">
        <v>741</v>
      </c>
      <c r="Y655" s="462" t="s">
        <v>3647</v>
      </c>
      <c r="Z655" s="140" t="s">
        <v>6965</v>
      </c>
      <c r="AA655" s="140" t="s">
        <v>1886</v>
      </c>
      <c r="AB655" s="460">
        <v>44249</v>
      </c>
      <c r="AC655" s="460">
        <v>46074</v>
      </c>
      <c r="AD655" s="139">
        <v>7601091442</v>
      </c>
      <c r="AE655" s="467" t="s">
        <v>6966</v>
      </c>
      <c r="AF655" s="139" t="s">
        <v>5086</v>
      </c>
      <c r="AG655" s="491" t="s">
        <v>6967</v>
      </c>
      <c r="AH655" s="139" t="s">
        <v>3039</v>
      </c>
      <c r="AI655" s="139" t="s">
        <v>6968</v>
      </c>
      <c r="AJ655" s="475" t="s">
        <v>6969</v>
      </c>
      <c r="AK655" s="140" t="s">
        <v>6970</v>
      </c>
      <c r="AL655" s="206">
        <v>44797</v>
      </c>
      <c r="AM655" s="477">
        <v>44737</v>
      </c>
      <c r="AN655" s="465"/>
      <c r="AO655" s="140"/>
      <c r="AP655" s="139"/>
      <c r="AQ655" s="139"/>
      <c r="AR655" s="181"/>
      <c r="AS655" s="458"/>
      <c r="AT655" s="458"/>
      <c r="AU655" s="461">
        <v>34193</v>
      </c>
      <c r="AV655" s="181" t="s">
        <v>1389</v>
      </c>
      <c r="AW655" s="31" t="s">
        <v>68</v>
      </c>
      <c r="AX655" s="139">
        <v>8</v>
      </c>
      <c r="AY655" s="466">
        <f>VLOOKUP(K655,[3]Master!M632:BA1015,40,0)</f>
        <v>8</v>
      </c>
      <c r="AZ655" s="58" t="s">
        <v>1373</v>
      </c>
      <c r="BA655" s="58" t="s">
        <v>151</v>
      </c>
      <c r="BB655" s="58" t="s">
        <v>1407</v>
      </c>
      <c r="BC655" s="58"/>
    </row>
    <row r="656" spans="1:55" x14ac:dyDescent="0.25">
      <c r="A656" s="10">
        <f t="shared" si="31"/>
        <v>655</v>
      </c>
      <c r="B656" s="181" t="s">
        <v>6971</v>
      </c>
      <c r="C656" s="592" t="s">
        <v>1407</v>
      </c>
      <c r="D656" s="457">
        <v>400420</v>
      </c>
      <c r="E656" s="181" t="s">
        <v>36</v>
      </c>
      <c r="F656" s="97" t="s">
        <v>6972</v>
      </c>
      <c r="G656" s="139">
        <v>6</v>
      </c>
      <c r="H656" s="458">
        <v>0.66666666666666663</v>
      </c>
      <c r="I656" s="458">
        <v>0.875</v>
      </c>
      <c r="J656" s="458">
        <f>I656-H656</f>
        <v>0.20833333333333337</v>
      </c>
      <c r="K656" s="100" t="s">
        <v>563</v>
      </c>
      <c r="L656" s="97" t="s">
        <v>6973</v>
      </c>
      <c r="M656" s="97" t="s">
        <v>26</v>
      </c>
      <c r="N656" s="58" t="s">
        <v>38</v>
      </c>
      <c r="O656" s="58" t="s">
        <v>5076</v>
      </c>
      <c r="P656" s="206">
        <v>44567</v>
      </c>
      <c r="Q656" s="460">
        <v>45278</v>
      </c>
      <c r="R656" s="460">
        <v>46008</v>
      </c>
      <c r="S656" s="461">
        <v>46009</v>
      </c>
      <c r="T656" s="139">
        <v>2013</v>
      </c>
      <c r="U656" s="139" t="s">
        <v>6974</v>
      </c>
      <c r="V656" s="139">
        <v>2017</v>
      </c>
      <c r="W656" s="139" t="s">
        <v>343</v>
      </c>
      <c r="X656" s="139" t="s">
        <v>30</v>
      </c>
      <c r="Y656" s="462" t="s">
        <v>5078</v>
      </c>
      <c r="Z656" s="140" t="s">
        <v>6975</v>
      </c>
      <c r="AA656" s="140" t="s">
        <v>1886</v>
      </c>
      <c r="AB656" s="460">
        <v>43423</v>
      </c>
      <c r="AC656" s="460">
        <v>45248</v>
      </c>
      <c r="AD656" s="488">
        <v>9985736910</v>
      </c>
      <c r="AE656" s="140" t="s">
        <v>6976</v>
      </c>
      <c r="AF656" s="139" t="s">
        <v>1430</v>
      </c>
      <c r="AG656" s="463" t="s">
        <v>6977</v>
      </c>
      <c r="AH656" s="139" t="s">
        <v>6978</v>
      </c>
      <c r="AI656" s="139" t="s">
        <v>6979</v>
      </c>
      <c r="AJ656" s="464" t="s">
        <v>6980</v>
      </c>
      <c r="AK656" s="140" t="s">
        <v>6981</v>
      </c>
      <c r="AL656" s="461">
        <v>45276</v>
      </c>
      <c r="AM656" s="477"/>
      <c r="AN656" s="465"/>
      <c r="AO656" s="140"/>
      <c r="AP656" s="139"/>
      <c r="AQ656" s="139"/>
      <c r="AR656" s="58"/>
      <c r="AS656" s="458">
        <v>0.66666666666666663</v>
      </c>
      <c r="AT656" s="458">
        <v>0.875</v>
      </c>
      <c r="AU656" s="461">
        <v>32575</v>
      </c>
      <c r="AV656" s="181" t="s">
        <v>1352</v>
      </c>
      <c r="AW656" s="31" t="s">
        <v>32</v>
      </c>
      <c r="AX656" s="139">
        <v>5</v>
      </c>
      <c r="AY656" s="466">
        <f>VLOOKUP(K656,[3]Master!M633:BA1016,40,0)</f>
        <v>8</v>
      </c>
      <c r="AZ656" s="58" t="s">
        <v>26</v>
      </c>
      <c r="BA656" s="58" t="s">
        <v>151</v>
      </c>
      <c r="BB656" s="58" t="s">
        <v>1407</v>
      </c>
      <c r="BC656" s="58"/>
    </row>
    <row r="657" spans="1:55" x14ac:dyDescent="0.25">
      <c r="A657" s="10">
        <f t="shared" si="31"/>
        <v>656</v>
      </c>
      <c r="B657" s="181" t="s">
        <v>6982</v>
      </c>
      <c r="C657" s="592" t="s">
        <v>1407</v>
      </c>
      <c r="D657" s="457">
        <v>400891</v>
      </c>
      <c r="E657" s="181" t="s">
        <v>36</v>
      </c>
      <c r="F657" s="97" t="s">
        <v>6983</v>
      </c>
      <c r="G657" s="139">
        <v>6</v>
      </c>
      <c r="H657" s="469" t="s">
        <v>5118</v>
      </c>
      <c r="I657" s="469" t="s">
        <v>948</v>
      </c>
      <c r="J657" s="458">
        <f>I657-H657</f>
        <v>0.33333333333333331</v>
      </c>
      <c r="K657" s="58" t="s">
        <v>147</v>
      </c>
      <c r="L657" s="97" t="s">
        <v>6984</v>
      </c>
      <c r="M657" s="97" t="s">
        <v>26</v>
      </c>
      <c r="N657" s="58" t="s">
        <v>38</v>
      </c>
      <c r="O657" s="58" t="s">
        <v>5063</v>
      </c>
      <c r="P657" s="206">
        <v>45261</v>
      </c>
      <c r="Q657" s="206">
        <v>45261</v>
      </c>
      <c r="R657" s="206">
        <v>45991</v>
      </c>
      <c r="S657" s="461">
        <v>45992</v>
      </c>
      <c r="T657" s="139">
        <v>2003</v>
      </c>
      <c r="U657" s="181" t="s">
        <v>149</v>
      </c>
      <c r="V657" s="139">
        <v>2013</v>
      </c>
      <c r="W657" s="140" t="s">
        <v>6985</v>
      </c>
      <c r="X657" s="181" t="s">
        <v>30</v>
      </c>
      <c r="Y657" s="58" t="s">
        <v>5066</v>
      </c>
      <c r="Z657" s="140">
        <v>53178</v>
      </c>
      <c r="AA657" s="470" t="s">
        <v>1841</v>
      </c>
      <c r="AB657" s="471">
        <v>45236</v>
      </c>
      <c r="AC657" s="471">
        <v>47062</v>
      </c>
      <c r="AD657" s="472">
        <v>9633992680</v>
      </c>
      <c r="AE657" s="473" t="s">
        <v>6986</v>
      </c>
      <c r="AF657" s="474" t="s">
        <v>1430</v>
      </c>
      <c r="AG657" s="475" t="s">
        <v>6987</v>
      </c>
      <c r="AH657" s="181" t="s">
        <v>2865</v>
      </c>
      <c r="AI657" s="139" t="s">
        <v>6988</v>
      </c>
      <c r="AJ657" s="476">
        <v>222830028452</v>
      </c>
      <c r="AK657" s="470"/>
      <c r="AL657" s="461">
        <v>45487</v>
      </c>
      <c r="AM657" s="477">
        <v>45427</v>
      </c>
      <c r="AN657" s="478" t="s">
        <v>6989</v>
      </c>
      <c r="AO657" s="140" t="s">
        <v>6990</v>
      </c>
      <c r="AP657" s="58"/>
      <c r="AQ657" s="97" t="s">
        <v>6990</v>
      </c>
      <c r="AR657" s="462"/>
      <c r="AS657" s="479">
        <v>0.41666666666666669</v>
      </c>
      <c r="AT657" s="479">
        <v>0.75</v>
      </c>
      <c r="AU657" s="480">
        <v>29366</v>
      </c>
      <c r="AV657" s="181" t="s">
        <v>1389</v>
      </c>
      <c r="AW657" s="31" t="s">
        <v>68</v>
      </c>
      <c r="AX657" s="139">
        <v>8</v>
      </c>
      <c r="AY657" s="58" t="s">
        <v>1849</v>
      </c>
      <c r="AZ657" s="58" t="s">
        <v>26</v>
      </c>
      <c r="BA657" s="58" t="s">
        <v>151</v>
      </c>
      <c r="BB657" s="58" t="s">
        <v>1407</v>
      </c>
      <c r="BC657" s="58"/>
    </row>
    <row r="658" spans="1:55" x14ac:dyDescent="0.25">
      <c r="A658" s="10">
        <f t="shared" si="31"/>
        <v>657</v>
      </c>
      <c r="B658" s="181" t="s">
        <v>5468</v>
      </c>
      <c r="C658" s="592" t="s">
        <v>1407</v>
      </c>
      <c r="D658" s="457">
        <v>400421</v>
      </c>
      <c r="E658" s="181" t="s">
        <v>36</v>
      </c>
      <c r="F658" s="97" t="s">
        <v>5469</v>
      </c>
      <c r="G658" s="139">
        <v>6</v>
      </c>
      <c r="H658" s="458" t="s">
        <v>989</v>
      </c>
      <c r="I658" s="458" t="s">
        <v>978</v>
      </c>
      <c r="J658" s="458">
        <f>I658-H658</f>
        <v>0.16666666666666663</v>
      </c>
      <c r="K658" s="462" t="s">
        <v>6991</v>
      </c>
      <c r="L658" s="97" t="s">
        <v>5470</v>
      </c>
      <c r="M658" s="97" t="s">
        <v>26</v>
      </c>
      <c r="N658" s="58" t="s">
        <v>38</v>
      </c>
      <c r="O658" s="58" t="s">
        <v>5076</v>
      </c>
      <c r="P658" s="206">
        <v>44566</v>
      </c>
      <c r="Q658" s="460">
        <v>45139</v>
      </c>
      <c r="R658" s="460">
        <v>45869</v>
      </c>
      <c r="S658" s="461">
        <v>45870</v>
      </c>
      <c r="T658" s="139">
        <v>2014</v>
      </c>
      <c r="U658" s="139" t="s">
        <v>141</v>
      </c>
      <c r="V658" s="139">
        <v>2018</v>
      </c>
      <c r="W658" s="139" t="s">
        <v>5148</v>
      </c>
      <c r="X658" s="139" t="s">
        <v>30</v>
      </c>
      <c r="Y658" s="462" t="s">
        <v>5151</v>
      </c>
      <c r="Z658" s="140" t="s">
        <v>5471</v>
      </c>
      <c r="AA658" s="140" t="s">
        <v>1841</v>
      </c>
      <c r="AB658" s="460">
        <v>43438</v>
      </c>
      <c r="AC658" s="460">
        <v>45263</v>
      </c>
      <c r="AD658" s="488">
        <v>9700229600</v>
      </c>
      <c r="AE658" s="140" t="s">
        <v>5472</v>
      </c>
      <c r="AF658" s="139" t="s">
        <v>1430</v>
      </c>
      <c r="AG658" s="463" t="s">
        <v>5473</v>
      </c>
      <c r="AH658" s="139" t="s">
        <v>5474</v>
      </c>
      <c r="AI658" s="139" t="s">
        <v>5475</v>
      </c>
      <c r="AJ658" s="464" t="s">
        <v>6992</v>
      </c>
      <c r="AK658" s="140" t="s">
        <v>5476</v>
      </c>
      <c r="AL658" s="461">
        <v>45308</v>
      </c>
      <c r="AM658" s="477">
        <v>45293</v>
      </c>
      <c r="AN658" s="465"/>
      <c r="AO658" s="140">
        <v>0</v>
      </c>
      <c r="AP658" s="139"/>
      <c r="AQ658" s="140"/>
      <c r="AR658" s="58"/>
      <c r="AS658" s="458"/>
      <c r="AT658" s="458">
        <v>0.70833333333333337</v>
      </c>
      <c r="AU658" s="461">
        <v>32422</v>
      </c>
      <c r="AV658" s="181" t="s">
        <v>1352</v>
      </c>
      <c r="AW658" s="31" t="s">
        <v>68</v>
      </c>
      <c r="AX658" s="139">
        <v>4</v>
      </c>
      <c r="AY658" s="58" t="s">
        <v>2006</v>
      </c>
      <c r="AZ658" s="58" t="s">
        <v>26</v>
      </c>
      <c r="BA658" s="58" t="s">
        <v>151</v>
      </c>
      <c r="BB658" s="58" t="s">
        <v>1407</v>
      </c>
      <c r="BC658" s="58"/>
    </row>
    <row r="659" spans="1:55" x14ac:dyDescent="0.25">
      <c r="A659" s="10">
        <f t="shared" si="31"/>
        <v>658</v>
      </c>
      <c r="B659" s="181" t="s">
        <v>6993</v>
      </c>
      <c r="C659" s="592" t="s">
        <v>1407</v>
      </c>
      <c r="D659" s="457">
        <v>400422</v>
      </c>
      <c r="E659" s="181" t="s">
        <v>36</v>
      </c>
      <c r="F659" s="97" t="s">
        <v>6994</v>
      </c>
      <c r="G659" s="139">
        <v>6</v>
      </c>
      <c r="H659" s="458">
        <v>0.70833333333333337</v>
      </c>
      <c r="I659" s="458">
        <v>0.79166666666666663</v>
      </c>
      <c r="J659" s="458">
        <v>8.3333333333333329E-2</v>
      </c>
      <c r="K659" s="35" t="s">
        <v>4447</v>
      </c>
      <c r="L659" s="97" t="s">
        <v>6995</v>
      </c>
      <c r="M659" s="97" t="s">
        <v>26</v>
      </c>
      <c r="N659" s="58" t="s">
        <v>38</v>
      </c>
      <c r="O659" s="58" t="s">
        <v>5050</v>
      </c>
      <c r="P659" s="206">
        <v>44567</v>
      </c>
      <c r="Q659" s="460">
        <v>44567</v>
      </c>
      <c r="R659" s="460">
        <v>45296</v>
      </c>
      <c r="S659" s="461">
        <f>R659+1</f>
        <v>45297</v>
      </c>
      <c r="T659" s="139">
        <v>2015</v>
      </c>
      <c r="U659" s="139" t="s">
        <v>430</v>
      </c>
      <c r="V659" s="139">
        <v>2019</v>
      </c>
      <c r="W659" s="139" t="s">
        <v>164</v>
      </c>
      <c r="X659" s="139"/>
      <c r="Y659" s="462" t="s">
        <v>5151</v>
      </c>
      <c r="Z659" s="140" t="s">
        <v>6996</v>
      </c>
      <c r="AA659" s="140" t="s">
        <v>1841</v>
      </c>
      <c r="AB659" s="460">
        <v>44522</v>
      </c>
      <c r="AC659" s="460">
        <v>46347</v>
      </c>
      <c r="AD659" s="139">
        <v>7411490699</v>
      </c>
      <c r="AE659" s="140" t="s">
        <v>6997</v>
      </c>
      <c r="AF659" s="139" t="s">
        <v>5086</v>
      </c>
      <c r="AG659" s="491" t="s">
        <v>6998</v>
      </c>
      <c r="AH659" s="139" t="s">
        <v>6999</v>
      </c>
      <c r="AI659" s="139" t="s">
        <v>7000</v>
      </c>
      <c r="AJ659" s="475" t="s">
        <v>7001</v>
      </c>
      <c r="AK659" s="140" t="s">
        <v>7002</v>
      </c>
      <c r="AL659" s="461"/>
      <c r="AM659" s="477"/>
      <c r="AN659" s="465"/>
      <c r="AO659" s="140"/>
      <c r="AP659" s="139"/>
      <c r="AQ659" s="139"/>
      <c r="AR659" s="181"/>
      <c r="AS659" s="458"/>
      <c r="AT659" s="458"/>
      <c r="AU659" s="461">
        <v>34001</v>
      </c>
      <c r="AV659" s="181" t="s">
        <v>1389</v>
      </c>
      <c r="AW659" s="31" t="s">
        <v>32</v>
      </c>
      <c r="AX659" s="139">
        <v>2</v>
      </c>
      <c r="AY659" s="58"/>
      <c r="AZ659" s="58" t="s">
        <v>26</v>
      </c>
      <c r="BA659" s="58" t="s">
        <v>151</v>
      </c>
      <c r="BB659" s="58" t="s">
        <v>1407</v>
      </c>
      <c r="BC659" s="58"/>
    </row>
    <row r="660" spans="1:55" x14ac:dyDescent="0.25">
      <c r="A660" s="10">
        <f t="shared" si="31"/>
        <v>659</v>
      </c>
      <c r="B660" s="181" t="s">
        <v>7003</v>
      </c>
      <c r="C660" s="592" t="s">
        <v>1407</v>
      </c>
      <c r="D660" s="457">
        <v>400423</v>
      </c>
      <c r="E660" s="181" t="s">
        <v>36</v>
      </c>
      <c r="F660" s="97" t="s">
        <v>7004</v>
      </c>
      <c r="G660" s="139">
        <v>6</v>
      </c>
      <c r="H660" s="458">
        <v>0.33333333333333331</v>
      </c>
      <c r="I660" s="458">
        <v>0.875</v>
      </c>
      <c r="J660" s="458">
        <v>0.33333333333333331</v>
      </c>
      <c r="K660" s="100" t="s">
        <v>287</v>
      </c>
      <c r="L660" s="97" t="s">
        <v>2015</v>
      </c>
      <c r="M660" s="63" t="s">
        <v>1355</v>
      </c>
      <c r="N660" s="100" t="s">
        <v>1520</v>
      </c>
      <c r="O660" s="58" t="s">
        <v>5270</v>
      </c>
      <c r="P660" s="206">
        <v>44571</v>
      </c>
      <c r="Q660" s="460">
        <v>44571</v>
      </c>
      <c r="R660" s="460">
        <v>45300</v>
      </c>
      <c r="S660" s="461">
        <f>R660+1</f>
        <v>45301</v>
      </c>
      <c r="T660" s="139">
        <v>2012</v>
      </c>
      <c r="U660" s="139" t="s">
        <v>7005</v>
      </c>
      <c r="V660" s="139">
        <v>2017</v>
      </c>
      <c r="W660" s="139" t="s">
        <v>7006</v>
      </c>
      <c r="X660" s="139"/>
      <c r="Y660" s="462" t="s">
        <v>5214</v>
      </c>
      <c r="Z660" s="140"/>
      <c r="AA660" s="140"/>
      <c r="AB660" s="460"/>
      <c r="AC660" s="460"/>
      <c r="AD660" s="139">
        <v>9972423701</v>
      </c>
      <c r="AE660" s="467" t="s">
        <v>7007</v>
      </c>
      <c r="AF660" s="139" t="s">
        <v>5086</v>
      </c>
      <c r="AG660" s="491" t="s">
        <v>7008</v>
      </c>
      <c r="AH660" s="139" t="s">
        <v>7009</v>
      </c>
      <c r="AI660" s="139" t="s">
        <v>7010</v>
      </c>
      <c r="AJ660" s="475" t="s">
        <v>7011</v>
      </c>
      <c r="AK660" s="140" t="s">
        <v>7012</v>
      </c>
      <c r="AL660" s="206">
        <v>44820</v>
      </c>
      <c r="AM660" s="477">
        <v>44754</v>
      </c>
      <c r="AN660" s="465"/>
      <c r="AO660" s="140"/>
      <c r="AP660" s="139"/>
      <c r="AQ660" s="139" t="e">
        <f>DATEDIF(P660,#REF!,"Y")&amp;"."&amp;DATEDIF(P660,#REF!,"ym")</f>
        <v>#REF!</v>
      </c>
      <c r="AR660" s="181"/>
      <c r="AS660" s="458"/>
      <c r="AT660" s="458"/>
      <c r="AU660" s="461">
        <v>32393</v>
      </c>
      <c r="AV660" s="181" t="s">
        <v>1389</v>
      </c>
      <c r="AW660" s="31" t="s">
        <v>68</v>
      </c>
      <c r="AX660" s="139">
        <v>8</v>
      </c>
      <c r="AY660" s="466">
        <f>VLOOKUP(K660,[3]Master!M637:BA1020,40,0)</f>
        <v>4</v>
      </c>
      <c r="AZ660" s="58" t="s">
        <v>1373</v>
      </c>
      <c r="BA660" s="58" t="s">
        <v>151</v>
      </c>
      <c r="BB660" s="58" t="s">
        <v>1407</v>
      </c>
      <c r="BC660" s="58"/>
    </row>
    <row r="661" spans="1:55" x14ac:dyDescent="0.25">
      <c r="A661" s="10">
        <f t="shared" si="31"/>
        <v>660</v>
      </c>
      <c r="B661" s="181" t="s">
        <v>7013</v>
      </c>
      <c r="C661" s="592" t="s">
        <v>1407</v>
      </c>
      <c r="D661" s="457">
        <v>400424</v>
      </c>
      <c r="E661" s="181" t="s">
        <v>9124</v>
      </c>
      <c r="F661" s="97" t="s">
        <v>7014</v>
      </c>
      <c r="G661" s="139">
        <v>6</v>
      </c>
      <c r="H661" s="458" t="s">
        <v>7015</v>
      </c>
      <c r="I661" s="458" t="s">
        <v>7015</v>
      </c>
      <c r="J661" s="458">
        <v>0.25</v>
      </c>
      <c r="K661" s="462" t="s">
        <v>154</v>
      </c>
      <c r="L661" s="97" t="s">
        <v>30</v>
      </c>
      <c r="M661" s="97" t="s">
        <v>1376</v>
      </c>
      <c r="N661" s="58" t="s">
        <v>1393</v>
      </c>
      <c r="O661" s="58" t="s">
        <v>5330</v>
      </c>
      <c r="P661" s="206">
        <v>44991</v>
      </c>
      <c r="Q661" s="460">
        <v>44991</v>
      </c>
      <c r="R661" s="460">
        <v>45721</v>
      </c>
      <c r="S661" s="461">
        <v>45722</v>
      </c>
      <c r="T661" s="139">
        <v>2012</v>
      </c>
      <c r="U661" s="139" t="s">
        <v>7016</v>
      </c>
      <c r="V661" s="139">
        <v>2017</v>
      </c>
      <c r="W661" s="139" t="s">
        <v>413</v>
      </c>
      <c r="X661" s="139" t="s">
        <v>30</v>
      </c>
      <c r="Y661" s="462" t="s">
        <v>7017</v>
      </c>
      <c r="Z661" s="140" t="s">
        <v>7018</v>
      </c>
      <c r="AA661" s="140"/>
      <c r="AB661" s="460"/>
      <c r="AC661" s="460"/>
      <c r="AD661" s="139">
        <v>8374290969</v>
      </c>
      <c r="AE661" s="467" t="s">
        <v>7019</v>
      </c>
      <c r="AF661" s="139" t="s">
        <v>1466</v>
      </c>
      <c r="AG661" s="463">
        <v>52340100005731</v>
      </c>
      <c r="AH661" s="139" t="s">
        <v>7020</v>
      </c>
      <c r="AI661" s="139" t="s">
        <v>7021</v>
      </c>
      <c r="AJ661" s="464" t="s">
        <v>7022</v>
      </c>
      <c r="AK661" s="140" t="s">
        <v>7023</v>
      </c>
      <c r="AL661" s="206">
        <v>45099</v>
      </c>
      <c r="AM661" s="477"/>
      <c r="AN661" s="465"/>
      <c r="AO661" s="140"/>
      <c r="AP661" s="139"/>
      <c r="AQ661" s="139" t="e">
        <v>#N/A</v>
      </c>
      <c r="AR661" s="181"/>
      <c r="AS661" s="458"/>
      <c r="AT661" s="458"/>
      <c r="AU661" s="461">
        <v>32034</v>
      </c>
      <c r="AV661" s="181" t="s">
        <v>1389</v>
      </c>
      <c r="AW661" s="31" t="s">
        <v>68</v>
      </c>
      <c r="AX661" s="139">
        <v>6</v>
      </c>
      <c r="AY661" s="58" t="s">
        <v>1904</v>
      </c>
      <c r="AZ661" s="58" t="s">
        <v>1390</v>
      </c>
      <c r="BA661" s="58" t="s">
        <v>151</v>
      </c>
      <c r="BB661" s="58" t="s">
        <v>1407</v>
      </c>
      <c r="BC661" s="58"/>
    </row>
    <row r="662" spans="1:55" x14ac:dyDescent="0.25">
      <c r="A662" s="10">
        <f t="shared" si="31"/>
        <v>661</v>
      </c>
      <c r="B662" s="181" t="s">
        <v>7024</v>
      </c>
      <c r="C662" s="592" t="s">
        <v>1407</v>
      </c>
      <c r="D662" s="457">
        <v>400425</v>
      </c>
      <c r="E662" s="181" t="s">
        <v>36</v>
      </c>
      <c r="F662" s="97" t="s">
        <v>7025</v>
      </c>
      <c r="G662" s="139">
        <v>6</v>
      </c>
      <c r="H662" s="458">
        <v>0.35416666666666669</v>
      </c>
      <c r="I662" s="458">
        <v>0.4375</v>
      </c>
      <c r="J662" s="458">
        <v>8.3333333333333329E-2</v>
      </c>
      <c r="K662" s="128" t="s">
        <v>7026</v>
      </c>
      <c r="L662" s="97" t="s">
        <v>7027</v>
      </c>
      <c r="M662" s="97" t="s">
        <v>26</v>
      </c>
      <c r="N662" s="58" t="s">
        <v>38</v>
      </c>
      <c r="O662" s="58" t="s">
        <v>5050</v>
      </c>
      <c r="P662" s="206">
        <v>44588</v>
      </c>
      <c r="Q662" s="460">
        <v>44588</v>
      </c>
      <c r="R662" s="460">
        <v>45317</v>
      </c>
      <c r="S662" s="461">
        <f>R662+1</f>
        <v>45318</v>
      </c>
      <c r="T662" s="139">
        <v>2012</v>
      </c>
      <c r="U662" s="139" t="s">
        <v>7028</v>
      </c>
      <c r="V662" s="139">
        <v>2021</v>
      </c>
      <c r="W662" s="139" t="s">
        <v>7029</v>
      </c>
      <c r="X662" s="139"/>
      <c r="Y662" s="462" t="s">
        <v>5078</v>
      </c>
      <c r="Z662" s="140"/>
      <c r="AA662" s="140"/>
      <c r="AB662" s="460"/>
      <c r="AC662" s="460"/>
      <c r="AD662" s="139">
        <v>7386444766</v>
      </c>
      <c r="AE662" s="140" t="s">
        <v>7030</v>
      </c>
      <c r="AF662" s="139" t="s">
        <v>1466</v>
      </c>
      <c r="AG662" s="491" t="s">
        <v>7031</v>
      </c>
      <c r="AH662" s="139" t="s">
        <v>7032</v>
      </c>
      <c r="AI662" s="139" t="s">
        <v>7033</v>
      </c>
      <c r="AJ662" s="475" t="s">
        <v>7034</v>
      </c>
      <c r="AK662" s="140" t="s">
        <v>7035</v>
      </c>
      <c r="AL662" s="461"/>
      <c r="AM662" s="477"/>
      <c r="AN662" s="465"/>
      <c r="AO662" s="140"/>
      <c r="AP662" s="139"/>
      <c r="AQ662" s="139"/>
      <c r="AR662" s="181"/>
      <c r="AS662" s="458"/>
      <c r="AT662" s="458"/>
      <c r="AU662" s="461">
        <v>31618</v>
      </c>
      <c r="AV662" s="181" t="s">
        <v>1389</v>
      </c>
      <c r="AW662" s="31" t="s">
        <v>32</v>
      </c>
      <c r="AX662" s="139">
        <v>2</v>
      </c>
      <c r="AY662" s="58" t="s">
        <v>1881</v>
      </c>
      <c r="AZ662" s="58" t="s">
        <v>26</v>
      </c>
      <c r="BA662" s="58" t="s">
        <v>151</v>
      </c>
      <c r="BB662" s="58" t="s">
        <v>1407</v>
      </c>
      <c r="BC662" s="58"/>
    </row>
    <row r="663" spans="1:55" x14ac:dyDescent="0.25">
      <c r="A663" s="10">
        <f t="shared" si="31"/>
        <v>662</v>
      </c>
      <c r="B663" s="181" t="s">
        <v>7036</v>
      </c>
      <c r="C663" s="592" t="s">
        <v>1407</v>
      </c>
      <c r="D663" s="457">
        <v>400426</v>
      </c>
      <c r="E663" s="181" t="s">
        <v>36</v>
      </c>
      <c r="F663" s="97" t="s">
        <v>7037</v>
      </c>
      <c r="G663" s="139">
        <v>6</v>
      </c>
      <c r="H663" s="458">
        <v>0.33333333333333331</v>
      </c>
      <c r="I663" s="458">
        <v>0.375</v>
      </c>
      <c r="J663" s="458">
        <v>4.1666666666666664E-2</v>
      </c>
      <c r="K663" s="143" t="s">
        <v>1266</v>
      </c>
      <c r="L663" s="97"/>
      <c r="M663" s="97" t="s">
        <v>1376</v>
      </c>
      <c r="N663" s="58" t="s">
        <v>1393</v>
      </c>
      <c r="O663" s="58"/>
      <c r="P663" s="206">
        <v>44588</v>
      </c>
      <c r="Q663" s="460">
        <v>44588</v>
      </c>
      <c r="R663" s="460">
        <v>45317</v>
      </c>
      <c r="S663" s="461">
        <f>R663+1</f>
        <v>45318</v>
      </c>
      <c r="T663" s="139"/>
      <c r="U663" s="139"/>
      <c r="V663" s="139"/>
      <c r="W663" s="139"/>
      <c r="X663" s="139"/>
      <c r="Y663" s="462" t="s">
        <v>226</v>
      </c>
      <c r="Z663" s="140">
        <v>73979</v>
      </c>
      <c r="AA663" s="140" t="s">
        <v>1841</v>
      </c>
      <c r="AB663" s="460">
        <v>42773</v>
      </c>
      <c r="AC663" s="460">
        <v>44598</v>
      </c>
      <c r="AD663" s="139">
        <v>9963527578</v>
      </c>
      <c r="AE663" s="140" t="s">
        <v>7038</v>
      </c>
      <c r="AF663" s="139" t="s">
        <v>5086</v>
      </c>
      <c r="AG663" s="491" t="s">
        <v>7039</v>
      </c>
      <c r="AH663" s="139" t="s">
        <v>7040</v>
      </c>
      <c r="AI663" s="139" t="s">
        <v>7041</v>
      </c>
      <c r="AJ663" s="475" t="s">
        <v>7042</v>
      </c>
      <c r="AK663" s="140" t="s">
        <v>7043</v>
      </c>
      <c r="AL663" s="206"/>
      <c r="AM663" s="477"/>
      <c r="AN663" s="465"/>
      <c r="AO663" s="140"/>
      <c r="AP663" s="139"/>
      <c r="AQ663" s="139"/>
      <c r="AR663" s="181"/>
      <c r="AS663" s="468"/>
      <c r="AT663" s="468"/>
      <c r="AU663" s="461">
        <v>31360</v>
      </c>
      <c r="AV663" s="181" t="s">
        <v>1389</v>
      </c>
      <c r="AW663" s="31" t="s">
        <v>32</v>
      </c>
      <c r="AX663" s="139">
        <v>1</v>
      </c>
      <c r="AY663" s="466">
        <f>VLOOKUP(K663,[3]Master!M640:BA1023,40,0)</f>
        <v>1</v>
      </c>
      <c r="AZ663" s="58" t="s">
        <v>1390</v>
      </c>
      <c r="BA663" s="58" t="s">
        <v>151</v>
      </c>
      <c r="BB663" s="58" t="s">
        <v>1407</v>
      </c>
      <c r="BC663" s="58"/>
    </row>
    <row r="664" spans="1:55" x14ac:dyDescent="0.25">
      <c r="A664" s="10">
        <f t="shared" si="31"/>
        <v>663</v>
      </c>
      <c r="B664" s="181" t="s">
        <v>7044</v>
      </c>
      <c r="C664" s="592" t="s">
        <v>1407</v>
      </c>
      <c r="D664" s="457">
        <v>400427</v>
      </c>
      <c r="E664" s="181" t="s">
        <v>36</v>
      </c>
      <c r="F664" s="97" t="s">
        <v>7045</v>
      </c>
      <c r="G664" s="139">
        <v>6</v>
      </c>
      <c r="H664" s="458">
        <v>0.33333333333333331</v>
      </c>
      <c r="I664" s="458">
        <v>0.41666666666666669</v>
      </c>
      <c r="J664" s="458">
        <f>I664-H664</f>
        <v>8.333333333333337E-2</v>
      </c>
      <c r="K664" s="100" t="s">
        <v>194</v>
      </c>
      <c r="L664" s="97" t="s">
        <v>1376</v>
      </c>
      <c r="M664" s="97" t="s">
        <v>1376</v>
      </c>
      <c r="N664" s="58" t="s">
        <v>1393</v>
      </c>
      <c r="O664" s="58" t="s">
        <v>3290</v>
      </c>
      <c r="P664" s="206">
        <v>44588</v>
      </c>
      <c r="Q664" s="460">
        <v>44588</v>
      </c>
      <c r="R664" s="460">
        <v>45317</v>
      </c>
      <c r="S664" s="461">
        <v>45318</v>
      </c>
      <c r="T664" s="139"/>
      <c r="U664" s="139"/>
      <c r="V664" s="139"/>
      <c r="W664" s="139"/>
      <c r="X664" s="139" t="s">
        <v>30</v>
      </c>
      <c r="Y664" s="462" t="s">
        <v>226</v>
      </c>
      <c r="Z664" s="140">
        <v>74060</v>
      </c>
      <c r="AA664" s="140" t="s">
        <v>1841</v>
      </c>
      <c r="AB664" s="460">
        <v>43530</v>
      </c>
      <c r="AC664" s="460">
        <v>45356</v>
      </c>
      <c r="AD664" s="488">
        <v>9989968800</v>
      </c>
      <c r="AE664" s="140" t="s">
        <v>7046</v>
      </c>
      <c r="AF664" s="139" t="s">
        <v>5086</v>
      </c>
      <c r="AG664" s="463" t="s">
        <v>7047</v>
      </c>
      <c r="AH664" s="139" t="s">
        <v>7048</v>
      </c>
      <c r="AI664" s="139" t="s">
        <v>7049</v>
      </c>
      <c r="AJ664" s="464" t="s">
        <v>7050</v>
      </c>
      <c r="AK664" s="140" t="s">
        <v>7051</v>
      </c>
      <c r="AL664" s="206">
        <v>45203</v>
      </c>
      <c r="AM664" s="477"/>
      <c r="AN664" s="465"/>
      <c r="AO664" s="140"/>
      <c r="AP664" s="139"/>
      <c r="AQ664" s="139"/>
      <c r="AR664" s="58"/>
      <c r="AS664" s="458" t="e">
        <v>#N/A</v>
      </c>
      <c r="AT664" s="458"/>
      <c r="AU664" s="461">
        <v>32310</v>
      </c>
      <c r="AV664" s="181" t="s">
        <v>1389</v>
      </c>
      <c r="AW664" s="31" t="s">
        <v>32</v>
      </c>
      <c r="AX664" s="139">
        <v>2</v>
      </c>
      <c r="AY664" s="466">
        <f>VLOOKUP(K664,[3]Master!M641:BA1024,40,0)</f>
        <v>2</v>
      </c>
      <c r="AZ664" s="58" t="s">
        <v>1390</v>
      </c>
      <c r="BA664" s="58" t="s">
        <v>151</v>
      </c>
      <c r="BB664" s="58" t="s">
        <v>1407</v>
      </c>
      <c r="BC664" s="58"/>
    </row>
    <row r="665" spans="1:55" x14ac:dyDescent="0.25">
      <c r="A665" s="10">
        <f t="shared" si="31"/>
        <v>664</v>
      </c>
      <c r="B665" s="181" t="s">
        <v>4091</v>
      </c>
      <c r="C665" s="592" t="s">
        <v>1407</v>
      </c>
      <c r="D665" s="457">
        <v>400428</v>
      </c>
      <c r="E665" s="181" t="s">
        <v>36</v>
      </c>
      <c r="F665" s="97" t="s">
        <v>7052</v>
      </c>
      <c r="G665" s="139">
        <v>6</v>
      </c>
      <c r="H665" s="458">
        <v>0.33333333333333331</v>
      </c>
      <c r="I665" s="458">
        <v>0.875</v>
      </c>
      <c r="J665" s="458">
        <v>0.33333333333333331</v>
      </c>
      <c r="K665" s="100" t="s">
        <v>287</v>
      </c>
      <c r="L665" s="97" t="s">
        <v>2097</v>
      </c>
      <c r="M665" s="97" t="s">
        <v>2097</v>
      </c>
      <c r="N665" s="58" t="s">
        <v>2098</v>
      </c>
      <c r="O665" s="58" t="s">
        <v>5111</v>
      </c>
      <c r="P665" s="206">
        <v>44593</v>
      </c>
      <c r="Q665" s="460">
        <v>44593</v>
      </c>
      <c r="R665" s="460">
        <v>45322</v>
      </c>
      <c r="S665" s="461">
        <f>R665+1</f>
        <v>45323</v>
      </c>
      <c r="T665" s="139">
        <v>2012</v>
      </c>
      <c r="U665" s="139" t="s">
        <v>7053</v>
      </c>
      <c r="V665" s="139">
        <v>2018</v>
      </c>
      <c r="W665" s="139" t="s">
        <v>4526</v>
      </c>
      <c r="X665" s="139"/>
      <c r="Y665" s="462" t="s">
        <v>4862</v>
      </c>
      <c r="Z665" s="140" t="s">
        <v>4095</v>
      </c>
      <c r="AA665" s="140" t="s">
        <v>1841</v>
      </c>
      <c r="AB665" s="460">
        <v>44376</v>
      </c>
      <c r="AC665" s="460">
        <v>46201</v>
      </c>
      <c r="AD665" s="139">
        <v>9703690661</v>
      </c>
      <c r="AE665" s="467" t="s">
        <v>4096</v>
      </c>
      <c r="AF665" s="139" t="s">
        <v>1430</v>
      </c>
      <c r="AG665" s="491" t="s">
        <v>4097</v>
      </c>
      <c r="AH665" s="139" t="s">
        <v>4098</v>
      </c>
      <c r="AI665" s="139" t="s">
        <v>4099</v>
      </c>
      <c r="AJ665" s="475" t="s">
        <v>4100</v>
      </c>
      <c r="AK665" s="140" t="s">
        <v>7054</v>
      </c>
      <c r="AL665" s="206"/>
      <c r="AM665" s="477"/>
      <c r="AN665" s="465"/>
      <c r="AO665" s="140"/>
      <c r="AP665" s="139"/>
      <c r="AQ665" s="139" t="e">
        <v>#REF!</v>
      </c>
      <c r="AR665" s="181"/>
      <c r="AS665" s="458"/>
      <c r="AT665" s="458"/>
      <c r="AU665" s="461">
        <v>32972</v>
      </c>
      <c r="AV665" s="181" t="s">
        <v>1389</v>
      </c>
      <c r="AW665" s="31" t="s">
        <v>68</v>
      </c>
      <c r="AX665" s="139">
        <v>8</v>
      </c>
      <c r="AY665" s="466">
        <f>VLOOKUP(K665,[3]Master!M642:BA1025,40,0)</f>
        <v>4</v>
      </c>
      <c r="AZ665" s="58" t="s">
        <v>1373</v>
      </c>
      <c r="BA665" s="58" t="s">
        <v>151</v>
      </c>
      <c r="BB665" s="58" t="s">
        <v>1407</v>
      </c>
      <c r="BC665" s="58"/>
    </row>
    <row r="666" spans="1:55" x14ac:dyDescent="0.25">
      <c r="A666" s="10">
        <f t="shared" si="31"/>
        <v>665</v>
      </c>
      <c r="B666" s="181" t="s">
        <v>7055</v>
      </c>
      <c r="C666" s="592" t="s">
        <v>1407</v>
      </c>
      <c r="D666" s="457">
        <v>400429</v>
      </c>
      <c r="E666" s="181" t="s">
        <v>36</v>
      </c>
      <c r="F666" s="97" t="s">
        <v>7056</v>
      </c>
      <c r="G666" s="139">
        <v>6</v>
      </c>
      <c r="H666" s="458">
        <v>0.33333333333333331</v>
      </c>
      <c r="I666" s="458">
        <v>0.875</v>
      </c>
      <c r="J666" s="458">
        <v>0.33333333333333331</v>
      </c>
      <c r="K666" s="58" t="s">
        <v>147</v>
      </c>
      <c r="L666" s="97" t="s">
        <v>2097</v>
      </c>
      <c r="M666" s="97" t="s">
        <v>2097</v>
      </c>
      <c r="N666" s="58" t="s">
        <v>2098</v>
      </c>
      <c r="O666" s="58" t="s">
        <v>5111</v>
      </c>
      <c r="P666" s="206">
        <v>44594</v>
      </c>
      <c r="Q666" s="460">
        <v>44594</v>
      </c>
      <c r="R666" s="460">
        <v>45323</v>
      </c>
      <c r="S666" s="461">
        <v>45324</v>
      </c>
      <c r="T666" s="139">
        <v>2008</v>
      </c>
      <c r="U666" s="139" t="s">
        <v>380</v>
      </c>
      <c r="V666" s="139">
        <v>2019</v>
      </c>
      <c r="W666" s="139" t="s">
        <v>163</v>
      </c>
      <c r="X666" s="139" t="s">
        <v>30</v>
      </c>
      <c r="Y666" s="462" t="s">
        <v>4862</v>
      </c>
      <c r="Z666" s="140"/>
      <c r="AA666" s="140"/>
      <c r="AB666" s="460"/>
      <c r="AC666" s="460"/>
      <c r="AD666" s="139">
        <v>8125252549</v>
      </c>
      <c r="AE666" s="467" t="s">
        <v>7057</v>
      </c>
      <c r="AF666" s="139" t="s">
        <v>1430</v>
      </c>
      <c r="AG666" s="463" t="s">
        <v>7058</v>
      </c>
      <c r="AH666" s="139" t="s">
        <v>7059</v>
      </c>
      <c r="AI666" s="139" t="s">
        <v>7060</v>
      </c>
      <c r="AJ666" s="464" t="s">
        <v>7061</v>
      </c>
      <c r="AK666" s="140" t="s">
        <v>7062</v>
      </c>
      <c r="AL666" s="206">
        <v>45106</v>
      </c>
      <c r="AM666" s="477"/>
      <c r="AN666" s="465"/>
      <c r="AO666" s="140"/>
      <c r="AP666" s="139"/>
      <c r="AQ666" s="139" t="e">
        <v>#N/A</v>
      </c>
      <c r="AR666" s="181"/>
      <c r="AS666" s="458"/>
      <c r="AT666" s="458"/>
      <c r="AU666" s="461">
        <v>30445</v>
      </c>
      <c r="AV666" s="181" t="s">
        <v>1389</v>
      </c>
      <c r="AW666" s="31" t="s">
        <v>68</v>
      </c>
      <c r="AX666" s="139">
        <v>8</v>
      </c>
      <c r="AY666" s="466">
        <f>VLOOKUP(K666,[3]Master!M643:BA1026,40,0)</f>
        <v>8</v>
      </c>
      <c r="AZ666" s="58" t="s">
        <v>1373</v>
      </c>
      <c r="BA666" s="58" t="s">
        <v>151</v>
      </c>
      <c r="BB666" s="58" t="s">
        <v>1407</v>
      </c>
      <c r="BC666" s="58"/>
    </row>
    <row r="667" spans="1:55" x14ac:dyDescent="0.25">
      <c r="A667" s="10">
        <f t="shared" si="31"/>
        <v>666</v>
      </c>
      <c r="B667" s="181" t="s">
        <v>7063</v>
      </c>
      <c r="C667" s="592" t="s">
        <v>1407</v>
      </c>
      <c r="D667" s="457">
        <v>400430</v>
      </c>
      <c r="E667" s="181" t="s">
        <v>36</v>
      </c>
      <c r="F667" s="97" t="s">
        <v>7064</v>
      </c>
      <c r="G667" s="139">
        <v>6</v>
      </c>
      <c r="H667" s="458">
        <v>0.60416666666666663</v>
      </c>
      <c r="I667" s="458">
        <v>0.83333333333333337</v>
      </c>
      <c r="J667" s="458">
        <f>I667-H667</f>
        <v>0.22916666666666674</v>
      </c>
      <c r="K667" s="100" t="s">
        <v>287</v>
      </c>
      <c r="L667" s="97" t="s">
        <v>2015</v>
      </c>
      <c r="M667" s="63" t="s">
        <v>1355</v>
      </c>
      <c r="N667" s="100" t="s">
        <v>1520</v>
      </c>
      <c r="O667" s="58" t="s">
        <v>5270</v>
      </c>
      <c r="P667" s="206">
        <v>44594</v>
      </c>
      <c r="Q667" s="460">
        <v>44594</v>
      </c>
      <c r="R667" s="460">
        <v>45323</v>
      </c>
      <c r="S667" s="461">
        <f t="shared" ref="S667:S676" si="32">R667+1</f>
        <v>45324</v>
      </c>
      <c r="T667" s="139">
        <v>2012</v>
      </c>
      <c r="U667" s="139" t="s">
        <v>4526</v>
      </c>
      <c r="V667" s="139">
        <v>2021</v>
      </c>
      <c r="W667" s="139" t="s">
        <v>7065</v>
      </c>
      <c r="X667" s="139"/>
      <c r="Y667" s="462" t="s">
        <v>5214</v>
      </c>
      <c r="Z667" s="140"/>
      <c r="AA667" s="140"/>
      <c r="AB667" s="460"/>
      <c r="AC667" s="460"/>
      <c r="AD667" s="139" t="s">
        <v>7066</v>
      </c>
      <c r="AE667" s="467" t="s">
        <v>7067</v>
      </c>
      <c r="AF667" s="139" t="s">
        <v>5086</v>
      </c>
      <c r="AG667" s="491" t="s">
        <v>7068</v>
      </c>
      <c r="AH667" s="139" t="s">
        <v>7069</v>
      </c>
      <c r="AI667" s="139" t="s">
        <v>7070</v>
      </c>
      <c r="AJ667" s="475" t="s">
        <v>7071</v>
      </c>
      <c r="AK667" s="140" t="s">
        <v>7072</v>
      </c>
      <c r="AL667" s="206">
        <v>44798</v>
      </c>
      <c r="AM667" s="477"/>
      <c r="AN667" s="465"/>
      <c r="AO667" s="140"/>
      <c r="AP667" s="139"/>
      <c r="AQ667" s="139" t="e">
        <v>#REF!</v>
      </c>
      <c r="AR667" s="181"/>
      <c r="AS667" s="458"/>
      <c r="AT667" s="458"/>
      <c r="AU667" s="461">
        <v>32772</v>
      </c>
      <c r="AV667" s="181" t="s">
        <v>1389</v>
      </c>
      <c r="AW667" s="31" t="s">
        <v>32</v>
      </c>
      <c r="AX667" s="139">
        <v>5.5</v>
      </c>
      <c r="AY667" s="466">
        <f>VLOOKUP(K667,[3]Master!M644:BA1027,40,0)</f>
        <v>4</v>
      </c>
      <c r="AZ667" s="58" t="s">
        <v>1373</v>
      </c>
      <c r="BA667" s="58" t="s">
        <v>151</v>
      </c>
      <c r="BB667" s="58" t="s">
        <v>1407</v>
      </c>
      <c r="BC667" s="58"/>
    </row>
    <row r="668" spans="1:55" x14ac:dyDescent="0.25">
      <c r="A668" s="10">
        <f t="shared" si="31"/>
        <v>667</v>
      </c>
      <c r="B668" s="181" t="s">
        <v>7073</v>
      </c>
      <c r="C668" s="592" t="s">
        <v>1407</v>
      </c>
      <c r="D668" s="457">
        <v>400432</v>
      </c>
      <c r="E668" s="181" t="s">
        <v>36</v>
      </c>
      <c r="F668" s="97" t="s">
        <v>7074</v>
      </c>
      <c r="G668" s="139">
        <v>6</v>
      </c>
      <c r="H668" s="458">
        <v>0.75</v>
      </c>
      <c r="I668" s="458">
        <v>0.875</v>
      </c>
      <c r="J668" s="458">
        <v>0.125</v>
      </c>
      <c r="K668" s="100" t="s">
        <v>287</v>
      </c>
      <c r="L668" s="97" t="s">
        <v>2015</v>
      </c>
      <c r="M668" s="63" t="s">
        <v>1355</v>
      </c>
      <c r="N668" s="100" t="s">
        <v>1520</v>
      </c>
      <c r="O668" s="58" t="s">
        <v>5270</v>
      </c>
      <c r="P668" s="206">
        <v>44594</v>
      </c>
      <c r="Q668" s="460">
        <v>44594</v>
      </c>
      <c r="R668" s="460">
        <v>45323</v>
      </c>
      <c r="S668" s="461">
        <f t="shared" si="32"/>
        <v>45324</v>
      </c>
      <c r="T668" s="139">
        <v>2010</v>
      </c>
      <c r="U668" s="139" t="s">
        <v>250</v>
      </c>
      <c r="V668" s="139">
        <v>2021</v>
      </c>
      <c r="W668" s="139" t="s">
        <v>499</v>
      </c>
      <c r="X668" s="139"/>
      <c r="Y668" s="462" t="s">
        <v>5214</v>
      </c>
      <c r="Z668" s="140"/>
      <c r="AA668" s="140"/>
      <c r="AB668" s="460"/>
      <c r="AC668" s="460"/>
      <c r="AD668" s="139">
        <v>9553139588</v>
      </c>
      <c r="AE668" s="467" t="s">
        <v>7075</v>
      </c>
      <c r="AF668" s="139" t="s">
        <v>1430</v>
      </c>
      <c r="AG668" s="491" t="s">
        <v>7076</v>
      </c>
      <c r="AH668" s="139" t="s">
        <v>4248</v>
      </c>
      <c r="AI668" s="139" t="s">
        <v>7077</v>
      </c>
      <c r="AJ668" s="475" t="s">
        <v>7078</v>
      </c>
      <c r="AK668" s="140" t="s">
        <v>7079</v>
      </c>
      <c r="AL668" s="206"/>
      <c r="AM668" s="477">
        <v>44798</v>
      </c>
      <c r="AN668" s="465"/>
      <c r="AO668" s="140"/>
      <c r="AP668" s="139"/>
      <c r="AQ668" s="139" t="e">
        <v>#REF!</v>
      </c>
      <c r="AR668" s="181"/>
      <c r="AS668" s="458"/>
      <c r="AT668" s="458"/>
      <c r="AU668" s="461">
        <v>31710</v>
      </c>
      <c r="AV668" s="181" t="s">
        <v>1389</v>
      </c>
      <c r="AW668" s="31" t="s">
        <v>32</v>
      </c>
      <c r="AX668" s="139">
        <v>3</v>
      </c>
      <c r="AY668" s="466">
        <f>VLOOKUP(K668,[3]Master!M645:BA1028,40,0)</f>
        <v>4</v>
      </c>
      <c r="AZ668" s="58" t="s">
        <v>1373</v>
      </c>
      <c r="BA668" s="58" t="s">
        <v>151</v>
      </c>
      <c r="BB668" s="58" t="s">
        <v>1407</v>
      </c>
      <c r="BC668" s="58"/>
    </row>
    <row r="669" spans="1:55" x14ac:dyDescent="0.25">
      <c r="A669" s="10">
        <f t="shared" si="31"/>
        <v>668</v>
      </c>
      <c r="B669" s="181" t="s">
        <v>7080</v>
      </c>
      <c r="C669" s="592" t="s">
        <v>1407</v>
      </c>
      <c r="D669" s="457">
        <v>400434</v>
      </c>
      <c r="E669" s="181" t="s">
        <v>36</v>
      </c>
      <c r="F669" s="97" t="s">
        <v>7081</v>
      </c>
      <c r="G669" s="139">
        <v>6</v>
      </c>
      <c r="H669" s="458">
        <v>0.35416666666666669</v>
      </c>
      <c r="I669" s="458">
        <v>0.4375</v>
      </c>
      <c r="J669" s="458">
        <v>8.3333333333333329E-2</v>
      </c>
      <c r="K669" s="462" t="s">
        <v>557</v>
      </c>
      <c r="L669" s="97" t="s">
        <v>7082</v>
      </c>
      <c r="M669" s="97" t="s">
        <v>26</v>
      </c>
      <c r="N669" s="58" t="s">
        <v>38</v>
      </c>
      <c r="O669" s="58" t="s">
        <v>5050</v>
      </c>
      <c r="P669" s="206">
        <v>44596</v>
      </c>
      <c r="Q669" s="460">
        <v>44596</v>
      </c>
      <c r="R669" s="460">
        <v>45325</v>
      </c>
      <c r="S669" s="461">
        <f t="shared" si="32"/>
        <v>45326</v>
      </c>
      <c r="T669" s="139">
        <v>2013</v>
      </c>
      <c r="U669" s="139" t="s">
        <v>5077</v>
      </c>
      <c r="V669" s="139">
        <v>2017</v>
      </c>
      <c r="W669" s="139" t="s">
        <v>5077</v>
      </c>
      <c r="X669" s="139"/>
      <c r="Y669" s="462" t="s">
        <v>5078</v>
      </c>
      <c r="Z669" s="140" t="s">
        <v>7083</v>
      </c>
      <c r="AA669" s="140" t="s">
        <v>1841</v>
      </c>
      <c r="AB669" s="460">
        <v>43470</v>
      </c>
      <c r="AC669" s="460">
        <v>45295</v>
      </c>
      <c r="AD669" s="139">
        <v>9059688543</v>
      </c>
      <c r="AE669" s="467" t="s">
        <v>7084</v>
      </c>
      <c r="AF669" s="139" t="s">
        <v>1364</v>
      </c>
      <c r="AG669" s="491" t="s">
        <v>7085</v>
      </c>
      <c r="AH669" s="139" t="s">
        <v>6435</v>
      </c>
      <c r="AI669" s="139" t="s">
        <v>7086</v>
      </c>
      <c r="AJ669" s="475" t="s">
        <v>7087</v>
      </c>
      <c r="AK669" s="140" t="s">
        <v>7088</v>
      </c>
      <c r="AL669" s="461">
        <v>44689</v>
      </c>
      <c r="AM669" s="477" t="s">
        <v>30</v>
      </c>
      <c r="AN669" s="496" t="s">
        <v>7089</v>
      </c>
      <c r="AO669" s="140"/>
      <c r="AP669" s="139"/>
      <c r="AQ669" s="139"/>
      <c r="AR669" s="181"/>
      <c r="AS669" s="468"/>
      <c r="AT669" s="468"/>
      <c r="AU669" s="461">
        <v>32977</v>
      </c>
      <c r="AV669" s="181" t="s">
        <v>1389</v>
      </c>
      <c r="AW669" s="31" t="s">
        <v>32</v>
      </c>
      <c r="AX669" s="139">
        <v>2</v>
      </c>
      <c r="AY669" s="58" t="s">
        <v>1959</v>
      </c>
      <c r="AZ669" s="58" t="s">
        <v>26</v>
      </c>
      <c r="BA669" s="58" t="s">
        <v>151</v>
      </c>
      <c r="BB669" s="58" t="s">
        <v>1407</v>
      </c>
      <c r="BC669" s="58"/>
    </row>
    <row r="670" spans="1:55" x14ac:dyDescent="0.25">
      <c r="A670" s="10">
        <f t="shared" si="31"/>
        <v>669</v>
      </c>
      <c r="B670" s="181" t="s">
        <v>7090</v>
      </c>
      <c r="C670" s="592" t="s">
        <v>1407</v>
      </c>
      <c r="D670" s="457">
        <v>400435</v>
      </c>
      <c r="E670" s="181" t="s">
        <v>36</v>
      </c>
      <c r="F670" s="97" t="s">
        <v>7091</v>
      </c>
      <c r="G670" s="139">
        <v>6</v>
      </c>
      <c r="H670" s="458">
        <v>0.375</v>
      </c>
      <c r="I670" s="458">
        <v>0.45833333333333331</v>
      </c>
      <c r="J670" s="458">
        <v>8.3333333333333329E-2</v>
      </c>
      <c r="K670" s="58" t="s">
        <v>341</v>
      </c>
      <c r="L670" s="97"/>
      <c r="M670" s="97" t="s">
        <v>1376</v>
      </c>
      <c r="N670" s="58" t="s">
        <v>1393</v>
      </c>
      <c r="O670" s="58"/>
      <c r="P670" s="206">
        <v>44599</v>
      </c>
      <c r="Q670" s="460">
        <v>44599</v>
      </c>
      <c r="R670" s="460">
        <v>45328</v>
      </c>
      <c r="S670" s="461">
        <f t="shared" si="32"/>
        <v>45329</v>
      </c>
      <c r="T670" s="139"/>
      <c r="U670" s="139"/>
      <c r="V670" s="139"/>
      <c r="W670" s="139"/>
      <c r="X670" s="139"/>
      <c r="Y670" s="462" t="s">
        <v>226</v>
      </c>
      <c r="Z670" s="140" t="s">
        <v>7092</v>
      </c>
      <c r="AA670" s="140" t="s">
        <v>1841</v>
      </c>
      <c r="AB670" s="460">
        <v>43766</v>
      </c>
      <c r="AC670" s="460">
        <v>45593</v>
      </c>
      <c r="AD670" s="139">
        <v>8886840402</v>
      </c>
      <c r="AE670" s="140" t="s">
        <v>7093</v>
      </c>
      <c r="AF670" s="139" t="s">
        <v>1690</v>
      </c>
      <c r="AG670" s="491" t="s">
        <v>7094</v>
      </c>
      <c r="AH670" s="139" t="s">
        <v>7095</v>
      </c>
      <c r="AI670" s="139" t="s">
        <v>7096</v>
      </c>
      <c r="AJ670" s="475" t="s">
        <v>7097</v>
      </c>
      <c r="AK670" s="140" t="s">
        <v>7098</v>
      </c>
      <c r="AL670" s="206"/>
      <c r="AM670" s="477">
        <v>44659</v>
      </c>
      <c r="AN670" s="465"/>
      <c r="AO670" s="140"/>
      <c r="AP670" s="139"/>
      <c r="AQ670" s="139"/>
      <c r="AR670" s="181"/>
      <c r="AS670" s="458"/>
      <c r="AT670" s="458"/>
      <c r="AU670" s="461">
        <v>34734</v>
      </c>
      <c r="AV670" s="181" t="s">
        <v>1389</v>
      </c>
      <c r="AW670" s="31" t="s">
        <v>32</v>
      </c>
      <c r="AX670" s="139">
        <v>2</v>
      </c>
      <c r="AY670" s="14" t="s">
        <v>1881</v>
      </c>
      <c r="AZ670" s="58" t="s">
        <v>1390</v>
      </c>
      <c r="BA670" s="58" t="s">
        <v>151</v>
      </c>
      <c r="BB670" s="58" t="s">
        <v>1407</v>
      </c>
      <c r="BC670" s="58"/>
    </row>
    <row r="671" spans="1:55" x14ac:dyDescent="0.25">
      <c r="A671" s="10">
        <f t="shared" si="31"/>
        <v>670</v>
      </c>
      <c r="B671" s="181" t="s">
        <v>7099</v>
      </c>
      <c r="C671" s="592" t="s">
        <v>1407</v>
      </c>
      <c r="D671" s="457">
        <v>400436</v>
      </c>
      <c r="E671" s="181" t="s">
        <v>36</v>
      </c>
      <c r="F671" s="97" t="s">
        <v>7100</v>
      </c>
      <c r="G671" s="139">
        <v>6</v>
      </c>
      <c r="H671" s="458">
        <v>0.375</v>
      </c>
      <c r="I671" s="458">
        <v>0.41666666666666669</v>
      </c>
      <c r="J671" s="458">
        <v>4.1666666666666664E-2</v>
      </c>
      <c r="K671" s="100" t="s">
        <v>961</v>
      </c>
      <c r="L671" s="97"/>
      <c r="M671" s="97" t="s">
        <v>1376</v>
      </c>
      <c r="N671" s="58" t="s">
        <v>1393</v>
      </c>
      <c r="O671" s="58"/>
      <c r="P671" s="206">
        <v>44601</v>
      </c>
      <c r="Q671" s="460">
        <v>44601</v>
      </c>
      <c r="R671" s="460">
        <v>45330</v>
      </c>
      <c r="S671" s="461">
        <f t="shared" si="32"/>
        <v>45331</v>
      </c>
      <c r="T671" s="139"/>
      <c r="U671" s="139"/>
      <c r="V671" s="139"/>
      <c r="W671" s="139"/>
      <c r="X671" s="139"/>
      <c r="Y671" s="462" t="s">
        <v>226</v>
      </c>
      <c r="Z671" s="140" t="s">
        <v>7101</v>
      </c>
      <c r="AA671" s="140" t="s">
        <v>1841</v>
      </c>
      <c r="AB671" s="460">
        <v>43645</v>
      </c>
      <c r="AC671" s="460">
        <v>45472</v>
      </c>
      <c r="AD671" s="139">
        <v>9247711220</v>
      </c>
      <c r="AE671" s="140" t="s">
        <v>7102</v>
      </c>
      <c r="AF671" s="139" t="s">
        <v>5086</v>
      </c>
      <c r="AG671" s="491" t="s">
        <v>7103</v>
      </c>
      <c r="AH671" s="139" t="s">
        <v>7104</v>
      </c>
      <c r="AI671" s="139" t="s">
        <v>7105</v>
      </c>
      <c r="AJ671" s="475" t="s">
        <v>7106</v>
      </c>
      <c r="AK671" s="140" t="s">
        <v>7107</v>
      </c>
      <c r="AL671" s="206">
        <v>44822</v>
      </c>
      <c r="AM671" s="477">
        <v>44761</v>
      </c>
      <c r="AN671" s="465"/>
      <c r="AO671" s="140"/>
      <c r="AP671" s="139"/>
      <c r="AQ671" s="139" t="e">
        <v>#REF!</v>
      </c>
      <c r="AR671" s="181"/>
      <c r="AS671" s="458"/>
      <c r="AT671" s="458"/>
      <c r="AU671" s="461">
        <v>35069</v>
      </c>
      <c r="AV671" s="181" t="s">
        <v>1389</v>
      </c>
      <c r="AW671" s="31" t="s">
        <v>32</v>
      </c>
      <c r="AX671" s="139">
        <v>1</v>
      </c>
      <c r="AY671" s="58" t="s">
        <v>1849</v>
      </c>
      <c r="AZ671" s="58" t="s">
        <v>1390</v>
      </c>
      <c r="BA671" s="58" t="s">
        <v>151</v>
      </c>
      <c r="BB671" s="58" t="s">
        <v>1407</v>
      </c>
      <c r="BC671" s="58"/>
    </row>
    <row r="672" spans="1:55" x14ac:dyDescent="0.25">
      <c r="A672" s="10">
        <f t="shared" si="31"/>
        <v>671</v>
      </c>
      <c r="B672" s="181" t="s">
        <v>4942</v>
      </c>
      <c r="C672" s="592" t="s">
        <v>1407</v>
      </c>
      <c r="D672" s="457">
        <v>400437</v>
      </c>
      <c r="E672" s="181" t="s">
        <v>36</v>
      </c>
      <c r="F672" s="97" t="s">
        <v>4943</v>
      </c>
      <c r="G672" s="139">
        <v>6</v>
      </c>
      <c r="H672" s="458">
        <v>0.33333333333333331</v>
      </c>
      <c r="I672" s="458">
        <v>0.41666666666666669</v>
      </c>
      <c r="J672" s="458">
        <f>I672-H672</f>
        <v>8.333333333333337E-2</v>
      </c>
      <c r="K672" s="100" t="s">
        <v>819</v>
      </c>
      <c r="L672" s="97" t="s">
        <v>7108</v>
      </c>
      <c r="M672" s="97" t="s">
        <v>26</v>
      </c>
      <c r="N672" s="58" t="s">
        <v>38</v>
      </c>
      <c r="O672" s="58" t="s">
        <v>5050</v>
      </c>
      <c r="P672" s="206">
        <v>44601</v>
      </c>
      <c r="Q672" s="460">
        <v>44601</v>
      </c>
      <c r="R672" s="460">
        <v>45330</v>
      </c>
      <c r="S672" s="461">
        <f t="shared" si="32"/>
        <v>45331</v>
      </c>
      <c r="T672" s="139">
        <v>2013</v>
      </c>
      <c r="U672" s="139" t="s">
        <v>7109</v>
      </c>
      <c r="V672" s="139">
        <v>2018</v>
      </c>
      <c r="W672" s="139" t="s">
        <v>516</v>
      </c>
      <c r="X672" s="139"/>
      <c r="Y672" s="462" t="s">
        <v>5078</v>
      </c>
      <c r="Z672" s="140" t="s">
        <v>4947</v>
      </c>
      <c r="AA672" s="140" t="s">
        <v>1841</v>
      </c>
      <c r="AB672" s="460">
        <v>43367</v>
      </c>
      <c r="AC672" s="460">
        <v>45192</v>
      </c>
      <c r="AD672" s="139">
        <v>8008416988</v>
      </c>
      <c r="AE672" s="467" t="s">
        <v>4948</v>
      </c>
      <c r="AF672" s="139" t="s">
        <v>1430</v>
      </c>
      <c r="AG672" s="491" t="s">
        <v>6035</v>
      </c>
      <c r="AH672" s="139" t="s">
        <v>4098</v>
      </c>
      <c r="AI672" s="139" t="s">
        <v>4951</v>
      </c>
      <c r="AJ672" s="464" t="s">
        <v>4952</v>
      </c>
      <c r="AK672" s="140" t="s">
        <v>6036</v>
      </c>
      <c r="AL672" s="461"/>
      <c r="AM672" s="477"/>
      <c r="AN672" s="465"/>
      <c r="AO672" s="140"/>
      <c r="AP672" s="139"/>
      <c r="AQ672" s="139" t="e">
        <v>#REF!</v>
      </c>
      <c r="AR672" s="181"/>
      <c r="AS672" s="458"/>
      <c r="AT672" s="458"/>
      <c r="AU672" s="461">
        <v>33296</v>
      </c>
      <c r="AV672" s="181" t="s">
        <v>1352</v>
      </c>
      <c r="AW672" s="31" t="s">
        <v>32</v>
      </c>
      <c r="AX672" s="139">
        <v>2</v>
      </c>
      <c r="AY672" s="466">
        <f>VLOOKUP(K672,[3]Master!M649:BA1032,40,0)</f>
        <v>2</v>
      </c>
      <c r="AZ672" s="58" t="s">
        <v>26</v>
      </c>
      <c r="BA672" s="58" t="s">
        <v>151</v>
      </c>
      <c r="BB672" s="58" t="s">
        <v>1407</v>
      </c>
      <c r="BC672" s="58"/>
    </row>
    <row r="673" spans="1:55" x14ac:dyDescent="0.25">
      <c r="A673" s="10">
        <f t="shared" si="31"/>
        <v>672</v>
      </c>
      <c r="B673" s="181" t="s">
        <v>7110</v>
      </c>
      <c r="C673" s="592" t="s">
        <v>1407</v>
      </c>
      <c r="D673" s="457">
        <v>400438</v>
      </c>
      <c r="E673" s="181" t="s">
        <v>36</v>
      </c>
      <c r="F673" s="97" t="s">
        <v>7111</v>
      </c>
      <c r="G673" s="139">
        <v>6</v>
      </c>
      <c r="H673" s="458">
        <v>0.41666666666666669</v>
      </c>
      <c r="I673" s="458">
        <v>0.5</v>
      </c>
      <c r="J673" s="458">
        <f>I673-H673</f>
        <v>8.3333333333333315E-2</v>
      </c>
      <c r="K673" s="143" t="s">
        <v>7112</v>
      </c>
      <c r="L673" s="97" t="s">
        <v>7113</v>
      </c>
      <c r="M673" s="97" t="s">
        <v>26</v>
      </c>
      <c r="N673" s="58" t="s">
        <v>38</v>
      </c>
      <c r="O673" s="58" t="s">
        <v>5050</v>
      </c>
      <c r="P673" s="206">
        <v>44602</v>
      </c>
      <c r="Q673" s="460">
        <v>44602</v>
      </c>
      <c r="R673" s="460">
        <v>45331</v>
      </c>
      <c r="S673" s="461">
        <f t="shared" si="32"/>
        <v>45332</v>
      </c>
      <c r="T673" s="139">
        <v>2015</v>
      </c>
      <c r="U673" s="139" t="s">
        <v>7114</v>
      </c>
      <c r="V673" s="139">
        <v>2020</v>
      </c>
      <c r="W673" s="139" t="s">
        <v>7115</v>
      </c>
      <c r="X673" s="139" t="s">
        <v>30</v>
      </c>
      <c r="Y673" s="462" t="s">
        <v>5151</v>
      </c>
      <c r="Z673" s="140" t="s">
        <v>7116</v>
      </c>
      <c r="AA673" s="140" t="s">
        <v>1841</v>
      </c>
      <c r="AB673" s="460">
        <v>44497</v>
      </c>
      <c r="AC673" s="460">
        <v>46322</v>
      </c>
      <c r="AD673" s="139">
        <v>9700926765</v>
      </c>
      <c r="AE673" s="467" t="s">
        <v>7117</v>
      </c>
      <c r="AF673" s="139" t="s">
        <v>1430</v>
      </c>
      <c r="AG673" s="491" t="s">
        <v>7118</v>
      </c>
      <c r="AH673" s="139" t="s">
        <v>7119</v>
      </c>
      <c r="AI673" s="139" t="s">
        <v>7120</v>
      </c>
      <c r="AJ673" s="475" t="s">
        <v>7121</v>
      </c>
      <c r="AK673" s="140" t="s">
        <v>7122</v>
      </c>
      <c r="AL673" s="461">
        <v>44814</v>
      </c>
      <c r="AM673" s="477">
        <v>44753</v>
      </c>
      <c r="AN673" s="465"/>
      <c r="AO673" s="140"/>
      <c r="AP673" s="139"/>
      <c r="AQ673" s="139" t="e">
        <v>#REF!</v>
      </c>
      <c r="AR673" s="181"/>
      <c r="AS673" s="458"/>
      <c r="AT673" s="458"/>
      <c r="AU673" s="461">
        <v>32976</v>
      </c>
      <c r="AV673" s="181" t="s">
        <v>1352</v>
      </c>
      <c r="AW673" s="31" t="s">
        <v>32</v>
      </c>
      <c r="AX673" s="139">
        <v>2</v>
      </c>
      <c r="AY673" s="58" t="s">
        <v>1968</v>
      </c>
      <c r="AZ673" s="58" t="s">
        <v>26</v>
      </c>
      <c r="BA673" s="58" t="s">
        <v>151</v>
      </c>
      <c r="BB673" s="58" t="s">
        <v>1407</v>
      </c>
      <c r="BC673" s="58"/>
    </row>
    <row r="674" spans="1:55" x14ac:dyDescent="0.25">
      <c r="A674" s="10">
        <f t="shared" si="31"/>
        <v>673</v>
      </c>
      <c r="B674" s="181" t="s">
        <v>7123</v>
      </c>
      <c r="C674" s="592" t="s">
        <v>1407</v>
      </c>
      <c r="D674" s="457">
        <v>400440</v>
      </c>
      <c r="E674" s="181" t="s">
        <v>36</v>
      </c>
      <c r="F674" s="97" t="s">
        <v>7124</v>
      </c>
      <c r="G674" s="139">
        <v>6</v>
      </c>
      <c r="H674" s="458">
        <v>0.70833333333333337</v>
      </c>
      <c r="I674" s="458">
        <v>0.79166666666666663</v>
      </c>
      <c r="J674" s="458">
        <v>8.3333333333333329E-2</v>
      </c>
      <c r="K674" s="587" t="s">
        <v>11088</v>
      </c>
      <c r="L674" s="97" t="s">
        <v>7125</v>
      </c>
      <c r="M674" s="97" t="s">
        <v>26</v>
      </c>
      <c r="N674" s="58" t="s">
        <v>38</v>
      </c>
      <c r="O674" s="58" t="s">
        <v>5050</v>
      </c>
      <c r="P674" s="206">
        <v>44606</v>
      </c>
      <c r="Q674" s="460">
        <v>44606</v>
      </c>
      <c r="R674" s="460">
        <v>45335</v>
      </c>
      <c r="S674" s="461">
        <f t="shared" si="32"/>
        <v>45336</v>
      </c>
      <c r="T674" s="139">
        <v>2014</v>
      </c>
      <c r="U674" s="139" t="s">
        <v>209</v>
      </c>
      <c r="V674" s="139">
        <v>2018</v>
      </c>
      <c r="W674" s="139" t="s">
        <v>209</v>
      </c>
      <c r="X674" s="139"/>
      <c r="Y674" s="462" t="s">
        <v>5078</v>
      </c>
      <c r="Z674" s="140" t="s">
        <v>7126</v>
      </c>
      <c r="AA674" s="140" t="s">
        <v>1841</v>
      </c>
      <c r="AB674" s="460">
        <v>43294</v>
      </c>
      <c r="AC674" s="460">
        <v>45119</v>
      </c>
      <c r="AD674" s="139">
        <v>8019050215</v>
      </c>
      <c r="AE674" s="140" t="s">
        <v>7127</v>
      </c>
      <c r="AF674" s="139" t="s">
        <v>5086</v>
      </c>
      <c r="AG674" s="491" t="s">
        <v>7128</v>
      </c>
      <c r="AH674" s="139" t="s">
        <v>2083</v>
      </c>
      <c r="AI674" s="139" t="s">
        <v>7129</v>
      </c>
      <c r="AJ674" s="475" t="s">
        <v>7130</v>
      </c>
      <c r="AK674" s="140" t="s">
        <v>7131</v>
      </c>
      <c r="AL674" s="461"/>
      <c r="AM674" s="477"/>
      <c r="AN674" s="465"/>
      <c r="AO674" s="140"/>
      <c r="AP674" s="139"/>
      <c r="AQ674" s="139"/>
      <c r="AR674" s="181"/>
      <c r="AS674" s="458"/>
      <c r="AT674" s="458"/>
      <c r="AU674" s="461">
        <v>33310</v>
      </c>
      <c r="AV674" s="181" t="s">
        <v>1352</v>
      </c>
      <c r="AW674" s="31" t="s">
        <v>32</v>
      </c>
      <c r="AX674" s="139">
        <v>2</v>
      </c>
      <c r="AY674" s="58" t="s">
        <v>2189</v>
      </c>
      <c r="AZ674" s="58" t="s">
        <v>26</v>
      </c>
      <c r="BA674" s="58" t="s">
        <v>151</v>
      </c>
      <c r="BB674" s="58" t="s">
        <v>1407</v>
      </c>
      <c r="BC674" s="58"/>
    </row>
    <row r="675" spans="1:55" x14ac:dyDescent="0.25">
      <c r="A675" s="10">
        <f t="shared" si="31"/>
        <v>674</v>
      </c>
      <c r="B675" s="181" t="s">
        <v>7132</v>
      </c>
      <c r="C675" s="592" t="s">
        <v>1407</v>
      </c>
      <c r="D675" s="457">
        <v>400441</v>
      </c>
      <c r="E675" s="181" t="s">
        <v>36</v>
      </c>
      <c r="F675" s="97" t="s">
        <v>7133</v>
      </c>
      <c r="G675" s="139">
        <v>6</v>
      </c>
      <c r="H675" s="458">
        <v>0.75</v>
      </c>
      <c r="I675" s="458">
        <v>0.875</v>
      </c>
      <c r="J675" s="458">
        <v>0.125</v>
      </c>
      <c r="K675" s="100" t="s">
        <v>287</v>
      </c>
      <c r="L675" s="97" t="s">
        <v>7134</v>
      </c>
      <c r="M675" s="97" t="s">
        <v>26</v>
      </c>
      <c r="N675" s="58" t="s">
        <v>38</v>
      </c>
      <c r="O675" s="58" t="s">
        <v>5050</v>
      </c>
      <c r="P675" s="206">
        <v>44607</v>
      </c>
      <c r="Q675" s="460">
        <v>44607</v>
      </c>
      <c r="R675" s="460">
        <v>45336</v>
      </c>
      <c r="S675" s="461">
        <f t="shared" si="32"/>
        <v>45337</v>
      </c>
      <c r="T675" s="139">
        <v>2017</v>
      </c>
      <c r="U675" s="139" t="s">
        <v>196</v>
      </c>
      <c r="V675" s="139">
        <v>2021</v>
      </c>
      <c r="W675" s="139" t="s">
        <v>7135</v>
      </c>
      <c r="X675" s="139"/>
      <c r="Y675" s="462" t="s">
        <v>5078</v>
      </c>
      <c r="Z675" s="140" t="s">
        <v>7136</v>
      </c>
      <c r="AA675" s="140"/>
      <c r="AB675" s="460"/>
      <c r="AC675" s="460"/>
      <c r="AD675" s="139">
        <v>9985814658</v>
      </c>
      <c r="AE675" s="140" t="s">
        <v>7137</v>
      </c>
      <c r="AF675" s="139" t="s">
        <v>2207</v>
      </c>
      <c r="AG675" s="491" t="s">
        <v>7138</v>
      </c>
      <c r="AH675" s="139" t="s">
        <v>7139</v>
      </c>
      <c r="AI675" s="139" t="s">
        <v>7140</v>
      </c>
      <c r="AJ675" s="475" t="s">
        <v>7141</v>
      </c>
      <c r="AK675" s="140" t="s">
        <v>7142</v>
      </c>
      <c r="AL675" s="461">
        <v>44623</v>
      </c>
      <c r="AM675" s="477"/>
      <c r="AN675" s="465"/>
      <c r="AO675" s="140"/>
      <c r="AP675" s="139"/>
      <c r="AQ675" s="139"/>
      <c r="AR675" s="181"/>
      <c r="AS675" s="458"/>
      <c r="AT675" s="458"/>
      <c r="AU675" s="461">
        <v>34099</v>
      </c>
      <c r="AV675" s="181" t="s">
        <v>1389</v>
      </c>
      <c r="AW675" s="31" t="s">
        <v>32</v>
      </c>
      <c r="AX675" s="139">
        <v>3</v>
      </c>
      <c r="AY675" s="466">
        <f>VLOOKUP(K675,[3]Master!M652:BA1035,40,0)</f>
        <v>8</v>
      </c>
      <c r="AZ675" s="58" t="s">
        <v>26</v>
      </c>
      <c r="BA675" s="58" t="s">
        <v>151</v>
      </c>
      <c r="BB675" s="58" t="s">
        <v>1407</v>
      </c>
      <c r="BC675" s="58"/>
    </row>
    <row r="676" spans="1:55" x14ac:dyDescent="0.25">
      <c r="A676" s="10">
        <f t="shared" si="31"/>
        <v>675</v>
      </c>
      <c r="B676" s="181" t="s">
        <v>7143</v>
      </c>
      <c r="C676" s="592" t="s">
        <v>1407</v>
      </c>
      <c r="D676" s="457">
        <v>400442</v>
      </c>
      <c r="E676" s="181" t="s">
        <v>36</v>
      </c>
      <c r="F676" s="97" t="s">
        <v>7144</v>
      </c>
      <c r="G676" s="139">
        <v>6</v>
      </c>
      <c r="H676" s="458">
        <v>0.375</v>
      </c>
      <c r="I676" s="458">
        <v>0.4375</v>
      </c>
      <c r="J676" s="458">
        <f>I676-H676</f>
        <v>6.25E-2</v>
      </c>
      <c r="K676" s="58" t="s">
        <v>11083</v>
      </c>
      <c r="L676" s="97" t="s">
        <v>7145</v>
      </c>
      <c r="M676" s="97" t="s">
        <v>26</v>
      </c>
      <c r="N676" s="58" t="s">
        <v>38</v>
      </c>
      <c r="O676" s="58" t="s">
        <v>5050</v>
      </c>
      <c r="P676" s="206">
        <v>44608</v>
      </c>
      <c r="Q676" s="460">
        <v>44608</v>
      </c>
      <c r="R676" s="460">
        <v>45337</v>
      </c>
      <c r="S676" s="461">
        <f t="shared" si="32"/>
        <v>45338</v>
      </c>
      <c r="T676" s="139"/>
      <c r="U676" s="139" t="s">
        <v>169</v>
      </c>
      <c r="V676" s="139">
        <v>2019</v>
      </c>
      <c r="W676" s="139" t="s">
        <v>209</v>
      </c>
      <c r="X676" s="139" t="s">
        <v>2496</v>
      </c>
      <c r="Y676" s="462" t="s">
        <v>1236</v>
      </c>
      <c r="Z676" s="140">
        <v>73818</v>
      </c>
      <c r="AA676" s="140" t="s">
        <v>1841</v>
      </c>
      <c r="AB676" s="460">
        <v>43666</v>
      </c>
      <c r="AC676" s="460">
        <v>45492</v>
      </c>
      <c r="AD676" s="139">
        <v>9032386274</v>
      </c>
      <c r="AE676" s="467" t="s">
        <v>7146</v>
      </c>
      <c r="AF676" s="139" t="s">
        <v>1430</v>
      </c>
      <c r="AG676" s="491" t="s">
        <v>7147</v>
      </c>
      <c r="AH676" s="139" t="s">
        <v>7148</v>
      </c>
      <c r="AI676" s="139" t="s">
        <v>7149</v>
      </c>
      <c r="AJ676" s="475" t="s">
        <v>7150</v>
      </c>
      <c r="AK676" s="140" t="s">
        <v>7151</v>
      </c>
      <c r="AL676" s="461">
        <v>44811</v>
      </c>
      <c r="AM676" s="477">
        <v>44750</v>
      </c>
      <c r="AN676" s="465"/>
      <c r="AO676" s="140"/>
      <c r="AP676" s="139"/>
      <c r="AQ676" s="139" t="e">
        <v>#REF!</v>
      </c>
      <c r="AR676" s="181"/>
      <c r="AS676" s="458"/>
      <c r="AT676" s="458"/>
      <c r="AU676" s="461">
        <v>31370</v>
      </c>
      <c r="AV676" s="181" t="s">
        <v>1352</v>
      </c>
      <c r="AW676" s="31" t="s">
        <v>32</v>
      </c>
      <c r="AX676" s="139">
        <v>1.5</v>
      </c>
      <c r="AY676" s="58" t="s">
        <v>2469</v>
      </c>
      <c r="AZ676" s="58" t="s">
        <v>26</v>
      </c>
      <c r="BA676" s="58" t="s">
        <v>151</v>
      </c>
      <c r="BB676" s="58" t="s">
        <v>1407</v>
      </c>
      <c r="BC676" s="58"/>
    </row>
    <row r="677" spans="1:55" x14ac:dyDescent="0.25">
      <c r="A677" s="10">
        <f t="shared" si="31"/>
        <v>676</v>
      </c>
      <c r="B677" s="181" t="s">
        <v>320</v>
      </c>
      <c r="C677" s="592" t="s">
        <v>1407</v>
      </c>
      <c r="D677" s="457">
        <v>400443</v>
      </c>
      <c r="E677" s="181" t="s">
        <v>36</v>
      </c>
      <c r="F677" s="97" t="s">
        <v>321</v>
      </c>
      <c r="G677" s="139">
        <v>6</v>
      </c>
      <c r="H677" s="458">
        <v>0.33333333333333331</v>
      </c>
      <c r="I677" s="458">
        <v>0.41666666666666669</v>
      </c>
      <c r="J677" s="458">
        <f>I677-H677</f>
        <v>8.333333333333337E-2</v>
      </c>
      <c r="K677" s="35" t="s">
        <v>770</v>
      </c>
      <c r="L677" s="97" t="s">
        <v>324</v>
      </c>
      <c r="M677" s="97" t="s">
        <v>26</v>
      </c>
      <c r="N677" s="58" t="s">
        <v>38</v>
      </c>
      <c r="O677" s="58" t="s">
        <v>5050</v>
      </c>
      <c r="P677" s="206">
        <v>44620</v>
      </c>
      <c r="Q677" s="460">
        <v>44620</v>
      </c>
      <c r="R677" s="460">
        <v>45349</v>
      </c>
      <c r="S677" s="461">
        <v>45350</v>
      </c>
      <c r="T677" s="139"/>
      <c r="U677" s="139">
        <v>2011</v>
      </c>
      <c r="V677" s="139" t="s">
        <v>325</v>
      </c>
      <c r="W677" s="139">
        <v>2017</v>
      </c>
      <c r="X677" s="139" t="s">
        <v>326</v>
      </c>
      <c r="Y677" s="462" t="s">
        <v>1236</v>
      </c>
      <c r="Z677" s="140" t="s">
        <v>2271</v>
      </c>
      <c r="AA677" s="140" t="s">
        <v>1841</v>
      </c>
      <c r="AB677" s="460">
        <v>43298</v>
      </c>
      <c r="AC677" s="460">
        <v>45123</v>
      </c>
      <c r="AD677" s="139">
        <v>9676702828</v>
      </c>
      <c r="AE677" s="467" t="s">
        <v>327</v>
      </c>
      <c r="AF677" s="139" t="s">
        <v>1364</v>
      </c>
      <c r="AG677" s="491" t="s">
        <v>2272</v>
      </c>
      <c r="AH677" s="139" t="s">
        <v>2273</v>
      </c>
      <c r="AI677" s="139" t="s">
        <v>2274</v>
      </c>
      <c r="AJ677" s="475" t="s">
        <v>2275</v>
      </c>
      <c r="AK677" s="140" t="s">
        <v>2276</v>
      </c>
      <c r="AL677" s="461">
        <v>44804</v>
      </c>
      <c r="AM677" s="477">
        <v>44743</v>
      </c>
      <c r="AN677" s="465"/>
      <c r="AO677" s="140"/>
      <c r="AP677" s="139"/>
      <c r="AQ677" s="139"/>
      <c r="AR677" s="181"/>
      <c r="AS677" s="458"/>
      <c r="AT677" s="458"/>
      <c r="AU677" s="461">
        <v>32414</v>
      </c>
      <c r="AV677" s="181" t="s">
        <v>1352</v>
      </c>
      <c r="AW677" s="31" t="s">
        <v>32</v>
      </c>
      <c r="AX677" s="139">
        <v>2</v>
      </c>
      <c r="AY677" s="58" t="s">
        <v>2006</v>
      </c>
      <c r="AZ677" s="58" t="s">
        <v>26</v>
      </c>
      <c r="BA677" s="58" t="s">
        <v>151</v>
      </c>
      <c r="BB677" s="58" t="s">
        <v>1407</v>
      </c>
      <c r="BC677" s="58"/>
    </row>
    <row r="678" spans="1:55" x14ac:dyDescent="0.25">
      <c r="A678" s="10">
        <f t="shared" si="31"/>
        <v>677</v>
      </c>
      <c r="B678" s="181" t="s">
        <v>7152</v>
      </c>
      <c r="C678" s="592" t="s">
        <v>1407</v>
      </c>
      <c r="D678" s="457">
        <v>400444</v>
      </c>
      <c r="E678" s="181" t="s">
        <v>36</v>
      </c>
      <c r="F678" s="97" t="s">
        <v>7153</v>
      </c>
      <c r="G678" s="139">
        <v>6</v>
      </c>
      <c r="H678" s="469" t="s">
        <v>948</v>
      </c>
      <c r="I678" s="469" t="s">
        <v>978</v>
      </c>
      <c r="J678" s="458">
        <f>I678-H678</f>
        <v>0.125</v>
      </c>
      <c r="K678" s="58" t="s">
        <v>1151</v>
      </c>
      <c r="L678" s="97" t="s">
        <v>2015</v>
      </c>
      <c r="M678" s="63" t="s">
        <v>1355</v>
      </c>
      <c r="N678" s="100" t="s">
        <v>1520</v>
      </c>
      <c r="O678" s="58" t="s">
        <v>5168</v>
      </c>
      <c r="P678" s="206">
        <v>44621</v>
      </c>
      <c r="Q678" s="206">
        <v>44621</v>
      </c>
      <c r="R678" s="206">
        <v>45350</v>
      </c>
      <c r="S678" s="461">
        <v>45352</v>
      </c>
      <c r="T678" s="139">
        <v>2014</v>
      </c>
      <c r="U678" s="181" t="s">
        <v>7154</v>
      </c>
      <c r="V678" s="139">
        <v>2020</v>
      </c>
      <c r="W678" s="140" t="s">
        <v>7155</v>
      </c>
      <c r="X678" s="181" t="s">
        <v>30</v>
      </c>
      <c r="Y678" s="58" t="s">
        <v>7156</v>
      </c>
      <c r="Z678" s="140" t="s">
        <v>7157</v>
      </c>
      <c r="AA678" s="97" t="s">
        <v>1886</v>
      </c>
      <c r="AB678" s="471">
        <v>44170</v>
      </c>
      <c r="AC678" s="471">
        <v>45995</v>
      </c>
      <c r="AD678" s="472">
        <v>9866112537</v>
      </c>
      <c r="AE678" s="473" t="s">
        <v>7158</v>
      </c>
      <c r="AF678" s="97" t="s">
        <v>5086</v>
      </c>
      <c r="AG678" s="482" t="s">
        <v>7159</v>
      </c>
      <c r="AH678" s="181" t="s">
        <v>7160</v>
      </c>
      <c r="AI678" s="139" t="s">
        <v>7161</v>
      </c>
      <c r="AJ678" s="464">
        <v>743778429945</v>
      </c>
      <c r="AK678" s="97" t="s">
        <v>7162</v>
      </c>
      <c r="AL678" s="206">
        <v>45367</v>
      </c>
      <c r="AM678" s="477">
        <v>45367</v>
      </c>
      <c r="AN678" s="465"/>
      <c r="AO678" s="97"/>
      <c r="AP678" s="58"/>
      <c r="AQ678" s="486"/>
      <c r="AR678" s="462"/>
      <c r="AS678" s="479">
        <v>0.75</v>
      </c>
      <c r="AT678" s="479">
        <v>0.875</v>
      </c>
      <c r="AU678" s="461">
        <v>32669</v>
      </c>
      <c r="AV678" s="181" t="s">
        <v>1352</v>
      </c>
      <c r="AW678" s="31" t="s">
        <v>32</v>
      </c>
      <c r="AX678" s="139">
        <v>3</v>
      </c>
      <c r="AY678" s="466">
        <f>VLOOKUP(K678,[3]Master!M655:BA1038,40,0)</f>
        <v>3</v>
      </c>
      <c r="AZ678" s="58" t="s">
        <v>1373</v>
      </c>
      <c r="BA678" s="58" t="s">
        <v>151</v>
      </c>
      <c r="BB678" s="58" t="s">
        <v>1407</v>
      </c>
      <c r="BC678" s="58"/>
    </row>
    <row r="679" spans="1:55" x14ac:dyDescent="0.25">
      <c r="A679" s="10">
        <f t="shared" si="31"/>
        <v>678</v>
      </c>
      <c r="B679" s="181" t="s">
        <v>7163</v>
      </c>
      <c r="C679" s="592" t="s">
        <v>1407</v>
      </c>
      <c r="D679" s="457">
        <v>400445</v>
      </c>
      <c r="E679" s="181" t="s">
        <v>36</v>
      </c>
      <c r="F679" s="97" t="s">
        <v>7164</v>
      </c>
      <c r="G679" s="139">
        <v>6</v>
      </c>
      <c r="H679" s="458">
        <v>0.72916666666666663</v>
      </c>
      <c r="I679" s="458">
        <v>0.8125</v>
      </c>
      <c r="J679" s="458">
        <f>I679-H679</f>
        <v>8.333333333333337E-2</v>
      </c>
      <c r="K679" s="43" t="s">
        <v>1282</v>
      </c>
      <c r="L679" s="97" t="s">
        <v>7165</v>
      </c>
      <c r="M679" s="97" t="s">
        <v>26</v>
      </c>
      <c r="N679" s="58" t="s">
        <v>38</v>
      </c>
      <c r="O679" s="58" t="s">
        <v>5050</v>
      </c>
      <c r="P679" s="206">
        <v>44624</v>
      </c>
      <c r="Q679" s="460">
        <v>44624</v>
      </c>
      <c r="R679" s="460">
        <v>45354</v>
      </c>
      <c r="S679" s="461">
        <v>45355</v>
      </c>
      <c r="T679" s="139">
        <v>2015</v>
      </c>
      <c r="U679" s="139" t="s">
        <v>688</v>
      </c>
      <c r="V679" s="139">
        <v>2021</v>
      </c>
      <c r="W679" s="139" t="s">
        <v>4526</v>
      </c>
      <c r="X679" s="139"/>
      <c r="Y679" s="462" t="s">
        <v>1611</v>
      </c>
      <c r="Z679" s="140" t="s">
        <v>7166</v>
      </c>
      <c r="AA679" s="140" t="s">
        <v>7167</v>
      </c>
      <c r="AB679" s="460"/>
      <c r="AC679" s="460"/>
      <c r="AD679" s="139">
        <v>8500280869</v>
      </c>
      <c r="AE679" s="467" t="s">
        <v>7168</v>
      </c>
      <c r="AF679" s="139" t="s">
        <v>1495</v>
      </c>
      <c r="AG679" s="491" t="s">
        <v>7169</v>
      </c>
      <c r="AH679" s="139" t="s">
        <v>7170</v>
      </c>
      <c r="AI679" s="139" t="s">
        <v>7171</v>
      </c>
      <c r="AJ679" s="475">
        <v>887348200545</v>
      </c>
      <c r="AK679" s="140" t="s">
        <v>7172</v>
      </c>
      <c r="AL679" s="461">
        <v>44853</v>
      </c>
      <c r="AM679" s="477">
        <v>44793</v>
      </c>
      <c r="AN679" s="465"/>
      <c r="AO679" s="140"/>
      <c r="AP679" s="139"/>
      <c r="AQ679" s="139" t="e">
        <v>#REF!</v>
      </c>
      <c r="AR679" s="181"/>
      <c r="AS679" s="458"/>
      <c r="AT679" s="458"/>
      <c r="AU679" s="461">
        <v>34177</v>
      </c>
      <c r="AV679" s="181" t="s">
        <v>1389</v>
      </c>
      <c r="AW679" s="31" t="s">
        <v>32</v>
      </c>
      <c r="AX679" s="139">
        <v>2</v>
      </c>
      <c r="AY679" s="58" t="s">
        <v>1968</v>
      </c>
      <c r="AZ679" s="58" t="s">
        <v>26</v>
      </c>
      <c r="BA679" s="58" t="s">
        <v>151</v>
      </c>
      <c r="BB679" s="58" t="s">
        <v>1407</v>
      </c>
      <c r="BC679" s="58"/>
    </row>
    <row r="680" spans="1:55" x14ac:dyDescent="0.25">
      <c r="A680" s="10">
        <f t="shared" si="31"/>
        <v>679</v>
      </c>
      <c r="B680" s="181"/>
      <c r="C680" s="592" t="s">
        <v>1407</v>
      </c>
      <c r="D680" s="96">
        <v>400446</v>
      </c>
      <c r="E680" s="181"/>
      <c r="F680" s="97" t="s">
        <v>7173</v>
      </c>
      <c r="G680" s="462"/>
      <c r="H680" s="458"/>
      <c r="I680" s="458"/>
      <c r="J680" s="458"/>
      <c r="K680" s="58"/>
      <c r="L680" s="97"/>
      <c r="M680" s="97" t="s">
        <v>30</v>
      </c>
      <c r="N680" s="58"/>
      <c r="O680" s="58"/>
      <c r="P680" s="460"/>
      <c r="Q680" s="460"/>
      <c r="R680" s="460"/>
      <c r="S680" s="461"/>
      <c r="T680" s="139"/>
      <c r="U680" s="139"/>
      <c r="V680" s="139"/>
      <c r="W680" s="462"/>
      <c r="X680" s="139"/>
      <c r="Y680" s="462"/>
      <c r="Z680" s="140"/>
      <c r="AA680" s="465"/>
      <c r="AB680" s="460"/>
      <c r="AC680" s="139"/>
      <c r="AD680" s="139"/>
      <c r="AE680" s="140"/>
      <c r="AF680" s="486"/>
      <c r="AG680" s="139"/>
      <c r="AH680" s="139"/>
      <c r="AI680" s="464"/>
      <c r="AJ680" s="139"/>
      <c r="AK680" s="140"/>
      <c r="AL680" s="206"/>
      <c r="AM680" s="477"/>
      <c r="AN680" s="140"/>
      <c r="AO680" s="140"/>
      <c r="AP680" s="462"/>
      <c r="AQ680" s="58"/>
      <c r="AR680" s="489"/>
      <c r="AS680" s="458"/>
      <c r="AT680" s="181"/>
      <c r="AU680" s="181"/>
      <c r="AV680" s="461"/>
      <c r="AW680" s="181"/>
      <c r="AX680" s="139"/>
      <c r="AY680" s="58"/>
      <c r="AZ680" s="58"/>
      <c r="BA680" s="58" t="s">
        <v>151</v>
      </c>
      <c r="BB680" s="58" t="s">
        <v>1407</v>
      </c>
      <c r="BC680" s="58"/>
    </row>
    <row r="681" spans="1:55" x14ac:dyDescent="0.25">
      <c r="A681" s="10">
        <f t="shared" si="31"/>
        <v>680</v>
      </c>
      <c r="B681" s="181" t="s">
        <v>6781</v>
      </c>
      <c r="C681" s="592" t="s">
        <v>1407</v>
      </c>
      <c r="D681" s="457">
        <v>400447</v>
      </c>
      <c r="E681" s="181" t="s">
        <v>36</v>
      </c>
      <c r="F681" s="97" t="s">
        <v>6782</v>
      </c>
      <c r="G681" s="139">
        <v>6</v>
      </c>
      <c r="H681" s="458">
        <v>0.375</v>
      </c>
      <c r="I681" s="458">
        <v>0.70833333333333337</v>
      </c>
      <c r="J681" s="458">
        <f>I681-H681</f>
        <v>0.33333333333333337</v>
      </c>
      <c r="K681" s="58" t="s">
        <v>147</v>
      </c>
      <c r="L681" s="97" t="s">
        <v>6783</v>
      </c>
      <c r="M681" s="97" t="s">
        <v>26</v>
      </c>
      <c r="N681" s="58" t="s">
        <v>38</v>
      </c>
      <c r="O681" s="58" t="s">
        <v>5050</v>
      </c>
      <c r="P681" s="206">
        <v>44628</v>
      </c>
      <c r="Q681" s="460">
        <v>44628</v>
      </c>
      <c r="R681" s="460">
        <v>45358</v>
      </c>
      <c r="S681" s="461">
        <f>R681+1</f>
        <v>45359</v>
      </c>
      <c r="T681" s="139">
        <v>2013</v>
      </c>
      <c r="U681" s="139" t="s">
        <v>6784</v>
      </c>
      <c r="V681" s="139">
        <v>2016</v>
      </c>
      <c r="W681" s="139" t="s">
        <v>7174</v>
      </c>
      <c r="X681" s="139"/>
      <c r="Y681" s="462" t="s">
        <v>1611</v>
      </c>
      <c r="Z681" s="140" t="s">
        <v>6786</v>
      </c>
      <c r="AA681" s="140" t="s">
        <v>1841</v>
      </c>
      <c r="AB681" s="460">
        <v>44624</v>
      </c>
      <c r="AC681" s="460">
        <v>46449</v>
      </c>
      <c r="AD681" s="139">
        <v>7893761388</v>
      </c>
      <c r="AE681" s="467" t="s">
        <v>6787</v>
      </c>
      <c r="AF681" s="139" t="s">
        <v>1805</v>
      </c>
      <c r="AG681" s="491" t="s">
        <v>6788</v>
      </c>
      <c r="AH681" s="139" t="s">
        <v>6789</v>
      </c>
      <c r="AI681" s="139" t="s">
        <v>6790</v>
      </c>
      <c r="AJ681" s="475">
        <v>543913576906</v>
      </c>
      <c r="AK681" s="140" t="s">
        <v>6792</v>
      </c>
      <c r="AL681" s="461">
        <v>44933</v>
      </c>
      <c r="AM681" s="477">
        <v>44905</v>
      </c>
      <c r="AN681" s="465"/>
      <c r="AO681" s="140"/>
      <c r="AP681" s="139"/>
      <c r="AQ681" s="139" t="e">
        <v>#REF!</v>
      </c>
      <c r="AR681" s="181"/>
      <c r="AS681" s="458"/>
      <c r="AT681" s="458"/>
      <c r="AU681" s="461">
        <v>32695</v>
      </c>
      <c r="AV681" s="181" t="s">
        <v>1352</v>
      </c>
      <c r="AW681" s="31" t="s">
        <v>32</v>
      </c>
      <c r="AX681" s="139">
        <v>8</v>
      </c>
      <c r="AY681" s="466">
        <f>VLOOKUP(K681,[3]Master!M658:BA1041,40,0)</f>
        <v>8</v>
      </c>
      <c r="AZ681" s="58" t="s">
        <v>26</v>
      </c>
      <c r="BA681" s="58" t="s">
        <v>151</v>
      </c>
      <c r="BB681" s="58" t="s">
        <v>1407</v>
      </c>
      <c r="BC681" s="58"/>
    </row>
    <row r="682" spans="1:55" x14ac:dyDescent="0.25">
      <c r="A682" s="10">
        <f t="shared" si="31"/>
        <v>681</v>
      </c>
      <c r="B682" s="181" t="s">
        <v>3118</v>
      </c>
      <c r="C682" s="592" t="s">
        <v>1407</v>
      </c>
      <c r="D682" s="457">
        <v>400450</v>
      </c>
      <c r="E682" s="181" t="s">
        <v>36</v>
      </c>
      <c r="F682" s="97" t="s">
        <v>7175</v>
      </c>
      <c r="G682" s="139">
        <v>6</v>
      </c>
      <c r="H682" s="458">
        <v>0.33333333333333331</v>
      </c>
      <c r="I682" s="458">
        <v>0.875</v>
      </c>
      <c r="J682" s="458">
        <v>0.33333333333333331</v>
      </c>
      <c r="K682" s="100" t="s">
        <v>287</v>
      </c>
      <c r="L682" s="97" t="s">
        <v>2015</v>
      </c>
      <c r="M682" s="63" t="s">
        <v>1355</v>
      </c>
      <c r="N682" s="100" t="s">
        <v>1520</v>
      </c>
      <c r="O682" s="58" t="s">
        <v>7176</v>
      </c>
      <c r="P682" s="206">
        <v>44636</v>
      </c>
      <c r="Q682" s="460">
        <v>44636</v>
      </c>
      <c r="R682" s="460">
        <v>45366</v>
      </c>
      <c r="S682" s="461">
        <v>45367</v>
      </c>
      <c r="T682" s="139">
        <v>2011</v>
      </c>
      <c r="U682" s="140" t="s">
        <v>3120</v>
      </c>
      <c r="V682" s="139">
        <v>2017</v>
      </c>
      <c r="W682" s="139" t="s">
        <v>7177</v>
      </c>
      <c r="X682" s="139" t="s">
        <v>30</v>
      </c>
      <c r="Y682" s="462" t="s">
        <v>1611</v>
      </c>
      <c r="Z682" s="140" t="s">
        <v>3121</v>
      </c>
      <c r="AA682" s="140" t="s">
        <v>6906</v>
      </c>
      <c r="AB682" s="460">
        <v>41837</v>
      </c>
      <c r="AC682" s="460">
        <v>45123</v>
      </c>
      <c r="AD682" s="139">
        <v>9963375637</v>
      </c>
      <c r="AE682" s="467" t="s">
        <v>3122</v>
      </c>
      <c r="AF682" s="139" t="s">
        <v>1495</v>
      </c>
      <c r="AG682" s="491" t="s">
        <v>3123</v>
      </c>
      <c r="AH682" s="139" t="s">
        <v>3124</v>
      </c>
      <c r="AI682" s="139" t="s">
        <v>3125</v>
      </c>
      <c r="AJ682" s="475">
        <v>307735876535</v>
      </c>
      <c r="AK682" s="140" t="s">
        <v>7178</v>
      </c>
      <c r="AL682" s="206"/>
      <c r="AM682" s="477"/>
      <c r="AN682" s="465"/>
      <c r="AO682" s="140"/>
      <c r="AP682" s="139"/>
      <c r="AQ682" s="139" t="e">
        <v>#REF!</v>
      </c>
      <c r="AR682" s="181"/>
      <c r="AS682" s="458"/>
      <c r="AT682" s="458"/>
      <c r="AU682" s="461">
        <v>32030</v>
      </c>
      <c r="AV682" s="181" t="s">
        <v>1389</v>
      </c>
      <c r="AW682" s="31" t="s">
        <v>68</v>
      </c>
      <c r="AX682" s="139">
        <v>8</v>
      </c>
      <c r="AY682" s="466">
        <f>VLOOKUP(K682,[3]Master!M659:BA1042,40,0)</f>
        <v>8</v>
      </c>
      <c r="AZ682" s="58" t="s">
        <v>1373</v>
      </c>
      <c r="BA682" s="58" t="s">
        <v>151</v>
      </c>
      <c r="BB682" s="58" t="s">
        <v>1407</v>
      </c>
      <c r="BC682" s="58"/>
    </row>
    <row r="683" spans="1:55" x14ac:dyDescent="0.25">
      <c r="A683" s="10">
        <f t="shared" si="31"/>
        <v>682</v>
      </c>
      <c r="B683" s="181" t="s">
        <v>7179</v>
      </c>
      <c r="C683" s="592" t="s">
        <v>1407</v>
      </c>
      <c r="D683" s="457">
        <v>400451</v>
      </c>
      <c r="E683" s="181" t="s">
        <v>36</v>
      </c>
      <c r="F683" s="97" t="s">
        <v>7180</v>
      </c>
      <c r="G683" s="139">
        <v>6</v>
      </c>
      <c r="H683" s="458">
        <v>0.625</v>
      </c>
      <c r="I683" s="458">
        <v>0.875</v>
      </c>
      <c r="J683" s="458">
        <f>I683-H683</f>
        <v>0.25</v>
      </c>
      <c r="K683" s="100" t="s">
        <v>348</v>
      </c>
      <c r="L683" s="97" t="s">
        <v>7181</v>
      </c>
      <c r="M683" s="97" t="s">
        <v>26</v>
      </c>
      <c r="N683" s="58" t="s">
        <v>38</v>
      </c>
      <c r="O683" s="58" t="s">
        <v>7182</v>
      </c>
      <c r="P683" s="206">
        <v>44641</v>
      </c>
      <c r="Q683" s="460">
        <v>44641</v>
      </c>
      <c r="R683" s="460">
        <v>45371</v>
      </c>
      <c r="S683" s="461">
        <v>45372</v>
      </c>
      <c r="T683" s="139">
        <v>2015</v>
      </c>
      <c r="U683" s="139" t="s">
        <v>7183</v>
      </c>
      <c r="V683" s="139">
        <v>2021</v>
      </c>
      <c r="W683" s="139" t="s">
        <v>7184</v>
      </c>
      <c r="X683" s="139"/>
      <c r="Y683" s="462" t="s">
        <v>1611</v>
      </c>
      <c r="Z683" s="140" t="s">
        <v>7185</v>
      </c>
      <c r="AA683" s="140" t="s">
        <v>6906</v>
      </c>
      <c r="AB683" s="460"/>
      <c r="AC683" s="460"/>
      <c r="AD683" s="139" t="s">
        <v>7186</v>
      </c>
      <c r="AE683" s="467" t="s">
        <v>7187</v>
      </c>
      <c r="AF683" s="139" t="s">
        <v>1400</v>
      </c>
      <c r="AG683" s="491" t="s">
        <v>7188</v>
      </c>
      <c r="AH683" s="139" t="s">
        <v>7189</v>
      </c>
      <c r="AI683" s="139" t="s">
        <v>7190</v>
      </c>
      <c r="AJ683" s="475">
        <v>776184305661</v>
      </c>
      <c r="AK683" s="140" t="s">
        <v>7191</v>
      </c>
      <c r="AL683" s="461">
        <v>44865</v>
      </c>
      <c r="AM683" s="477">
        <v>44804</v>
      </c>
      <c r="AN683" s="465"/>
      <c r="AO683" s="140"/>
      <c r="AP683" s="139"/>
      <c r="AQ683" s="139" t="e">
        <v>#REF!</v>
      </c>
      <c r="AR683" s="181"/>
      <c r="AS683" s="458"/>
      <c r="AT683" s="458"/>
      <c r="AU683" s="461">
        <v>32906</v>
      </c>
      <c r="AV683" s="181" t="s">
        <v>1352</v>
      </c>
      <c r="AW683" s="31" t="s">
        <v>32</v>
      </c>
      <c r="AX683" s="139">
        <v>6</v>
      </c>
      <c r="AY683" s="466">
        <f>VLOOKUP(K683,[3]Master!M660:BA1043,40,0)</f>
        <v>6</v>
      </c>
      <c r="AZ683" s="58" t="s">
        <v>26</v>
      </c>
      <c r="BA683" s="58" t="s">
        <v>151</v>
      </c>
      <c r="BB683" s="58" t="s">
        <v>1407</v>
      </c>
      <c r="BC683" s="58"/>
    </row>
    <row r="684" spans="1:55" x14ac:dyDescent="0.25">
      <c r="A684" s="10">
        <f t="shared" si="31"/>
        <v>683</v>
      </c>
      <c r="B684" s="181" t="s">
        <v>7192</v>
      </c>
      <c r="C684" s="592" t="s">
        <v>1407</v>
      </c>
      <c r="D684" s="457">
        <v>400452</v>
      </c>
      <c r="E684" s="181" t="s">
        <v>36</v>
      </c>
      <c r="F684" s="97" t="s">
        <v>7193</v>
      </c>
      <c r="G684" s="139">
        <v>6</v>
      </c>
      <c r="H684" s="458">
        <v>0.66666666666666663</v>
      </c>
      <c r="I684" s="458">
        <v>0.75</v>
      </c>
      <c r="J684" s="458">
        <f>I684-H684</f>
        <v>8.333333333333337E-2</v>
      </c>
      <c r="K684" s="143" t="s">
        <v>587</v>
      </c>
      <c r="L684" s="97"/>
      <c r="M684" s="97" t="s">
        <v>1544</v>
      </c>
      <c r="N684" s="58" t="s">
        <v>1992</v>
      </c>
      <c r="O684" s="58" t="s">
        <v>7176</v>
      </c>
      <c r="P684" s="206">
        <v>44641</v>
      </c>
      <c r="Q684" s="460">
        <v>44641</v>
      </c>
      <c r="R684" s="460">
        <v>45371</v>
      </c>
      <c r="S684" s="461">
        <v>45372</v>
      </c>
      <c r="T684" s="139">
        <v>2012</v>
      </c>
      <c r="U684" s="139" t="s">
        <v>689</v>
      </c>
      <c r="V684" s="139">
        <v>2021</v>
      </c>
      <c r="W684" s="139" t="s">
        <v>7194</v>
      </c>
      <c r="X684" s="139"/>
      <c r="Y684" s="462" t="s">
        <v>1611</v>
      </c>
      <c r="Z684" s="140" t="s">
        <v>7195</v>
      </c>
      <c r="AA684" s="140" t="s">
        <v>6906</v>
      </c>
      <c r="AB684" s="460"/>
      <c r="AC684" s="460"/>
      <c r="AD684" s="139">
        <v>8790540404</v>
      </c>
      <c r="AE684" s="140" t="s">
        <v>7196</v>
      </c>
      <c r="AF684" s="139" t="s">
        <v>1430</v>
      </c>
      <c r="AG684" s="491" t="s">
        <v>7197</v>
      </c>
      <c r="AH684" s="139" t="s">
        <v>7198</v>
      </c>
      <c r="AI684" s="139" t="s">
        <v>7199</v>
      </c>
      <c r="AJ684" s="475">
        <v>257584848609</v>
      </c>
      <c r="AK684" s="140" t="s">
        <v>7200</v>
      </c>
      <c r="AL684" s="206">
        <v>44832</v>
      </c>
      <c r="AM684" s="477">
        <v>44771</v>
      </c>
      <c r="AN684" s="465"/>
      <c r="AO684" s="140"/>
      <c r="AP684" s="139"/>
      <c r="AQ684" s="139" t="e">
        <v>#REF!</v>
      </c>
      <c r="AR684" s="181"/>
      <c r="AS684" s="458"/>
      <c r="AT684" s="458"/>
      <c r="AU684" s="461">
        <v>32828</v>
      </c>
      <c r="AV684" s="181" t="s">
        <v>1389</v>
      </c>
      <c r="AW684" s="31" t="s">
        <v>32</v>
      </c>
      <c r="AX684" s="139">
        <v>2</v>
      </c>
      <c r="AY684" s="466">
        <f>VLOOKUP(K684,[3]Master!M661:BA1044,40,0)</f>
        <v>2</v>
      </c>
      <c r="AZ684" s="58" t="s">
        <v>1373</v>
      </c>
      <c r="BA684" s="58" t="s">
        <v>151</v>
      </c>
      <c r="BB684" s="58" t="s">
        <v>1407</v>
      </c>
      <c r="BC684" s="58"/>
    </row>
    <row r="685" spans="1:55" x14ac:dyDescent="0.25">
      <c r="A685" s="10">
        <f t="shared" si="31"/>
        <v>684</v>
      </c>
      <c r="B685" s="181"/>
      <c r="C685" s="592" t="s">
        <v>1407</v>
      </c>
      <c r="D685" s="457">
        <v>400453</v>
      </c>
      <c r="E685" s="181" t="s">
        <v>36</v>
      </c>
      <c r="F685" s="97" t="s">
        <v>7201</v>
      </c>
      <c r="G685" s="139">
        <v>6</v>
      </c>
      <c r="H685" s="458">
        <v>0.33333333333333331</v>
      </c>
      <c r="I685" s="458">
        <v>0.45833333333333331</v>
      </c>
      <c r="J685" s="458">
        <f>I685-H685</f>
        <v>0.125</v>
      </c>
      <c r="K685" s="100" t="s">
        <v>860</v>
      </c>
      <c r="L685" s="97" t="s">
        <v>7202</v>
      </c>
      <c r="M685" s="97" t="s">
        <v>26</v>
      </c>
      <c r="N685" s="58" t="s">
        <v>38</v>
      </c>
      <c r="O685" s="58" t="s">
        <v>7182</v>
      </c>
      <c r="P685" s="206">
        <v>44649</v>
      </c>
      <c r="Q685" s="460">
        <v>44649</v>
      </c>
      <c r="R685" s="460">
        <v>45379</v>
      </c>
      <c r="S685" s="461">
        <v>45380</v>
      </c>
      <c r="T685" s="139">
        <v>2015</v>
      </c>
      <c r="U685" s="139" t="s">
        <v>7203</v>
      </c>
      <c r="V685" s="139">
        <v>2019</v>
      </c>
      <c r="W685" s="139" t="s">
        <v>7204</v>
      </c>
      <c r="X685" s="139"/>
      <c r="Y685" s="462" t="s">
        <v>1611</v>
      </c>
      <c r="Z685" s="140" t="s">
        <v>7205</v>
      </c>
      <c r="AA685" s="140" t="s">
        <v>6906</v>
      </c>
      <c r="AB685" s="460">
        <v>44529</v>
      </c>
      <c r="AC685" s="460">
        <v>46354</v>
      </c>
      <c r="AD685" s="139">
        <v>9008312426</v>
      </c>
      <c r="AE685" s="467" t="s">
        <v>7206</v>
      </c>
      <c r="AF685" s="139"/>
      <c r="AG685" s="491"/>
      <c r="AH685" s="139"/>
      <c r="AI685" s="139"/>
      <c r="AJ685" s="475"/>
      <c r="AK685" s="140"/>
      <c r="AL685" s="461"/>
      <c r="AM685" s="477"/>
      <c r="AN685" s="465"/>
      <c r="AO685" s="140"/>
      <c r="AP685" s="139"/>
      <c r="AQ685" s="139" t="e">
        <v>#REF!</v>
      </c>
      <c r="AR685" s="181"/>
      <c r="AS685" s="458"/>
      <c r="AT685" s="458"/>
      <c r="AU685" s="461">
        <v>33614</v>
      </c>
      <c r="AV685" s="181" t="s">
        <v>1352</v>
      </c>
      <c r="AW685" s="31" t="s">
        <v>32</v>
      </c>
      <c r="AX685" s="139">
        <v>3</v>
      </c>
      <c r="AY685" s="58" t="s">
        <v>2469</v>
      </c>
      <c r="AZ685" s="58" t="s">
        <v>26</v>
      </c>
      <c r="BA685" s="58" t="s">
        <v>151</v>
      </c>
      <c r="BB685" s="58" t="s">
        <v>1407</v>
      </c>
      <c r="BC685" s="58"/>
    </row>
    <row r="686" spans="1:55" x14ac:dyDescent="0.25">
      <c r="A686" s="10">
        <f t="shared" si="31"/>
        <v>685</v>
      </c>
      <c r="B686" s="181" t="s">
        <v>7207</v>
      </c>
      <c r="C686" s="592" t="s">
        <v>1407</v>
      </c>
      <c r="D686" s="457">
        <v>400454</v>
      </c>
      <c r="E686" s="181" t="s">
        <v>42</v>
      </c>
      <c r="F686" s="97" t="s">
        <v>7208</v>
      </c>
      <c r="G686" s="139">
        <v>6</v>
      </c>
      <c r="H686" s="458">
        <v>0.45833333333333298</v>
      </c>
      <c r="I686" s="458">
        <v>0.79166666666666696</v>
      </c>
      <c r="J686" s="458">
        <f>I686-H686</f>
        <v>0.33333333333333398</v>
      </c>
      <c r="K686" s="462" t="s">
        <v>422</v>
      </c>
      <c r="L686" s="97" t="s">
        <v>7209</v>
      </c>
      <c r="M686" s="97" t="s">
        <v>26</v>
      </c>
      <c r="N686" s="58" t="s">
        <v>38</v>
      </c>
      <c r="O686" s="58" t="s">
        <v>7182</v>
      </c>
      <c r="P686" s="206">
        <v>44652</v>
      </c>
      <c r="Q686" s="460">
        <v>44652</v>
      </c>
      <c r="R686" s="460">
        <v>45382</v>
      </c>
      <c r="S686" s="461">
        <f>R686+1</f>
        <v>45383</v>
      </c>
      <c r="T686" s="139"/>
      <c r="U686" s="139"/>
      <c r="V686" s="139"/>
      <c r="W686" s="139"/>
      <c r="X686" s="139"/>
      <c r="Y686" s="462"/>
      <c r="Z686" s="140"/>
      <c r="AA686" s="140"/>
      <c r="AB686" s="460"/>
      <c r="AC686" s="460"/>
      <c r="AD686" s="139"/>
      <c r="AE686" s="467" t="s">
        <v>7210</v>
      </c>
      <c r="AF686" s="139" t="s">
        <v>7211</v>
      </c>
      <c r="AG686" s="491" t="s">
        <v>7212</v>
      </c>
      <c r="AH686" s="139" t="s">
        <v>5891</v>
      </c>
      <c r="AI686" s="139" t="s">
        <v>7213</v>
      </c>
      <c r="AJ686" s="475" t="s">
        <v>7214</v>
      </c>
      <c r="AK686" s="140"/>
      <c r="AL686" s="461"/>
      <c r="AM686" s="477"/>
      <c r="AN686" s="465"/>
      <c r="AO686" s="140"/>
      <c r="AP686" s="139"/>
      <c r="AQ686" s="139" t="e">
        <v>#REF!</v>
      </c>
      <c r="AR686" s="181"/>
      <c r="AS686" s="458"/>
      <c r="AT686" s="458"/>
      <c r="AU686" s="461"/>
      <c r="AV686" s="181" t="s">
        <v>1352</v>
      </c>
      <c r="AW686" s="31" t="s">
        <v>68</v>
      </c>
      <c r="AX686" s="139">
        <v>8</v>
      </c>
      <c r="AY686" s="58" t="s">
        <v>2262</v>
      </c>
      <c r="AZ686" s="58" t="s">
        <v>26</v>
      </c>
      <c r="BA686" s="58" t="s">
        <v>151</v>
      </c>
      <c r="BB686" s="58" t="s">
        <v>1407</v>
      </c>
      <c r="BC686" s="58"/>
    </row>
    <row r="687" spans="1:55" x14ac:dyDescent="0.25">
      <c r="A687" s="10">
        <f t="shared" si="31"/>
        <v>686</v>
      </c>
      <c r="B687" s="181" t="s">
        <v>7215</v>
      </c>
      <c r="C687" s="592" t="s">
        <v>1407</v>
      </c>
      <c r="D687" s="457">
        <v>400455</v>
      </c>
      <c r="E687" s="181" t="s">
        <v>36</v>
      </c>
      <c r="F687" s="97" t="s">
        <v>7216</v>
      </c>
      <c r="G687" s="139">
        <v>6</v>
      </c>
      <c r="H687" s="458">
        <v>0.375</v>
      </c>
      <c r="I687" s="458">
        <v>0.41666666666666702</v>
      </c>
      <c r="J687" s="458">
        <v>4.1666666666666664E-2</v>
      </c>
      <c r="K687" s="58"/>
      <c r="L687" s="97" t="s">
        <v>7217</v>
      </c>
      <c r="M687" s="97" t="s">
        <v>1376</v>
      </c>
      <c r="N687" s="58" t="s">
        <v>1393</v>
      </c>
      <c r="O687" s="58"/>
      <c r="P687" s="460">
        <v>44657</v>
      </c>
      <c r="Q687" s="460">
        <v>44657</v>
      </c>
      <c r="R687" s="461">
        <v>45387</v>
      </c>
      <c r="S687" s="461">
        <v>45388</v>
      </c>
      <c r="T687" s="139"/>
      <c r="U687" s="139"/>
      <c r="V687" s="139"/>
      <c r="W687" s="139" t="s">
        <v>30</v>
      </c>
      <c r="X687" s="139" t="s">
        <v>30</v>
      </c>
      <c r="Y687" s="462"/>
      <c r="Z687" s="140" t="s">
        <v>226</v>
      </c>
      <c r="AA687" s="460"/>
      <c r="AB687" s="460"/>
      <c r="AC687" s="139"/>
      <c r="AD687" s="139"/>
      <c r="AE687" s="140"/>
      <c r="AF687" s="463" t="s">
        <v>7211</v>
      </c>
      <c r="AG687" s="497" t="s">
        <v>7218</v>
      </c>
      <c r="AH687" s="139" t="s">
        <v>7219</v>
      </c>
      <c r="AI687" s="464" t="s">
        <v>7220</v>
      </c>
      <c r="AJ687" s="497" t="s">
        <v>7221</v>
      </c>
      <c r="AK687" s="465" t="s">
        <v>7222</v>
      </c>
      <c r="AL687" s="206">
        <v>44772</v>
      </c>
      <c r="AM687" s="477">
        <v>44749</v>
      </c>
      <c r="AN687" s="140"/>
      <c r="AO687" s="140"/>
      <c r="AP687" s="181"/>
      <c r="AQ687" s="494"/>
      <c r="AR687" s="494"/>
      <c r="AS687" s="461"/>
      <c r="AT687" s="181" t="s">
        <v>1389</v>
      </c>
      <c r="AU687" s="181" t="s">
        <v>7223</v>
      </c>
      <c r="AV687" s="58"/>
      <c r="AW687" s="139"/>
      <c r="AX687" s="139">
        <v>1</v>
      </c>
      <c r="AY687" s="58"/>
      <c r="AZ687" s="58" t="s">
        <v>1390</v>
      </c>
      <c r="BA687" s="58" t="s">
        <v>151</v>
      </c>
      <c r="BB687" s="58" t="s">
        <v>1407</v>
      </c>
      <c r="BC687" s="58"/>
    </row>
    <row r="688" spans="1:55" x14ac:dyDescent="0.25">
      <c r="A688" s="10">
        <f t="shared" si="31"/>
        <v>687</v>
      </c>
      <c r="B688" s="181" t="s">
        <v>6602</v>
      </c>
      <c r="C688" s="592" t="s">
        <v>1407</v>
      </c>
      <c r="D688" s="457">
        <v>400456</v>
      </c>
      <c r="E688" s="181" t="s">
        <v>36</v>
      </c>
      <c r="F688" s="97" t="s">
        <v>6603</v>
      </c>
      <c r="G688" s="139">
        <v>6</v>
      </c>
      <c r="H688" s="458">
        <v>0.375</v>
      </c>
      <c r="I688" s="458">
        <v>0.4375</v>
      </c>
      <c r="J688" s="458">
        <f>I688-H688</f>
        <v>6.25E-2</v>
      </c>
      <c r="K688" s="35" t="s">
        <v>4447</v>
      </c>
      <c r="L688" s="97" t="s">
        <v>6604</v>
      </c>
      <c r="M688" s="97" t="s">
        <v>26</v>
      </c>
      <c r="N688" s="58" t="s">
        <v>38</v>
      </c>
      <c r="O688" s="58" t="s">
        <v>7182</v>
      </c>
      <c r="P688" s="206">
        <v>44656</v>
      </c>
      <c r="Q688" s="460">
        <v>44656</v>
      </c>
      <c r="R688" s="460">
        <v>45386</v>
      </c>
      <c r="S688" s="461">
        <v>45387</v>
      </c>
      <c r="T688" s="139"/>
      <c r="U688" s="139" t="s">
        <v>57</v>
      </c>
      <c r="V688" s="139">
        <v>2018</v>
      </c>
      <c r="W688" s="139" t="s">
        <v>326</v>
      </c>
      <c r="X688" s="139" t="s">
        <v>7224</v>
      </c>
      <c r="Y688" s="462" t="s">
        <v>6605</v>
      </c>
      <c r="Z688" s="140" t="s">
        <v>6606</v>
      </c>
      <c r="AA688" s="140" t="s">
        <v>1560</v>
      </c>
      <c r="AB688" s="460"/>
      <c r="AC688" s="460"/>
      <c r="AD688" s="139" t="s">
        <v>6607</v>
      </c>
      <c r="AE688" s="467" t="s">
        <v>6608</v>
      </c>
      <c r="AF688" s="139" t="s">
        <v>1833</v>
      </c>
      <c r="AG688" s="491" t="s">
        <v>6609</v>
      </c>
      <c r="AH688" s="139" t="s">
        <v>6610</v>
      </c>
      <c r="AI688" s="139" t="s">
        <v>6611</v>
      </c>
      <c r="AJ688" s="475" t="s">
        <v>6612</v>
      </c>
      <c r="AK688" s="140" t="s">
        <v>6613</v>
      </c>
      <c r="AL688" s="461">
        <v>44828</v>
      </c>
      <c r="AM688" s="477">
        <v>44767</v>
      </c>
      <c r="AN688" s="465"/>
      <c r="AO688" s="140"/>
      <c r="AP688" s="139"/>
      <c r="AQ688" s="139" t="s">
        <v>7225</v>
      </c>
      <c r="AR688" s="181"/>
      <c r="AS688" s="458"/>
      <c r="AT688" s="458"/>
      <c r="AU688" s="461">
        <v>33173</v>
      </c>
      <c r="AV688" s="181" t="s">
        <v>1352</v>
      </c>
      <c r="AW688" s="31" t="s">
        <v>32</v>
      </c>
      <c r="AX688" s="139">
        <v>1.5</v>
      </c>
      <c r="AY688" s="58"/>
      <c r="AZ688" s="58" t="s">
        <v>26</v>
      </c>
      <c r="BA688" s="58" t="s">
        <v>151</v>
      </c>
      <c r="BB688" s="58" t="s">
        <v>1407</v>
      </c>
      <c r="BC688" s="58"/>
    </row>
    <row r="689" spans="1:55" x14ac:dyDescent="0.25">
      <c r="A689" s="10">
        <f t="shared" si="31"/>
        <v>688</v>
      </c>
      <c r="B689" s="181" t="s">
        <v>6885</v>
      </c>
      <c r="C689" s="592" t="s">
        <v>1407</v>
      </c>
      <c r="D689" s="457">
        <v>400457</v>
      </c>
      <c r="E689" s="181" t="s">
        <v>36</v>
      </c>
      <c r="F689" s="97" t="s">
        <v>6886</v>
      </c>
      <c r="G689" s="139">
        <v>6</v>
      </c>
      <c r="H689" s="458">
        <v>0.375</v>
      </c>
      <c r="I689" s="458">
        <v>0.58333333333333337</v>
      </c>
      <c r="J689" s="458">
        <f>I689-H689</f>
        <v>0.20833333333333337</v>
      </c>
      <c r="K689" s="58" t="s">
        <v>968</v>
      </c>
      <c r="L689" s="97" t="s">
        <v>7226</v>
      </c>
      <c r="M689" s="97" t="s">
        <v>26</v>
      </c>
      <c r="N689" s="58" t="s">
        <v>38</v>
      </c>
      <c r="O689" s="58" t="s">
        <v>5076</v>
      </c>
      <c r="P689" s="206">
        <v>44657</v>
      </c>
      <c r="Q689" s="460">
        <v>44896</v>
      </c>
      <c r="R689" s="460">
        <v>45626</v>
      </c>
      <c r="S689" s="461">
        <v>45627</v>
      </c>
      <c r="T689" s="139">
        <v>2017</v>
      </c>
      <c r="U689" s="139" t="s">
        <v>7227</v>
      </c>
      <c r="V689" s="139">
        <v>2021</v>
      </c>
      <c r="W689" s="139" t="s">
        <v>7228</v>
      </c>
      <c r="X689" s="139" t="s">
        <v>30</v>
      </c>
      <c r="Y689" s="462" t="s">
        <v>1611</v>
      </c>
      <c r="Z689" s="140" t="s">
        <v>7229</v>
      </c>
      <c r="AA689" s="140" t="s">
        <v>1841</v>
      </c>
      <c r="AB689" s="460">
        <v>44881</v>
      </c>
      <c r="AC689" s="460">
        <v>46706</v>
      </c>
      <c r="AD689" s="488">
        <v>8688416470</v>
      </c>
      <c r="AE689" s="140" t="s">
        <v>6888</v>
      </c>
      <c r="AF689" s="139" t="s">
        <v>1805</v>
      </c>
      <c r="AG689" s="463" t="s">
        <v>6889</v>
      </c>
      <c r="AH689" s="139" t="s">
        <v>6890</v>
      </c>
      <c r="AI689" s="139" t="s">
        <v>6891</v>
      </c>
      <c r="AJ689" s="464" t="s">
        <v>6892</v>
      </c>
      <c r="AK689" s="140" t="s">
        <v>7230</v>
      </c>
      <c r="AL689" s="461">
        <v>45139</v>
      </c>
      <c r="AM689" s="477"/>
      <c r="AN689" s="465"/>
      <c r="AO689" s="140"/>
      <c r="AP689" s="139"/>
      <c r="AQ689" s="139"/>
      <c r="AR689" s="58"/>
      <c r="AS689" s="458"/>
      <c r="AT689" s="458"/>
      <c r="AU689" s="461">
        <v>34205</v>
      </c>
      <c r="AV689" s="181" t="s">
        <v>1389</v>
      </c>
      <c r="AW689" s="31" t="s">
        <v>32</v>
      </c>
      <c r="AX689" s="139">
        <v>5</v>
      </c>
      <c r="AY689" s="466">
        <f>VLOOKUP(K689,[3]Master!M666:BA1049,40,0)</f>
        <v>5</v>
      </c>
      <c r="AZ689" s="58" t="s">
        <v>26</v>
      </c>
      <c r="BA689" s="58" t="s">
        <v>151</v>
      </c>
      <c r="BB689" s="58" t="s">
        <v>1407</v>
      </c>
      <c r="BC689" s="58"/>
    </row>
    <row r="690" spans="1:55" x14ac:dyDescent="0.25">
      <c r="A690" s="10">
        <f t="shared" si="31"/>
        <v>689</v>
      </c>
      <c r="B690" s="181" t="s">
        <v>7231</v>
      </c>
      <c r="C690" s="592" t="s">
        <v>1407</v>
      </c>
      <c r="D690" s="457">
        <v>400458</v>
      </c>
      <c r="E690" s="181" t="s">
        <v>36</v>
      </c>
      <c r="F690" s="97" t="s">
        <v>7232</v>
      </c>
      <c r="G690" s="139">
        <v>6</v>
      </c>
      <c r="H690" s="458">
        <v>0.33333333333333298</v>
      </c>
      <c r="I690" s="458">
        <v>0.875</v>
      </c>
      <c r="J690" s="458">
        <v>0.33333333333333331</v>
      </c>
      <c r="K690" s="143" t="s">
        <v>513</v>
      </c>
      <c r="L690" s="97" t="s">
        <v>2015</v>
      </c>
      <c r="M690" s="63" t="s">
        <v>1355</v>
      </c>
      <c r="N690" s="100" t="s">
        <v>1520</v>
      </c>
      <c r="O690" s="58" t="s">
        <v>5168</v>
      </c>
      <c r="P690" s="206">
        <v>44659</v>
      </c>
      <c r="Q690" s="460">
        <v>44659</v>
      </c>
      <c r="R690" s="460">
        <v>45389</v>
      </c>
      <c r="S690" s="461">
        <v>45390</v>
      </c>
      <c r="T690" s="139"/>
      <c r="U690" s="139"/>
      <c r="V690" s="139"/>
      <c r="W690" s="139"/>
      <c r="X690" s="139"/>
      <c r="Y690" s="462"/>
      <c r="Z690" s="140"/>
      <c r="AA690" s="140"/>
      <c r="AB690" s="460"/>
      <c r="AC690" s="460"/>
      <c r="AD690" s="139">
        <v>8074034636</v>
      </c>
      <c r="AE690" s="140" t="s">
        <v>7233</v>
      </c>
      <c r="AF690" s="139" t="s">
        <v>7234</v>
      </c>
      <c r="AG690" s="491" t="s">
        <v>7235</v>
      </c>
      <c r="AH690" s="139" t="s">
        <v>3382</v>
      </c>
      <c r="AI690" s="139" t="s">
        <v>7236</v>
      </c>
      <c r="AJ690" s="475" t="s">
        <v>7237</v>
      </c>
      <c r="AK690" s="140"/>
      <c r="AL690" s="206">
        <v>44715</v>
      </c>
      <c r="AM690" s="477">
        <v>44723</v>
      </c>
      <c r="AN690" s="465"/>
      <c r="AO690" s="140"/>
      <c r="AP690" s="139"/>
      <c r="AQ690" s="139"/>
      <c r="AR690" s="181"/>
      <c r="AS690" s="458"/>
      <c r="AT690" s="458"/>
      <c r="AU690" s="461">
        <v>33357</v>
      </c>
      <c r="AV690" s="181" t="s">
        <v>1389</v>
      </c>
      <c r="AW690" s="31" t="s">
        <v>68</v>
      </c>
      <c r="AX690" s="139">
        <v>8</v>
      </c>
      <c r="AY690" s="58" t="s">
        <v>1959</v>
      </c>
      <c r="AZ690" s="58" t="s">
        <v>1373</v>
      </c>
      <c r="BA690" s="58" t="s">
        <v>151</v>
      </c>
      <c r="BB690" s="58" t="s">
        <v>1407</v>
      </c>
      <c r="BC690" s="58"/>
    </row>
    <row r="691" spans="1:55" x14ac:dyDescent="0.25">
      <c r="A691" s="10">
        <f t="shared" si="31"/>
        <v>690</v>
      </c>
      <c r="B691" s="181" t="s">
        <v>7238</v>
      </c>
      <c r="C691" s="592" t="s">
        <v>1407</v>
      </c>
      <c r="D691" s="457">
        <v>400459</v>
      </c>
      <c r="E691" s="181" t="s">
        <v>36</v>
      </c>
      <c r="F691" s="97" t="s">
        <v>7239</v>
      </c>
      <c r="G691" s="139">
        <v>6</v>
      </c>
      <c r="H691" s="458">
        <v>0.83333333333333304</v>
      </c>
      <c r="I691" s="458">
        <v>0.91666666666666696</v>
      </c>
      <c r="J691" s="458">
        <f>I691-H691</f>
        <v>8.3333333333333925E-2</v>
      </c>
      <c r="K691" s="58" t="s">
        <v>341</v>
      </c>
      <c r="L691" s="97" t="s">
        <v>7240</v>
      </c>
      <c r="M691" s="97" t="s">
        <v>26</v>
      </c>
      <c r="N691" s="58" t="s">
        <v>38</v>
      </c>
      <c r="O691" s="58" t="s">
        <v>7182</v>
      </c>
      <c r="P691" s="206">
        <v>44662</v>
      </c>
      <c r="Q691" s="460">
        <v>44662</v>
      </c>
      <c r="R691" s="460">
        <v>45392</v>
      </c>
      <c r="S691" s="461">
        <v>45393</v>
      </c>
      <c r="T691" s="139">
        <v>2010</v>
      </c>
      <c r="U691" s="139" t="s">
        <v>7241</v>
      </c>
      <c r="V691" s="139">
        <v>2018</v>
      </c>
      <c r="W691" s="139" t="s">
        <v>7242</v>
      </c>
      <c r="X691" s="139" t="s">
        <v>30</v>
      </c>
      <c r="Y691" s="462"/>
      <c r="Z691" s="140"/>
      <c r="AA691" s="140"/>
      <c r="AB691" s="460"/>
      <c r="AC691" s="460"/>
      <c r="AD691" s="139">
        <v>7981557468</v>
      </c>
      <c r="AE691" s="140"/>
      <c r="AF691" s="139" t="s">
        <v>7211</v>
      </c>
      <c r="AG691" s="491" t="s">
        <v>7243</v>
      </c>
      <c r="AH691" s="139" t="s">
        <v>7244</v>
      </c>
      <c r="AI691" s="139" t="s">
        <v>7245</v>
      </c>
      <c r="AJ691" s="475" t="s">
        <v>7246</v>
      </c>
      <c r="AK691" s="140"/>
      <c r="AL691" s="461"/>
      <c r="AM691" s="477"/>
      <c r="AN691" s="465"/>
      <c r="AO691" s="140"/>
      <c r="AP691" s="139"/>
      <c r="AQ691" s="139" t="e">
        <v>#REF!</v>
      </c>
      <c r="AR691" s="181"/>
      <c r="AS691" s="458"/>
      <c r="AT691" s="458"/>
      <c r="AU691" s="461"/>
      <c r="AV691" s="181" t="s">
        <v>1352</v>
      </c>
      <c r="AW691" s="31" t="s">
        <v>32</v>
      </c>
      <c r="AX691" s="139">
        <v>2</v>
      </c>
      <c r="AY691" s="14" t="s">
        <v>1881</v>
      </c>
      <c r="AZ691" s="58" t="s">
        <v>26</v>
      </c>
      <c r="BA691" s="58" t="s">
        <v>151</v>
      </c>
      <c r="BB691" s="58" t="s">
        <v>1407</v>
      </c>
      <c r="BC691" s="58"/>
    </row>
    <row r="692" spans="1:55" x14ac:dyDescent="0.25">
      <c r="A692" s="10">
        <f t="shared" si="31"/>
        <v>691</v>
      </c>
      <c r="B692" s="181" t="s">
        <v>7238</v>
      </c>
      <c r="C692" s="592" t="s">
        <v>1407</v>
      </c>
      <c r="D692" s="457">
        <v>400460</v>
      </c>
      <c r="E692" s="181" t="s">
        <v>36</v>
      </c>
      <c r="F692" s="97" t="s">
        <v>7239</v>
      </c>
      <c r="G692" s="139">
        <v>6</v>
      </c>
      <c r="H692" s="458">
        <v>0.33333333333333298</v>
      </c>
      <c r="I692" s="458">
        <v>0.45833333333333298</v>
      </c>
      <c r="J692" s="458">
        <f>I692-H692</f>
        <v>0.125</v>
      </c>
      <c r="K692" s="35" t="s">
        <v>458</v>
      </c>
      <c r="L692" s="97" t="s">
        <v>7240</v>
      </c>
      <c r="M692" s="97" t="s">
        <v>26</v>
      </c>
      <c r="N692" s="58" t="s">
        <v>38</v>
      </c>
      <c r="O692" s="58" t="s">
        <v>7182</v>
      </c>
      <c r="P692" s="206">
        <v>44662</v>
      </c>
      <c r="Q692" s="460">
        <v>44662</v>
      </c>
      <c r="R692" s="460">
        <v>45392</v>
      </c>
      <c r="S692" s="461">
        <v>45393</v>
      </c>
      <c r="T692" s="139">
        <v>2010</v>
      </c>
      <c r="U692" s="139" t="s">
        <v>7241</v>
      </c>
      <c r="V692" s="139">
        <v>2018</v>
      </c>
      <c r="W692" s="139" t="s">
        <v>7242</v>
      </c>
      <c r="X692" s="139" t="s">
        <v>30</v>
      </c>
      <c r="Y692" s="462"/>
      <c r="Z692" s="140"/>
      <c r="AA692" s="140"/>
      <c r="AB692" s="460"/>
      <c r="AC692" s="460"/>
      <c r="AD692" s="139">
        <v>7981557468</v>
      </c>
      <c r="AE692" s="140"/>
      <c r="AF692" s="139" t="s">
        <v>7211</v>
      </c>
      <c r="AG692" s="491" t="s">
        <v>7243</v>
      </c>
      <c r="AH692" s="139" t="s">
        <v>7244</v>
      </c>
      <c r="AI692" s="139" t="s">
        <v>7245</v>
      </c>
      <c r="AJ692" s="475" t="s">
        <v>7246</v>
      </c>
      <c r="AK692" s="140"/>
      <c r="AL692" s="461"/>
      <c r="AM692" s="477"/>
      <c r="AN692" s="465"/>
      <c r="AO692" s="140"/>
      <c r="AP692" s="139"/>
      <c r="AQ692" s="139" t="e">
        <v>#REF!</v>
      </c>
      <c r="AR692" s="181"/>
      <c r="AS692" s="458"/>
      <c r="AT692" s="458"/>
      <c r="AU692" s="461"/>
      <c r="AV692" s="181" t="s">
        <v>1352</v>
      </c>
      <c r="AW692" s="31" t="s">
        <v>32</v>
      </c>
      <c r="AX692" s="139">
        <v>3</v>
      </c>
      <c r="AY692" s="58" t="s">
        <v>1881</v>
      </c>
      <c r="AZ692" s="58" t="s">
        <v>26</v>
      </c>
      <c r="BA692" s="58" t="s">
        <v>151</v>
      </c>
      <c r="BB692" s="58" t="s">
        <v>1407</v>
      </c>
      <c r="BC692" s="58"/>
    </row>
    <row r="693" spans="1:55" x14ac:dyDescent="0.25">
      <c r="A693" s="10">
        <f t="shared" si="31"/>
        <v>692</v>
      </c>
      <c r="B693" s="181" t="s">
        <v>7247</v>
      </c>
      <c r="C693" s="592" t="s">
        <v>1407</v>
      </c>
      <c r="D693" s="457">
        <v>400461</v>
      </c>
      <c r="E693" s="181" t="s">
        <v>36</v>
      </c>
      <c r="F693" s="97" t="s">
        <v>7248</v>
      </c>
      <c r="G693" s="139">
        <v>6</v>
      </c>
      <c r="H693" s="469" t="s">
        <v>235</v>
      </c>
      <c r="I693" s="469" t="s">
        <v>978</v>
      </c>
      <c r="J693" s="458">
        <v>0.33333333333333331</v>
      </c>
      <c r="K693" s="143" t="s">
        <v>513</v>
      </c>
      <c r="L693" s="97" t="s">
        <v>2015</v>
      </c>
      <c r="M693" s="63" t="s">
        <v>1355</v>
      </c>
      <c r="N693" s="100" t="s">
        <v>1520</v>
      </c>
      <c r="O693" s="58" t="s">
        <v>5168</v>
      </c>
      <c r="P693" s="206">
        <v>44662</v>
      </c>
      <c r="Q693" s="206">
        <v>44662</v>
      </c>
      <c r="R693" s="206">
        <v>45392</v>
      </c>
      <c r="S693" s="461">
        <v>45393</v>
      </c>
      <c r="T693" s="139">
        <v>2007</v>
      </c>
      <c r="U693" s="181" t="s">
        <v>868</v>
      </c>
      <c r="V693" s="139">
        <v>2010</v>
      </c>
      <c r="W693" s="140" t="s">
        <v>271</v>
      </c>
      <c r="X693" s="181" t="s">
        <v>30</v>
      </c>
      <c r="Y693" s="58" t="s">
        <v>1360</v>
      </c>
      <c r="Z693" s="140">
        <v>56915</v>
      </c>
      <c r="AA693" s="97" t="s">
        <v>6906</v>
      </c>
      <c r="AB693" s="471">
        <v>44273</v>
      </c>
      <c r="AC693" s="471">
        <v>46098</v>
      </c>
      <c r="AD693" s="472">
        <v>9885848749</v>
      </c>
      <c r="AE693" s="473" t="s">
        <v>7249</v>
      </c>
      <c r="AF693" s="97" t="s">
        <v>1364</v>
      </c>
      <c r="AG693" s="482">
        <v>4001602520</v>
      </c>
      <c r="AH693" s="181" t="s">
        <v>6435</v>
      </c>
      <c r="AI693" s="139" t="s">
        <v>7250</v>
      </c>
      <c r="AJ693" s="464" t="s">
        <v>7251</v>
      </c>
      <c r="AK693" s="97"/>
      <c r="AL693" s="206">
        <v>45443</v>
      </c>
      <c r="AM693" s="477"/>
      <c r="AN693" s="465" t="s">
        <v>7252</v>
      </c>
      <c r="AO693" s="97"/>
      <c r="AP693" s="58"/>
      <c r="AQ693" s="486"/>
      <c r="AR693" s="462"/>
      <c r="AS693" s="479">
        <v>0.33333333333333331</v>
      </c>
      <c r="AT693" s="479">
        <v>0.66666666666666663</v>
      </c>
      <c r="AU693" s="461">
        <v>28451</v>
      </c>
      <c r="AV693" s="181" t="s">
        <v>1352</v>
      </c>
      <c r="AW693" s="31" t="s">
        <v>68</v>
      </c>
      <c r="AX693" s="139">
        <v>8</v>
      </c>
      <c r="AY693" s="58" t="s">
        <v>1959</v>
      </c>
      <c r="AZ693" s="58" t="s">
        <v>1373</v>
      </c>
      <c r="BA693" s="58" t="s">
        <v>151</v>
      </c>
      <c r="BB693" s="58" t="s">
        <v>1407</v>
      </c>
      <c r="BC693" s="58"/>
    </row>
    <row r="694" spans="1:55" x14ac:dyDescent="0.25">
      <c r="A694" s="10">
        <f t="shared" si="31"/>
        <v>693</v>
      </c>
      <c r="B694" s="181"/>
      <c r="C694" s="592" t="s">
        <v>1407</v>
      </c>
      <c r="D694" s="457">
        <v>400462</v>
      </c>
      <c r="E694" s="181" t="s">
        <v>36</v>
      </c>
      <c r="F694" s="97" t="s">
        <v>7253</v>
      </c>
      <c r="G694" s="139">
        <v>6</v>
      </c>
      <c r="H694" s="458">
        <v>0.70833333333333304</v>
      </c>
      <c r="I694" s="458">
        <v>0.875</v>
      </c>
      <c r="J694" s="458">
        <f>I694-H694</f>
        <v>0.16666666666666696</v>
      </c>
      <c r="K694" s="143" t="s">
        <v>513</v>
      </c>
      <c r="L694" s="97"/>
      <c r="M694" s="63" t="s">
        <v>1355</v>
      </c>
      <c r="N694" s="100" t="s">
        <v>1520</v>
      </c>
      <c r="O694" s="58" t="s">
        <v>5168</v>
      </c>
      <c r="P694" s="206">
        <v>44662</v>
      </c>
      <c r="Q694" s="460">
        <v>44662</v>
      </c>
      <c r="R694" s="460">
        <v>45392</v>
      </c>
      <c r="S694" s="461">
        <v>45393</v>
      </c>
      <c r="T694" s="139"/>
      <c r="U694" s="139"/>
      <c r="V694" s="139"/>
      <c r="W694" s="139"/>
      <c r="X694" s="139"/>
      <c r="Y694" s="462"/>
      <c r="Z694" s="140"/>
      <c r="AA694" s="140"/>
      <c r="AB694" s="460"/>
      <c r="AC694" s="460"/>
      <c r="AD694" s="139"/>
      <c r="AE694" s="140"/>
      <c r="AF694" s="139"/>
      <c r="AG694" s="491"/>
      <c r="AH694" s="139"/>
      <c r="AI694" s="139" t="s">
        <v>7254</v>
      </c>
      <c r="AJ694" s="475" t="s">
        <v>7255</v>
      </c>
      <c r="AK694" s="140"/>
      <c r="AL694" s="206"/>
      <c r="AM694" s="477"/>
      <c r="AN694" s="465"/>
      <c r="AO694" s="140"/>
      <c r="AP694" s="139"/>
      <c r="AQ694" s="139"/>
      <c r="AR694" s="181"/>
      <c r="AS694" s="458"/>
      <c r="AT694" s="458"/>
      <c r="AU694" s="461"/>
      <c r="AV694" s="181" t="s">
        <v>1389</v>
      </c>
      <c r="AW694" s="31" t="s">
        <v>32</v>
      </c>
      <c r="AX694" s="139">
        <v>4</v>
      </c>
      <c r="AY694" s="58" t="s">
        <v>1959</v>
      </c>
      <c r="AZ694" s="58" t="s">
        <v>1373</v>
      </c>
      <c r="BA694" s="58" t="s">
        <v>151</v>
      </c>
      <c r="BB694" s="58" t="s">
        <v>1407</v>
      </c>
      <c r="BC694" s="58"/>
    </row>
    <row r="695" spans="1:55" x14ac:dyDescent="0.25">
      <c r="A695" s="10">
        <f t="shared" si="31"/>
        <v>694</v>
      </c>
      <c r="B695" s="181" t="s">
        <v>7256</v>
      </c>
      <c r="C695" s="592" t="s">
        <v>1407</v>
      </c>
      <c r="D695" s="457">
        <v>400353</v>
      </c>
      <c r="E695" s="181" t="s">
        <v>36</v>
      </c>
      <c r="F695" s="97" t="s">
        <v>7257</v>
      </c>
      <c r="G695" s="139">
        <v>6</v>
      </c>
      <c r="H695" s="469" t="s">
        <v>5089</v>
      </c>
      <c r="I695" s="469" t="s">
        <v>146</v>
      </c>
      <c r="J695" s="458">
        <f>I695-H695</f>
        <v>0.33333333333333331</v>
      </c>
      <c r="K695" s="462" t="s">
        <v>640</v>
      </c>
      <c r="L695" s="97" t="s">
        <v>7258</v>
      </c>
      <c r="M695" s="97" t="s">
        <v>26</v>
      </c>
      <c r="N695" s="58" t="s">
        <v>38</v>
      </c>
      <c r="O695" s="58" t="s">
        <v>5076</v>
      </c>
      <c r="P695" s="206">
        <v>44419</v>
      </c>
      <c r="Q695" s="206">
        <v>45142</v>
      </c>
      <c r="R695" s="206">
        <v>45872</v>
      </c>
      <c r="S695" s="461">
        <v>45873</v>
      </c>
      <c r="T695" s="139">
        <v>2012</v>
      </c>
      <c r="U695" s="181" t="s">
        <v>7259</v>
      </c>
      <c r="V695" s="139">
        <v>2020</v>
      </c>
      <c r="W695" s="140" t="s">
        <v>282</v>
      </c>
      <c r="X695" s="181" t="s">
        <v>30</v>
      </c>
      <c r="Y695" s="58" t="s">
        <v>5078</v>
      </c>
      <c r="Z695" s="140" t="s">
        <v>7260</v>
      </c>
      <c r="AA695" s="97" t="s">
        <v>1841</v>
      </c>
      <c r="AB695" s="471">
        <v>44497</v>
      </c>
      <c r="AC695" s="471">
        <v>46322</v>
      </c>
      <c r="AD695" s="472">
        <v>9000419603</v>
      </c>
      <c r="AE695" s="473" t="s">
        <v>7261</v>
      </c>
      <c r="AF695" s="97" t="s">
        <v>2284</v>
      </c>
      <c r="AG695" s="482" t="s">
        <v>7262</v>
      </c>
      <c r="AH695" s="181" t="s">
        <v>7263</v>
      </c>
      <c r="AI695" s="139" t="s">
        <v>7264</v>
      </c>
      <c r="AJ695" s="464" t="s">
        <v>7265</v>
      </c>
      <c r="AK695" s="97" t="s">
        <v>7266</v>
      </c>
      <c r="AL695" s="461">
        <v>45491</v>
      </c>
      <c r="AM695" s="477" t="s">
        <v>30</v>
      </c>
      <c r="AN695" s="465" t="s">
        <v>7267</v>
      </c>
      <c r="AO695" s="97"/>
      <c r="AP695" s="58"/>
      <c r="AQ695" s="486"/>
      <c r="AR695" s="462"/>
      <c r="AS695" s="479">
        <v>0.375</v>
      </c>
      <c r="AT695" s="479">
        <v>0.70833333333333337</v>
      </c>
      <c r="AU695" s="461">
        <v>32288</v>
      </c>
      <c r="AV695" s="181" t="s">
        <v>1352</v>
      </c>
      <c r="AW695" s="31" t="s">
        <v>32</v>
      </c>
      <c r="AX695" s="139">
        <v>8</v>
      </c>
      <c r="AY695" s="58" t="s">
        <v>2068</v>
      </c>
      <c r="AZ695" s="58" t="s">
        <v>26</v>
      </c>
      <c r="BA695" s="58" t="s">
        <v>151</v>
      </c>
      <c r="BB695" s="58" t="s">
        <v>1407</v>
      </c>
      <c r="BC695" s="58"/>
    </row>
    <row r="696" spans="1:55" x14ac:dyDescent="0.25">
      <c r="A696" s="10">
        <f t="shared" si="31"/>
        <v>695</v>
      </c>
      <c r="B696" s="181" t="s">
        <v>7268</v>
      </c>
      <c r="C696" s="592" t="s">
        <v>1407</v>
      </c>
      <c r="D696" s="457">
        <v>400464</v>
      </c>
      <c r="E696" s="181" t="s">
        <v>42</v>
      </c>
      <c r="F696" s="97" t="s">
        <v>7269</v>
      </c>
      <c r="G696" s="139">
        <v>6</v>
      </c>
      <c r="H696" s="458">
        <v>0.375</v>
      </c>
      <c r="I696" s="458">
        <v>0.5</v>
      </c>
      <c r="J696" s="458">
        <f>I696-H696</f>
        <v>0.125</v>
      </c>
      <c r="K696" s="100" t="s">
        <v>840</v>
      </c>
      <c r="L696" s="97" t="s">
        <v>7270</v>
      </c>
      <c r="M696" s="97" t="s">
        <v>26</v>
      </c>
      <c r="N696" s="58" t="s">
        <v>38</v>
      </c>
      <c r="O696" s="58" t="s">
        <v>5076</v>
      </c>
      <c r="P696" s="206">
        <v>44664</v>
      </c>
      <c r="Q696" s="460">
        <v>44664</v>
      </c>
      <c r="R696" s="460">
        <v>45394</v>
      </c>
      <c r="S696" s="461">
        <v>45395</v>
      </c>
      <c r="T696" s="139">
        <v>2015</v>
      </c>
      <c r="U696" s="139" t="s">
        <v>209</v>
      </c>
      <c r="V696" s="139">
        <v>2019</v>
      </c>
      <c r="W696" s="139" t="s">
        <v>708</v>
      </c>
      <c r="X696" s="139" t="s">
        <v>30</v>
      </c>
      <c r="Y696" s="462" t="s">
        <v>1611</v>
      </c>
      <c r="Z696" s="140"/>
      <c r="AA696" s="140"/>
      <c r="AB696" s="460"/>
      <c r="AC696" s="460"/>
      <c r="AD696" s="139">
        <v>9391687368</v>
      </c>
      <c r="AE696" s="467"/>
      <c r="AF696" s="139" t="s">
        <v>1833</v>
      </c>
      <c r="AG696" s="463" t="s">
        <v>7271</v>
      </c>
      <c r="AH696" s="139" t="s">
        <v>2083</v>
      </c>
      <c r="AI696" s="139" t="s">
        <v>7272</v>
      </c>
      <c r="AJ696" s="464" t="s">
        <v>7273</v>
      </c>
      <c r="AK696" s="140"/>
      <c r="AL696" s="461"/>
      <c r="AM696" s="477"/>
      <c r="AN696" s="465"/>
      <c r="AO696" s="140"/>
      <c r="AP696" s="139"/>
      <c r="AQ696" s="139"/>
      <c r="AR696" s="181"/>
      <c r="AS696" s="458"/>
      <c r="AT696" s="458"/>
      <c r="AU696" s="461"/>
      <c r="AV696" s="181" t="s">
        <v>1389</v>
      </c>
      <c r="AW696" s="31" t="s">
        <v>32</v>
      </c>
      <c r="AX696" s="139">
        <v>3</v>
      </c>
      <c r="AY696" s="58" t="s">
        <v>2006</v>
      </c>
      <c r="AZ696" s="58" t="s">
        <v>26</v>
      </c>
      <c r="BA696" s="58" t="s">
        <v>151</v>
      </c>
      <c r="BB696" s="58" t="s">
        <v>1407</v>
      </c>
      <c r="BC696" s="58"/>
    </row>
    <row r="697" spans="1:55" x14ac:dyDescent="0.25">
      <c r="A697" s="10">
        <f t="shared" si="31"/>
        <v>696</v>
      </c>
      <c r="B697" s="181"/>
      <c r="C697" s="592" t="s">
        <v>1407</v>
      </c>
      <c r="D697" s="96">
        <v>400465</v>
      </c>
      <c r="E697" s="181"/>
      <c r="F697" s="97" t="s">
        <v>7274</v>
      </c>
      <c r="G697" s="462"/>
      <c r="H697" s="458"/>
      <c r="I697" s="458"/>
      <c r="J697" s="458"/>
      <c r="K697" s="100" t="s">
        <v>275</v>
      </c>
      <c r="L697" s="97"/>
      <c r="M697" s="97" t="s">
        <v>30</v>
      </c>
      <c r="N697" s="58"/>
      <c r="O697" s="58"/>
      <c r="P697" s="460"/>
      <c r="Q697" s="460"/>
      <c r="R697" s="460"/>
      <c r="S697" s="461"/>
      <c r="T697" s="139"/>
      <c r="U697" s="139"/>
      <c r="V697" s="139"/>
      <c r="W697" s="462"/>
      <c r="X697" s="139"/>
      <c r="Y697" s="462"/>
      <c r="Z697" s="140"/>
      <c r="AA697" s="465"/>
      <c r="AB697" s="460"/>
      <c r="AC697" s="139"/>
      <c r="AD697" s="139"/>
      <c r="AE697" s="140"/>
      <c r="AF697" s="486"/>
      <c r="AG697" s="139"/>
      <c r="AH697" s="139"/>
      <c r="AI697" s="464"/>
      <c r="AJ697" s="139"/>
      <c r="AK697" s="140"/>
      <c r="AL697" s="206"/>
      <c r="AM697" s="477"/>
      <c r="AN697" s="140"/>
      <c r="AO697" s="140"/>
      <c r="AP697" s="462"/>
      <c r="AQ697" s="58"/>
      <c r="AR697" s="489"/>
      <c r="AS697" s="458"/>
      <c r="AT697" s="181"/>
      <c r="AU697" s="181"/>
      <c r="AV697" s="461"/>
      <c r="AW697" s="181"/>
      <c r="AX697" s="139"/>
      <c r="AY697" s="58" t="s">
        <v>1959</v>
      </c>
      <c r="AZ697" s="58"/>
      <c r="BA697" s="58" t="s">
        <v>151</v>
      </c>
      <c r="BB697" s="58" t="s">
        <v>1407</v>
      </c>
      <c r="BC697" s="58"/>
    </row>
    <row r="698" spans="1:55" x14ac:dyDescent="0.25">
      <c r="A698" s="10">
        <f t="shared" si="31"/>
        <v>697</v>
      </c>
      <c r="B698" s="181" t="s">
        <v>7275</v>
      </c>
      <c r="C698" s="592" t="s">
        <v>1407</v>
      </c>
      <c r="D698" s="457">
        <v>400466</v>
      </c>
      <c r="E698" s="181" t="s">
        <v>36</v>
      </c>
      <c r="F698" s="97" t="s">
        <v>7276</v>
      </c>
      <c r="G698" s="139">
        <v>6</v>
      </c>
      <c r="H698" s="458">
        <v>0.33333333333333298</v>
      </c>
      <c r="I698" s="458">
        <v>0.4375</v>
      </c>
      <c r="J698" s="458">
        <f>I698-H698</f>
        <v>0.10416666666666702</v>
      </c>
      <c r="K698" s="58" t="s">
        <v>693</v>
      </c>
      <c r="L698" s="97" t="s">
        <v>7277</v>
      </c>
      <c r="M698" s="97" t="s">
        <v>26</v>
      </c>
      <c r="N698" s="58" t="s">
        <v>38</v>
      </c>
      <c r="O698" s="58" t="s">
        <v>7182</v>
      </c>
      <c r="P698" s="206">
        <v>44669</v>
      </c>
      <c r="Q698" s="460">
        <v>44669</v>
      </c>
      <c r="R698" s="460">
        <v>45399</v>
      </c>
      <c r="S698" s="461">
        <v>45400</v>
      </c>
      <c r="T698" s="139"/>
      <c r="U698" s="139"/>
      <c r="V698" s="139"/>
      <c r="W698" s="139"/>
      <c r="X698" s="139"/>
      <c r="Y698" s="462"/>
      <c r="Z698" s="140"/>
      <c r="AA698" s="140"/>
      <c r="AB698" s="460"/>
      <c r="AC698" s="460"/>
      <c r="AD698" s="139"/>
      <c r="AE698" s="140"/>
      <c r="AF698" s="139" t="s">
        <v>7211</v>
      </c>
      <c r="AG698" s="491" t="s">
        <v>7278</v>
      </c>
      <c r="AH698" s="139" t="s">
        <v>4359</v>
      </c>
      <c r="AI698" s="139" t="s">
        <v>7279</v>
      </c>
      <c r="AJ698" s="475" t="s">
        <v>7280</v>
      </c>
      <c r="AK698" s="140"/>
      <c r="AL698" s="461"/>
      <c r="AM698" s="477"/>
      <c r="AN698" s="465"/>
      <c r="AO698" s="140"/>
      <c r="AP698" s="139"/>
      <c r="AQ698" s="139"/>
      <c r="AR698" s="181"/>
      <c r="AS698" s="458"/>
      <c r="AT698" s="458"/>
      <c r="AU698" s="461"/>
      <c r="AV698" s="181" t="s">
        <v>1352</v>
      </c>
      <c r="AW698" s="31" t="s">
        <v>32</v>
      </c>
      <c r="AX698" s="139">
        <v>2.5</v>
      </c>
      <c r="AY698" s="58" t="s">
        <v>2469</v>
      </c>
      <c r="AZ698" s="58" t="s">
        <v>26</v>
      </c>
      <c r="BA698" s="58" t="s">
        <v>151</v>
      </c>
      <c r="BB698" s="58" t="s">
        <v>1407</v>
      </c>
      <c r="BC698" s="58"/>
    </row>
    <row r="699" spans="1:55" x14ac:dyDescent="0.25">
      <c r="A699" s="10">
        <f t="shared" si="31"/>
        <v>698</v>
      </c>
      <c r="B699" s="181" t="s">
        <v>444</v>
      </c>
      <c r="C699" s="592" t="s">
        <v>1407</v>
      </c>
      <c r="D699" s="457">
        <v>400467</v>
      </c>
      <c r="E699" s="181" t="s">
        <v>36</v>
      </c>
      <c r="F699" s="97" t="s">
        <v>445</v>
      </c>
      <c r="G699" s="139">
        <v>6</v>
      </c>
      <c r="H699" s="458">
        <v>0.375</v>
      </c>
      <c r="I699" s="458">
        <v>0.54166666666666696</v>
      </c>
      <c r="J699" s="458">
        <f>I699-H699</f>
        <v>0.16666666666666696</v>
      </c>
      <c r="K699" s="462" t="s">
        <v>5190</v>
      </c>
      <c r="L699" s="97" t="s">
        <v>447</v>
      </c>
      <c r="M699" s="97" t="s">
        <v>26</v>
      </c>
      <c r="N699" s="58" t="s">
        <v>38</v>
      </c>
      <c r="O699" s="58" t="s">
        <v>7182</v>
      </c>
      <c r="P699" s="206">
        <v>44671</v>
      </c>
      <c r="Q699" s="460">
        <v>44671</v>
      </c>
      <c r="R699" s="460">
        <v>45401</v>
      </c>
      <c r="S699" s="461">
        <v>45402</v>
      </c>
      <c r="T699" s="139">
        <v>2013</v>
      </c>
      <c r="U699" s="139" t="s">
        <v>448</v>
      </c>
      <c r="V699" s="139">
        <v>2018</v>
      </c>
      <c r="W699" s="139" t="s">
        <v>7281</v>
      </c>
      <c r="X699" s="139" t="s">
        <v>30</v>
      </c>
      <c r="Y699" s="462" t="s">
        <v>7156</v>
      </c>
      <c r="Z699" s="140"/>
      <c r="AA699" s="140"/>
      <c r="AB699" s="460"/>
      <c r="AC699" s="460"/>
      <c r="AD699" s="139">
        <v>9100836865</v>
      </c>
      <c r="AE699" s="467" t="s">
        <v>450</v>
      </c>
      <c r="AF699" s="139" t="s">
        <v>7282</v>
      </c>
      <c r="AG699" s="491" t="s">
        <v>7283</v>
      </c>
      <c r="AH699" s="139" t="s">
        <v>2035</v>
      </c>
      <c r="AI699" s="139" t="s">
        <v>2652</v>
      </c>
      <c r="AJ699" s="475" t="s">
        <v>2653</v>
      </c>
      <c r="AK699" s="140"/>
      <c r="AL699" s="461"/>
      <c r="AM699" s="477"/>
      <c r="AN699" s="465"/>
      <c r="AO699" s="140"/>
      <c r="AP699" s="139"/>
      <c r="AQ699" s="139" t="e">
        <f>DATEDIF(P699,#REF!,"Y")&amp;"."&amp;DATEDIF(P699,#REF!,"ym")</f>
        <v>#REF!</v>
      </c>
      <c r="AR699" s="181"/>
      <c r="AS699" s="458"/>
      <c r="AT699" s="458"/>
      <c r="AU699" s="461"/>
      <c r="AV699" s="181" t="s">
        <v>1389</v>
      </c>
      <c r="AW699" s="31" t="s">
        <v>32</v>
      </c>
      <c r="AX699" s="139">
        <v>4</v>
      </c>
      <c r="AY699" s="58" t="s">
        <v>2068</v>
      </c>
      <c r="AZ699" s="58" t="s">
        <v>26</v>
      </c>
      <c r="BA699" s="58" t="s">
        <v>151</v>
      </c>
      <c r="BB699" s="58" t="s">
        <v>1407</v>
      </c>
      <c r="BC699" s="58"/>
    </row>
    <row r="700" spans="1:55" x14ac:dyDescent="0.25">
      <c r="A700" s="10">
        <f t="shared" si="31"/>
        <v>699</v>
      </c>
      <c r="B700" s="181" t="s">
        <v>7284</v>
      </c>
      <c r="C700" s="592" t="s">
        <v>1407</v>
      </c>
      <c r="D700" s="457">
        <v>400468</v>
      </c>
      <c r="E700" s="181" t="s">
        <v>9124</v>
      </c>
      <c r="F700" s="97" t="s">
        <v>7285</v>
      </c>
      <c r="G700" s="139">
        <v>6</v>
      </c>
      <c r="H700" s="458" t="s">
        <v>7286</v>
      </c>
      <c r="I700" s="458" t="s">
        <v>7287</v>
      </c>
      <c r="J700" s="458">
        <v>0.16666666666666666</v>
      </c>
      <c r="K700" s="143" t="s">
        <v>477</v>
      </c>
      <c r="L700" s="97"/>
      <c r="M700" s="97" t="s">
        <v>1544</v>
      </c>
      <c r="N700" s="58" t="s">
        <v>1992</v>
      </c>
      <c r="O700" s="58" t="s">
        <v>5168</v>
      </c>
      <c r="P700" s="206">
        <v>44671</v>
      </c>
      <c r="Q700" s="460">
        <v>44671</v>
      </c>
      <c r="R700" s="460">
        <v>45401</v>
      </c>
      <c r="S700" s="461">
        <v>45402</v>
      </c>
      <c r="T700" s="139">
        <v>2008</v>
      </c>
      <c r="U700" s="139" t="s">
        <v>7288</v>
      </c>
      <c r="V700" s="139">
        <v>2015</v>
      </c>
      <c r="W700" s="139" t="s">
        <v>7288</v>
      </c>
      <c r="X700" s="139" t="s">
        <v>30</v>
      </c>
      <c r="Y700" s="462" t="s">
        <v>1611</v>
      </c>
      <c r="Z700" s="140">
        <v>65163</v>
      </c>
      <c r="AA700" s="140" t="s">
        <v>1886</v>
      </c>
      <c r="AB700" s="460"/>
      <c r="AC700" s="460"/>
      <c r="AD700" s="139">
        <v>9492032184</v>
      </c>
      <c r="AE700" s="467"/>
      <c r="AF700" s="139" t="s">
        <v>1833</v>
      </c>
      <c r="AG700" s="463" t="s">
        <v>7289</v>
      </c>
      <c r="AH700" s="139" t="s">
        <v>7290</v>
      </c>
      <c r="AI700" s="139" t="s">
        <v>7291</v>
      </c>
      <c r="AJ700" s="464" t="s">
        <v>7292</v>
      </c>
      <c r="AK700" s="140"/>
      <c r="AL700" s="206"/>
      <c r="AM700" s="477"/>
      <c r="AN700" s="465"/>
      <c r="AO700" s="140"/>
      <c r="AP700" s="139"/>
      <c r="AQ700" s="139"/>
      <c r="AR700" s="181"/>
      <c r="AS700" s="458"/>
      <c r="AT700" s="458"/>
      <c r="AU700" s="461"/>
      <c r="AV700" s="181" t="s">
        <v>1389</v>
      </c>
      <c r="AW700" s="31" t="s">
        <v>32</v>
      </c>
      <c r="AX700" s="139">
        <v>4</v>
      </c>
      <c r="AY700" s="466">
        <f>VLOOKUP(K700,[3]Master!M677:BA1060,40,0)</f>
        <v>4</v>
      </c>
      <c r="AZ700" s="58" t="s">
        <v>1373</v>
      </c>
      <c r="BA700" s="58" t="s">
        <v>151</v>
      </c>
      <c r="BB700" s="58" t="s">
        <v>1407</v>
      </c>
      <c r="BC700" s="58"/>
    </row>
    <row r="701" spans="1:55" x14ac:dyDescent="0.25">
      <c r="A701" s="10">
        <f t="shared" si="31"/>
        <v>700</v>
      </c>
      <c r="B701" s="181" t="s">
        <v>5867</v>
      </c>
      <c r="C701" s="592" t="s">
        <v>1407</v>
      </c>
      <c r="D701" s="457">
        <v>400469</v>
      </c>
      <c r="E701" s="181" t="s">
        <v>36</v>
      </c>
      <c r="F701" s="97" t="s">
        <v>5868</v>
      </c>
      <c r="G701" s="139">
        <v>6</v>
      </c>
      <c r="H701" s="469" t="s">
        <v>747</v>
      </c>
      <c r="I701" s="469" t="s">
        <v>5702</v>
      </c>
      <c r="J701" s="458">
        <f>I701-H701</f>
        <v>0.33333333333333337</v>
      </c>
      <c r="K701" s="100" t="s">
        <v>287</v>
      </c>
      <c r="L701" s="97" t="s">
        <v>7293</v>
      </c>
      <c r="M701" s="97" t="s">
        <v>26</v>
      </c>
      <c r="N701" s="58" t="s">
        <v>38</v>
      </c>
      <c r="O701" s="58" t="s">
        <v>5076</v>
      </c>
      <c r="P701" s="206">
        <v>44673</v>
      </c>
      <c r="Q701" s="206">
        <v>44673</v>
      </c>
      <c r="R701" s="206">
        <v>45403</v>
      </c>
      <c r="S701" s="461">
        <v>45404</v>
      </c>
      <c r="T701" s="139">
        <v>2013</v>
      </c>
      <c r="U701" s="181" t="s">
        <v>7294</v>
      </c>
      <c r="V701" s="139">
        <v>2018</v>
      </c>
      <c r="W701" s="140" t="s">
        <v>7294</v>
      </c>
      <c r="X701" s="181" t="s">
        <v>30</v>
      </c>
      <c r="Y701" s="58" t="s">
        <v>5141</v>
      </c>
      <c r="Z701" s="140" t="s">
        <v>7295</v>
      </c>
      <c r="AA701" s="97" t="s">
        <v>1841</v>
      </c>
      <c r="AB701" s="471">
        <v>44200</v>
      </c>
      <c r="AC701" s="471">
        <v>46025</v>
      </c>
      <c r="AD701" s="472">
        <v>9182812280</v>
      </c>
      <c r="AE701" s="473" t="s">
        <v>5871</v>
      </c>
      <c r="AF701" s="97" t="s">
        <v>5055</v>
      </c>
      <c r="AG701" s="464" t="s">
        <v>7296</v>
      </c>
      <c r="AH701" s="181" t="s">
        <v>7297</v>
      </c>
      <c r="AI701" s="139" t="s">
        <v>5874</v>
      </c>
      <c r="AJ701" s="464" t="s">
        <v>7298</v>
      </c>
      <c r="AK701" s="97"/>
      <c r="AL701" s="461">
        <v>45404</v>
      </c>
      <c r="AM701" s="477">
        <v>45398</v>
      </c>
      <c r="AN701" s="465" t="s">
        <v>5098</v>
      </c>
      <c r="AO701" s="97"/>
      <c r="AP701" s="58"/>
      <c r="AQ701" s="486"/>
      <c r="AR701" s="462"/>
      <c r="AS701" s="479">
        <v>0.5</v>
      </c>
      <c r="AT701" s="479">
        <v>0.83333333333333337</v>
      </c>
      <c r="AU701" s="461">
        <v>32718</v>
      </c>
      <c r="AV701" s="181" t="s">
        <v>1389</v>
      </c>
      <c r="AW701" s="31" t="s">
        <v>32</v>
      </c>
      <c r="AX701" s="139">
        <v>8</v>
      </c>
      <c r="AY701" s="466">
        <f>VLOOKUP(K701,[3]Master!M678:BA1061,40,0)</f>
        <v>8</v>
      </c>
      <c r="AZ701" s="58" t="s">
        <v>26</v>
      </c>
      <c r="BA701" s="58" t="s">
        <v>151</v>
      </c>
      <c r="BB701" s="58" t="s">
        <v>1407</v>
      </c>
      <c r="BC701" s="58"/>
    </row>
    <row r="702" spans="1:55" x14ac:dyDescent="0.25">
      <c r="A702" s="10">
        <f t="shared" si="31"/>
        <v>701</v>
      </c>
      <c r="B702" s="181" t="s">
        <v>7299</v>
      </c>
      <c r="C702" s="592" t="s">
        <v>1407</v>
      </c>
      <c r="D702" s="457">
        <v>400470</v>
      </c>
      <c r="E702" s="181" t="s">
        <v>36</v>
      </c>
      <c r="F702" s="97" t="s">
        <v>7300</v>
      </c>
      <c r="G702" s="139">
        <v>6</v>
      </c>
      <c r="H702" s="458">
        <v>0.33333333333333298</v>
      </c>
      <c r="I702" s="458">
        <v>0.875</v>
      </c>
      <c r="J702" s="458">
        <v>0.33333333333333331</v>
      </c>
      <c r="K702" s="587" t="s">
        <v>287</v>
      </c>
      <c r="L702" s="181" t="s">
        <v>2015</v>
      </c>
      <c r="M702" s="63" t="s">
        <v>1355</v>
      </c>
      <c r="N702" s="100" t="s">
        <v>1520</v>
      </c>
      <c r="O702" s="58" t="s">
        <v>5168</v>
      </c>
      <c r="P702" s="460">
        <v>44676</v>
      </c>
      <c r="Q702" s="460">
        <v>44676</v>
      </c>
      <c r="R702" s="460">
        <v>45406</v>
      </c>
      <c r="S702" s="461">
        <v>45407</v>
      </c>
      <c r="T702" s="139"/>
      <c r="U702" s="139"/>
      <c r="V702" s="139"/>
      <c r="W702" s="139"/>
      <c r="X702" s="139"/>
      <c r="Y702" s="462"/>
      <c r="Z702" s="140"/>
      <c r="AA702" s="460"/>
      <c r="AB702" s="460"/>
      <c r="AC702" s="139"/>
      <c r="AD702" s="139"/>
      <c r="AE702" s="140"/>
      <c r="AF702" s="139" t="s">
        <v>7282</v>
      </c>
      <c r="AG702" s="491" t="s">
        <v>7301</v>
      </c>
      <c r="AH702" s="139" t="s">
        <v>6176</v>
      </c>
      <c r="AI702" s="139" t="s">
        <v>7302</v>
      </c>
      <c r="AJ702" s="475" t="s">
        <v>7303</v>
      </c>
      <c r="AK702" s="140"/>
      <c r="AL702" s="206"/>
      <c r="AM702" s="477"/>
      <c r="AN702" s="465"/>
      <c r="AO702" s="140"/>
      <c r="AP702" s="139"/>
      <c r="AQ702" s="139"/>
      <c r="AR702" s="181"/>
      <c r="AS702" s="458"/>
      <c r="AT702" s="458"/>
      <c r="AU702" s="461"/>
      <c r="AV702" s="181" t="s">
        <v>1389</v>
      </c>
      <c r="AW702" s="31" t="s">
        <v>68</v>
      </c>
      <c r="AX702" s="139">
        <v>8</v>
      </c>
      <c r="AY702" s="58" t="s">
        <v>1881</v>
      </c>
      <c r="AZ702" s="58" t="s">
        <v>1373</v>
      </c>
      <c r="BA702" s="58" t="s">
        <v>151</v>
      </c>
      <c r="BB702" s="58" t="s">
        <v>1407</v>
      </c>
      <c r="BC702" s="58"/>
    </row>
    <row r="703" spans="1:55" x14ac:dyDescent="0.25">
      <c r="A703" s="10">
        <f t="shared" si="31"/>
        <v>702</v>
      </c>
      <c r="B703" s="181" t="s">
        <v>7304</v>
      </c>
      <c r="C703" s="592" t="s">
        <v>1407</v>
      </c>
      <c r="D703" s="457">
        <v>400471</v>
      </c>
      <c r="E703" s="181" t="s">
        <v>36</v>
      </c>
      <c r="F703" s="97" t="s">
        <v>7305</v>
      </c>
      <c r="G703" s="139">
        <v>6</v>
      </c>
      <c r="H703" s="458">
        <v>0.33333333333333298</v>
      </c>
      <c r="I703" s="458">
        <v>0.875</v>
      </c>
      <c r="J703" s="458">
        <v>0.33333333333333331</v>
      </c>
      <c r="K703" s="100" t="s">
        <v>563</v>
      </c>
      <c r="L703" s="97"/>
      <c r="M703" s="63" t="s">
        <v>1355</v>
      </c>
      <c r="N703" s="100" t="s">
        <v>1520</v>
      </c>
      <c r="O703" s="58" t="s">
        <v>5168</v>
      </c>
      <c r="P703" s="206">
        <v>44676</v>
      </c>
      <c r="Q703" s="460">
        <v>44676</v>
      </c>
      <c r="R703" s="460">
        <v>45406</v>
      </c>
      <c r="S703" s="461">
        <v>45407</v>
      </c>
      <c r="T703" s="139">
        <v>2012</v>
      </c>
      <c r="U703" s="139" t="s">
        <v>7306</v>
      </c>
      <c r="V703" s="139">
        <v>2016</v>
      </c>
      <c r="W703" s="139" t="s">
        <v>7307</v>
      </c>
      <c r="X703" s="139" t="s">
        <v>30</v>
      </c>
      <c r="Y703" s="462"/>
      <c r="Z703" s="140"/>
      <c r="AA703" s="140" t="s">
        <v>1886</v>
      </c>
      <c r="AB703" s="460"/>
      <c r="AC703" s="460"/>
      <c r="AD703" s="139">
        <v>9901046009</v>
      </c>
      <c r="AE703" s="467" t="s">
        <v>7308</v>
      </c>
      <c r="AF703" s="139" t="s">
        <v>7211</v>
      </c>
      <c r="AG703" s="463" t="s">
        <v>7309</v>
      </c>
      <c r="AH703" s="139" t="s">
        <v>5567</v>
      </c>
      <c r="AI703" s="139" t="s">
        <v>7310</v>
      </c>
      <c r="AJ703" s="464" t="s">
        <v>7311</v>
      </c>
      <c r="AK703" s="140"/>
      <c r="AL703" s="206"/>
      <c r="AM703" s="477"/>
      <c r="AN703" s="465"/>
      <c r="AO703" s="140"/>
      <c r="AP703" s="139"/>
      <c r="AQ703" s="139"/>
      <c r="AR703" s="181"/>
      <c r="AS703" s="458"/>
      <c r="AT703" s="458"/>
      <c r="AU703" s="461"/>
      <c r="AV703" s="181" t="s">
        <v>1389</v>
      </c>
      <c r="AW703" s="31" t="s">
        <v>68</v>
      </c>
      <c r="AX703" s="139">
        <v>8</v>
      </c>
      <c r="AY703" s="58" t="s">
        <v>1895</v>
      </c>
      <c r="AZ703" s="58" t="s">
        <v>1373</v>
      </c>
      <c r="BA703" s="58" t="s">
        <v>151</v>
      </c>
      <c r="BB703" s="58" t="s">
        <v>1407</v>
      </c>
      <c r="BC703" s="58"/>
    </row>
    <row r="704" spans="1:55" x14ac:dyDescent="0.25">
      <c r="A704" s="10">
        <f t="shared" si="31"/>
        <v>703</v>
      </c>
      <c r="B704" s="181" t="s">
        <v>7312</v>
      </c>
      <c r="C704" s="592" t="s">
        <v>1407</v>
      </c>
      <c r="D704" s="457">
        <v>400472</v>
      </c>
      <c r="E704" s="181" t="s">
        <v>36</v>
      </c>
      <c r="F704" s="97" t="s">
        <v>7313</v>
      </c>
      <c r="G704" s="139">
        <v>6</v>
      </c>
      <c r="H704" s="458">
        <v>0.33333333333333331</v>
      </c>
      <c r="I704" s="458">
        <v>0.875</v>
      </c>
      <c r="J704" s="458">
        <v>0.33333333333333331</v>
      </c>
      <c r="K704" s="462" t="s">
        <v>154</v>
      </c>
      <c r="L704" s="97" t="s">
        <v>2015</v>
      </c>
      <c r="M704" s="63" t="s">
        <v>1355</v>
      </c>
      <c r="N704" s="100" t="s">
        <v>1520</v>
      </c>
      <c r="O704" s="58" t="s">
        <v>5168</v>
      </c>
      <c r="P704" s="206">
        <v>44683</v>
      </c>
      <c r="Q704" s="460">
        <v>44683</v>
      </c>
      <c r="R704" s="460">
        <v>45413</v>
      </c>
      <c r="S704" s="461">
        <v>45414</v>
      </c>
      <c r="T704" s="139">
        <v>2010</v>
      </c>
      <c r="U704" s="139" t="s">
        <v>7314</v>
      </c>
      <c r="V704" s="139">
        <v>2020</v>
      </c>
      <c r="W704" s="139" t="s">
        <v>7315</v>
      </c>
      <c r="X704" s="139" t="s">
        <v>30</v>
      </c>
      <c r="Y704" s="462" t="s">
        <v>5214</v>
      </c>
      <c r="Z704" s="140">
        <v>68502</v>
      </c>
      <c r="AA704" s="140" t="s">
        <v>6906</v>
      </c>
      <c r="AB704" s="460">
        <v>44629</v>
      </c>
      <c r="AC704" s="460">
        <v>46454</v>
      </c>
      <c r="AD704" s="139">
        <v>7337462523</v>
      </c>
      <c r="AE704" s="467" t="s">
        <v>7316</v>
      </c>
      <c r="AF704" s="139" t="s">
        <v>7317</v>
      </c>
      <c r="AG704" s="463" t="s">
        <v>7318</v>
      </c>
      <c r="AH704" s="139" t="s">
        <v>1835</v>
      </c>
      <c r="AI704" s="139" t="s">
        <v>7319</v>
      </c>
      <c r="AJ704" s="464">
        <v>677943992263</v>
      </c>
      <c r="AK704" s="140" t="s">
        <v>7320</v>
      </c>
      <c r="AL704" s="206">
        <v>45088</v>
      </c>
      <c r="AM704" s="477" t="s">
        <v>30</v>
      </c>
      <c r="AN704" s="490"/>
      <c r="AO704" s="140"/>
      <c r="AP704" s="139"/>
      <c r="AQ704" s="139" t="e">
        <v>#N/A</v>
      </c>
      <c r="AR704" s="181"/>
      <c r="AS704" s="458"/>
      <c r="AT704" s="458"/>
      <c r="AU704" s="461">
        <v>31236</v>
      </c>
      <c r="AV704" s="181" t="s">
        <v>1389</v>
      </c>
      <c r="AW704" s="31" t="s">
        <v>68</v>
      </c>
      <c r="AX704" s="139">
        <v>8</v>
      </c>
      <c r="AY704" s="58" t="s">
        <v>1904</v>
      </c>
      <c r="AZ704" s="58" t="s">
        <v>1373</v>
      </c>
      <c r="BA704" s="58" t="s">
        <v>151</v>
      </c>
      <c r="BB704" s="58" t="s">
        <v>1407</v>
      </c>
      <c r="BC704" s="58"/>
    </row>
    <row r="705" spans="1:55" x14ac:dyDescent="0.25">
      <c r="A705" s="10">
        <f t="shared" si="31"/>
        <v>704</v>
      </c>
      <c r="B705" s="181" t="s">
        <v>7321</v>
      </c>
      <c r="C705" s="592" t="s">
        <v>1407</v>
      </c>
      <c r="D705" s="457">
        <v>400473</v>
      </c>
      <c r="E705" s="181" t="s">
        <v>36</v>
      </c>
      <c r="F705" s="97" t="s">
        <v>7322</v>
      </c>
      <c r="G705" s="139">
        <v>6</v>
      </c>
      <c r="H705" s="458">
        <v>0.35416666666666669</v>
      </c>
      <c r="I705" s="458">
        <v>0.6875</v>
      </c>
      <c r="J705" s="458">
        <f>I705-H705</f>
        <v>0.33333333333333331</v>
      </c>
      <c r="K705" s="143" t="s">
        <v>1266</v>
      </c>
      <c r="L705" s="97" t="s">
        <v>7323</v>
      </c>
      <c r="M705" s="97" t="s">
        <v>26</v>
      </c>
      <c r="N705" s="58" t="s">
        <v>38</v>
      </c>
      <c r="O705" s="58" t="s">
        <v>5076</v>
      </c>
      <c r="P705" s="206">
        <v>44683</v>
      </c>
      <c r="Q705" s="460">
        <v>44683</v>
      </c>
      <c r="R705" s="460">
        <v>45413</v>
      </c>
      <c r="S705" s="461">
        <v>45414</v>
      </c>
      <c r="T705" s="139">
        <v>2010</v>
      </c>
      <c r="U705" s="139" t="s">
        <v>306</v>
      </c>
      <c r="V705" s="139">
        <v>2016</v>
      </c>
      <c r="W705" s="139" t="s">
        <v>7324</v>
      </c>
      <c r="X705" s="139" t="s">
        <v>7325</v>
      </c>
      <c r="Y705" s="462" t="s">
        <v>7326</v>
      </c>
      <c r="Z705" s="140">
        <v>70747</v>
      </c>
      <c r="AA705" s="140" t="s">
        <v>6906</v>
      </c>
      <c r="AB705" s="460">
        <v>44681</v>
      </c>
      <c r="AC705" s="460">
        <v>46506</v>
      </c>
      <c r="AD705" s="139">
        <v>9491876839</v>
      </c>
      <c r="AE705" s="467" t="s">
        <v>7327</v>
      </c>
      <c r="AF705" s="139" t="s">
        <v>7317</v>
      </c>
      <c r="AG705" s="463" t="s">
        <v>7328</v>
      </c>
      <c r="AH705" s="139" t="s">
        <v>7329</v>
      </c>
      <c r="AI705" s="139" t="s">
        <v>7330</v>
      </c>
      <c r="AJ705" s="464">
        <v>769830479464</v>
      </c>
      <c r="AK705" s="140" t="s">
        <v>7331</v>
      </c>
      <c r="AL705" s="461" t="s">
        <v>30</v>
      </c>
      <c r="AM705" s="477" t="s">
        <v>30</v>
      </c>
      <c r="AN705" s="490"/>
      <c r="AO705" s="140"/>
      <c r="AP705" s="139"/>
      <c r="AQ705" s="139"/>
      <c r="AR705" s="181"/>
      <c r="AS705" s="458"/>
      <c r="AT705" s="458"/>
      <c r="AU705" s="461">
        <v>32069</v>
      </c>
      <c r="AV705" s="181" t="s">
        <v>1352</v>
      </c>
      <c r="AW705" s="31" t="s">
        <v>68</v>
      </c>
      <c r="AX705" s="139">
        <v>8</v>
      </c>
      <c r="AY705" s="58" t="s">
        <v>1904</v>
      </c>
      <c r="AZ705" s="58" t="s">
        <v>26</v>
      </c>
      <c r="BA705" s="58" t="s">
        <v>151</v>
      </c>
      <c r="BB705" s="58" t="s">
        <v>1407</v>
      </c>
      <c r="BC705" s="58"/>
    </row>
    <row r="706" spans="1:55" x14ac:dyDescent="0.25">
      <c r="A706" s="10">
        <f t="shared" si="31"/>
        <v>705</v>
      </c>
      <c r="B706" s="181" t="s">
        <v>5231</v>
      </c>
      <c r="C706" s="592" t="s">
        <v>1407</v>
      </c>
      <c r="D706" s="457">
        <v>400474</v>
      </c>
      <c r="E706" s="181" t="s">
        <v>42</v>
      </c>
      <c r="F706" s="97" t="s">
        <v>5232</v>
      </c>
      <c r="G706" s="139">
        <v>6</v>
      </c>
      <c r="H706" s="458">
        <v>0.35416666666666669</v>
      </c>
      <c r="I706" s="458">
        <v>0.52083333333333337</v>
      </c>
      <c r="J706" s="458">
        <f>I706-H706</f>
        <v>0.16666666666666669</v>
      </c>
      <c r="K706" s="58" t="s">
        <v>1081</v>
      </c>
      <c r="L706" s="97" t="s">
        <v>7332</v>
      </c>
      <c r="M706" s="97" t="s">
        <v>26</v>
      </c>
      <c r="N706" s="58" t="s">
        <v>38</v>
      </c>
      <c r="O706" s="58" t="s">
        <v>5076</v>
      </c>
      <c r="P706" s="206">
        <v>44683</v>
      </c>
      <c r="Q706" s="460">
        <v>44683</v>
      </c>
      <c r="R706" s="460">
        <v>45413</v>
      </c>
      <c r="S706" s="461">
        <v>45414</v>
      </c>
      <c r="T706" s="139">
        <v>2012</v>
      </c>
      <c r="U706" s="139" t="s">
        <v>7314</v>
      </c>
      <c r="V706" s="139">
        <v>2017</v>
      </c>
      <c r="W706" s="139" t="s">
        <v>7314</v>
      </c>
      <c r="X706" s="139" t="s">
        <v>30</v>
      </c>
      <c r="Y706" s="462" t="s">
        <v>5235</v>
      </c>
      <c r="Z706" s="140" t="s">
        <v>7333</v>
      </c>
      <c r="AA706" s="140" t="s">
        <v>6906</v>
      </c>
      <c r="AB706" s="460">
        <v>43348</v>
      </c>
      <c r="AC706" s="460">
        <v>45173</v>
      </c>
      <c r="AD706" s="139">
        <v>9959546834</v>
      </c>
      <c r="AE706" s="467" t="s">
        <v>5237</v>
      </c>
      <c r="AF706" s="139" t="s">
        <v>1364</v>
      </c>
      <c r="AG706" s="463" t="s">
        <v>5238</v>
      </c>
      <c r="AH706" s="139" t="s">
        <v>5239</v>
      </c>
      <c r="AI706" s="139" t="s">
        <v>5240</v>
      </c>
      <c r="AJ706" s="464">
        <v>664862865826</v>
      </c>
      <c r="AK706" s="140" t="s">
        <v>5241</v>
      </c>
      <c r="AL706" s="461" t="s">
        <v>30</v>
      </c>
      <c r="AM706" s="477" t="s">
        <v>30</v>
      </c>
      <c r="AN706" s="490"/>
      <c r="AO706" s="140"/>
      <c r="AP706" s="139"/>
      <c r="AQ706" s="139"/>
      <c r="AR706" s="181"/>
      <c r="AS706" s="458"/>
      <c r="AT706" s="458"/>
      <c r="AU706" s="461">
        <v>32821</v>
      </c>
      <c r="AV706" s="181" t="s">
        <v>1352</v>
      </c>
      <c r="AW706" s="31" t="s">
        <v>32</v>
      </c>
      <c r="AX706" s="139">
        <v>4</v>
      </c>
      <c r="AY706" s="466">
        <f>VLOOKUP(K706,[3]Master!M683:BA1066,40,0)</f>
        <v>4</v>
      </c>
      <c r="AZ706" s="58" t="s">
        <v>26</v>
      </c>
      <c r="BA706" s="58" t="s">
        <v>151</v>
      </c>
      <c r="BB706" s="58" t="s">
        <v>1407</v>
      </c>
      <c r="BC706" s="58"/>
    </row>
    <row r="707" spans="1:55" x14ac:dyDescent="0.25">
      <c r="A707" s="10">
        <f t="shared" si="31"/>
        <v>706</v>
      </c>
      <c r="B707" s="181" t="s">
        <v>7334</v>
      </c>
      <c r="C707" s="592" t="s">
        <v>1407</v>
      </c>
      <c r="D707" s="457">
        <v>400475</v>
      </c>
      <c r="E707" s="181" t="s">
        <v>9124</v>
      </c>
      <c r="F707" s="97" t="s">
        <v>7335</v>
      </c>
      <c r="G707" s="139">
        <v>6</v>
      </c>
      <c r="H707" s="458" t="s">
        <v>6954</v>
      </c>
      <c r="I707" s="458" t="s">
        <v>7336</v>
      </c>
      <c r="J707" s="458">
        <v>0.16666666666666666</v>
      </c>
      <c r="K707" s="100" t="s">
        <v>669</v>
      </c>
      <c r="L707" s="97" t="s">
        <v>7337</v>
      </c>
      <c r="M707" s="97" t="s">
        <v>26</v>
      </c>
      <c r="N707" s="58" t="s">
        <v>38</v>
      </c>
      <c r="O707" s="58" t="s">
        <v>5076</v>
      </c>
      <c r="P707" s="206">
        <v>44683</v>
      </c>
      <c r="Q707" s="460">
        <v>44683</v>
      </c>
      <c r="R707" s="460">
        <v>45413</v>
      </c>
      <c r="S707" s="461">
        <v>45414</v>
      </c>
      <c r="T707" s="139">
        <v>2013</v>
      </c>
      <c r="U707" s="139" t="s">
        <v>7338</v>
      </c>
      <c r="V707" s="139">
        <v>2017</v>
      </c>
      <c r="W707" s="139" t="s">
        <v>7338</v>
      </c>
      <c r="X707" s="139" t="s">
        <v>30</v>
      </c>
      <c r="Y707" s="462" t="s">
        <v>1611</v>
      </c>
      <c r="Z707" s="140" t="s">
        <v>7339</v>
      </c>
      <c r="AA707" s="140" t="s">
        <v>6906</v>
      </c>
      <c r="AB707" s="460">
        <v>44473</v>
      </c>
      <c r="AC707" s="460">
        <v>46298</v>
      </c>
      <c r="AD707" s="139">
        <v>8074629796</v>
      </c>
      <c r="AE707" s="467" t="s">
        <v>7340</v>
      </c>
      <c r="AF707" s="139" t="s">
        <v>1430</v>
      </c>
      <c r="AG707" s="463" t="s">
        <v>7341</v>
      </c>
      <c r="AH707" s="139" t="s">
        <v>7342</v>
      </c>
      <c r="AI707" s="139" t="s">
        <v>7343</v>
      </c>
      <c r="AJ707" s="464">
        <v>996610671774</v>
      </c>
      <c r="AK707" s="140" t="s">
        <v>7344</v>
      </c>
      <c r="AL707" s="461">
        <v>45108</v>
      </c>
      <c r="AM707" s="477" t="s">
        <v>30</v>
      </c>
      <c r="AN707" s="490"/>
      <c r="AO707" s="140"/>
      <c r="AP707" s="139"/>
      <c r="AQ707" s="139" t="e">
        <v>#N/A</v>
      </c>
      <c r="AR707" s="181"/>
      <c r="AS707" s="458"/>
      <c r="AT707" s="458"/>
      <c r="AU707" s="461">
        <v>32721</v>
      </c>
      <c r="AV707" s="181" t="s">
        <v>1389</v>
      </c>
      <c r="AW707" s="31" t="s">
        <v>32</v>
      </c>
      <c r="AX707" s="139">
        <v>4</v>
      </c>
      <c r="AY707" s="58" t="s">
        <v>2469</v>
      </c>
      <c r="AZ707" s="58" t="s">
        <v>26</v>
      </c>
      <c r="BA707" s="58" t="s">
        <v>151</v>
      </c>
      <c r="BB707" s="58" t="s">
        <v>1407</v>
      </c>
      <c r="BC707" s="58"/>
    </row>
    <row r="708" spans="1:55" x14ac:dyDescent="0.25">
      <c r="A708" s="10">
        <f t="shared" ref="A708:A771" si="33">A707+1</f>
        <v>707</v>
      </c>
      <c r="B708" s="181" t="s">
        <v>7345</v>
      </c>
      <c r="C708" s="592" t="s">
        <v>1407</v>
      </c>
      <c r="D708" s="457">
        <v>400476</v>
      </c>
      <c r="E708" s="181" t="s">
        <v>36</v>
      </c>
      <c r="F708" s="97" t="s">
        <v>7346</v>
      </c>
      <c r="G708" s="139">
        <v>6</v>
      </c>
      <c r="H708" s="458">
        <v>0.33333333333333331</v>
      </c>
      <c r="I708" s="458">
        <v>0.875</v>
      </c>
      <c r="J708" s="458">
        <v>0.33333333333333331</v>
      </c>
      <c r="K708" s="58" t="s">
        <v>826</v>
      </c>
      <c r="L708" s="97" t="s">
        <v>2015</v>
      </c>
      <c r="M708" s="63" t="s">
        <v>1355</v>
      </c>
      <c r="N708" s="100" t="s">
        <v>1520</v>
      </c>
      <c r="O708" s="58" t="s">
        <v>5168</v>
      </c>
      <c r="P708" s="181">
        <v>44686</v>
      </c>
      <c r="Q708" s="460">
        <v>44686</v>
      </c>
      <c r="R708" s="460">
        <v>45416</v>
      </c>
      <c r="S708" s="461">
        <v>45417</v>
      </c>
      <c r="T708" s="139">
        <v>2012</v>
      </c>
      <c r="U708" s="139" t="s">
        <v>7347</v>
      </c>
      <c r="V708" s="139">
        <v>2018</v>
      </c>
      <c r="W708" s="139" t="s">
        <v>7348</v>
      </c>
      <c r="X708" s="139" t="s">
        <v>30</v>
      </c>
      <c r="Y708" s="462" t="s">
        <v>5214</v>
      </c>
      <c r="Z708" s="140">
        <v>63452</v>
      </c>
      <c r="AA708" s="140" t="s">
        <v>2242</v>
      </c>
      <c r="AB708" s="460">
        <v>2013</v>
      </c>
      <c r="AC708" s="460">
        <v>2018</v>
      </c>
      <c r="AD708" s="139">
        <v>9873971444</v>
      </c>
      <c r="AE708" s="467" t="s">
        <v>7349</v>
      </c>
      <c r="AF708" s="139" t="s">
        <v>7317</v>
      </c>
      <c r="AG708" s="491" t="s">
        <v>7350</v>
      </c>
      <c r="AH708" s="139" t="s">
        <v>7351</v>
      </c>
      <c r="AI708" s="139" t="s">
        <v>7352</v>
      </c>
      <c r="AJ708" s="475">
        <v>590163169717</v>
      </c>
      <c r="AK708" s="140" t="s">
        <v>7353</v>
      </c>
      <c r="AL708" s="206">
        <v>44930</v>
      </c>
      <c r="AM708" s="477">
        <v>44930</v>
      </c>
      <c r="AN708" s="465"/>
      <c r="AO708" s="140"/>
      <c r="AP708" s="139"/>
      <c r="AQ708" s="139"/>
      <c r="AR708" s="181"/>
      <c r="AS708" s="458"/>
      <c r="AT708" s="458"/>
      <c r="AU708" s="461">
        <v>32490</v>
      </c>
      <c r="AV708" s="181" t="s">
        <v>1352</v>
      </c>
      <c r="AW708" s="31" t="s">
        <v>68</v>
      </c>
      <c r="AX708" s="139">
        <v>8</v>
      </c>
      <c r="AY708" s="466">
        <f>VLOOKUP(K708,[3]Master!M685:BA1068,40,0)</f>
        <v>8</v>
      </c>
      <c r="AZ708" s="58" t="s">
        <v>1373</v>
      </c>
      <c r="BA708" s="58" t="s">
        <v>151</v>
      </c>
      <c r="BB708" s="58" t="s">
        <v>1407</v>
      </c>
      <c r="BC708" s="58"/>
    </row>
    <row r="709" spans="1:55" x14ac:dyDescent="0.25">
      <c r="A709" s="10">
        <f t="shared" si="33"/>
        <v>708</v>
      </c>
      <c r="B709" s="181"/>
      <c r="C709" s="592" t="s">
        <v>1407</v>
      </c>
      <c r="D709" s="457">
        <v>400477</v>
      </c>
      <c r="E709" s="181" t="s">
        <v>36</v>
      </c>
      <c r="F709" s="97" t="s">
        <v>7354</v>
      </c>
      <c r="G709" s="139">
        <v>6</v>
      </c>
      <c r="H709" s="458">
        <v>0.33333333333333331</v>
      </c>
      <c r="I709" s="458">
        <v>0.875</v>
      </c>
      <c r="J709" s="458">
        <v>0.33333333333333331</v>
      </c>
      <c r="K709" s="143" t="s">
        <v>513</v>
      </c>
      <c r="L709" s="97" t="s">
        <v>2097</v>
      </c>
      <c r="M709" s="498" t="s">
        <v>2097</v>
      </c>
      <c r="N709" s="58" t="s">
        <v>2098</v>
      </c>
      <c r="O709" s="58" t="s">
        <v>5111</v>
      </c>
      <c r="P709" s="206">
        <v>44693</v>
      </c>
      <c r="Q709" s="460">
        <v>44693</v>
      </c>
      <c r="R709" s="460">
        <v>45423</v>
      </c>
      <c r="S709" s="461">
        <v>45424</v>
      </c>
      <c r="T709" s="139">
        <v>2010</v>
      </c>
      <c r="U709" s="139" t="s">
        <v>7227</v>
      </c>
      <c r="V709" s="139">
        <v>2013</v>
      </c>
      <c r="W709" s="139" t="s">
        <v>7355</v>
      </c>
      <c r="X709" s="139" t="s">
        <v>30</v>
      </c>
      <c r="Y709" s="462" t="s">
        <v>4862</v>
      </c>
      <c r="Z709" s="140">
        <v>64643</v>
      </c>
      <c r="AA709" s="140" t="s">
        <v>6906</v>
      </c>
      <c r="AB709" s="460">
        <v>44144</v>
      </c>
      <c r="AC709" s="460">
        <v>45969</v>
      </c>
      <c r="AD709" s="139">
        <v>9703656086</v>
      </c>
      <c r="AE709" s="467" t="s">
        <v>7356</v>
      </c>
      <c r="AF709" s="139"/>
      <c r="AG709" s="463"/>
      <c r="AH709" s="139"/>
      <c r="AI709" s="139"/>
      <c r="AJ709" s="464"/>
      <c r="AK709" s="140"/>
      <c r="AL709" s="206">
        <v>44944</v>
      </c>
      <c r="AM709" s="477">
        <v>44926</v>
      </c>
      <c r="AN709" s="465"/>
      <c r="AO709" s="140"/>
      <c r="AP709" s="139"/>
      <c r="AQ709" s="139" t="e">
        <v>#REF!</v>
      </c>
      <c r="AR709" s="181"/>
      <c r="AS709" s="458"/>
      <c r="AT709" s="458"/>
      <c r="AU709" s="461">
        <v>30771</v>
      </c>
      <c r="AV709" s="181" t="s">
        <v>1389</v>
      </c>
      <c r="AW709" s="31" t="s">
        <v>32</v>
      </c>
      <c r="AX709" s="139">
        <v>8</v>
      </c>
      <c r="AY709" s="58" t="s">
        <v>1959</v>
      </c>
      <c r="AZ709" s="58" t="s">
        <v>1373</v>
      </c>
      <c r="BA709" s="58" t="s">
        <v>151</v>
      </c>
      <c r="BB709" s="58" t="s">
        <v>1407</v>
      </c>
      <c r="BC709" s="58"/>
    </row>
    <row r="710" spans="1:55" x14ac:dyDescent="0.25">
      <c r="A710" s="10">
        <f t="shared" si="33"/>
        <v>709</v>
      </c>
      <c r="B710" s="181" t="s">
        <v>7357</v>
      </c>
      <c r="C710" s="592" t="s">
        <v>1407</v>
      </c>
      <c r="D710" s="457">
        <v>400478</v>
      </c>
      <c r="E710" s="181" t="s">
        <v>36</v>
      </c>
      <c r="F710" s="97" t="s">
        <v>7358</v>
      </c>
      <c r="G710" s="139">
        <v>6</v>
      </c>
      <c r="H710" s="458">
        <v>0.41666666666666669</v>
      </c>
      <c r="I710" s="458">
        <v>0.58333333333333337</v>
      </c>
      <c r="J710" s="458">
        <f>I710-H710</f>
        <v>0.16666666666666669</v>
      </c>
      <c r="K710" s="35" t="s">
        <v>784</v>
      </c>
      <c r="L710" s="97" t="s">
        <v>7359</v>
      </c>
      <c r="M710" s="63" t="s">
        <v>1355</v>
      </c>
      <c r="N710" s="100" t="s">
        <v>1520</v>
      </c>
      <c r="O710" s="58" t="s">
        <v>5168</v>
      </c>
      <c r="P710" s="206">
        <v>44697</v>
      </c>
      <c r="Q710" s="460">
        <v>44697</v>
      </c>
      <c r="R710" s="460">
        <v>45427</v>
      </c>
      <c r="S710" s="461">
        <v>45428</v>
      </c>
      <c r="T710" s="139">
        <v>2010</v>
      </c>
      <c r="U710" s="139" t="s">
        <v>7360</v>
      </c>
      <c r="V710" s="139">
        <v>2016</v>
      </c>
      <c r="W710" s="139" t="s">
        <v>4449</v>
      </c>
      <c r="X710" s="139" t="s">
        <v>30</v>
      </c>
      <c r="Y710" s="462" t="s">
        <v>5214</v>
      </c>
      <c r="Z710" s="140">
        <v>66457</v>
      </c>
      <c r="AA710" s="140" t="s">
        <v>1886</v>
      </c>
      <c r="AB710" s="460">
        <v>42979</v>
      </c>
      <c r="AC710" s="460">
        <v>44804</v>
      </c>
      <c r="AD710" s="139">
        <v>9491703229</v>
      </c>
      <c r="AE710" s="467" t="s">
        <v>7361</v>
      </c>
      <c r="AF710" s="139" t="s">
        <v>1430</v>
      </c>
      <c r="AG710" s="463" t="s">
        <v>7362</v>
      </c>
      <c r="AH710" s="139" t="s">
        <v>7363</v>
      </c>
      <c r="AI710" s="139" t="s">
        <v>7364</v>
      </c>
      <c r="AJ710" s="464">
        <v>723110610086</v>
      </c>
      <c r="AK710" s="140" t="s">
        <v>7365</v>
      </c>
      <c r="AL710" s="206">
        <v>44886</v>
      </c>
      <c r="AM710" s="477">
        <v>44826</v>
      </c>
      <c r="AN710" s="465"/>
      <c r="AO710" s="140"/>
      <c r="AP710" s="139"/>
      <c r="AQ710" s="139" t="e">
        <v>#REF!</v>
      </c>
      <c r="AR710" s="181"/>
      <c r="AS710" s="458"/>
      <c r="AT710" s="458"/>
      <c r="AU710" s="461">
        <v>31650</v>
      </c>
      <c r="AV710" s="181" t="s">
        <v>1389</v>
      </c>
      <c r="AW710" s="31" t="s">
        <v>32</v>
      </c>
      <c r="AX710" s="139">
        <v>4</v>
      </c>
      <c r="AY710" s="466">
        <f>VLOOKUP(K710,[3]Master!M687:BA1070,40,0)</f>
        <v>4</v>
      </c>
      <c r="AZ710" s="58" t="s">
        <v>1373</v>
      </c>
      <c r="BA710" s="58" t="s">
        <v>151</v>
      </c>
      <c r="BB710" s="58" t="s">
        <v>1407</v>
      </c>
      <c r="BC710" s="58"/>
    </row>
    <row r="711" spans="1:55" x14ac:dyDescent="0.25">
      <c r="A711" s="10">
        <f t="shared" si="33"/>
        <v>710</v>
      </c>
      <c r="B711" s="181"/>
      <c r="C711" s="592" t="s">
        <v>1407</v>
      </c>
      <c r="D711" s="457">
        <v>400480</v>
      </c>
      <c r="E711" s="181" t="s">
        <v>36</v>
      </c>
      <c r="F711" s="97" t="s">
        <v>7366</v>
      </c>
      <c r="G711" s="139">
        <v>6</v>
      </c>
      <c r="H711" s="458">
        <v>0.70833333333333337</v>
      </c>
      <c r="I711" s="458">
        <v>0.83333333333333337</v>
      </c>
      <c r="J711" s="458">
        <f>I711-H711</f>
        <v>0.125</v>
      </c>
      <c r="K711" s="35" t="s">
        <v>784</v>
      </c>
      <c r="L711" s="97"/>
      <c r="M711" s="97" t="s">
        <v>1544</v>
      </c>
      <c r="N711" s="58" t="s">
        <v>1992</v>
      </c>
      <c r="O711" s="58" t="s">
        <v>5817</v>
      </c>
      <c r="P711" s="206">
        <v>44704</v>
      </c>
      <c r="Q711" s="460">
        <v>44704</v>
      </c>
      <c r="R711" s="460">
        <v>45434</v>
      </c>
      <c r="S711" s="461">
        <v>45435</v>
      </c>
      <c r="T711" s="139">
        <v>2009</v>
      </c>
      <c r="U711" s="139" t="s">
        <v>7367</v>
      </c>
      <c r="V711" s="139">
        <v>2021</v>
      </c>
      <c r="W711" s="139" t="s">
        <v>7368</v>
      </c>
      <c r="X711" s="139" t="s">
        <v>30</v>
      </c>
      <c r="Y711" s="462" t="s">
        <v>5246</v>
      </c>
      <c r="Z711" s="140">
        <v>65688</v>
      </c>
      <c r="AA711" s="140" t="s">
        <v>1886</v>
      </c>
      <c r="AB711" s="460">
        <v>44323</v>
      </c>
      <c r="AC711" s="460">
        <v>46148</v>
      </c>
      <c r="AD711" s="139">
        <v>9440270466</v>
      </c>
      <c r="AE711" s="467" t="s">
        <v>7369</v>
      </c>
      <c r="AF711" s="139" t="s">
        <v>5982</v>
      </c>
      <c r="AG711" s="463" t="s">
        <v>7370</v>
      </c>
      <c r="AH711" s="139" t="s">
        <v>7371</v>
      </c>
      <c r="AI711" s="139" t="s">
        <v>7372</v>
      </c>
      <c r="AJ711" s="464">
        <v>990689528794</v>
      </c>
      <c r="AK711" s="140" t="s">
        <v>7373</v>
      </c>
      <c r="AL711" s="206" t="s">
        <v>30</v>
      </c>
      <c r="AM711" s="477" t="s">
        <v>30</v>
      </c>
      <c r="AN711" s="490"/>
      <c r="AO711" s="140"/>
      <c r="AP711" s="139"/>
      <c r="AQ711" s="139"/>
      <c r="AR711" s="181"/>
      <c r="AS711" s="458"/>
      <c r="AT711" s="458"/>
      <c r="AU711" s="461">
        <v>30362</v>
      </c>
      <c r="AV711" s="181" t="s">
        <v>1389</v>
      </c>
      <c r="AW711" s="31" t="s">
        <v>32</v>
      </c>
      <c r="AX711" s="139">
        <v>3</v>
      </c>
      <c r="AY711" s="466">
        <f>VLOOKUP(K711,[3]Master!M688:BA1071,40,0)</f>
        <v>4</v>
      </c>
      <c r="AZ711" s="58" t="s">
        <v>1373</v>
      </c>
      <c r="BA711" s="58" t="s">
        <v>151</v>
      </c>
      <c r="BB711" s="58" t="s">
        <v>1407</v>
      </c>
      <c r="BC711" s="58"/>
    </row>
    <row r="712" spans="1:55" x14ac:dyDescent="0.25">
      <c r="A712" s="10">
        <f t="shared" si="33"/>
        <v>711</v>
      </c>
      <c r="B712" s="181" t="s">
        <v>7374</v>
      </c>
      <c r="C712" s="592" t="s">
        <v>1407</v>
      </c>
      <c r="D712" s="457">
        <v>400481</v>
      </c>
      <c r="E712" s="181" t="s">
        <v>36</v>
      </c>
      <c r="F712" s="97" t="s">
        <v>7375</v>
      </c>
      <c r="G712" s="139">
        <v>6</v>
      </c>
      <c r="H712" s="458">
        <v>0.33333333333333331</v>
      </c>
      <c r="I712" s="458">
        <v>0.875</v>
      </c>
      <c r="J712" s="458">
        <v>0.33333333333333331</v>
      </c>
      <c r="K712" s="58" t="s">
        <v>147</v>
      </c>
      <c r="L712" s="97" t="s">
        <v>1582</v>
      </c>
      <c r="M712" s="63" t="s">
        <v>1582</v>
      </c>
      <c r="N712" s="58" t="s">
        <v>1583</v>
      </c>
      <c r="O712" s="58" t="s">
        <v>5168</v>
      </c>
      <c r="P712" s="206">
        <v>44704</v>
      </c>
      <c r="Q712" s="460">
        <v>44704</v>
      </c>
      <c r="R712" s="460">
        <v>45434</v>
      </c>
      <c r="S712" s="461">
        <v>45435</v>
      </c>
      <c r="T712" s="139">
        <v>2014</v>
      </c>
      <c r="U712" s="139" t="s">
        <v>689</v>
      </c>
      <c r="V712" s="139">
        <v>2018</v>
      </c>
      <c r="W712" s="139" t="s">
        <v>2778</v>
      </c>
      <c r="X712" s="139" t="s">
        <v>30</v>
      </c>
      <c r="Y712" s="462" t="s">
        <v>5214</v>
      </c>
      <c r="Z712" s="140" t="s">
        <v>7376</v>
      </c>
      <c r="AA712" s="140" t="s">
        <v>1841</v>
      </c>
      <c r="AB712" s="460">
        <v>43307</v>
      </c>
      <c r="AC712" s="460">
        <v>45132</v>
      </c>
      <c r="AD712" s="139">
        <v>9491382273</v>
      </c>
      <c r="AE712" s="467" t="s">
        <v>7377</v>
      </c>
      <c r="AF712" s="139" t="s">
        <v>7378</v>
      </c>
      <c r="AG712" s="463" t="s">
        <v>7379</v>
      </c>
      <c r="AH712" s="139" t="s">
        <v>3669</v>
      </c>
      <c r="AI712" s="139" t="s">
        <v>7380</v>
      </c>
      <c r="AJ712" s="464">
        <v>637498912418</v>
      </c>
      <c r="AK712" s="140" t="s">
        <v>7381</v>
      </c>
      <c r="AL712" s="206">
        <v>44851</v>
      </c>
      <c r="AM712" s="477">
        <v>44790</v>
      </c>
      <c r="AN712" s="465"/>
      <c r="AO712" s="140"/>
      <c r="AP712" s="139"/>
      <c r="AQ712" s="139" t="e">
        <v>#REF!</v>
      </c>
      <c r="AR712" s="181"/>
      <c r="AS712" s="458"/>
      <c r="AT712" s="458"/>
      <c r="AU712" s="461">
        <v>33395</v>
      </c>
      <c r="AV712" s="181" t="s">
        <v>1389</v>
      </c>
      <c r="AW712" s="31" t="s">
        <v>68</v>
      </c>
      <c r="AX712" s="139">
        <v>8</v>
      </c>
      <c r="AY712" s="466">
        <f>VLOOKUP(K712,[3]Master!M689:BA1072,40,0)</f>
        <v>8</v>
      </c>
      <c r="AZ712" s="58" t="s">
        <v>1373</v>
      </c>
      <c r="BA712" s="58" t="s">
        <v>151</v>
      </c>
      <c r="BB712" s="58" t="s">
        <v>1407</v>
      </c>
      <c r="BC712" s="58"/>
    </row>
    <row r="713" spans="1:55" x14ac:dyDescent="0.25">
      <c r="A713" s="10">
        <f t="shared" si="33"/>
        <v>712</v>
      </c>
      <c r="B713" s="181" t="s">
        <v>7382</v>
      </c>
      <c r="C713" s="592" t="s">
        <v>1407</v>
      </c>
      <c r="D713" s="457">
        <v>400482</v>
      </c>
      <c r="E713" s="181" t="s">
        <v>36</v>
      </c>
      <c r="F713" s="97" t="s">
        <v>7383</v>
      </c>
      <c r="G713" s="139">
        <v>6</v>
      </c>
      <c r="H713" s="458">
        <v>0.75</v>
      </c>
      <c r="I713" s="458">
        <v>0.91666666666666663</v>
      </c>
      <c r="J713" s="458">
        <f>I713-H713</f>
        <v>0.16666666666666663</v>
      </c>
      <c r="K713" s="143" t="s">
        <v>513</v>
      </c>
      <c r="L713" s="97" t="s">
        <v>2015</v>
      </c>
      <c r="M713" s="63" t="s">
        <v>1355</v>
      </c>
      <c r="N713" s="100" t="s">
        <v>1520</v>
      </c>
      <c r="O713" s="58" t="s">
        <v>5168</v>
      </c>
      <c r="P713" s="206">
        <v>44704</v>
      </c>
      <c r="Q713" s="460">
        <v>44704</v>
      </c>
      <c r="R713" s="460">
        <v>45434</v>
      </c>
      <c r="S713" s="461">
        <v>45435</v>
      </c>
      <c r="T713" s="139">
        <v>2002</v>
      </c>
      <c r="U713" s="139" t="s">
        <v>7384</v>
      </c>
      <c r="V713" s="139">
        <v>2020</v>
      </c>
      <c r="W713" s="139" t="s">
        <v>7385</v>
      </c>
      <c r="X713" s="139" t="s">
        <v>7386</v>
      </c>
      <c r="Y713" s="462" t="s">
        <v>5214</v>
      </c>
      <c r="Z713" s="140"/>
      <c r="AA713" s="140"/>
      <c r="AB713" s="460"/>
      <c r="AC713" s="460"/>
      <c r="AD713" s="139">
        <v>9535324163</v>
      </c>
      <c r="AE713" s="467" t="s">
        <v>7387</v>
      </c>
      <c r="AF713" s="139" t="s">
        <v>1430</v>
      </c>
      <c r="AG713" s="463" t="s">
        <v>7388</v>
      </c>
      <c r="AH713" s="139" t="s">
        <v>4098</v>
      </c>
      <c r="AI713" s="139" t="s">
        <v>7389</v>
      </c>
      <c r="AJ713" s="464">
        <v>618150503909</v>
      </c>
      <c r="AK713" s="140" t="s">
        <v>7390</v>
      </c>
      <c r="AL713" s="206">
        <v>44942</v>
      </c>
      <c r="AM713" s="477">
        <v>44942</v>
      </c>
      <c r="AN713" s="465"/>
      <c r="AO713" s="140"/>
      <c r="AP713" s="139"/>
      <c r="AQ713" s="139" t="e">
        <v>#REF!</v>
      </c>
      <c r="AR713" s="181"/>
      <c r="AS713" s="458"/>
      <c r="AT713" s="458"/>
      <c r="AU713" s="461">
        <v>27631</v>
      </c>
      <c r="AV713" s="181" t="s">
        <v>1352</v>
      </c>
      <c r="AW713" s="31" t="s">
        <v>32</v>
      </c>
      <c r="AX713" s="139">
        <v>4</v>
      </c>
      <c r="AY713" s="58" t="s">
        <v>1959</v>
      </c>
      <c r="AZ713" s="58" t="s">
        <v>1373</v>
      </c>
      <c r="BA713" s="58" t="s">
        <v>151</v>
      </c>
      <c r="BB713" s="58" t="s">
        <v>1407</v>
      </c>
      <c r="BC713" s="58"/>
    </row>
    <row r="714" spans="1:55" x14ac:dyDescent="0.25">
      <c r="A714" s="10">
        <f t="shared" si="33"/>
        <v>713</v>
      </c>
      <c r="B714" s="181" t="s">
        <v>5751</v>
      </c>
      <c r="C714" s="592" t="s">
        <v>1407</v>
      </c>
      <c r="D714" s="457">
        <v>400483</v>
      </c>
      <c r="E714" s="181" t="s">
        <v>36</v>
      </c>
      <c r="F714" s="97" t="s">
        <v>7391</v>
      </c>
      <c r="G714" s="139">
        <v>6</v>
      </c>
      <c r="H714" s="458">
        <v>0.375</v>
      </c>
      <c r="I714" s="458">
        <v>0.54166666666666663</v>
      </c>
      <c r="J714" s="458">
        <f>I714-H714</f>
        <v>0.16666666666666663</v>
      </c>
      <c r="K714" s="100" t="s">
        <v>287</v>
      </c>
      <c r="L714" s="97" t="s">
        <v>2015</v>
      </c>
      <c r="M714" s="63" t="s">
        <v>1355</v>
      </c>
      <c r="N714" s="100" t="s">
        <v>1520</v>
      </c>
      <c r="O714" s="58" t="s">
        <v>5168</v>
      </c>
      <c r="P714" s="206">
        <v>44704</v>
      </c>
      <c r="Q714" s="460">
        <v>44704</v>
      </c>
      <c r="R714" s="460">
        <v>45434</v>
      </c>
      <c r="S714" s="461">
        <v>45435</v>
      </c>
      <c r="T714" s="139">
        <v>2012</v>
      </c>
      <c r="U714" s="139" t="s">
        <v>689</v>
      </c>
      <c r="V714" s="139">
        <v>2020</v>
      </c>
      <c r="W714" s="139" t="s">
        <v>7392</v>
      </c>
      <c r="X714" s="139" t="s">
        <v>30</v>
      </c>
      <c r="Y714" s="462" t="s">
        <v>5214</v>
      </c>
      <c r="Z714" s="140" t="s">
        <v>5753</v>
      </c>
      <c r="AA714" s="140" t="s">
        <v>1841</v>
      </c>
      <c r="AB714" s="460">
        <v>44466</v>
      </c>
      <c r="AC714" s="460">
        <v>46291</v>
      </c>
      <c r="AD714" s="139">
        <v>7358207703</v>
      </c>
      <c r="AE714" s="467" t="s">
        <v>5754</v>
      </c>
      <c r="AF714" s="139" t="s">
        <v>5086</v>
      </c>
      <c r="AG714" s="463" t="s">
        <v>5755</v>
      </c>
      <c r="AH714" s="139" t="s">
        <v>5756</v>
      </c>
      <c r="AI714" s="139" t="s">
        <v>5757</v>
      </c>
      <c r="AJ714" s="464">
        <v>349292440236</v>
      </c>
      <c r="AK714" s="140" t="s">
        <v>5758</v>
      </c>
      <c r="AL714" s="206">
        <v>44815</v>
      </c>
      <c r="AM714" s="477">
        <v>44754</v>
      </c>
      <c r="AN714" s="465"/>
      <c r="AO714" s="140"/>
      <c r="AP714" s="139"/>
      <c r="AQ714" s="139" t="e">
        <v>#REF!</v>
      </c>
      <c r="AR714" s="181"/>
      <c r="AS714" s="458"/>
      <c r="AT714" s="458"/>
      <c r="AU714" s="461">
        <v>32515</v>
      </c>
      <c r="AV714" s="181" t="s">
        <v>1389</v>
      </c>
      <c r="AW714" s="31" t="s">
        <v>32</v>
      </c>
      <c r="AX714" s="139">
        <v>4</v>
      </c>
      <c r="AY714" s="466">
        <f>VLOOKUP(K714,[3]Master!M691:BA1074,40,0)</f>
        <v>8</v>
      </c>
      <c r="AZ714" s="58" t="s">
        <v>1373</v>
      </c>
      <c r="BA714" s="58" t="s">
        <v>151</v>
      </c>
      <c r="BB714" s="58" t="s">
        <v>1407</v>
      </c>
      <c r="BC714" s="58"/>
    </row>
    <row r="715" spans="1:55" x14ac:dyDescent="0.25">
      <c r="A715" s="10">
        <f t="shared" si="33"/>
        <v>714</v>
      </c>
      <c r="B715" s="181" t="s">
        <v>7393</v>
      </c>
      <c r="C715" s="592" t="s">
        <v>1407</v>
      </c>
      <c r="D715" s="457">
        <v>400485</v>
      </c>
      <c r="E715" s="181" t="s">
        <v>36</v>
      </c>
      <c r="F715" s="97" t="s">
        <v>7394</v>
      </c>
      <c r="G715" s="139">
        <v>6</v>
      </c>
      <c r="H715" s="458">
        <v>0.375</v>
      </c>
      <c r="I715" s="458">
        <v>0.45833333333333331</v>
      </c>
      <c r="J715" s="458">
        <f>I715-H715</f>
        <v>8.3333333333333315E-2</v>
      </c>
      <c r="K715" s="100" t="s">
        <v>275</v>
      </c>
      <c r="L715" s="97" t="s">
        <v>1376</v>
      </c>
      <c r="M715" s="97" t="s">
        <v>1376</v>
      </c>
      <c r="N715" s="58" t="s">
        <v>1393</v>
      </c>
      <c r="O715" s="58" t="s">
        <v>3290</v>
      </c>
      <c r="P715" s="206">
        <v>44713</v>
      </c>
      <c r="Q715" s="460">
        <v>44713</v>
      </c>
      <c r="R715" s="460">
        <v>45443</v>
      </c>
      <c r="S715" s="461">
        <v>45444</v>
      </c>
      <c r="T715" s="139">
        <v>2016</v>
      </c>
      <c r="U715" s="139" t="s">
        <v>7395</v>
      </c>
      <c r="V715" s="139" t="s">
        <v>30</v>
      </c>
      <c r="W715" s="139" t="s">
        <v>30</v>
      </c>
      <c r="X715" s="139" t="s">
        <v>30</v>
      </c>
      <c r="Y715" s="462" t="s">
        <v>226</v>
      </c>
      <c r="Z715" s="140" t="s">
        <v>7396</v>
      </c>
      <c r="AA715" s="140" t="s">
        <v>1841</v>
      </c>
      <c r="AB715" s="460">
        <v>43265</v>
      </c>
      <c r="AC715" s="460">
        <v>45091</v>
      </c>
      <c r="AD715" s="139">
        <v>9618627121</v>
      </c>
      <c r="AE715" s="467" t="s">
        <v>7397</v>
      </c>
      <c r="AF715" s="139" t="s">
        <v>1430</v>
      </c>
      <c r="AG715" s="463" t="s">
        <v>7398</v>
      </c>
      <c r="AH715" s="139" t="s">
        <v>7399</v>
      </c>
      <c r="AI715" s="139" t="s">
        <v>7400</v>
      </c>
      <c r="AJ715" s="464">
        <v>547030849796</v>
      </c>
      <c r="AK715" s="140" t="s">
        <v>7401</v>
      </c>
      <c r="AL715" s="206" t="s">
        <v>30</v>
      </c>
      <c r="AM715" s="477" t="s">
        <v>30</v>
      </c>
      <c r="AN715" s="490"/>
      <c r="AO715" s="140"/>
      <c r="AP715" s="139"/>
      <c r="AQ715" s="139"/>
      <c r="AR715" s="181"/>
      <c r="AS715" s="458"/>
      <c r="AT715" s="458"/>
      <c r="AU715" s="461">
        <v>33944</v>
      </c>
      <c r="AV715" s="181" t="s">
        <v>1389</v>
      </c>
      <c r="AW715" s="31" t="s">
        <v>32</v>
      </c>
      <c r="AX715" s="139">
        <v>2</v>
      </c>
      <c r="AY715" s="58" t="s">
        <v>1959</v>
      </c>
      <c r="AZ715" s="58" t="s">
        <v>1390</v>
      </c>
      <c r="BA715" s="58" t="s">
        <v>151</v>
      </c>
      <c r="BB715" s="58" t="s">
        <v>1407</v>
      </c>
      <c r="BC715" s="58"/>
    </row>
    <row r="716" spans="1:55" x14ac:dyDescent="0.25">
      <c r="A716" s="10">
        <f t="shared" si="33"/>
        <v>715</v>
      </c>
      <c r="B716" s="181" t="s">
        <v>7402</v>
      </c>
      <c r="C716" s="592" t="s">
        <v>1407</v>
      </c>
      <c r="D716" s="457">
        <v>400486</v>
      </c>
      <c r="E716" s="181" t="s">
        <v>36</v>
      </c>
      <c r="F716" s="97" t="s">
        <v>7403</v>
      </c>
      <c r="G716" s="139">
        <v>6</v>
      </c>
      <c r="H716" s="458">
        <v>0.39583333333333331</v>
      </c>
      <c r="I716" s="458">
        <v>0.72916666666666663</v>
      </c>
      <c r="J716" s="458">
        <f>I716-H716</f>
        <v>0.33333333333333331</v>
      </c>
      <c r="K716" s="100" t="s">
        <v>961</v>
      </c>
      <c r="L716" s="97" t="s">
        <v>7404</v>
      </c>
      <c r="M716" s="97" t="s">
        <v>26</v>
      </c>
      <c r="N716" s="58" t="s">
        <v>38</v>
      </c>
      <c r="O716" s="58" t="s">
        <v>5076</v>
      </c>
      <c r="P716" s="206">
        <v>44713</v>
      </c>
      <c r="Q716" s="460">
        <v>44713</v>
      </c>
      <c r="R716" s="460">
        <v>45443</v>
      </c>
      <c r="S716" s="461">
        <v>45444</v>
      </c>
      <c r="T716" s="139">
        <v>2011</v>
      </c>
      <c r="U716" s="139" t="s">
        <v>7405</v>
      </c>
      <c r="V716" s="139">
        <v>2021</v>
      </c>
      <c r="W716" s="139" t="s">
        <v>7406</v>
      </c>
      <c r="X716" s="139" t="s">
        <v>30</v>
      </c>
      <c r="Y716" s="462" t="s">
        <v>1611</v>
      </c>
      <c r="Z716" s="140" t="s">
        <v>7407</v>
      </c>
      <c r="AA716" s="140" t="s">
        <v>1362</v>
      </c>
      <c r="AB716" s="460"/>
      <c r="AC716" s="460"/>
      <c r="AD716" s="488">
        <v>9910286055</v>
      </c>
      <c r="AE716" s="140" t="s">
        <v>7408</v>
      </c>
      <c r="AF716" s="139" t="s">
        <v>1400</v>
      </c>
      <c r="AG716" s="463">
        <v>322201001713</v>
      </c>
      <c r="AH716" s="139" t="s">
        <v>6084</v>
      </c>
      <c r="AI716" s="139" t="s">
        <v>7409</v>
      </c>
      <c r="AJ716" s="464">
        <v>594346811933</v>
      </c>
      <c r="AK716" s="140" t="s">
        <v>7410</v>
      </c>
      <c r="AL716" s="461">
        <v>45130</v>
      </c>
      <c r="AM716" s="477" t="s">
        <v>30</v>
      </c>
      <c r="AN716" s="490"/>
      <c r="AO716" s="140" t="s">
        <v>7411</v>
      </c>
      <c r="AP716" s="139"/>
      <c r="AQ716" s="139"/>
      <c r="AR716" s="58"/>
      <c r="AS716" s="458"/>
      <c r="AT716" s="458"/>
      <c r="AU716" s="461">
        <v>29967</v>
      </c>
      <c r="AV716" s="181" t="s">
        <v>1352</v>
      </c>
      <c r="AW716" s="31" t="s">
        <v>68</v>
      </c>
      <c r="AX716" s="139">
        <v>8</v>
      </c>
      <c r="AY716" s="58" t="s">
        <v>1849</v>
      </c>
      <c r="AZ716" s="58" t="s">
        <v>26</v>
      </c>
      <c r="BA716" s="58" t="s">
        <v>151</v>
      </c>
      <c r="BB716" s="58" t="s">
        <v>1407</v>
      </c>
      <c r="BC716" s="58"/>
    </row>
    <row r="717" spans="1:55" x14ac:dyDescent="0.25">
      <c r="A717" s="10">
        <f t="shared" si="33"/>
        <v>716</v>
      </c>
      <c r="B717" s="181" t="s">
        <v>5976</v>
      </c>
      <c r="C717" s="592" t="s">
        <v>1407</v>
      </c>
      <c r="D717" s="457">
        <v>400487</v>
      </c>
      <c r="E717" s="181" t="s">
        <v>36</v>
      </c>
      <c r="F717" s="97" t="s">
        <v>7412</v>
      </c>
      <c r="G717" s="139">
        <v>6</v>
      </c>
      <c r="H717" s="458">
        <v>0.375</v>
      </c>
      <c r="I717" s="458">
        <v>0.54166666666666663</v>
      </c>
      <c r="J717" s="458">
        <f>I717-H717</f>
        <v>0.16666666666666663</v>
      </c>
      <c r="K717" s="462" t="s">
        <v>557</v>
      </c>
      <c r="L717" s="97" t="s">
        <v>5234</v>
      </c>
      <c r="M717" s="97" t="s">
        <v>26</v>
      </c>
      <c r="N717" s="58" t="s">
        <v>38</v>
      </c>
      <c r="O717" s="58" t="s">
        <v>5050</v>
      </c>
      <c r="P717" s="206">
        <v>44734</v>
      </c>
      <c r="Q717" s="460">
        <v>44734</v>
      </c>
      <c r="R717" s="460">
        <v>45464</v>
      </c>
      <c r="S717" s="461">
        <v>45465</v>
      </c>
      <c r="T717" s="139">
        <v>2013</v>
      </c>
      <c r="U717" s="139" t="s">
        <v>5978</v>
      </c>
      <c r="V717" s="139">
        <v>2019</v>
      </c>
      <c r="W717" s="139" t="s">
        <v>7413</v>
      </c>
      <c r="X717" s="139" t="s">
        <v>30</v>
      </c>
      <c r="Y717" s="462" t="s">
        <v>5920</v>
      </c>
      <c r="Z717" s="140" t="s">
        <v>5980</v>
      </c>
      <c r="AA717" s="140" t="s">
        <v>1841</v>
      </c>
      <c r="AB717" s="460">
        <v>44198</v>
      </c>
      <c r="AC717" s="460">
        <v>46023</v>
      </c>
      <c r="AD717" s="139">
        <v>9390516945</v>
      </c>
      <c r="AE717" s="467" t="s">
        <v>5981</v>
      </c>
      <c r="AF717" s="139" t="s">
        <v>5982</v>
      </c>
      <c r="AG717" s="463" t="s">
        <v>5983</v>
      </c>
      <c r="AH717" s="139" t="s">
        <v>5984</v>
      </c>
      <c r="AI717" s="139" t="s">
        <v>5985</v>
      </c>
      <c r="AJ717" s="464">
        <v>374518043799</v>
      </c>
      <c r="AK717" s="140" t="s">
        <v>5986</v>
      </c>
      <c r="AL717" s="461">
        <v>44413</v>
      </c>
      <c r="AM717" s="477"/>
      <c r="AN717" s="465"/>
      <c r="AO717" s="140"/>
      <c r="AP717" s="139"/>
      <c r="AQ717" s="139" t="e">
        <v>#REF!</v>
      </c>
      <c r="AR717" s="181"/>
      <c r="AS717" s="458"/>
      <c r="AT717" s="458"/>
      <c r="AU717" s="461">
        <v>32734</v>
      </c>
      <c r="AV717" s="181" t="s">
        <v>1389</v>
      </c>
      <c r="AW717" s="31" t="s">
        <v>32</v>
      </c>
      <c r="AX717" s="139">
        <v>4</v>
      </c>
      <c r="AY717" s="58" t="s">
        <v>1959</v>
      </c>
      <c r="AZ717" s="58" t="s">
        <v>26</v>
      </c>
      <c r="BA717" s="58" t="s">
        <v>151</v>
      </c>
      <c r="BB717" s="58" t="s">
        <v>1407</v>
      </c>
      <c r="BC717" s="58"/>
    </row>
    <row r="718" spans="1:55" x14ac:dyDescent="0.25">
      <c r="A718" s="10">
        <f t="shared" si="33"/>
        <v>717</v>
      </c>
      <c r="B718" s="181"/>
      <c r="C718" s="592" t="s">
        <v>1407</v>
      </c>
      <c r="D718" s="457">
        <v>400487</v>
      </c>
      <c r="E718" s="181" t="s">
        <v>36</v>
      </c>
      <c r="F718" s="97" t="s">
        <v>7412</v>
      </c>
      <c r="G718" s="139">
        <v>6</v>
      </c>
      <c r="H718" s="458">
        <v>0.33333333333333331</v>
      </c>
      <c r="I718" s="458">
        <v>0.375</v>
      </c>
      <c r="J718" s="458">
        <v>4.1666666666666664E-2</v>
      </c>
      <c r="K718" s="462" t="s">
        <v>154</v>
      </c>
      <c r="L718" s="97" t="s">
        <v>2015</v>
      </c>
      <c r="M718" s="63" t="s">
        <v>1355</v>
      </c>
      <c r="N718" s="100" t="s">
        <v>1520</v>
      </c>
      <c r="O718" s="58" t="s">
        <v>5168</v>
      </c>
      <c r="P718" s="206">
        <v>44715</v>
      </c>
      <c r="Q718" s="460">
        <f>P718</f>
        <v>44715</v>
      </c>
      <c r="R718" s="460">
        <f>Q718+730</f>
        <v>45445</v>
      </c>
      <c r="S718" s="461">
        <f>R718+1</f>
        <v>45446</v>
      </c>
      <c r="T718" s="139">
        <v>2011</v>
      </c>
      <c r="U718" s="139" t="s">
        <v>7414</v>
      </c>
      <c r="V718" s="139">
        <v>2020</v>
      </c>
      <c r="W718" s="139" t="s">
        <v>7415</v>
      </c>
      <c r="X718" s="139" t="s">
        <v>30</v>
      </c>
      <c r="Y718" s="462" t="s">
        <v>1360</v>
      </c>
      <c r="Z718" s="140">
        <v>72498</v>
      </c>
      <c r="AA718" s="140" t="s">
        <v>1841</v>
      </c>
      <c r="AB718" s="460"/>
      <c r="AC718" s="460"/>
      <c r="AD718" s="139">
        <v>9676147575</v>
      </c>
      <c r="AE718" s="467" t="s">
        <v>7416</v>
      </c>
      <c r="AF718" s="139"/>
      <c r="AG718" s="463"/>
      <c r="AH718" s="139"/>
      <c r="AI718" s="139"/>
      <c r="AJ718" s="464"/>
      <c r="AK718" s="140"/>
      <c r="AL718" s="206">
        <v>44713</v>
      </c>
      <c r="AM718" s="477" t="s">
        <v>30</v>
      </c>
      <c r="AN718" s="496" t="s">
        <v>6291</v>
      </c>
      <c r="AO718" s="140"/>
      <c r="AP718" s="139"/>
      <c r="AQ718" s="139"/>
      <c r="AR718" s="181"/>
      <c r="AS718" s="458"/>
      <c r="AT718" s="458"/>
      <c r="AU718" s="461"/>
      <c r="AV718" s="181" t="s">
        <v>1389</v>
      </c>
      <c r="AW718" s="31" t="s">
        <v>68</v>
      </c>
      <c r="AX718" s="139">
        <v>1</v>
      </c>
      <c r="AY718" s="58" t="s">
        <v>1904</v>
      </c>
      <c r="AZ718" s="58" t="s">
        <v>1373</v>
      </c>
      <c r="BA718" s="58" t="s">
        <v>151</v>
      </c>
      <c r="BB718" s="58" t="s">
        <v>1407</v>
      </c>
      <c r="BC718" s="58"/>
    </row>
    <row r="719" spans="1:55" x14ac:dyDescent="0.25">
      <c r="A719" s="10">
        <f t="shared" si="33"/>
        <v>718</v>
      </c>
      <c r="B719" s="181" t="s">
        <v>7417</v>
      </c>
      <c r="C719" s="592" t="s">
        <v>1407</v>
      </c>
      <c r="D719" s="457">
        <v>400488</v>
      </c>
      <c r="E719" s="181" t="s">
        <v>36</v>
      </c>
      <c r="F719" s="97" t="s">
        <v>7418</v>
      </c>
      <c r="G719" s="139">
        <v>6</v>
      </c>
      <c r="H719" s="458">
        <v>0.79166666666666663</v>
      </c>
      <c r="I719" s="458">
        <v>0.875</v>
      </c>
      <c r="J719" s="458">
        <f>I719-H719</f>
        <v>8.333333333333337E-2</v>
      </c>
      <c r="K719" s="462" t="s">
        <v>154</v>
      </c>
      <c r="L719" s="97" t="s">
        <v>7419</v>
      </c>
      <c r="M719" s="97" t="s">
        <v>26</v>
      </c>
      <c r="N719" s="58" t="s">
        <v>38</v>
      </c>
      <c r="O719" s="58" t="s">
        <v>5076</v>
      </c>
      <c r="P719" s="206">
        <v>44713</v>
      </c>
      <c r="Q719" s="460">
        <f>P719</f>
        <v>44713</v>
      </c>
      <c r="R719" s="460">
        <v>45443</v>
      </c>
      <c r="S719" s="461">
        <v>45444</v>
      </c>
      <c r="T719" s="139">
        <v>2011</v>
      </c>
      <c r="U719" s="139" t="s">
        <v>7420</v>
      </c>
      <c r="V719" s="139">
        <v>2022</v>
      </c>
      <c r="W719" s="139" t="s">
        <v>7421</v>
      </c>
      <c r="X719" s="139" t="s">
        <v>30</v>
      </c>
      <c r="Y719" s="462" t="s">
        <v>5151</v>
      </c>
      <c r="Z719" s="140" t="s">
        <v>7422</v>
      </c>
      <c r="AA719" s="140" t="s">
        <v>1841</v>
      </c>
      <c r="AB719" s="460">
        <v>44807</v>
      </c>
      <c r="AC719" s="460">
        <v>46632</v>
      </c>
      <c r="AD719" s="139">
        <v>8121553360</v>
      </c>
      <c r="AE719" s="467" t="s">
        <v>7423</v>
      </c>
      <c r="AF719" s="139" t="s">
        <v>1400</v>
      </c>
      <c r="AG719" s="463" t="s">
        <v>7424</v>
      </c>
      <c r="AH719" s="139" t="s">
        <v>7425</v>
      </c>
      <c r="AI719" s="139" t="s">
        <v>7426</v>
      </c>
      <c r="AJ719" s="464">
        <v>796420368086</v>
      </c>
      <c r="AK719" s="140" t="s">
        <v>7427</v>
      </c>
      <c r="AL719" s="461">
        <v>45349</v>
      </c>
      <c r="AM719" s="477">
        <v>45289</v>
      </c>
      <c r="AN719" s="465"/>
      <c r="AO719" s="140"/>
      <c r="AP719" s="139"/>
      <c r="AQ719" s="139"/>
      <c r="AR719" s="181"/>
      <c r="AS719" s="458"/>
      <c r="AT719" s="458"/>
      <c r="AU719" s="461">
        <v>34126</v>
      </c>
      <c r="AV719" s="181" t="s">
        <v>1352</v>
      </c>
      <c r="AW719" s="31" t="s">
        <v>32</v>
      </c>
      <c r="AX719" s="139">
        <v>2</v>
      </c>
      <c r="AY719" s="58" t="s">
        <v>1904</v>
      </c>
      <c r="AZ719" s="58" t="s">
        <v>26</v>
      </c>
      <c r="BA719" s="58" t="s">
        <v>151</v>
      </c>
      <c r="BB719" s="58" t="s">
        <v>1407</v>
      </c>
      <c r="BC719" s="58"/>
    </row>
    <row r="720" spans="1:55" x14ac:dyDescent="0.25">
      <c r="A720" s="10">
        <f t="shared" si="33"/>
        <v>719</v>
      </c>
      <c r="B720" s="181" t="s">
        <v>7417</v>
      </c>
      <c r="C720" s="592" t="s">
        <v>1407</v>
      </c>
      <c r="D720" s="457">
        <v>400489</v>
      </c>
      <c r="E720" s="181" t="s">
        <v>36</v>
      </c>
      <c r="F720" s="97" t="s">
        <v>7418</v>
      </c>
      <c r="G720" s="139">
        <v>6</v>
      </c>
      <c r="H720" s="458">
        <v>0.33333333333333331</v>
      </c>
      <c r="I720" s="458">
        <v>0.66666666666666663</v>
      </c>
      <c r="J720" s="458">
        <f>I720-H720</f>
        <v>0.33333333333333331</v>
      </c>
      <c r="K720" s="58" t="s">
        <v>663</v>
      </c>
      <c r="L720" s="97" t="s">
        <v>7419</v>
      </c>
      <c r="M720" s="97" t="s">
        <v>26</v>
      </c>
      <c r="N720" s="58" t="s">
        <v>38</v>
      </c>
      <c r="O720" s="58" t="s">
        <v>5076</v>
      </c>
      <c r="P720" s="206">
        <v>44713</v>
      </c>
      <c r="Q720" s="460">
        <v>44713</v>
      </c>
      <c r="R720" s="460">
        <v>45443</v>
      </c>
      <c r="S720" s="461">
        <v>45444</v>
      </c>
      <c r="T720" s="139">
        <v>2011</v>
      </c>
      <c r="U720" s="139" t="s">
        <v>7420</v>
      </c>
      <c r="V720" s="139">
        <v>2022</v>
      </c>
      <c r="W720" s="139" t="s">
        <v>7421</v>
      </c>
      <c r="X720" s="139" t="s">
        <v>30</v>
      </c>
      <c r="Y720" s="462" t="s">
        <v>5151</v>
      </c>
      <c r="Z720" s="140" t="s">
        <v>7428</v>
      </c>
      <c r="AA720" s="140" t="s">
        <v>1841</v>
      </c>
      <c r="AB720" s="460">
        <v>44807</v>
      </c>
      <c r="AC720" s="460">
        <v>46632</v>
      </c>
      <c r="AD720" s="488">
        <v>8121553360</v>
      </c>
      <c r="AE720" s="140" t="s">
        <v>7423</v>
      </c>
      <c r="AF720" s="139" t="s">
        <v>1400</v>
      </c>
      <c r="AG720" s="463" t="s">
        <v>7424</v>
      </c>
      <c r="AH720" s="139" t="s">
        <v>7425</v>
      </c>
      <c r="AI720" s="139" t="s">
        <v>7426</v>
      </c>
      <c r="AJ720" s="464">
        <v>796420368086</v>
      </c>
      <c r="AK720" s="140" t="s">
        <v>7427</v>
      </c>
      <c r="AL720" s="461">
        <v>45182</v>
      </c>
      <c r="AM720" s="477"/>
      <c r="AN720" s="465"/>
      <c r="AO720" s="140"/>
      <c r="AP720" s="139"/>
      <c r="AQ720" s="139"/>
      <c r="AR720" s="58"/>
      <c r="AS720" s="458"/>
      <c r="AT720" s="458"/>
      <c r="AU720" s="461">
        <v>34126</v>
      </c>
      <c r="AV720" s="181" t="s">
        <v>1352</v>
      </c>
      <c r="AW720" s="31" t="s">
        <v>32</v>
      </c>
      <c r="AX720" s="139">
        <v>8</v>
      </c>
      <c r="AY720" s="58" t="s">
        <v>1904</v>
      </c>
      <c r="AZ720" s="58" t="s">
        <v>26</v>
      </c>
      <c r="BA720" s="58" t="s">
        <v>151</v>
      </c>
      <c r="BB720" s="58" t="s">
        <v>1407</v>
      </c>
      <c r="BC720" s="58"/>
    </row>
    <row r="721" spans="1:55" x14ac:dyDescent="0.25">
      <c r="A721" s="10">
        <f t="shared" si="33"/>
        <v>720</v>
      </c>
      <c r="B721" s="181" t="s">
        <v>6749</v>
      </c>
      <c r="C721" s="592" t="s">
        <v>1407</v>
      </c>
      <c r="D721" s="457">
        <v>400491</v>
      </c>
      <c r="E721" s="181" t="s">
        <v>36</v>
      </c>
      <c r="F721" s="97" t="s">
        <v>6750</v>
      </c>
      <c r="G721" s="139">
        <v>6</v>
      </c>
      <c r="H721" s="458">
        <v>0.35416666666666669</v>
      </c>
      <c r="I721" s="458">
        <v>0.47916666666666669</v>
      </c>
      <c r="J721" s="458">
        <f>I721-H721</f>
        <v>0.125</v>
      </c>
      <c r="K721" s="58" t="s">
        <v>6751</v>
      </c>
      <c r="L721" s="97" t="s">
        <v>7429</v>
      </c>
      <c r="M721" s="97" t="s">
        <v>26</v>
      </c>
      <c r="N721" s="58" t="s">
        <v>38</v>
      </c>
      <c r="O721" s="58"/>
      <c r="P721" s="206">
        <v>44958</v>
      </c>
      <c r="Q721" s="460">
        <v>44958</v>
      </c>
      <c r="R721" s="460">
        <v>45688</v>
      </c>
      <c r="S721" s="461">
        <v>45689</v>
      </c>
      <c r="T721" s="139">
        <v>2016</v>
      </c>
      <c r="U721" s="139" t="s">
        <v>7430</v>
      </c>
      <c r="V721" s="139">
        <v>2021</v>
      </c>
      <c r="W721" s="139" t="s">
        <v>7431</v>
      </c>
      <c r="X721" s="139" t="s">
        <v>30</v>
      </c>
      <c r="Y721" s="462" t="s">
        <v>1611</v>
      </c>
      <c r="Z721" s="140" t="s">
        <v>6754</v>
      </c>
      <c r="AA721" s="140" t="s">
        <v>1841</v>
      </c>
      <c r="AB721" s="460">
        <v>44698</v>
      </c>
      <c r="AC721" s="460">
        <v>46523</v>
      </c>
      <c r="AD721" s="488">
        <v>9182624935</v>
      </c>
      <c r="AE721" s="140" t="s">
        <v>6755</v>
      </c>
      <c r="AF721" s="139" t="s">
        <v>1430</v>
      </c>
      <c r="AG721" s="463" t="s">
        <v>6756</v>
      </c>
      <c r="AH721" s="139" t="s">
        <v>6757</v>
      </c>
      <c r="AI721" s="139" t="s">
        <v>6758</v>
      </c>
      <c r="AJ721" s="464">
        <v>259090289795</v>
      </c>
      <c r="AK721" s="140" t="s">
        <v>7432</v>
      </c>
      <c r="AL721" s="461">
        <v>45112</v>
      </c>
      <c r="AM721" s="477"/>
      <c r="AN721" s="465"/>
      <c r="AO721" s="140"/>
      <c r="AP721" s="139"/>
      <c r="AQ721" s="139"/>
      <c r="AR721" s="58"/>
      <c r="AS721" s="458"/>
      <c r="AT721" s="458"/>
      <c r="AU721" s="461">
        <v>32895</v>
      </c>
      <c r="AV721" s="181" t="s">
        <v>1389</v>
      </c>
      <c r="AW721" s="31" t="s">
        <v>32</v>
      </c>
      <c r="AX721" s="139">
        <v>3</v>
      </c>
      <c r="AY721" s="58" t="s">
        <v>1904</v>
      </c>
      <c r="AZ721" s="58" t="s">
        <v>26</v>
      </c>
      <c r="BA721" s="58" t="s">
        <v>151</v>
      </c>
      <c r="BB721" s="58" t="s">
        <v>1407</v>
      </c>
      <c r="BC721" s="58"/>
    </row>
    <row r="722" spans="1:55" x14ac:dyDescent="0.25">
      <c r="A722" s="10">
        <f t="shared" si="33"/>
        <v>721</v>
      </c>
      <c r="B722" s="181" t="s">
        <v>7433</v>
      </c>
      <c r="C722" s="592" t="s">
        <v>1407</v>
      </c>
      <c r="D722" s="457">
        <v>400492</v>
      </c>
      <c r="E722" s="181" t="s">
        <v>36</v>
      </c>
      <c r="F722" s="97" t="s">
        <v>7434</v>
      </c>
      <c r="G722" s="139">
        <v>6</v>
      </c>
      <c r="H722" s="458">
        <v>0.35416666666666669</v>
      </c>
      <c r="I722" s="458">
        <v>0.39583333333333331</v>
      </c>
      <c r="J722" s="458">
        <v>4.1666666666666664E-2</v>
      </c>
      <c r="K722" s="100" t="s">
        <v>1187</v>
      </c>
      <c r="L722" s="97" t="s">
        <v>1376</v>
      </c>
      <c r="M722" s="97" t="s">
        <v>1376</v>
      </c>
      <c r="N722" s="58" t="s">
        <v>1393</v>
      </c>
      <c r="O722" s="58" t="s">
        <v>3290</v>
      </c>
      <c r="P722" s="206">
        <v>44718</v>
      </c>
      <c r="Q722" s="460">
        <v>44718</v>
      </c>
      <c r="R722" s="460">
        <v>45448</v>
      </c>
      <c r="S722" s="461">
        <v>45449</v>
      </c>
      <c r="T722" s="139">
        <v>2012</v>
      </c>
      <c r="U722" s="139" t="s">
        <v>3120</v>
      </c>
      <c r="V722" s="139" t="s">
        <v>30</v>
      </c>
      <c r="W722" s="139" t="s">
        <v>30</v>
      </c>
      <c r="X722" s="139" t="s">
        <v>30</v>
      </c>
      <c r="Y722" s="462" t="s">
        <v>226</v>
      </c>
      <c r="Z722" s="140" t="s">
        <v>7435</v>
      </c>
      <c r="AA722" s="140" t="s">
        <v>1841</v>
      </c>
      <c r="AB722" s="460">
        <v>43836</v>
      </c>
      <c r="AC722" s="460">
        <v>45662</v>
      </c>
      <c r="AD722" s="139">
        <v>9618248923</v>
      </c>
      <c r="AE722" s="467" t="s">
        <v>7436</v>
      </c>
      <c r="AF722" s="139" t="s">
        <v>1364</v>
      </c>
      <c r="AG722" s="463">
        <v>4801606030</v>
      </c>
      <c r="AH722" s="139" t="s">
        <v>7437</v>
      </c>
      <c r="AI722" s="139" t="s">
        <v>7438</v>
      </c>
      <c r="AJ722" s="464">
        <v>735698778228</v>
      </c>
      <c r="AK722" s="140" t="s">
        <v>7439</v>
      </c>
      <c r="AL722" s="206" t="s">
        <v>30</v>
      </c>
      <c r="AM722" s="477" t="s">
        <v>30</v>
      </c>
      <c r="AN722" s="490"/>
      <c r="AO722" s="140"/>
      <c r="AP722" s="139"/>
      <c r="AQ722" s="139"/>
      <c r="AR722" s="181"/>
      <c r="AS722" s="458"/>
      <c r="AT722" s="458"/>
      <c r="AU722" s="461">
        <v>31960</v>
      </c>
      <c r="AV722" s="181" t="s">
        <v>1389</v>
      </c>
      <c r="AW722" s="31" t="s">
        <v>32</v>
      </c>
      <c r="AX722" s="139">
        <v>1</v>
      </c>
      <c r="AY722" s="466">
        <f>VLOOKUP(K722,[3]Master!M699:BA1082,40,0)</f>
        <v>1</v>
      </c>
      <c r="AZ722" s="58" t="s">
        <v>1390</v>
      </c>
      <c r="BA722" s="58" t="s">
        <v>151</v>
      </c>
      <c r="BB722" s="58" t="s">
        <v>1407</v>
      </c>
      <c r="BC722" s="58"/>
    </row>
    <row r="723" spans="1:55" x14ac:dyDescent="0.25">
      <c r="A723" s="10">
        <f t="shared" si="33"/>
        <v>722</v>
      </c>
      <c r="B723" s="181" t="s">
        <v>2905</v>
      </c>
      <c r="C723" s="592" t="s">
        <v>1407</v>
      </c>
      <c r="D723" s="457">
        <v>400493</v>
      </c>
      <c r="E723" s="181" t="s">
        <v>36</v>
      </c>
      <c r="F723" s="97" t="s">
        <v>2906</v>
      </c>
      <c r="G723" s="139">
        <v>6</v>
      </c>
      <c r="H723" s="458">
        <v>0.375</v>
      </c>
      <c r="I723" s="458">
        <v>0.45833333333333331</v>
      </c>
      <c r="J723" s="458">
        <f>I723-H723</f>
        <v>8.3333333333333315E-2</v>
      </c>
      <c r="K723" s="58" t="s">
        <v>826</v>
      </c>
      <c r="L723" s="97" t="s">
        <v>2015</v>
      </c>
      <c r="M723" s="63" t="s">
        <v>1355</v>
      </c>
      <c r="N723" s="100" t="s">
        <v>1520</v>
      </c>
      <c r="O723" s="58" t="s">
        <v>5168</v>
      </c>
      <c r="P723" s="206">
        <v>44718</v>
      </c>
      <c r="Q723" s="460">
        <v>44718</v>
      </c>
      <c r="R723" s="460">
        <f>Q723+730</f>
        <v>45448</v>
      </c>
      <c r="S723" s="461">
        <f>R723+1</f>
        <v>45449</v>
      </c>
      <c r="T723" s="139">
        <v>2001</v>
      </c>
      <c r="U723" s="139" t="s">
        <v>7440</v>
      </c>
      <c r="V723" s="139">
        <v>2020</v>
      </c>
      <c r="W723" s="139" t="s">
        <v>7441</v>
      </c>
      <c r="X723" s="139" t="s">
        <v>30</v>
      </c>
      <c r="Y723" s="462" t="s">
        <v>7442</v>
      </c>
      <c r="Z723" s="140" t="s">
        <v>2909</v>
      </c>
      <c r="AA723" s="140" t="s">
        <v>2910</v>
      </c>
      <c r="AB723" s="460">
        <v>44186</v>
      </c>
      <c r="AC723" s="460">
        <v>46011</v>
      </c>
      <c r="AD723" s="139">
        <v>9650180810</v>
      </c>
      <c r="AE723" s="467" t="s">
        <v>2911</v>
      </c>
      <c r="AF723" s="139" t="s">
        <v>5484</v>
      </c>
      <c r="AG723" s="463" t="s">
        <v>7443</v>
      </c>
      <c r="AH723" s="139" t="s">
        <v>7444</v>
      </c>
      <c r="AI723" s="139" t="s">
        <v>2914</v>
      </c>
      <c r="AJ723" s="464">
        <v>204515481975</v>
      </c>
      <c r="AK723" s="140" t="s">
        <v>7445</v>
      </c>
      <c r="AL723" s="206" t="s">
        <v>30</v>
      </c>
      <c r="AM723" s="477" t="s">
        <v>30</v>
      </c>
      <c r="AN723" s="490"/>
      <c r="AO723" s="140"/>
      <c r="AP723" s="139"/>
      <c r="AQ723" s="139" t="e">
        <v>#REF!</v>
      </c>
      <c r="AR723" s="181"/>
      <c r="AS723" s="458"/>
      <c r="AT723" s="458"/>
      <c r="AU723" s="461">
        <v>28371</v>
      </c>
      <c r="AV723" s="181" t="s">
        <v>1352</v>
      </c>
      <c r="AW723" s="31" t="s">
        <v>32</v>
      </c>
      <c r="AX723" s="139">
        <v>2</v>
      </c>
      <c r="AY723" s="466">
        <f>VLOOKUP(K723,[3]Master!M700:BA1083,40,0)</f>
        <v>8</v>
      </c>
      <c r="AZ723" s="58" t="s">
        <v>1373</v>
      </c>
      <c r="BA723" s="58" t="s">
        <v>151</v>
      </c>
      <c r="BB723" s="58" t="s">
        <v>1407</v>
      </c>
      <c r="BC723" s="58"/>
    </row>
    <row r="724" spans="1:55" x14ac:dyDescent="0.25">
      <c r="A724" s="10">
        <f t="shared" si="33"/>
        <v>723</v>
      </c>
      <c r="B724" s="181" t="s">
        <v>7446</v>
      </c>
      <c r="C724" s="592" t="s">
        <v>1407</v>
      </c>
      <c r="D724" s="457">
        <v>400495</v>
      </c>
      <c r="E724" s="181" t="s">
        <v>36</v>
      </c>
      <c r="F724" s="97" t="s">
        <v>7447</v>
      </c>
      <c r="G724" s="139">
        <v>6</v>
      </c>
      <c r="H724" s="458">
        <v>0.375</v>
      </c>
      <c r="I724" s="458">
        <v>0.45833333333333331</v>
      </c>
      <c r="J724" s="458">
        <v>8.3333333333333329E-2</v>
      </c>
      <c r="K724" s="143" t="s">
        <v>187</v>
      </c>
      <c r="L724" s="97" t="s">
        <v>1376</v>
      </c>
      <c r="M724" s="97" t="s">
        <v>1376</v>
      </c>
      <c r="N724" s="58" t="s">
        <v>1393</v>
      </c>
      <c r="O724" s="58"/>
      <c r="P724" s="206">
        <v>44725</v>
      </c>
      <c r="Q724" s="460">
        <v>44725</v>
      </c>
      <c r="R724" s="460">
        <f>Q724+730</f>
        <v>45455</v>
      </c>
      <c r="S724" s="461">
        <f>R724+1</f>
        <v>45456</v>
      </c>
      <c r="T724" s="139">
        <v>2016</v>
      </c>
      <c r="U724" s="139" t="s">
        <v>7448</v>
      </c>
      <c r="V724" s="139" t="s">
        <v>30</v>
      </c>
      <c r="W724" s="139" t="s">
        <v>30</v>
      </c>
      <c r="X724" s="139" t="s">
        <v>30</v>
      </c>
      <c r="Y724" s="462" t="s">
        <v>226</v>
      </c>
      <c r="Z724" s="140" t="s">
        <v>7449</v>
      </c>
      <c r="AA724" s="140" t="s">
        <v>1841</v>
      </c>
      <c r="AB724" s="460">
        <v>44385</v>
      </c>
      <c r="AC724" s="460">
        <v>46210</v>
      </c>
      <c r="AD724" s="139">
        <v>9701672044</v>
      </c>
      <c r="AE724" s="467" t="s">
        <v>7450</v>
      </c>
      <c r="AF724" s="139" t="s">
        <v>1495</v>
      </c>
      <c r="AG724" s="463">
        <v>40031081769</v>
      </c>
      <c r="AH724" s="139" t="s">
        <v>7451</v>
      </c>
      <c r="AI724" s="139" t="s">
        <v>7452</v>
      </c>
      <c r="AJ724" s="464">
        <v>259633110045</v>
      </c>
      <c r="AK724" s="140" t="s">
        <v>7453</v>
      </c>
      <c r="AL724" s="206">
        <v>44895</v>
      </c>
      <c r="AM724" s="477">
        <v>44885</v>
      </c>
      <c r="AN724" s="465"/>
      <c r="AO724" s="140"/>
      <c r="AP724" s="139"/>
      <c r="AQ724" s="139" t="e">
        <v>#REF!</v>
      </c>
      <c r="AR724" s="181"/>
      <c r="AS724" s="458"/>
      <c r="AT724" s="458"/>
      <c r="AU724" s="461">
        <v>33115</v>
      </c>
      <c r="AV724" s="181" t="s">
        <v>1352</v>
      </c>
      <c r="AW724" s="31" t="s">
        <v>32</v>
      </c>
      <c r="AX724" s="139">
        <v>2</v>
      </c>
      <c r="AY724" s="58" t="s">
        <v>1959</v>
      </c>
      <c r="AZ724" s="58" t="s">
        <v>1390</v>
      </c>
      <c r="BA724" s="58" t="s">
        <v>151</v>
      </c>
      <c r="BB724" s="58" t="s">
        <v>1407</v>
      </c>
      <c r="BC724" s="58"/>
    </row>
    <row r="725" spans="1:55" x14ac:dyDescent="0.25">
      <c r="A725" s="10">
        <f t="shared" si="33"/>
        <v>724</v>
      </c>
      <c r="B725" s="181" t="s">
        <v>7454</v>
      </c>
      <c r="C725" s="592" t="s">
        <v>1407</v>
      </c>
      <c r="D725" s="457">
        <v>400497</v>
      </c>
      <c r="E725" s="181" t="s">
        <v>36</v>
      </c>
      <c r="F725" s="97" t="s">
        <v>7455</v>
      </c>
      <c r="G725" s="139">
        <v>6</v>
      </c>
      <c r="H725" s="458">
        <v>0.72916666666666663</v>
      </c>
      <c r="I725" s="458">
        <v>0.77083333333333337</v>
      </c>
      <c r="J725" s="458">
        <v>4.1666666666666664E-2</v>
      </c>
      <c r="K725" s="143" t="s">
        <v>207</v>
      </c>
      <c r="L725" s="97" t="s">
        <v>1376</v>
      </c>
      <c r="M725" s="97" t="s">
        <v>1376</v>
      </c>
      <c r="N725" s="58" t="s">
        <v>1393</v>
      </c>
      <c r="O725" s="58" t="s">
        <v>3290</v>
      </c>
      <c r="P725" s="206">
        <v>44725</v>
      </c>
      <c r="Q725" s="460">
        <v>44725</v>
      </c>
      <c r="R725" s="460">
        <v>45455</v>
      </c>
      <c r="S725" s="461">
        <v>45456</v>
      </c>
      <c r="T725" s="139">
        <v>2008</v>
      </c>
      <c r="U725" s="139" t="s">
        <v>2370</v>
      </c>
      <c r="V725" s="139" t="s">
        <v>30</v>
      </c>
      <c r="W725" s="139" t="s">
        <v>30</v>
      </c>
      <c r="X725" s="139" t="s">
        <v>30</v>
      </c>
      <c r="Y725" s="462" t="s">
        <v>226</v>
      </c>
      <c r="Z725" s="140">
        <v>69343</v>
      </c>
      <c r="AA725" s="140" t="s">
        <v>1886</v>
      </c>
      <c r="AB725" s="460">
        <v>44223</v>
      </c>
      <c r="AC725" s="460">
        <v>46048</v>
      </c>
      <c r="AD725" s="488">
        <v>9502956667</v>
      </c>
      <c r="AE725" s="140" t="s">
        <v>7456</v>
      </c>
      <c r="AF725" s="139" t="s">
        <v>1364</v>
      </c>
      <c r="AG725" s="463">
        <v>131901507160</v>
      </c>
      <c r="AH725" s="139" t="s">
        <v>7457</v>
      </c>
      <c r="AI725" s="139" t="s">
        <v>7458</v>
      </c>
      <c r="AJ725" s="464">
        <v>558837138553</v>
      </c>
      <c r="AK725" s="140" t="s">
        <v>7459</v>
      </c>
      <c r="AL725" s="206"/>
      <c r="AM725" s="477" t="s">
        <v>30</v>
      </c>
      <c r="AN725" s="490"/>
      <c r="AO725" s="140"/>
      <c r="AP725" s="139"/>
      <c r="AQ725" s="139"/>
      <c r="AR725" s="58"/>
      <c r="AS725" s="458"/>
      <c r="AT725" s="458"/>
      <c r="AU725" s="461">
        <v>30494</v>
      </c>
      <c r="AV725" s="181" t="s">
        <v>1352</v>
      </c>
      <c r="AW725" s="31" t="s">
        <v>32</v>
      </c>
      <c r="AX725" s="139">
        <v>1</v>
      </c>
      <c r="AY725" s="58" t="s">
        <v>1920</v>
      </c>
      <c r="AZ725" s="58" t="s">
        <v>1390</v>
      </c>
      <c r="BA725" s="58" t="s">
        <v>151</v>
      </c>
      <c r="BB725" s="58" t="s">
        <v>1407</v>
      </c>
      <c r="BC725" s="58"/>
    </row>
    <row r="726" spans="1:55" x14ac:dyDescent="0.25">
      <c r="A726" s="10">
        <f t="shared" si="33"/>
        <v>725</v>
      </c>
      <c r="B726" s="181" t="s">
        <v>7460</v>
      </c>
      <c r="C726" s="592" t="s">
        <v>1407</v>
      </c>
      <c r="D726" s="457">
        <v>400498</v>
      </c>
      <c r="E726" s="181" t="s">
        <v>36</v>
      </c>
      <c r="F726" s="97" t="s">
        <v>7461</v>
      </c>
      <c r="G726" s="139">
        <v>6</v>
      </c>
      <c r="H726" s="458">
        <v>0.375</v>
      </c>
      <c r="I726" s="458">
        <v>0.41666666666666669</v>
      </c>
      <c r="J726" s="458">
        <v>4.1666666666666664E-2</v>
      </c>
      <c r="K726" s="58" t="s">
        <v>693</v>
      </c>
      <c r="L726" s="97" t="s">
        <v>1376</v>
      </c>
      <c r="M726" s="97" t="s">
        <v>1376</v>
      </c>
      <c r="N726" s="58" t="s">
        <v>1393</v>
      </c>
      <c r="O726" s="58" t="s">
        <v>3290</v>
      </c>
      <c r="P726" s="206">
        <v>44725</v>
      </c>
      <c r="Q726" s="460">
        <v>44725</v>
      </c>
      <c r="R726" s="460">
        <v>45455</v>
      </c>
      <c r="S726" s="461">
        <v>45456</v>
      </c>
      <c r="T726" s="139">
        <v>2018</v>
      </c>
      <c r="U726" s="139" t="s">
        <v>7462</v>
      </c>
      <c r="V726" s="139" t="s">
        <v>30</v>
      </c>
      <c r="W726" s="139" t="s">
        <v>30</v>
      </c>
      <c r="X726" s="139" t="s">
        <v>30</v>
      </c>
      <c r="Y726" s="462" t="s">
        <v>226</v>
      </c>
      <c r="Z726" s="140" t="s">
        <v>7463</v>
      </c>
      <c r="AA726" s="140" t="s">
        <v>1841</v>
      </c>
      <c r="AB726" s="460">
        <v>43734</v>
      </c>
      <c r="AC726" s="460">
        <v>45560</v>
      </c>
      <c r="AD726" s="139">
        <v>7093583282</v>
      </c>
      <c r="AE726" s="467" t="s">
        <v>7464</v>
      </c>
      <c r="AF726" s="139" t="s">
        <v>2545</v>
      </c>
      <c r="AG726" s="463" t="s">
        <v>7465</v>
      </c>
      <c r="AH726" s="139" t="s">
        <v>7466</v>
      </c>
      <c r="AI726" s="139" t="s">
        <v>7467</v>
      </c>
      <c r="AJ726" s="464">
        <v>306165506827</v>
      </c>
      <c r="AK726" s="140" t="s">
        <v>7468</v>
      </c>
      <c r="AL726" s="206"/>
      <c r="AM726" s="477"/>
      <c r="AN726" s="465"/>
      <c r="AO726" s="140"/>
      <c r="AP726" s="139"/>
      <c r="AQ726" s="139"/>
      <c r="AR726" s="181"/>
      <c r="AS726" s="458"/>
      <c r="AT726" s="458"/>
      <c r="AU726" s="461">
        <v>34822</v>
      </c>
      <c r="AV726" s="181" t="s">
        <v>1389</v>
      </c>
      <c r="AW726" s="31" t="s">
        <v>32</v>
      </c>
      <c r="AX726" s="139">
        <v>1</v>
      </c>
      <c r="AY726" s="58" t="s">
        <v>2469</v>
      </c>
      <c r="AZ726" s="58" t="s">
        <v>1390</v>
      </c>
      <c r="BA726" s="58" t="s">
        <v>151</v>
      </c>
      <c r="BB726" s="58" t="s">
        <v>1407</v>
      </c>
      <c r="BC726" s="58"/>
    </row>
    <row r="727" spans="1:55" x14ac:dyDescent="0.25">
      <c r="A727" s="10">
        <f t="shared" si="33"/>
        <v>726</v>
      </c>
      <c r="B727" s="181" t="s">
        <v>7469</v>
      </c>
      <c r="C727" s="592" t="s">
        <v>1407</v>
      </c>
      <c r="D727" s="457">
        <v>400499</v>
      </c>
      <c r="E727" s="181" t="s">
        <v>36</v>
      </c>
      <c r="F727" s="97" t="s">
        <v>7470</v>
      </c>
      <c r="G727" s="139">
        <v>6</v>
      </c>
      <c r="H727" s="458">
        <v>0.33333333333333331</v>
      </c>
      <c r="I727" s="458">
        <v>0.375</v>
      </c>
      <c r="J727" s="458">
        <v>4.1666666666666664E-2</v>
      </c>
      <c r="K727" s="58"/>
      <c r="L727" s="97" t="s">
        <v>7471</v>
      </c>
      <c r="M727" s="97" t="s">
        <v>1376</v>
      </c>
      <c r="N727" s="58" t="s">
        <v>1393</v>
      </c>
      <c r="O727" s="58"/>
      <c r="P727" s="460">
        <v>44729</v>
      </c>
      <c r="Q727" s="460">
        <v>44729</v>
      </c>
      <c r="R727" s="461">
        <f>Q727+730</f>
        <v>45459</v>
      </c>
      <c r="S727" s="461">
        <f>R727+1</f>
        <v>45460</v>
      </c>
      <c r="T727" s="139">
        <v>2021</v>
      </c>
      <c r="U727" s="139" t="s">
        <v>7472</v>
      </c>
      <c r="V727" s="139" t="s">
        <v>30</v>
      </c>
      <c r="W727" s="139" t="s">
        <v>30</v>
      </c>
      <c r="X727" s="139"/>
      <c r="Y727" s="139" t="s">
        <v>226</v>
      </c>
      <c r="Z727" s="462" t="s">
        <v>7473</v>
      </c>
      <c r="AA727" s="140" t="s">
        <v>1841</v>
      </c>
      <c r="AB727" s="460">
        <v>44590</v>
      </c>
      <c r="AC727" s="460">
        <v>46415</v>
      </c>
      <c r="AD727" s="139">
        <v>7981932584</v>
      </c>
      <c r="AE727" s="467" t="s">
        <v>7474</v>
      </c>
      <c r="AF727" s="139" t="s">
        <v>1495</v>
      </c>
      <c r="AG727" s="463">
        <v>20167906185</v>
      </c>
      <c r="AH727" s="139" t="s">
        <v>5820</v>
      </c>
      <c r="AI727" s="139" t="s">
        <v>7475</v>
      </c>
      <c r="AJ727" s="464">
        <v>957798494141</v>
      </c>
      <c r="AK727" s="140" t="s">
        <v>7476</v>
      </c>
      <c r="AL727" s="206">
        <v>44739</v>
      </c>
      <c r="AM727" s="477" t="s">
        <v>30</v>
      </c>
      <c r="AN727" s="490"/>
      <c r="AO727" s="140"/>
      <c r="AP727" s="139"/>
      <c r="AQ727" s="139"/>
      <c r="AR727" s="181"/>
      <c r="AS727" s="458"/>
      <c r="AT727" s="458"/>
      <c r="AU727" s="461">
        <v>33072</v>
      </c>
      <c r="AV727" s="181" t="s">
        <v>1352</v>
      </c>
      <c r="AW727" s="31" t="s">
        <v>32</v>
      </c>
      <c r="AX727" s="139">
        <v>1</v>
      </c>
      <c r="AY727" s="58"/>
      <c r="AZ727" s="58" t="s">
        <v>1390</v>
      </c>
      <c r="BA727" s="58" t="s">
        <v>151</v>
      </c>
      <c r="BB727" s="58" t="s">
        <v>1407</v>
      </c>
      <c r="BC727" s="58"/>
    </row>
    <row r="728" spans="1:55" x14ac:dyDescent="0.25">
      <c r="A728" s="10">
        <f t="shared" si="33"/>
        <v>727</v>
      </c>
      <c r="B728" s="181" t="s">
        <v>7477</v>
      </c>
      <c r="C728" s="592" t="s">
        <v>1407</v>
      </c>
      <c r="D728" s="457">
        <v>400500</v>
      </c>
      <c r="E728" s="181" t="s">
        <v>36</v>
      </c>
      <c r="F728" s="97" t="s">
        <v>7478</v>
      </c>
      <c r="G728" s="139">
        <v>6</v>
      </c>
      <c r="H728" s="458">
        <v>0.39583333333333331</v>
      </c>
      <c r="I728" s="458">
        <v>0.72916666666666663</v>
      </c>
      <c r="J728" s="458">
        <f>I728-H728</f>
        <v>0.33333333333333331</v>
      </c>
      <c r="K728" s="100" t="s">
        <v>961</v>
      </c>
      <c r="L728" s="97" t="s">
        <v>7479</v>
      </c>
      <c r="M728" s="97" t="s">
        <v>26</v>
      </c>
      <c r="N728" s="58" t="s">
        <v>38</v>
      </c>
      <c r="O728" s="58" t="s">
        <v>5050</v>
      </c>
      <c r="P728" s="206">
        <v>44727</v>
      </c>
      <c r="Q728" s="460">
        <v>44727</v>
      </c>
      <c r="R728" s="460">
        <v>45457</v>
      </c>
      <c r="S728" s="461">
        <v>45458</v>
      </c>
      <c r="T728" s="139">
        <v>2017</v>
      </c>
      <c r="U728" s="139" t="s">
        <v>7480</v>
      </c>
      <c r="V728" s="139">
        <v>2022</v>
      </c>
      <c r="W728" s="139" t="s">
        <v>7481</v>
      </c>
      <c r="X728" s="139" t="s">
        <v>30</v>
      </c>
      <c r="Y728" s="462" t="s">
        <v>7482</v>
      </c>
      <c r="Z728" s="140" t="s">
        <v>7483</v>
      </c>
      <c r="AA728" s="140" t="s">
        <v>6906</v>
      </c>
      <c r="AB728" s="460">
        <v>44735</v>
      </c>
      <c r="AC728" s="460">
        <v>46560</v>
      </c>
      <c r="AD728" s="139">
        <v>8347570221</v>
      </c>
      <c r="AE728" s="140" t="s">
        <v>7484</v>
      </c>
      <c r="AF728" s="139" t="s">
        <v>1400</v>
      </c>
      <c r="AG728" s="491" t="s">
        <v>7485</v>
      </c>
      <c r="AH728" s="139" t="s">
        <v>3568</v>
      </c>
      <c r="AI728" s="139" t="s">
        <v>7486</v>
      </c>
      <c r="AJ728" s="475">
        <v>478614435013</v>
      </c>
      <c r="AK728" s="140" t="s">
        <v>7487</v>
      </c>
      <c r="AL728" s="461">
        <v>44880</v>
      </c>
      <c r="AM728" s="477">
        <v>44791</v>
      </c>
      <c r="AN728" s="465"/>
      <c r="AO728" s="140"/>
      <c r="AP728" s="139"/>
      <c r="AQ728" s="139" t="e">
        <v>#REF!</v>
      </c>
      <c r="AR728" s="181"/>
      <c r="AS728" s="458"/>
      <c r="AT728" s="458"/>
      <c r="AU728" s="461">
        <v>34962</v>
      </c>
      <c r="AV728" s="181" t="s">
        <v>1389</v>
      </c>
      <c r="AW728" s="31" t="s">
        <v>68</v>
      </c>
      <c r="AX728" s="139">
        <v>8</v>
      </c>
      <c r="AY728" s="58" t="s">
        <v>1849</v>
      </c>
      <c r="AZ728" s="58" t="s">
        <v>26</v>
      </c>
      <c r="BA728" s="58" t="s">
        <v>151</v>
      </c>
      <c r="BB728" s="58" t="s">
        <v>1407</v>
      </c>
      <c r="BC728" s="58"/>
    </row>
    <row r="729" spans="1:55" x14ac:dyDescent="0.25">
      <c r="A729" s="10">
        <f t="shared" si="33"/>
        <v>728</v>
      </c>
      <c r="B729" s="181" t="s">
        <v>5301</v>
      </c>
      <c r="C729" s="592" t="s">
        <v>1407</v>
      </c>
      <c r="D729" s="457">
        <v>400501</v>
      </c>
      <c r="E729" s="181" t="s">
        <v>36</v>
      </c>
      <c r="F729" s="97" t="s">
        <v>5302</v>
      </c>
      <c r="G729" s="139">
        <v>6</v>
      </c>
      <c r="H729" s="458">
        <v>0.375</v>
      </c>
      <c r="I729" s="458">
        <v>0.70833333333333337</v>
      </c>
      <c r="J729" s="458">
        <f>I729-H729</f>
        <v>0.33333333333333337</v>
      </c>
      <c r="K729" s="143" t="s">
        <v>513</v>
      </c>
      <c r="L729" s="97" t="s">
        <v>7488</v>
      </c>
      <c r="M729" s="97" t="s">
        <v>26</v>
      </c>
      <c r="N729" s="58" t="s">
        <v>38</v>
      </c>
      <c r="O729" s="58" t="s">
        <v>5050</v>
      </c>
      <c r="P729" s="206">
        <v>44727</v>
      </c>
      <c r="Q729" s="460">
        <v>44727</v>
      </c>
      <c r="R729" s="460">
        <v>45457</v>
      </c>
      <c r="S729" s="461">
        <v>45458</v>
      </c>
      <c r="T729" s="139">
        <v>2010</v>
      </c>
      <c r="U729" s="139" t="s">
        <v>4946</v>
      </c>
      <c r="V729" s="139">
        <v>2015</v>
      </c>
      <c r="W729" s="139" t="s">
        <v>7489</v>
      </c>
      <c r="X729" s="139" t="s">
        <v>30</v>
      </c>
      <c r="Y729" s="462" t="s">
        <v>5235</v>
      </c>
      <c r="Z729" s="140">
        <v>69466</v>
      </c>
      <c r="AA729" s="140" t="s">
        <v>1841</v>
      </c>
      <c r="AB729" s="460">
        <v>44659</v>
      </c>
      <c r="AC729" s="460">
        <v>46484</v>
      </c>
      <c r="AD729" s="139">
        <v>9985077082</v>
      </c>
      <c r="AE729" s="140" t="s">
        <v>5304</v>
      </c>
      <c r="AF729" s="139" t="s">
        <v>1928</v>
      </c>
      <c r="AG729" s="491" t="s">
        <v>5305</v>
      </c>
      <c r="AH729" s="139" t="s">
        <v>5306</v>
      </c>
      <c r="AI729" s="139" t="s">
        <v>5307</v>
      </c>
      <c r="AJ729" s="475">
        <v>435856754146</v>
      </c>
      <c r="AK729" s="140" t="s">
        <v>5308</v>
      </c>
      <c r="AL729" s="461" t="s">
        <v>30</v>
      </c>
      <c r="AM729" s="477" t="s">
        <v>30</v>
      </c>
      <c r="AN729" s="490"/>
      <c r="AO729" s="140"/>
      <c r="AP729" s="139"/>
      <c r="AQ729" s="139" t="e">
        <v>#REF!</v>
      </c>
      <c r="AR729" s="181"/>
      <c r="AS729" s="458"/>
      <c r="AT729" s="458"/>
      <c r="AU729" s="461">
        <v>31552</v>
      </c>
      <c r="AV729" s="181" t="s">
        <v>1389</v>
      </c>
      <c r="AW729" s="31" t="s">
        <v>32</v>
      </c>
      <c r="AX729" s="139">
        <v>8</v>
      </c>
      <c r="AY729" s="58" t="s">
        <v>1959</v>
      </c>
      <c r="AZ729" s="58" t="s">
        <v>26</v>
      </c>
      <c r="BA729" s="58" t="s">
        <v>151</v>
      </c>
      <c r="BB729" s="58" t="s">
        <v>1407</v>
      </c>
      <c r="BC729" s="58"/>
    </row>
    <row r="730" spans="1:55" x14ac:dyDescent="0.25">
      <c r="A730" s="10">
        <f t="shared" si="33"/>
        <v>729</v>
      </c>
      <c r="B730" s="181" t="s">
        <v>7490</v>
      </c>
      <c r="C730" s="592" t="s">
        <v>1407</v>
      </c>
      <c r="D730" s="457">
        <v>400502</v>
      </c>
      <c r="E730" s="181" t="s">
        <v>36</v>
      </c>
      <c r="F730" s="97" t="s">
        <v>7491</v>
      </c>
      <c r="G730" s="139">
        <v>6</v>
      </c>
      <c r="H730" s="458">
        <v>0.72916666666666663</v>
      </c>
      <c r="I730" s="458">
        <v>0.89583333333333337</v>
      </c>
      <c r="J730" s="458">
        <f>I730-H730</f>
        <v>0.16666666666666674</v>
      </c>
      <c r="K730" s="100" t="s">
        <v>194</v>
      </c>
      <c r="L730" s="97" t="s">
        <v>7492</v>
      </c>
      <c r="M730" s="97" t="s">
        <v>26</v>
      </c>
      <c r="N730" s="58" t="s">
        <v>38</v>
      </c>
      <c r="O730" s="58" t="s">
        <v>5050</v>
      </c>
      <c r="P730" s="206">
        <v>44728</v>
      </c>
      <c r="Q730" s="460">
        <v>44728</v>
      </c>
      <c r="R730" s="460">
        <v>45458</v>
      </c>
      <c r="S730" s="461">
        <v>45459</v>
      </c>
      <c r="T730" s="139">
        <v>2014</v>
      </c>
      <c r="U730" s="139" t="s">
        <v>7493</v>
      </c>
      <c r="V730" s="139">
        <v>2022</v>
      </c>
      <c r="W730" s="139" t="s">
        <v>7494</v>
      </c>
      <c r="X730" s="139" t="s">
        <v>30</v>
      </c>
      <c r="Y730" s="462" t="s">
        <v>5235</v>
      </c>
      <c r="Z730" s="140" t="s">
        <v>7495</v>
      </c>
      <c r="AA730" s="140" t="s">
        <v>1841</v>
      </c>
      <c r="AB730" s="460">
        <v>43764</v>
      </c>
      <c r="AC730" s="460">
        <v>45591</v>
      </c>
      <c r="AD730" s="139">
        <v>7981539501</v>
      </c>
      <c r="AE730" s="467" t="s">
        <v>7496</v>
      </c>
      <c r="AF730" s="139" t="s">
        <v>1430</v>
      </c>
      <c r="AG730" s="491" t="s">
        <v>7497</v>
      </c>
      <c r="AH730" s="139" t="s">
        <v>4098</v>
      </c>
      <c r="AI730" s="139" t="s">
        <v>7498</v>
      </c>
      <c r="AJ730" s="475">
        <v>832099209992</v>
      </c>
      <c r="AK730" s="140" t="s">
        <v>7499</v>
      </c>
      <c r="AL730" s="461" t="s">
        <v>30</v>
      </c>
      <c r="AM730" s="477" t="s">
        <v>30</v>
      </c>
      <c r="AN730" s="490"/>
      <c r="AO730" s="140"/>
      <c r="AP730" s="139"/>
      <c r="AQ730" s="139" t="e">
        <v>#REF!</v>
      </c>
      <c r="AR730" s="181"/>
      <c r="AS730" s="458"/>
      <c r="AT730" s="458"/>
      <c r="AU730" s="461">
        <v>33479</v>
      </c>
      <c r="AV730" s="181" t="s">
        <v>1389</v>
      </c>
      <c r="AW730" s="31" t="s">
        <v>32</v>
      </c>
      <c r="AX730" s="139">
        <v>4</v>
      </c>
      <c r="AY730" s="58" t="s">
        <v>1968</v>
      </c>
      <c r="AZ730" s="58" t="s">
        <v>26</v>
      </c>
      <c r="BA730" s="58" t="s">
        <v>151</v>
      </c>
      <c r="BB730" s="58" t="s">
        <v>1407</v>
      </c>
      <c r="BC730" s="58"/>
    </row>
    <row r="731" spans="1:55" x14ac:dyDescent="0.25">
      <c r="A731" s="10">
        <f t="shared" si="33"/>
        <v>730</v>
      </c>
      <c r="B731" s="181" t="s">
        <v>7500</v>
      </c>
      <c r="C731" s="592" t="s">
        <v>1407</v>
      </c>
      <c r="D731" s="457">
        <v>400503</v>
      </c>
      <c r="E731" s="181" t="s">
        <v>36</v>
      </c>
      <c r="F731" s="97" t="s">
        <v>7501</v>
      </c>
      <c r="G731" s="139">
        <v>6</v>
      </c>
      <c r="H731" s="458">
        <v>0.375</v>
      </c>
      <c r="I731" s="458">
        <v>0.41666666666666669</v>
      </c>
      <c r="J731" s="458">
        <v>4.1666666666666664E-2</v>
      </c>
      <c r="K731" s="100" t="s">
        <v>174</v>
      </c>
      <c r="L731" s="97" t="s">
        <v>1376</v>
      </c>
      <c r="M731" s="97" t="s">
        <v>1376</v>
      </c>
      <c r="N731" s="58" t="s">
        <v>1393</v>
      </c>
      <c r="O731" s="58" t="s">
        <v>3290</v>
      </c>
      <c r="P731" s="206">
        <v>44728</v>
      </c>
      <c r="Q731" s="460">
        <v>44728</v>
      </c>
      <c r="R731" s="460">
        <v>45458</v>
      </c>
      <c r="S731" s="461">
        <v>45459</v>
      </c>
      <c r="T731" s="139">
        <v>2021</v>
      </c>
      <c r="U731" s="139" t="s">
        <v>7502</v>
      </c>
      <c r="V731" s="139" t="s">
        <v>30</v>
      </c>
      <c r="W731" s="139" t="s">
        <v>30</v>
      </c>
      <c r="X731" s="139" t="s">
        <v>30</v>
      </c>
      <c r="Y731" s="462" t="s">
        <v>226</v>
      </c>
      <c r="Z731" s="140" t="s">
        <v>7503</v>
      </c>
      <c r="AA731" s="140" t="s">
        <v>1841</v>
      </c>
      <c r="AB731" s="460">
        <v>44413</v>
      </c>
      <c r="AC731" s="460">
        <v>46238</v>
      </c>
      <c r="AD731" s="139">
        <v>9030901808</v>
      </c>
      <c r="AE731" s="467" t="s">
        <v>7504</v>
      </c>
      <c r="AF731" s="139" t="s">
        <v>1495</v>
      </c>
      <c r="AG731" s="463" t="s">
        <v>7505</v>
      </c>
      <c r="AH731" s="139" t="s">
        <v>7506</v>
      </c>
      <c r="AI731" s="139" t="s">
        <v>7507</v>
      </c>
      <c r="AJ731" s="464">
        <v>605966808380</v>
      </c>
      <c r="AK731" s="140" t="s">
        <v>7508</v>
      </c>
      <c r="AL731" s="206" t="s">
        <v>30</v>
      </c>
      <c r="AM731" s="477" t="s">
        <v>30</v>
      </c>
      <c r="AN731" s="490"/>
      <c r="AO731" s="140"/>
      <c r="AP731" s="139"/>
      <c r="AQ731" s="139"/>
      <c r="AR731" s="181"/>
      <c r="AS731" s="458"/>
      <c r="AT731" s="458"/>
      <c r="AU731" s="461">
        <v>34556</v>
      </c>
      <c r="AV731" s="181" t="s">
        <v>1352</v>
      </c>
      <c r="AW731" s="31" t="s">
        <v>32</v>
      </c>
      <c r="AX731" s="139">
        <v>1</v>
      </c>
      <c r="AY731" s="466">
        <f>VLOOKUP(K731,[3]Master!M708:BA1091,40,0)</f>
        <v>1</v>
      </c>
      <c r="AZ731" s="58" t="s">
        <v>1390</v>
      </c>
      <c r="BA731" s="58" t="s">
        <v>151</v>
      </c>
      <c r="BB731" s="58" t="s">
        <v>1407</v>
      </c>
      <c r="BC731" s="58"/>
    </row>
    <row r="732" spans="1:55" x14ac:dyDescent="0.25">
      <c r="A732" s="10">
        <f t="shared" si="33"/>
        <v>731</v>
      </c>
      <c r="B732" s="181" t="s">
        <v>7509</v>
      </c>
      <c r="C732" s="592" t="s">
        <v>1407</v>
      </c>
      <c r="D732" s="457">
        <v>400504</v>
      </c>
      <c r="E732" s="181" t="s">
        <v>36</v>
      </c>
      <c r="F732" s="97" t="s">
        <v>7510</v>
      </c>
      <c r="G732" s="139">
        <v>6</v>
      </c>
      <c r="H732" s="458">
        <v>0.375</v>
      </c>
      <c r="I732" s="458">
        <v>0.45833333333333331</v>
      </c>
      <c r="J732" s="458">
        <f>I732-H732</f>
        <v>8.3333333333333315E-2</v>
      </c>
      <c r="K732" s="58" t="s">
        <v>341</v>
      </c>
      <c r="L732" s="97" t="s">
        <v>1376</v>
      </c>
      <c r="M732" s="97" t="s">
        <v>1376</v>
      </c>
      <c r="N732" s="58" t="s">
        <v>1393</v>
      </c>
      <c r="O732" s="58" t="s">
        <v>3290</v>
      </c>
      <c r="P732" s="206">
        <v>44733</v>
      </c>
      <c r="Q732" s="460">
        <v>44733</v>
      </c>
      <c r="R732" s="460">
        <v>45463</v>
      </c>
      <c r="S732" s="461">
        <v>45464</v>
      </c>
      <c r="T732" s="139">
        <v>2015</v>
      </c>
      <c r="U732" s="139" t="s">
        <v>7338</v>
      </c>
      <c r="V732" s="139" t="s">
        <v>30</v>
      </c>
      <c r="W732" s="139" t="s">
        <v>30</v>
      </c>
      <c r="X732" s="139" t="s">
        <v>30</v>
      </c>
      <c r="Y732" s="462" t="s">
        <v>226</v>
      </c>
      <c r="Z732" s="140" t="s">
        <v>7511</v>
      </c>
      <c r="AA732" s="140" t="s">
        <v>1841</v>
      </c>
      <c r="AB732" s="460">
        <v>44142</v>
      </c>
      <c r="AC732" s="460">
        <v>45967</v>
      </c>
      <c r="AD732" s="139">
        <v>9959431212</v>
      </c>
      <c r="AE732" s="467" t="s">
        <v>7512</v>
      </c>
      <c r="AF732" s="139" t="s">
        <v>1345</v>
      </c>
      <c r="AG732" s="463">
        <v>571016310004744</v>
      </c>
      <c r="AH732" s="139" t="s">
        <v>7513</v>
      </c>
      <c r="AI732" s="139" t="s">
        <v>7514</v>
      </c>
      <c r="AJ732" s="464">
        <v>560263133243</v>
      </c>
      <c r="AK732" s="140" t="s">
        <v>7515</v>
      </c>
      <c r="AL732" s="206" t="s">
        <v>30</v>
      </c>
      <c r="AM732" s="477" t="s">
        <v>30</v>
      </c>
      <c r="AN732" s="490"/>
      <c r="AO732" s="140"/>
      <c r="AP732" s="139"/>
      <c r="AQ732" s="139"/>
      <c r="AR732" s="181"/>
      <c r="AS732" s="458"/>
      <c r="AT732" s="458"/>
      <c r="AU732" s="461">
        <v>32823</v>
      </c>
      <c r="AV732" s="181" t="s">
        <v>1352</v>
      </c>
      <c r="AW732" s="31" t="s">
        <v>32</v>
      </c>
      <c r="AX732" s="139">
        <v>2</v>
      </c>
      <c r="AY732" s="14" t="s">
        <v>1881</v>
      </c>
      <c r="AZ732" s="58" t="s">
        <v>1390</v>
      </c>
      <c r="BA732" s="58" t="s">
        <v>151</v>
      </c>
      <c r="BB732" s="58" t="s">
        <v>1407</v>
      </c>
      <c r="BC732" s="58"/>
    </row>
    <row r="733" spans="1:55" x14ac:dyDescent="0.25">
      <c r="A733" s="10">
        <f t="shared" si="33"/>
        <v>732</v>
      </c>
      <c r="B733" s="181" t="s">
        <v>7516</v>
      </c>
      <c r="C733" s="592" t="s">
        <v>1407</v>
      </c>
      <c r="D733" s="457">
        <v>400505</v>
      </c>
      <c r="E733" s="181" t="s">
        <v>36</v>
      </c>
      <c r="F733" s="97" t="s">
        <v>7517</v>
      </c>
      <c r="G733" s="139">
        <v>6</v>
      </c>
      <c r="H733" s="458">
        <v>0.41666666666666669</v>
      </c>
      <c r="I733" s="458">
        <v>0.45833333333333331</v>
      </c>
      <c r="J733" s="458">
        <v>4.1666666666666664E-2</v>
      </c>
      <c r="K733" s="100" t="s">
        <v>680</v>
      </c>
      <c r="L733" s="97" t="s">
        <v>1376</v>
      </c>
      <c r="M733" s="97" t="s">
        <v>1376</v>
      </c>
      <c r="N733" s="58" t="s">
        <v>1393</v>
      </c>
      <c r="O733" s="58" t="s">
        <v>3290</v>
      </c>
      <c r="P733" s="206">
        <v>44735</v>
      </c>
      <c r="Q733" s="460">
        <v>44735</v>
      </c>
      <c r="R733" s="460">
        <f>Q733+730</f>
        <v>45465</v>
      </c>
      <c r="S733" s="461">
        <f>R733+1</f>
        <v>45466</v>
      </c>
      <c r="T733" s="139">
        <v>2018</v>
      </c>
      <c r="U733" s="139" t="s">
        <v>7518</v>
      </c>
      <c r="V733" s="139" t="s">
        <v>30</v>
      </c>
      <c r="W733" s="139" t="s">
        <v>30</v>
      </c>
      <c r="X733" s="139" t="s">
        <v>30</v>
      </c>
      <c r="Y733" s="462" t="s">
        <v>226</v>
      </c>
      <c r="Z733" s="140" t="s">
        <v>7519</v>
      </c>
      <c r="AA733" s="140" t="s">
        <v>1841</v>
      </c>
      <c r="AB733" s="460">
        <v>43871</v>
      </c>
      <c r="AC733" s="460">
        <v>45698</v>
      </c>
      <c r="AD733" s="139">
        <v>7330877113</v>
      </c>
      <c r="AE733" s="467" t="s">
        <v>7520</v>
      </c>
      <c r="AF733" s="139" t="s">
        <v>1495</v>
      </c>
      <c r="AG733" s="463">
        <v>20102473326</v>
      </c>
      <c r="AH733" s="139" t="s">
        <v>6745</v>
      </c>
      <c r="AI733" s="139" t="s">
        <v>7521</v>
      </c>
      <c r="AJ733" s="464">
        <v>522310716326</v>
      </c>
      <c r="AK733" s="140" t="s">
        <v>7522</v>
      </c>
      <c r="AL733" s="206"/>
      <c r="AM733" s="477"/>
      <c r="AN733" s="465"/>
      <c r="AO733" s="140"/>
      <c r="AP733" s="139"/>
      <c r="AQ733" s="139"/>
      <c r="AR733" s="181"/>
      <c r="AS733" s="458"/>
      <c r="AT733" s="458"/>
      <c r="AU733" s="461">
        <v>34502</v>
      </c>
      <c r="AV733" s="181" t="s">
        <v>1389</v>
      </c>
      <c r="AW733" s="31" t="s">
        <v>32</v>
      </c>
      <c r="AX733" s="139">
        <v>1</v>
      </c>
      <c r="AY733" s="58" t="s">
        <v>2189</v>
      </c>
      <c r="AZ733" s="58" t="s">
        <v>1390</v>
      </c>
      <c r="BA733" s="58" t="s">
        <v>151</v>
      </c>
      <c r="BB733" s="58" t="s">
        <v>1407</v>
      </c>
      <c r="BC733" s="58"/>
    </row>
    <row r="734" spans="1:55" x14ac:dyDescent="0.25">
      <c r="A734" s="10">
        <f t="shared" si="33"/>
        <v>733</v>
      </c>
      <c r="B734" s="181" t="s">
        <v>7523</v>
      </c>
      <c r="C734" s="592" t="s">
        <v>1407</v>
      </c>
      <c r="D734" s="457">
        <v>400506</v>
      </c>
      <c r="E734" s="181" t="s">
        <v>36</v>
      </c>
      <c r="F734" s="97" t="s">
        <v>7524</v>
      </c>
      <c r="G734" s="139">
        <v>6</v>
      </c>
      <c r="H734" s="458">
        <v>0.33333333333333331</v>
      </c>
      <c r="I734" s="458">
        <v>0.375</v>
      </c>
      <c r="J734" s="458">
        <v>4.1666666666666664E-2</v>
      </c>
      <c r="K734" s="100" t="s">
        <v>669</v>
      </c>
      <c r="L734" s="97" t="s">
        <v>1376</v>
      </c>
      <c r="M734" s="97" t="s">
        <v>1376</v>
      </c>
      <c r="N734" s="58" t="s">
        <v>1393</v>
      </c>
      <c r="O734" s="58" t="s">
        <v>3290</v>
      </c>
      <c r="P734" s="206">
        <v>44739</v>
      </c>
      <c r="Q734" s="460">
        <v>44739</v>
      </c>
      <c r="R734" s="460">
        <v>45469</v>
      </c>
      <c r="S734" s="461">
        <v>45470</v>
      </c>
      <c r="T734" s="139">
        <v>2016</v>
      </c>
      <c r="U734" s="139" t="s">
        <v>7525</v>
      </c>
      <c r="V734" s="139" t="s">
        <v>30</v>
      </c>
      <c r="W734" s="139" t="s">
        <v>30</v>
      </c>
      <c r="X734" s="139" t="s">
        <v>30</v>
      </c>
      <c r="Y734" s="462" t="s">
        <v>226</v>
      </c>
      <c r="Z734" s="140" t="s">
        <v>7526</v>
      </c>
      <c r="AA734" s="140" t="s">
        <v>1841</v>
      </c>
      <c r="AB734" s="460">
        <v>44832</v>
      </c>
      <c r="AC734" s="460">
        <v>46657</v>
      </c>
      <c r="AD734" s="139">
        <v>9663210666</v>
      </c>
      <c r="AE734" s="467" t="s">
        <v>7527</v>
      </c>
      <c r="AF734" s="139" t="s">
        <v>1430</v>
      </c>
      <c r="AG734" s="463">
        <v>50100329254270</v>
      </c>
      <c r="AH734" s="139" t="s">
        <v>7528</v>
      </c>
      <c r="AI734" s="139" t="s">
        <v>7529</v>
      </c>
      <c r="AJ734" s="464">
        <v>748081861277</v>
      </c>
      <c r="AK734" s="140" t="s">
        <v>7530</v>
      </c>
      <c r="AL734" s="206" t="s">
        <v>30</v>
      </c>
      <c r="AM734" s="477" t="s">
        <v>30</v>
      </c>
      <c r="AN734" s="490"/>
      <c r="AO734" s="140"/>
      <c r="AP734" s="139"/>
      <c r="AQ734" s="139"/>
      <c r="AR734" s="181"/>
      <c r="AS734" s="458"/>
      <c r="AT734" s="458"/>
      <c r="AU734" s="461">
        <v>33569</v>
      </c>
      <c r="AV734" s="181" t="s">
        <v>1352</v>
      </c>
      <c r="AW734" s="31" t="s">
        <v>32</v>
      </c>
      <c r="AX734" s="139">
        <v>1</v>
      </c>
      <c r="AY734" s="58" t="s">
        <v>2469</v>
      </c>
      <c r="AZ734" s="58" t="s">
        <v>1390</v>
      </c>
      <c r="BA734" s="58" t="s">
        <v>151</v>
      </c>
      <c r="BB734" s="58" t="s">
        <v>1407</v>
      </c>
      <c r="BC734" s="58"/>
    </row>
    <row r="735" spans="1:55" x14ac:dyDescent="0.25">
      <c r="A735" s="10">
        <f t="shared" si="33"/>
        <v>734</v>
      </c>
      <c r="B735" s="181" t="s">
        <v>7531</v>
      </c>
      <c r="C735" s="592" t="s">
        <v>1407</v>
      </c>
      <c r="D735" s="457">
        <v>400507</v>
      </c>
      <c r="E735" s="181" t="s">
        <v>36</v>
      </c>
      <c r="F735" s="97" t="s">
        <v>7532</v>
      </c>
      <c r="G735" s="139">
        <v>6</v>
      </c>
      <c r="H735" s="458">
        <v>0.375</v>
      </c>
      <c r="I735" s="458">
        <v>0.58333333333333337</v>
      </c>
      <c r="J735" s="458">
        <f>I735-H735</f>
        <v>0.20833333333333337</v>
      </c>
      <c r="K735" s="100" t="s">
        <v>275</v>
      </c>
      <c r="L735" s="97" t="s">
        <v>7533</v>
      </c>
      <c r="M735" s="97" t="s">
        <v>26</v>
      </c>
      <c r="N735" s="58" t="s">
        <v>38</v>
      </c>
      <c r="O735" s="58" t="s">
        <v>5076</v>
      </c>
      <c r="P735" s="206">
        <v>44739</v>
      </c>
      <c r="Q735" s="460">
        <v>44739</v>
      </c>
      <c r="R735" s="460">
        <v>45469</v>
      </c>
      <c r="S735" s="461">
        <v>45470</v>
      </c>
      <c r="T735" s="139">
        <v>2009</v>
      </c>
      <c r="U735" s="139" t="s">
        <v>7534</v>
      </c>
      <c r="V735" s="139">
        <v>2013</v>
      </c>
      <c r="W735" s="139" t="s">
        <v>7535</v>
      </c>
      <c r="X735" s="139" t="s">
        <v>7536</v>
      </c>
      <c r="Y735" s="462" t="s">
        <v>7537</v>
      </c>
      <c r="Z735" s="140">
        <v>69493</v>
      </c>
      <c r="AA735" s="140" t="s">
        <v>1841</v>
      </c>
      <c r="AB735" s="460">
        <v>43497</v>
      </c>
      <c r="AC735" s="460">
        <v>45322</v>
      </c>
      <c r="AD735" s="139">
        <v>6309345659</v>
      </c>
      <c r="AE735" s="467" t="s">
        <v>7538</v>
      </c>
      <c r="AF735" s="139" t="s">
        <v>1430</v>
      </c>
      <c r="AG735" s="463" t="s">
        <v>7539</v>
      </c>
      <c r="AH735" s="139" t="s">
        <v>7540</v>
      </c>
      <c r="AI735" s="139" t="s">
        <v>7541</v>
      </c>
      <c r="AJ735" s="464">
        <v>914719898201</v>
      </c>
      <c r="AK735" s="140" t="s">
        <v>7542</v>
      </c>
      <c r="AL735" s="461" t="s">
        <v>30</v>
      </c>
      <c r="AM735" s="477" t="s">
        <v>30</v>
      </c>
      <c r="AN735" s="490"/>
      <c r="AO735" s="140"/>
      <c r="AP735" s="139"/>
      <c r="AQ735" s="139"/>
      <c r="AR735" s="181"/>
      <c r="AS735" s="458"/>
      <c r="AT735" s="458"/>
      <c r="AU735" s="461">
        <v>31560</v>
      </c>
      <c r="AV735" s="181" t="s">
        <v>1389</v>
      </c>
      <c r="AW735" s="31" t="s">
        <v>32</v>
      </c>
      <c r="AX735" s="139">
        <v>5</v>
      </c>
      <c r="AY735" s="58" t="s">
        <v>1959</v>
      </c>
      <c r="AZ735" s="58" t="s">
        <v>26</v>
      </c>
      <c r="BA735" s="58" t="s">
        <v>151</v>
      </c>
      <c r="BB735" s="58" t="s">
        <v>1407</v>
      </c>
      <c r="BC735" s="58"/>
    </row>
    <row r="736" spans="1:55" x14ac:dyDescent="0.25">
      <c r="A736" s="10">
        <f t="shared" si="33"/>
        <v>735</v>
      </c>
      <c r="B736" s="181" t="s">
        <v>7543</v>
      </c>
      <c r="C736" s="592" t="s">
        <v>1407</v>
      </c>
      <c r="D736" s="457">
        <v>400508</v>
      </c>
      <c r="E736" s="181" t="s">
        <v>36</v>
      </c>
      <c r="F736" s="97" t="s">
        <v>7544</v>
      </c>
      <c r="G736" s="139">
        <v>6</v>
      </c>
      <c r="H736" s="458">
        <v>0.375</v>
      </c>
      <c r="I736" s="458">
        <v>0.70833333333333337</v>
      </c>
      <c r="J736" s="458">
        <f>I736-H736</f>
        <v>0.33333333333333337</v>
      </c>
      <c r="K736" s="462" t="s">
        <v>6991</v>
      </c>
      <c r="L736" s="97" t="s">
        <v>7545</v>
      </c>
      <c r="M736" s="97" t="s">
        <v>26</v>
      </c>
      <c r="N736" s="58" t="s">
        <v>38</v>
      </c>
      <c r="O736" s="58" t="s">
        <v>7546</v>
      </c>
      <c r="P736" s="206">
        <v>44743</v>
      </c>
      <c r="Q736" s="460">
        <v>44743</v>
      </c>
      <c r="R736" s="460">
        <f>Q736+730</f>
        <v>45473</v>
      </c>
      <c r="S736" s="461">
        <f>R736+1</f>
        <v>45474</v>
      </c>
      <c r="T736" s="139">
        <v>2012</v>
      </c>
      <c r="U736" s="139" t="s">
        <v>7338</v>
      </c>
      <c r="V736" s="139">
        <v>2017</v>
      </c>
      <c r="W736" s="139" t="s">
        <v>7547</v>
      </c>
      <c r="X736" s="139" t="s">
        <v>30</v>
      </c>
      <c r="Y736" s="462" t="s">
        <v>1255</v>
      </c>
      <c r="Z736" s="140" t="s">
        <v>7548</v>
      </c>
      <c r="AA736" s="140" t="s">
        <v>1841</v>
      </c>
      <c r="AB736" s="460">
        <v>43211</v>
      </c>
      <c r="AC736" s="460">
        <v>45036</v>
      </c>
      <c r="AD736" s="139">
        <v>9966769088</v>
      </c>
      <c r="AE736" s="467" t="s">
        <v>7549</v>
      </c>
      <c r="AF736" s="139" t="s">
        <v>1364</v>
      </c>
      <c r="AG736" s="463" t="s">
        <v>7550</v>
      </c>
      <c r="AH736" s="139" t="s">
        <v>5507</v>
      </c>
      <c r="AI736" s="139" t="s">
        <v>7551</v>
      </c>
      <c r="AJ736" s="475" t="s">
        <v>7552</v>
      </c>
      <c r="AK736" s="140" t="s">
        <v>7553</v>
      </c>
      <c r="AL736" s="461">
        <v>44941</v>
      </c>
      <c r="AM736" s="477">
        <v>44881</v>
      </c>
      <c r="AN736" s="465"/>
      <c r="AO736" s="140"/>
      <c r="AP736" s="139"/>
      <c r="AQ736" s="139" t="e">
        <f>DATEDIF(P736,#REF!,"Y")&amp;"."&amp;DATEDIF(P736,#REF!,"ym")</f>
        <v>#REF!</v>
      </c>
      <c r="AR736" s="181"/>
      <c r="AS736" s="458"/>
      <c r="AT736" s="458"/>
      <c r="AU736" s="461">
        <v>32715</v>
      </c>
      <c r="AV736" s="181" t="s">
        <v>1352</v>
      </c>
      <c r="AW736" s="31" t="s">
        <v>68</v>
      </c>
      <c r="AX736" s="139">
        <v>8</v>
      </c>
      <c r="AY736" s="58" t="s">
        <v>2006</v>
      </c>
      <c r="AZ736" s="58" t="s">
        <v>26</v>
      </c>
      <c r="BA736" s="58" t="s">
        <v>151</v>
      </c>
      <c r="BB736" s="58" t="s">
        <v>1407</v>
      </c>
      <c r="BC736" s="58"/>
    </row>
    <row r="737" spans="1:55" x14ac:dyDescent="0.25">
      <c r="A737" s="10">
        <f t="shared" si="33"/>
        <v>736</v>
      </c>
      <c r="B737" s="181" t="s">
        <v>7554</v>
      </c>
      <c r="C737" s="592" t="s">
        <v>1407</v>
      </c>
      <c r="D737" s="457">
        <v>400509</v>
      </c>
      <c r="E737" s="181" t="s">
        <v>36</v>
      </c>
      <c r="F737" s="97" t="s">
        <v>7555</v>
      </c>
      <c r="G737" s="139">
        <v>6</v>
      </c>
      <c r="H737" s="458">
        <v>0.75</v>
      </c>
      <c r="I737" s="458">
        <v>0.83333333333333337</v>
      </c>
      <c r="J737" s="458">
        <f>I737-H737</f>
        <v>8.333333333333337E-2</v>
      </c>
      <c r="K737" s="143" t="s">
        <v>538</v>
      </c>
      <c r="L737" s="97" t="s">
        <v>7556</v>
      </c>
      <c r="M737" s="97" t="s">
        <v>26</v>
      </c>
      <c r="N737" s="58" t="s">
        <v>38</v>
      </c>
      <c r="O737" s="58" t="s">
        <v>5076</v>
      </c>
      <c r="P737" s="206">
        <v>44743</v>
      </c>
      <c r="Q737" s="460">
        <v>44743</v>
      </c>
      <c r="R737" s="460">
        <v>45473</v>
      </c>
      <c r="S737" s="461">
        <v>45474</v>
      </c>
      <c r="T737" s="139">
        <v>2006</v>
      </c>
      <c r="U737" s="139" t="s">
        <v>7557</v>
      </c>
      <c r="V737" s="139">
        <v>2013</v>
      </c>
      <c r="W737" s="139" t="s">
        <v>7558</v>
      </c>
      <c r="X737" s="139" t="s">
        <v>30</v>
      </c>
      <c r="Y737" s="462" t="s">
        <v>5141</v>
      </c>
      <c r="Z737" s="140">
        <v>57013</v>
      </c>
      <c r="AA737" s="140" t="s">
        <v>1841</v>
      </c>
      <c r="AB737" s="460">
        <v>44037</v>
      </c>
      <c r="AC737" s="460">
        <v>45862</v>
      </c>
      <c r="AD737" s="139">
        <v>9502784500</v>
      </c>
      <c r="AE737" s="467" t="s">
        <v>7559</v>
      </c>
      <c r="AF737" s="139" t="s">
        <v>2284</v>
      </c>
      <c r="AG737" s="463" t="s">
        <v>7560</v>
      </c>
      <c r="AH737" s="139" t="s">
        <v>7561</v>
      </c>
      <c r="AI737" s="139" t="s">
        <v>7562</v>
      </c>
      <c r="AJ737" s="464">
        <v>473965430651</v>
      </c>
      <c r="AK737" s="140" t="s">
        <v>7563</v>
      </c>
      <c r="AL737" s="461"/>
      <c r="AM737" s="477"/>
      <c r="AN737" s="465"/>
      <c r="AO737" s="140"/>
      <c r="AP737" s="139"/>
      <c r="AQ737" s="139"/>
      <c r="AR737" s="181"/>
      <c r="AS737" s="458"/>
      <c r="AT737" s="458"/>
      <c r="AU737" s="461">
        <v>29943</v>
      </c>
      <c r="AV737" s="181" t="s">
        <v>1389</v>
      </c>
      <c r="AW737" s="31" t="s">
        <v>32</v>
      </c>
      <c r="AX737" s="139">
        <v>2</v>
      </c>
      <c r="AY737" s="466">
        <f>VLOOKUP(K737,[3]Master!M714:BA1097,40,0)</f>
        <v>2</v>
      </c>
      <c r="AZ737" s="58" t="s">
        <v>26</v>
      </c>
      <c r="BA737" s="58" t="s">
        <v>151</v>
      </c>
      <c r="BB737" s="58" t="s">
        <v>1407</v>
      </c>
      <c r="BC737" s="58"/>
    </row>
    <row r="738" spans="1:55" x14ac:dyDescent="0.25">
      <c r="A738" s="10">
        <f t="shared" si="33"/>
        <v>737</v>
      </c>
      <c r="B738" s="181"/>
      <c r="C738" s="592" t="s">
        <v>1407</v>
      </c>
      <c r="D738" s="457">
        <v>400510</v>
      </c>
      <c r="E738" s="181" t="s">
        <v>36</v>
      </c>
      <c r="F738" s="97" t="s">
        <v>7564</v>
      </c>
      <c r="G738" s="139">
        <v>6</v>
      </c>
      <c r="H738" s="458">
        <v>0.75</v>
      </c>
      <c r="I738" s="458">
        <v>0.875</v>
      </c>
      <c r="J738" s="458">
        <v>0.125</v>
      </c>
      <c r="K738" s="100" t="s">
        <v>563</v>
      </c>
      <c r="L738" s="97" t="s">
        <v>7565</v>
      </c>
      <c r="M738" s="97" t="s">
        <v>26</v>
      </c>
      <c r="N738" s="58" t="s">
        <v>38</v>
      </c>
      <c r="O738" s="58" t="s">
        <v>7546</v>
      </c>
      <c r="P738" s="206">
        <v>44743</v>
      </c>
      <c r="Q738" s="460">
        <v>44743</v>
      </c>
      <c r="R738" s="460">
        <f>Q738+730</f>
        <v>45473</v>
      </c>
      <c r="S738" s="461"/>
      <c r="T738" s="139">
        <v>2007</v>
      </c>
      <c r="U738" s="139" t="s">
        <v>7566</v>
      </c>
      <c r="V738" s="139">
        <v>2016</v>
      </c>
      <c r="W738" s="139" t="s">
        <v>362</v>
      </c>
      <c r="X738" s="139" t="s">
        <v>30</v>
      </c>
      <c r="Y738" s="462" t="s">
        <v>5141</v>
      </c>
      <c r="Z738" s="140"/>
      <c r="AA738" s="140" t="s">
        <v>1886</v>
      </c>
      <c r="AB738" s="460"/>
      <c r="AC738" s="460"/>
      <c r="AD738" s="139">
        <v>9491848996</v>
      </c>
      <c r="AE738" s="467" t="s">
        <v>7567</v>
      </c>
      <c r="AF738" s="139"/>
      <c r="AG738" s="463"/>
      <c r="AH738" s="139"/>
      <c r="AI738" s="139"/>
      <c r="AJ738" s="464"/>
      <c r="AK738" s="140"/>
      <c r="AL738" s="461"/>
      <c r="AM738" s="477"/>
      <c r="AN738" s="465"/>
      <c r="AO738" s="140"/>
      <c r="AP738" s="139"/>
      <c r="AQ738" s="139"/>
      <c r="AR738" s="181"/>
      <c r="AS738" s="458"/>
      <c r="AT738" s="458"/>
      <c r="AU738" s="461"/>
      <c r="AV738" s="181" t="s">
        <v>1352</v>
      </c>
      <c r="AW738" s="31" t="s">
        <v>32</v>
      </c>
      <c r="AX738" s="139">
        <v>3</v>
      </c>
      <c r="AY738" s="58" t="s">
        <v>1895</v>
      </c>
      <c r="AZ738" s="58" t="s">
        <v>26</v>
      </c>
      <c r="BA738" s="58" t="s">
        <v>151</v>
      </c>
      <c r="BB738" s="58" t="s">
        <v>1407</v>
      </c>
      <c r="BC738" s="58"/>
    </row>
    <row r="739" spans="1:55" x14ac:dyDescent="0.25">
      <c r="A739" s="10">
        <f t="shared" si="33"/>
        <v>738</v>
      </c>
      <c r="B739" s="181" t="s">
        <v>5976</v>
      </c>
      <c r="C739" s="592" t="s">
        <v>1407</v>
      </c>
      <c r="D739" s="457">
        <v>400511</v>
      </c>
      <c r="E739" s="181" t="s">
        <v>36</v>
      </c>
      <c r="F739" s="97" t="s">
        <v>7568</v>
      </c>
      <c r="G739" s="139">
        <v>6</v>
      </c>
      <c r="H739" s="458">
        <v>0.375</v>
      </c>
      <c r="I739" s="458">
        <v>0.54166666666666663</v>
      </c>
      <c r="J739" s="458">
        <f>I739-H739</f>
        <v>0.16666666666666663</v>
      </c>
      <c r="K739" s="462" t="s">
        <v>557</v>
      </c>
      <c r="L739" s="97" t="s">
        <v>7565</v>
      </c>
      <c r="M739" s="97" t="s">
        <v>26</v>
      </c>
      <c r="N739" s="58" t="s">
        <v>38</v>
      </c>
      <c r="O739" s="58" t="s">
        <v>7546</v>
      </c>
      <c r="P739" s="206">
        <v>44743</v>
      </c>
      <c r="Q739" s="460">
        <v>44743</v>
      </c>
      <c r="R739" s="460">
        <f>Q739+730</f>
        <v>45473</v>
      </c>
      <c r="S739" s="461">
        <f>R739+1</f>
        <v>45474</v>
      </c>
      <c r="T739" s="139">
        <v>2013</v>
      </c>
      <c r="U739" s="139" t="s">
        <v>5978</v>
      </c>
      <c r="V739" s="139">
        <v>2019</v>
      </c>
      <c r="W739" s="139" t="s">
        <v>7569</v>
      </c>
      <c r="X739" s="139" t="s">
        <v>30</v>
      </c>
      <c r="Y739" s="462" t="s">
        <v>1255</v>
      </c>
      <c r="Z739" s="140"/>
      <c r="AA739" s="140" t="s">
        <v>1841</v>
      </c>
      <c r="AB739" s="460">
        <v>44198</v>
      </c>
      <c r="AC739" s="460">
        <v>46023</v>
      </c>
      <c r="AD739" s="139">
        <v>9390516945</v>
      </c>
      <c r="AE739" s="467" t="s">
        <v>5981</v>
      </c>
      <c r="AF739" s="139" t="s">
        <v>5982</v>
      </c>
      <c r="AG739" s="491" t="s">
        <v>5983</v>
      </c>
      <c r="AH739" s="139" t="s">
        <v>5984</v>
      </c>
      <c r="AI739" s="139" t="s">
        <v>5985</v>
      </c>
      <c r="AJ739" s="475" t="s">
        <v>7570</v>
      </c>
      <c r="AK739" s="140" t="s">
        <v>7571</v>
      </c>
      <c r="AL739" s="461"/>
      <c r="AM739" s="477"/>
      <c r="AN739" s="465"/>
      <c r="AO739" s="140"/>
      <c r="AP739" s="139"/>
      <c r="AQ739" s="139" t="e">
        <v>#REF!</v>
      </c>
      <c r="AR739" s="181"/>
      <c r="AS739" s="458"/>
      <c r="AT739" s="458"/>
      <c r="AU739" s="461">
        <v>32734</v>
      </c>
      <c r="AV739" s="181" t="s">
        <v>1389</v>
      </c>
      <c r="AW739" s="31" t="s">
        <v>32</v>
      </c>
      <c r="AX739" s="139">
        <v>4</v>
      </c>
      <c r="AY739" s="58" t="s">
        <v>1959</v>
      </c>
      <c r="AZ739" s="58" t="s">
        <v>26</v>
      </c>
      <c r="BA739" s="58" t="s">
        <v>151</v>
      </c>
      <c r="BB739" s="58" t="s">
        <v>1407</v>
      </c>
      <c r="BC739" s="58"/>
    </row>
    <row r="740" spans="1:55" x14ac:dyDescent="0.25">
      <c r="A740" s="10">
        <f t="shared" si="33"/>
        <v>739</v>
      </c>
      <c r="B740" s="181" t="s">
        <v>7572</v>
      </c>
      <c r="C740" s="592" t="s">
        <v>1407</v>
      </c>
      <c r="D740" s="457">
        <v>400512</v>
      </c>
      <c r="E740" s="181" t="s">
        <v>36</v>
      </c>
      <c r="F740" s="97" t="s">
        <v>7573</v>
      </c>
      <c r="G740" s="139">
        <v>6</v>
      </c>
      <c r="H740" s="458">
        <v>0.375</v>
      </c>
      <c r="I740" s="458">
        <v>0.70833333333333337</v>
      </c>
      <c r="J740" s="458">
        <f>I740-H740</f>
        <v>0.33333333333333337</v>
      </c>
      <c r="K740" s="462" t="s">
        <v>411</v>
      </c>
      <c r="L740" s="97" t="s">
        <v>7574</v>
      </c>
      <c r="M740" s="97" t="s">
        <v>26</v>
      </c>
      <c r="N740" s="58" t="s">
        <v>38</v>
      </c>
      <c r="O740" s="58" t="s">
        <v>5076</v>
      </c>
      <c r="P740" s="206">
        <v>44746</v>
      </c>
      <c r="Q740" s="460">
        <v>44746</v>
      </c>
      <c r="R740" s="460">
        <v>45476</v>
      </c>
      <c r="S740" s="461">
        <v>45477</v>
      </c>
      <c r="T740" s="139">
        <v>2017</v>
      </c>
      <c r="U740" s="139" t="s">
        <v>7575</v>
      </c>
      <c r="V740" s="139">
        <v>2020</v>
      </c>
      <c r="W740" s="139" t="s">
        <v>4946</v>
      </c>
      <c r="X740" s="139" t="s">
        <v>30</v>
      </c>
      <c r="Y740" s="462" t="s">
        <v>1255</v>
      </c>
      <c r="Z740" s="140"/>
      <c r="AA740" s="140" t="s">
        <v>1886</v>
      </c>
      <c r="AB740" s="460">
        <v>44112</v>
      </c>
      <c r="AC740" s="460">
        <v>45938</v>
      </c>
      <c r="AD740" s="139">
        <v>9989237125</v>
      </c>
      <c r="AE740" s="467" t="s">
        <v>7576</v>
      </c>
      <c r="AF740" s="139" t="s">
        <v>1430</v>
      </c>
      <c r="AG740" s="463" t="s">
        <v>7577</v>
      </c>
      <c r="AH740" s="139" t="s">
        <v>7578</v>
      </c>
      <c r="AI740" s="139" t="s">
        <v>7579</v>
      </c>
      <c r="AJ740" s="464">
        <v>501473161991</v>
      </c>
      <c r="AK740" s="140" t="s">
        <v>7580</v>
      </c>
      <c r="AL740" s="461"/>
      <c r="AM740" s="477"/>
      <c r="AN740" s="465"/>
      <c r="AO740" s="140"/>
      <c r="AP740" s="139"/>
      <c r="AQ740" s="139"/>
      <c r="AR740" s="181"/>
      <c r="AS740" s="458"/>
      <c r="AT740" s="458"/>
      <c r="AU740" s="461">
        <v>34291</v>
      </c>
      <c r="AV740" s="181" t="s">
        <v>1389</v>
      </c>
      <c r="AW740" s="31" t="s">
        <v>68</v>
      </c>
      <c r="AX740" s="139">
        <v>8</v>
      </c>
      <c r="AY740" s="58" t="s">
        <v>1920</v>
      </c>
      <c r="AZ740" s="58" t="s">
        <v>26</v>
      </c>
      <c r="BA740" s="58" t="s">
        <v>151</v>
      </c>
      <c r="BB740" s="58" t="s">
        <v>1407</v>
      </c>
      <c r="BC740" s="58"/>
    </row>
    <row r="741" spans="1:55" x14ac:dyDescent="0.25">
      <c r="A741" s="10">
        <f t="shared" si="33"/>
        <v>740</v>
      </c>
      <c r="B741" s="181" t="s">
        <v>7581</v>
      </c>
      <c r="C741" s="592" t="s">
        <v>1407</v>
      </c>
      <c r="D741" s="457">
        <v>400513</v>
      </c>
      <c r="E741" s="181" t="s">
        <v>7582</v>
      </c>
      <c r="F741" s="97" t="s">
        <v>7583</v>
      </c>
      <c r="G741" s="139">
        <v>6</v>
      </c>
      <c r="H741" s="458">
        <v>0.375</v>
      </c>
      <c r="I741" s="458">
        <v>0.875</v>
      </c>
      <c r="J741" s="141">
        <v>0.33333333333333331</v>
      </c>
      <c r="K741" s="100" t="s">
        <v>348</v>
      </c>
      <c r="L741" s="97" t="s">
        <v>2015</v>
      </c>
      <c r="M741" s="63" t="s">
        <v>1355</v>
      </c>
      <c r="N741" s="100" t="s">
        <v>1520</v>
      </c>
      <c r="O741" s="58" t="s">
        <v>5168</v>
      </c>
      <c r="P741" s="206">
        <v>44748</v>
      </c>
      <c r="Q741" s="460">
        <v>44748</v>
      </c>
      <c r="R741" s="460">
        <f>Q741+730</f>
        <v>45478</v>
      </c>
      <c r="S741" s="461">
        <f>R741+1</f>
        <v>45479</v>
      </c>
      <c r="T741" s="139">
        <v>2014</v>
      </c>
      <c r="U741" s="139" t="s">
        <v>7584</v>
      </c>
      <c r="V741" s="139">
        <v>2020</v>
      </c>
      <c r="W741" s="139" t="s">
        <v>7228</v>
      </c>
      <c r="X741" s="139" t="s">
        <v>30</v>
      </c>
      <c r="Y741" s="462" t="s">
        <v>1360</v>
      </c>
      <c r="Z741" s="140"/>
      <c r="AA741" s="140" t="s">
        <v>1841</v>
      </c>
      <c r="AB741" s="460">
        <v>44658</v>
      </c>
      <c r="AC741" s="460">
        <v>46483</v>
      </c>
      <c r="AD741" s="139" t="s">
        <v>7585</v>
      </c>
      <c r="AE741" s="467" t="s">
        <v>7586</v>
      </c>
      <c r="AF741" s="139" t="s">
        <v>1495</v>
      </c>
      <c r="AG741" s="463">
        <v>20046667563</v>
      </c>
      <c r="AH741" s="139" t="s">
        <v>7587</v>
      </c>
      <c r="AI741" s="139" t="s">
        <v>7588</v>
      </c>
      <c r="AJ741" s="464">
        <v>267213717269</v>
      </c>
      <c r="AK741" s="140" t="s">
        <v>7589</v>
      </c>
      <c r="AL741" s="206">
        <v>45006</v>
      </c>
      <c r="AM741" s="477">
        <v>44946</v>
      </c>
      <c r="AN741" s="465"/>
      <c r="AO741" s="140"/>
      <c r="AP741" s="139"/>
      <c r="AQ741" s="139"/>
      <c r="AR741" s="181"/>
      <c r="AS741" s="458"/>
      <c r="AT741" s="458"/>
      <c r="AU741" s="461">
        <v>30128</v>
      </c>
      <c r="AV741" s="181" t="s">
        <v>1352</v>
      </c>
      <c r="AW741" s="31" t="s">
        <v>68</v>
      </c>
      <c r="AX741" s="139">
        <v>8</v>
      </c>
      <c r="AY741" s="58" t="s">
        <v>2053</v>
      </c>
      <c r="AZ741" s="58" t="s">
        <v>1373</v>
      </c>
      <c r="BA741" s="58" t="s">
        <v>151</v>
      </c>
      <c r="BB741" s="58" t="s">
        <v>1407</v>
      </c>
      <c r="BC741" s="58"/>
    </row>
    <row r="742" spans="1:55" x14ac:dyDescent="0.25">
      <c r="A742" s="10">
        <f t="shared" si="33"/>
        <v>741</v>
      </c>
      <c r="B742" s="181"/>
      <c r="C742" s="592" t="s">
        <v>1407</v>
      </c>
      <c r="D742" s="457">
        <v>400514</v>
      </c>
      <c r="E742" s="181" t="s">
        <v>36</v>
      </c>
      <c r="F742" s="97" t="s">
        <v>7590</v>
      </c>
      <c r="G742" s="139">
        <v>6</v>
      </c>
      <c r="H742" s="458">
        <v>0.35416666666666669</v>
      </c>
      <c r="I742" s="458">
        <v>0.60416666666666663</v>
      </c>
      <c r="J742" s="458">
        <v>0.25</v>
      </c>
      <c r="K742" s="100" t="s">
        <v>860</v>
      </c>
      <c r="L742" s="97" t="s">
        <v>7591</v>
      </c>
      <c r="M742" s="97" t="s">
        <v>26</v>
      </c>
      <c r="N742" s="58" t="s">
        <v>38</v>
      </c>
      <c r="O742" s="58" t="s">
        <v>7546</v>
      </c>
      <c r="P742" s="206">
        <v>44750</v>
      </c>
      <c r="Q742" s="460">
        <v>44750</v>
      </c>
      <c r="R742" s="460">
        <f>Q742+730</f>
        <v>45480</v>
      </c>
      <c r="S742" s="461"/>
      <c r="T742" s="139">
        <v>2010</v>
      </c>
      <c r="U742" s="139" t="s">
        <v>7592</v>
      </c>
      <c r="V742" s="139">
        <v>2019</v>
      </c>
      <c r="W742" s="139" t="s">
        <v>7593</v>
      </c>
      <c r="X742" s="139" t="s">
        <v>30</v>
      </c>
      <c r="Y742" s="462" t="s">
        <v>1255</v>
      </c>
      <c r="Z742" s="140">
        <v>68775</v>
      </c>
      <c r="AA742" s="140" t="s">
        <v>1841</v>
      </c>
      <c r="AB742" s="460"/>
      <c r="AC742" s="460"/>
      <c r="AD742" s="139">
        <v>9885636907</v>
      </c>
      <c r="AE742" s="467" t="s">
        <v>7594</v>
      </c>
      <c r="AF742" s="139"/>
      <c r="AG742" s="463"/>
      <c r="AH742" s="139"/>
      <c r="AI742" s="139"/>
      <c r="AJ742" s="464"/>
      <c r="AK742" s="140"/>
      <c r="AL742" s="461"/>
      <c r="AM742" s="477"/>
      <c r="AN742" s="465"/>
      <c r="AO742" s="140"/>
      <c r="AP742" s="139"/>
      <c r="AQ742" s="139"/>
      <c r="AR742" s="181"/>
      <c r="AS742" s="458"/>
      <c r="AT742" s="458"/>
      <c r="AU742" s="461"/>
      <c r="AV742" s="181" t="s">
        <v>1352</v>
      </c>
      <c r="AW742" s="31" t="s">
        <v>32</v>
      </c>
      <c r="AX742" s="139">
        <v>6</v>
      </c>
      <c r="AY742" s="58" t="s">
        <v>2469</v>
      </c>
      <c r="AZ742" s="58" t="s">
        <v>26</v>
      </c>
      <c r="BA742" s="58" t="s">
        <v>151</v>
      </c>
      <c r="BB742" s="58" t="s">
        <v>1407</v>
      </c>
      <c r="BC742" s="58"/>
    </row>
    <row r="743" spans="1:55" x14ac:dyDescent="0.25">
      <c r="A743" s="10">
        <f t="shared" si="33"/>
        <v>742</v>
      </c>
      <c r="B743" s="181" t="s">
        <v>7595</v>
      </c>
      <c r="C743" s="592" t="s">
        <v>1407</v>
      </c>
      <c r="D743" s="457">
        <v>400515</v>
      </c>
      <c r="E743" s="181" t="s">
        <v>36</v>
      </c>
      <c r="F743" s="97" t="s">
        <v>7596</v>
      </c>
      <c r="G743" s="139">
        <v>6</v>
      </c>
      <c r="H743" s="458">
        <v>0.33333333333333331</v>
      </c>
      <c r="I743" s="458">
        <v>0.875</v>
      </c>
      <c r="J743" s="458">
        <v>0.33333333333333331</v>
      </c>
      <c r="K743" s="100" t="s">
        <v>563</v>
      </c>
      <c r="L743" s="97" t="s">
        <v>2015</v>
      </c>
      <c r="M743" s="63" t="s">
        <v>1355</v>
      </c>
      <c r="N743" s="100" t="s">
        <v>1520</v>
      </c>
      <c r="O743" s="58" t="s">
        <v>5168</v>
      </c>
      <c r="P743" s="206">
        <v>44754</v>
      </c>
      <c r="Q743" s="460">
        <v>44754</v>
      </c>
      <c r="R743" s="460">
        <v>45484</v>
      </c>
      <c r="S743" s="461">
        <v>45485</v>
      </c>
      <c r="T743" s="139">
        <v>2014</v>
      </c>
      <c r="U743" s="139" t="s">
        <v>7597</v>
      </c>
      <c r="V743" s="139">
        <v>2019</v>
      </c>
      <c r="W743" s="139" t="s">
        <v>7598</v>
      </c>
      <c r="X743" s="139" t="s">
        <v>30</v>
      </c>
      <c r="Y743" s="462" t="s">
        <v>1360</v>
      </c>
      <c r="Z743" s="140"/>
      <c r="AA743" s="140" t="s">
        <v>1886</v>
      </c>
      <c r="AB743" s="460" t="s">
        <v>7599</v>
      </c>
      <c r="AC743" s="460">
        <v>46574</v>
      </c>
      <c r="AD743" s="139">
        <v>8133954262</v>
      </c>
      <c r="AE743" s="467" t="s">
        <v>7600</v>
      </c>
      <c r="AF743" s="139" t="s">
        <v>1430</v>
      </c>
      <c r="AG743" s="463" t="s">
        <v>7601</v>
      </c>
      <c r="AH743" s="139" t="s">
        <v>7602</v>
      </c>
      <c r="AI743" s="139" t="s">
        <v>7603</v>
      </c>
      <c r="AJ743" s="464" t="s">
        <v>7604</v>
      </c>
      <c r="AK743" s="140" t="s">
        <v>7605</v>
      </c>
      <c r="AL743" s="206">
        <v>45138</v>
      </c>
      <c r="AM743" s="477"/>
      <c r="AN743" s="465"/>
      <c r="AO743" s="140"/>
      <c r="AP743" s="139"/>
      <c r="AQ743" s="139" t="e">
        <v>#N/A</v>
      </c>
      <c r="AR743" s="181"/>
      <c r="AS743" s="458"/>
      <c r="AT743" s="458"/>
      <c r="AU743" s="461">
        <v>32616</v>
      </c>
      <c r="AV743" s="181" t="s">
        <v>1389</v>
      </c>
      <c r="AW743" s="31" t="s">
        <v>68</v>
      </c>
      <c r="AX743" s="139">
        <v>8</v>
      </c>
      <c r="AY743" s="58" t="s">
        <v>1895</v>
      </c>
      <c r="AZ743" s="58" t="s">
        <v>1373</v>
      </c>
      <c r="BA743" s="58" t="s">
        <v>151</v>
      </c>
      <c r="BB743" s="58" t="s">
        <v>1407</v>
      </c>
      <c r="BC743" s="58"/>
    </row>
    <row r="744" spans="1:55" x14ac:dyDescent="0.25">
      <c r="A744" s="10">
        <f t="shared" si="33"/>
        <v>743</v>
      </c>
      <c r="B744" s="181" t="s">
        <v>7606</v>
      </c>
      <c r="C744" s="592" t="s">
        <v>1407</v>
      </c>
      <c r="D744" s="457">
        <v>400516</v>
      </c>
      <c r="E744" s="181" t="s">
        <v>36</v>
      </c>
      <c r="F744" s="97" t="s">
        <v>7607</v>
      </c>
      <c r="G744" s="139">
        <v>6</v>
      </c>
      <c r="H744" s="458">
        <v>0.41666666666666669</v>
      </c>
      <c r="I744" s="458">
        <v>0.5</v>
      </c>
      <c r="J744" s="458">
        <f t="shared" ref="J744:J750" si="34">I744-H744</f>
        <v>8.3333333333333315E-2</v>
      </c>
      <c r="K744" s="58" t="s">
        <v>341</v>
      </c>
      <c r="L744" s="97" t="s">
        <v>7608</v>
      </c>
      <c r="M744" s="63" t="s">
        <v>1355</v>
      </c>
      <c r="N744" s="100" t="s">
        <v>1520</v>
      </c>
      <c r="O744" s="58" t="s">
        <v>5168</v>
      </c>
      <c r="P744" s="206">
        <v>44754</v>
      </c>
      <c r="Q744" s="460">
        <v>44754</v>
      </c>
      <c r="R744" s="460">
        <f>Q744+730</f>
        <v>45484</v>
      </c>
      <c r="S744" s="461">
        <f>R744+1</f>
        <v>45485</v>
      </c>
      <c r="T744" s="139">
        <v>2002</v>
      </c>
      <c r="U744" s="139" t="s">
        <v>7609</v>
      </c>
      <c r="V744" s="139">
        <v>2020</v>
      </c>
      <c r="W744" s="139" t="s">
        <v>7610</v>
      </c>
      <c r="X744" s="139" t="s">
        <v>30</v>
      </c>
      <c r="Y744" s="462" t="s">
        <v>1360</v>
      </c>
      <c r="Z744" s="140" t="s">
        <v>7611</v>
      </c>
      <c r="AA744" s="140" t="s">
        <v>2217</v>
      </c>
      <c r="AB744" s="460">
        <v>44718</v>
      </c>
      <c r="AC744" s="460">
        <v>46224</v>
      </c>
      <c r="AD744" s="139">
        <v>8870008934</v>
      </c>
      <c r="AE744" s="467" t="s">
        <v>7612</v>
      </c>
      <c r="AF744" s="139" t="s">
        <v>1495</v>
      </c>
      <c r="AG744" s="491">
        <v>20008009799</v>
      </c>
      <c r="AH744" s="139" t="s">
        <v>7613</v>
      </c>
      <c r="AI744" s="139" t="s">
        <v>7614</v>
      </c>
      <c r="AJ744" s="464">
        <v>433863132124</v>
      </c>
      <c r="AK744" s="140" t="s">
        <v>7615</v>
      </c>
      <c r="AL744" s="206">
        <v>44948</v>
      </c>
      <c r="AM744" s="477">
        <v>44888</v>
      </c>
      <c r="AN744" s="465"/>
      <c r="AO744" s="140"/>
      <c r="AP744" s="139"/>
      <c r="AQ744" s="139" t="e">
        <v>#REF!</v>
      </c>
      <c r="AR744" s="181"/>
      <c r="AS744" s="458"/>
      <c r="AT744" s="458"/>
      <c r="AU744" s="461">
        <v>28412</v>
      </c>
      <c r="AV744" s="181" t="s">
        <v>1389</v>
      </c>
      <c r="AW744" s="31" t="s">
        <v>32</v>
      </c>
      <c r="AX744" s="139">
        <v>2</v>
      </c>
      <c r="AY744" s="14" t="s">
        <v>1881</v>
      </c>
      <c r="AZ744" s="58" t="s">
        <v>1373</v>
      </c>
      <c r="BA744" s="58" t="s">
        <v>151</v>
      </c>
      <c r="BB744" s="58" t="s">
        <v>1407</v>
      </c>
      <c r="BC744" s="58"/>
    </row>
    <row r="745" spans="1:55" x14ac:dyDescent="0.25">
      <c r="A745" s="10">
        <f t="shared" si="33"/>
        <v>744</v>
      </c>
      <c r="B745" s="181" t="s">
        <v>7080</v>
      </c>
      <c r="C745" s="592" t="s">
        <v>1407</v>
      </c>
      <c r="D745" s="457">
        <v>400887</v>
      </c>
      <c r="E745" s="181" t="s">
        <v>36</v>
      </c>
      <c r="F745" s="97" t="s">
        <v>7081</v>
      </c>
      <c r="G745" s="139">
        <v>6</v>
      </c>
      <c r="H745" s="469" t="s">
        <v>7616</v>
      </c>
      <c r="I745" s="469" t="s">
        <v>6635</v>
      </c>
      <c r="J745" s="458">
        <f t="shared" si="34"/>
        <v>8.3333333333333315E-2</v>
      </c>
      <c r="K745" s="143" t="s">
        <v>187</v>
      </c>
      <c r="L745" s="97" t="s">
        <v>485</v>
      </c>
      <c r="M745" s="97" t="s">
        <v>26</v>
      </c>
      <c r="N745" s="58" t="s">
        <v>38</v>
      </c>
      <c r="O745" s="58" t="s">
        <v>5063</v>
      </c>
      <c r="P745" s="206">
        <v>45257</v>
      </c>
      <c r="Q745" s="206">
        <v>45257</v>
      </c>
      <c r="R745" s="206">
        <v>45987</v>
      </c>
      <c r="S745" s="461">
        <v>45988</v>
      </c>
      <c r="T745" s="139">
        <v>2013</v>
      </c>
      <c r="U745" s="181" t="s">
        <v>7617</v>
      </c>
      <c r="V745" s="139">
        <v>2017</v>
      </c>
      <c r="W745" s="140" t="s">
        <v>5077</v>
      </c>
      <c r="X745" s="181" t="s">
        <v>30</v>
      </c>
      <c r="Y745" s="58" t="s">
        <v>5066</v>
      </c>
      <c r="Z745" s="140" t="s">
        <v>7083</v>
      </c>
      <c r="AA745" s="470" t="s">
        <v>1841</v>
      </c>
      <c r="AB745" s="471">
        <v>43470</v>
      </c>
      <c r="AC745" s="471">
        <v>45295</v>
      </c>
      <c r="AD745" s="472">
        <v>9059688543</v>
      </c>
      <c r="AE745" s="473" t="s">
        <v>7084</v>
      </c>
      <c r="AF745" s="474" t="s">
        <v>1364</v>
      </c>
      <c r="AG745" s="475" t="s">
        <v>7085</v>
      </c>
      <c r="AH745" s="181" t="s">
        <v>6435</v>
      </c>
      <c r="AI745" s="139" t="s">
        <v>7086</v>
      </c>
      <c r="AJ745" s="476">
        <v>929116456643</v>
      </c>
      <c r="AK745" s="470"/>
      <c r="AL745" s="461">
        <v>45491</v>
      </c>
      <c r="AM745" s="477" t="s">
        <v>30</v>
      </c>
      <c r="AN745" s="478" t="s">
        <v>1765</v>
      </c>
      <c r="AO745" s="140" t="s">
        <v>7618</v>
      </c>
      <c r="AP745" s="58"/>
      <c r="AQ745" s="97" t="s">
        <v>7618</v>
      </c>
      <c r="AR745" s="462"/>
      <c r="AS745" s="479">
        <v>0.33333333333333331</v>
      </c>
      <c r="AT745" s="479">
        <v>0.45833333333333331</v>
      </c>
      <c r="AU745" s="480">
        <v>32977</v>
      </c>
      <c r="AV745" s="181" t="s">
        <v>1389</v>
      </c>
      <c r="AW745" s="31" t="s">
        <v>32</v>
      </c>
      <c r="AX745" s="139">
        <v>2</v>
      </c>
      <c r="AY745" s="58" t="s">
        <v>1959</v>
      </c>
      <c r="AZ745" s="58" t="s">
        <v>26</v>
      </c>
      <c r="BA745" s="58" t="s">
        <v>151</v>
      </c>
      <c r="BB745" s="58" t="s">
        <v>1407</v>
      </c>
      <c r="BC745" s="58"/>
    </row>
    <row r="746" spans="1:55" x14ac:dyDescent="0.25">
      <c r="A746" s="10">
        <f t="shared" si="33"/>
        <v>745</v>
      </c>
      <c r="B746" s="181" t="s">
        <v>7619</v>
      </c>
      <c r="C746" s="592" t="s">
        <v>1407</v>
      </c>
      <c r="D746" s="457">
        <v>400518</v>
      </c>
      <c r="E746" s="181" t="s">
        <v>36</v>
      </c>
      <c r="F746" s="97" t="s">
        <v>7620</v>
      </c>
      <c r="G746" s="139">
        <v>6</v>
      </c>
      <c r="H746" s="458">
        <v>0.72916666666666663</v>
      </c>
      <c r="I746" s="458">
        <v>0.85416666666666663</v>
      </c>
      <c r="J746" s="458">
        <f t="shared" si="34"/>
        <v>0.125</v>
      </c>
      <c r="K746" s="143" t="s">
        <v>802</v>
      </c>
      <c r="L746" s="97" t="s">
        <v>7621</v>
      </c>
      <c r="M746" s="97" t="s">
        <v>26</v>
      </c>
      <c r="N746" s="58" t="s">
        <v>38</v>
      </c>
      <c r="O746" s="58" t="s">
        <v>7546</v>
      </c>
      <c r="P746" s="206">
        <v>44755</v>
      </c>
      <c r="Q746" s="460">
        <v>44755</v>
      </c>
      <c r="R746" s="460">
        <f>Q746+730</f>
        <v>45485</v>
      </c>
      <c r="S746" s="461">
        <f>R746+1</f>
        <v>45486</v>
      </c>
      <c r="T746" s="139">
        <v>2014</v>
      </c>
      <c r="U746" s="139" t="s">
        <v>7622</v>
      </c>
      <c r="V746" s="139">
        <v>2019</v>
      </c>
      <c r="W746" s="139" t="s">
        <v>7623</v>
      </c>
      <c r="X746" s="139" t="s">
        <v>30</v>
      </c>
      <c r="Y746" s="462" t="s">
        <v>1611</v>
      </c>
      <c r="Z746" s="140" t="s">
        <v>7624</v>
      </c>
      <c r="AA746" s="140" t="s">
        <v>1841</v>
      </c>
      <c r="AB746" s="460">
        <v>44534</v>
      </c>
      <c r="AC746" s="460">
        <v>46359</v>
      </c>
      <c r="AD746" s="139">
        <v>9663456556</v>
      </c>
      <c r="AE746" s="467" t="s">
        <v>7625</v>
      </c>
      <c r="AF746" s="139" t="s">
        <v>1495</v>
      </c>
      <c r="AG746" s="463">
        <v>20320395948</v>
      </c>
      <c r="AH746" s="139" t="s">
        <v>7626</v>
      </c>
      <c r="AI746" s="139" t="s">
        <v>7627</v>
      </c>
      <c r="AJ746" s="464">
        <v>728001138681</v>
      </c>
      <c r="AK746" s="140" t="s">
        <v>7628</v>
      </c>
      <c r="AL746" s="461"/>
      <c r="AM746" s="477"/>
      <c r="AN746" s="465"/>
      <c r="AO746" s="140"/>
      <c r="AP746" s="139"/>
      <c r="AQ746" s="139" t="e">
        <v>#REF!</v>
      </c>
      <c r="AR746" s="181"/>
      <c r="AS746" s="458"/>
      <c r="AT746" s="458"/>
      <c r="AU746" s="461">
        <v>33406</v>
      </c>
      <c r="AV746" s="181" t="s">
        <v>1352</v>
      </c>
      <c r="AW746" s="31" t="s">
        <v>32</v>
      </c>
      <c r="AX746" s="139">
        <v>3</v>
      </c>
      <c r="AY746" s="466">
        <f>VLOOKUP(K746,[3]Master!M723:BA1106,40,0)</f>
        <v>3</v>
      </c>
      <c r="AZ746" s="58" t="s">
        <v>26</v>
      </c>
      <c r="BA746" s="58" t="s">
        <v>151</v>
      </c>
      <c r="BB746" s="58" t="s">
        <v>1407</v>
      </c>
      <c r="BC746" s="58"/>
    </row>
    <row r="747" spans="1:55" x14ac:dyDescent="0.25">
      <c r="A747" s="10">
        <f t="shared" si="33"/>
        <v>746</v>
      </c>
      <c r="B747" s="181" t="s">
        <v>7629</v>
      </c>
      <c r="C747" s="592" t="s">
        <v>1407</v>
      </c>
      <c r="D747" s="457">
        <v>400519</v>
      </c>
      <c r="E747" s="181" t="s">
        <v>36</v>
      </c>
      <c r="F747" s="97" t="s">
        <v>7630</v>
      </c>
      <c r="G747" s="139">
        <v>6</v>
      </c>
      <c r="H747" s="458">
        <v>0.375</v>
      </c>
      <c r="I747" s="458">
        <v>0.70833333333333337</v>
      </c>
      <c r="J747" s="458">
        <f t="shared" si="34"/>
        <v>0.33333333333333337</v>
      </c>
      <c r="K747" s="143" t="s">
        <v>255</v>
      </c>
      <c r="L747" s="97" t="s">
        <v>7631</v>
      </c>
      <c r="M747" s="97" t="s">
        <v>26</v>
      </c>
      <c r="N747" s="58" t="s">
        <v>38</v>
      </c>
      <c r="O747" s="58" t="s">
        <v>7546</v>
      </c>
      <c r="P747" s="206">
        <v>44760</v>
      </c>
      <c r="Q747" s="460">
        <v>44760</v>
      </c>
      <c r="R747" s="460">
        <f>Q747+730</f>
        <v>45490</v>
      </c>
      <c r="S747" s="461">
        <f>R747+1</f>
        <v>45491</v>
      </c>
      <c r="T747" s="139">
        <v>2012</v>
      </c>
      <c r="U747" s="139" t="s">
        <v>7632</v>
      </c>
      <c r="V747" s="139">
        <v>2020</v>
      </c>
      <c r="W747" s="139" t="s">
        <v>7633</v>
      </c>
      <c r="X747" s="139" t="s">
        <v>30</v>
      </c>
      <c r="Y747" s="462" t="s">
        <v>7634</v>
      </c>
      <c r="Z747" s="140" t="s">
        <v>7635</v>
      </c>
      <c r="AA747" s="140" t="s">
        <v>1841</v>
      </c>
      <c r="AB747" s="460">
        <v>44496</v>
      </c>
      <c r="AC747" s="460">
        <v>46316</v>
      </c>
      <c r="AD747" s="139">
        <v>7338647333</v>
      </c>
      <c r="AE747" s="140" t="s">
        <v>7636</v>
      </c>
      <c r="AF747" s="139" t="s">
        <v>7637</v>
      </c>
      <c r="AG747" s="491" t="s">
        <v>7638</v>
      </c>
      <c r="AH747" s="139" t="s">
        <v>7639</v>
      </c>
      <c r="AI747" s="139" t="s">
        <v>7640</v>
      </c>
      <c r="AJ747" s="464">
        <v>288810979257</v>
      </c>
      <c r="AK747" s="140" t="s">
        <v>7641</v>
      </c>
      <c r="AL747" s="461">
        <v>44904</v>
      </c>
      <c r="AM747" s="477">
        <v>44844</v>
      </c>
      <c r="AN747" s="465"/>
      <c r="AO747" s="140"/>
      <c r="AP747" s="139"/>
      <c r="AQ747" s="139" t="e">
        <v>#REF!</v>
      </c>
      <c r="AR747" s="181"/>
      <c r="AS747" s="458"/>
      <c r="AT747" s="458"/>
      <c r="AU747" s="461">
        <v>32322</v>
      </c>
      <c r="AV747" s="181" t="s">
        <v>1352</v>
      </c>
      <c r="AW747" s="31" t="s">
        <v>68</v>
      </c>
      <c r="AX747" s="139">
        <v>8</v>
      </c>
      <c r="AY747" s="58" t="s">
        <v>2068</v>
      </c>
      <c r="AZ747" s="58" t="s">
        <v>26</v>
      </c>
      <c r="BA747" s="58" t="s">
        <v>151</v>
      </c>
      <c r="BB747" s="58" t="s">
        <v>1407</v>
      </c>
      <c r="BC747" s="58"/>
    </row>
    <row r="748" spans="1:55" x14ac:dyDescent="0.25">
      <c r="A748" s="10">
        <f t="shared" si="33"/>
        <v>747</v>
      </c>
      <c r="B748" s="181" t="s">
        <v>7642</v>
      </c>
      <c r="C748" s="592" t="s">
        <v>1407</v>
      </c>
      <c r="D748" s="457">
        <v>400520</v>
      </c>
      <c r="E748" s="181" t="s">
        <v>36</v>
      </c>
      <c r="F748" s="97" t="s">
        <v>7643</v>
      </c>
      <c r="G748" s="139">
        <v>6</v>
      </c>
      <c r="H748" s="458">
        <v>0.35416666666666669</v>
      </c>
      <c r="I748" s="458">
        <v>0.6875</v>
      </c>
      <c r="J748" s="458">
        <f t="shared" si="34"/>
        <v>0.33333333333333331</v>
      </c>
      <c r="K748" s="58" t="s">
        <v>663</v>
      </c>
      <c r="L748" s="97" t="s">
        <v>7644</v>
      </c>
      <c r="M748" s="97" t="s">
        <v>26</v>
      </c>
      <c r="N748" s="58" t="s">
        <v>38</v>
      </c>
      <c r="O748" s="58" t="s">
        <v>5076</v>
      </c>
      <c r="P748" s="206">
        <v>44760</v>
      </c>
      <c r="Q748" s="460">
        <v>44760</v>
      </c>
      <c r="R748" s="460">
        <v>45490</v>
      </c>
      <c r="S748" s="461">
        <v>45491</v>
      </c>
      <c r="T748" s="139">
        <v>2011</v>
      </c>
      <c r="U748" s="139" t="s">
        <v>141</v>
      </c>
      <c r="V748" s="139">
        <v>2022</v>
      </c>
      <c r="W748" s="139" t="s">
        <v>7645</v>
      </c>
      <c r="X748" s="139" t="s">
        <v>30</v>
      </c>
      <c r="Y748" s="462" t="s">
        <v>1611</v>
      </c>
      <c r="Z748" s="140" t="s">
        <v>7646</v>
      </c>
      <c r="AA748" s="140" t="s">
        <v>1841</v>
      </c>
      <c r="AB748" s="460">
        <v>43554</v>
      </c>
      <c r="AC748" s="460">
        <v>45380</v>
      </c>
      <c r="AD748" s="488">
        <v>9985364765</v>
      </c>
      <c r="AE748" s="140" t="s">
        <v>7647</v>
      </c>
      <c r="AF748" s="139" t="s">
        <v>7648</v>
      </c>
      <c r="AG748" s="463" t="s">
        <v>7649</v>
      </c>
      <c r="AH748" s="139" t="s">
        <v>6378</v>
      </c>
      <c r="AI748" s="139" t="s">
        <v>7650</v>
      </c>
      <c r="AJ748" s="464">
        <v>595169492368</v>
      </c>
      <c r="AK748" s="140" t="s">
        <v>7651</v>
      </c>
      <c r="AL748" s="461"/>
      <c r="AM748" s="477"/>
      <c r="AN748" s="465"/>
      <c r="AO748" s="140"/>
      <c r="AP748" s="139"/>
      <c r="AQ748" s="139"/>
      <c r="AR748" s="58"/>
      <c r="AS748" s="458"/>
      <c r="AT748" s="458"/>
      <c r="AU748" s="461">
        <v>32383</v>
      </c>
      <c r="AV748" s="181" t="s">
        <v>1352</v>
      </c>
      <c r="AW748" s="31" t="s">
        <v>68</v>
      </c>
      <c r="AX748" s="139">
        <v>8</v>
      </c>
      <c r="AY748" s="58" t="s">
        <v>1904</v>
      </c>
      <c r="AZ748" s="58" t="s">
        <v>26</v>
      </c>
      <c r="BA748" s="58" t="s">
        <v>151</v>
      </c>
      <c r="BB748" s="58" t="s">
        <v>1407</v>
      </c>
      <c r="BC748" s="58"/>
    </row>
    <row r="749" spans="1:55" x14ac:dyDescent="0.25">
      <c r="A749" s="10">
        <f t="shared" si="33"/>
        <v>748</v>
      </c>
      <c r="B749" s="181" t="s">
        <v>7652</v>
      </c>
      <c r="C749" s="592" t="s">
        <v>1407</v>
      </c>
      <c r="D749" s="457">
        <v>400521</v>
      </c>
      <c r="E749" s="181" t="s">
        <v>36</v>
      </c>
      <c r="F749" s="97" t="s">
        <v>7653</v>
      </c>
      <c r="G749" s="139">
        <v>6</v>
      </c>
      <c r="H749" s="469" t="s">
        <v>7654</v>
      </c>
      <c r="I749" s="469" t="s">
        <v>7655</v>
      </c>
      <c r="J749" s="458">
        <f t="shared" si="34"/>
        <v>0.33333333333333331</v>
      </c>
      <c r="K749" s="100" t="s">
        <v>194</v>
      </c>
      <c r="L749" s="97" t="s">
        <v>7656</v>
      </c>
      <c r="M749" s="97" t="s">
        <v>26</v>
      </c>
      <c r="N749" s="58" t="s">
        <v>38</v>
      </c>
      <c r="O749" s="58" t="s">
        <v>5076</v>
      </c>
      <c r="P749" s="206">
        <v>44762</v>
      </c>
      <c r="Q749" s="206">
        <v>44762</v>
      </c>
      <c r="R749" s="206">
        <v>45492</v>
      </c>
      <c r="S749" s="461">
        <v>45493</v>
      </c>
      <c r="T749" s="139">
        <v>2014</v>
      </c>
      <c r="U749" s="181" t="s">
        <v>7338</v>
      </c>
      <c r="V749" s="139">
        <v>2022</v>
      </c>
      <c r="W749" s="140" t="s">
        <v>7657</v>
      </c>
      <c r="X749" s="181" t="s">
        <v>30</v>
      </c>
      <c r="Y749" s="58" t="s">
        <v>7634</v>
      </c>
      <c r="Z749" s="140" t="s">
        <v>7658</v>
      </c>
      <c r="AA749" s="97" t="s">
        <v>1841</v>
      </c>
      <c r="AB749" s="471">
        <v>44805</v>
      </c>
      <c r="AC749" s="471">
        <v>46630</v>
      </c>
      <c r="AD749" s="472">
        <v>9618949027</v>
      </c>
      <c r="AE749" s="473" t="s">
        <v>7659</v>
      </c>
      <c r="AF749" s="97" t="s">
        <v>1430</v>
      </c>
      <c r="AG749" s="482" t="s">
        <v>7660</v>
      </c>
      <c r="AH749" s="181" t="s">
        <v>7661</v>
      </c>
      <c r="AI749" s="139" t="s">
        <v>7662</v>
      </c>
      <c r="AJ749" s="464">
        <v>783219738106</v>
      </c>
      <c r="AK749" s="97" t="s">
        <v>7663</v>
      </c>
      <c r="AL749" s="461">
        <v>45382</v>
      </c>
      <c r="AM749" s="477">
        <v>45382</v>
      </c>
      <c r="AN749" s="465" t="s">
        <v>7664</v>
      </c>
      <c r="AO749" s="140" t="s">
        <v>7665</v>
      </c>
      <c r="AP749" s="58"/>
      <c r="AQ749" s="486"/>
      <c r="AR749" s="462"/>
      <c r="AS749" s="479">
        <v>0.41666666666666669</v>
      </c>
      <c r="AT749" s="479">
        <v>0.75</v>
      </c>
      <c r="AU749" s="461">
        <v>33922</v>
      </c>
      <c r="AV749" s="181" t="s">
        <v>1389</v>
      </c>
      <c r="AW749" s="31" t="s">
        <v>68</v>
      </c>
      <c r="AX749" s="139">
        <v>8</v>
      </c>
      <c r="AY749" s="58" t="s">
        <v>1968</v>
      </c>
      <c r="AZ749" s="58" t="s">
        <v>26</v>
      </c>
      <c r="BA749" s="58" t="s">
        <v>151</v>
      </c>
      <c r="BB749" s="58" t="s">
        <v>1407</v>
      </c>
      <c r="BC749" s="58"/>
    </row>
    <row r="750" spans="1:55" x14ac:dyDescent="0.25">
      <c r="A750" s="10">
        <f t="shared" si="33"/>
        <v>749</v>
      </c>
      <c r="B750" s="181" t="s">
        <v>7666</v>
      </c>
      <c r="C750" s="592" t="s">
        <v>1407</v>
      </c>
      <c r="D750" s="457">
        <v>400522</v>
      </c>
      <c r="E750" s="181" t="s">
        <v>36</v>
      </c>
      <c r="F750" s="97" t="s">
        <v>7667</v>
      </c>
      <c r="G750" s="139">
        <v>6</v>
      </c>
      <c r="H750" s="458">
        <v>0.33333333333333331</v>
      </c>
      <c r="I750" s="458">
        <v>0.4375</v>
      </c>
      <c r="J750" s="458">
        <f t="shared" si="34"/>
        <v>0.10416666666666669</v>
      </c>
      <c r="K750" s="587" t="s">
        <v>11089</v>
      </c>
      <c r="L750" s="97" t="s">
        <v>7668</v>
      </c>
      <c r="M750" s="97" t="s">
        <v>26</v>
      </c>
      <c r="N750" s="58" t="s">
        <v>38</v>
      </c>
      <c r="O750" s="58" t="s">
        <v>5076</v>
      </c>
      <c r="P750" s="206">
        <v>44764</v>
      </c>
      <c r="Q750" s="460">
        <v>44764</v>
      </c>
      <c r="R750" s="460">
        <f>Q750+730</f>
        <v>45494</v>
      </c>
      <c r="S750" s="461">
        <f>R750+1</f>
        <v>45495</v>
      </c>
      <c r="T750" s="139">
        <v>2011</v>
      </c>
      <c r="U750" s="139" t="s">
        <v>7669</v>
      </c>
      <c r="V750" s="139">
        <v>2022</v>
      </c>
      <c r="W750" s="139" t="s">
        <v>7670</v>
      </c>
      <c r="X750" s="139" t="s">
        <v>30</v>
      </c>
      <c r="Y750" s="462" t="s">
        <v>1611</v>
      </c>
      <c r="Z750" s="140" t="s">
        <v>7671</v>
      </c>
      <c r="AA750" s="140" t="s">
        <v>7167</v>
      </c>
      <c r="AB750" s="460">
        <v>44716</v>
      </c>
      <c r="AC750" s="460">
        <v>46541</v>
      </c>
      <c r="AD750" s="139">
        <v>9985187860</v>
      </c>
      <c r="AE750" s="467" t="s">
        <v>7672</v>
      </c>
      <c r="AF750" s="139" t="s">
        <v>5982</v>
      </c>
      <c r="AG750" s="491" t="s">
        <v>7673</v>
      </c>
      <c r="AH750" s="139" t="s">
        <v>7674</v>
      </c>
      <c r="AI750" s="139" t="s">
        <v>7675</v>
      </c>
      <c r="AJ750" s="464">
        <v>790349104598</v>
      </c>
      <c r="AK750" s="140" t="s">
        <v>7676</v>
      </c>
      <c r="AL750" s="461"/>
      <c r="AM750" s="477"/>
      <c r="AN750" s="465"/>
      <c r="AO750" s="140"/>
      <c r="AP750" s="139"/>
      <c r="AQ750" s="139" t="e">
        <v>#REF!</v>
      </c>
      <c r="AR750" s="181"/>
      <c r="AS750" s="458"/>
      <c r="AT750" s="458"/>
      <c r="AU750" s="461">
        <v>30856</v>
      </c>
      <c r="AV750" s="181" t="s">
        <v>1352</v>
      </c>
      <c r="AW750" s="31" t="s">
        <v>32</v>
      </c>
      <c r="AX750" s="139">
        <v>2.5</v>
      </c>
      <c r="AY750" s="58" t="s">
        <v>2469</v>
      </c>
      <c r="AZ750" s="58" t="s">
        <v>26</v>
      </c>
      <c r="BA750" s="58" t="s">
        <v>151</v>
      </c>
      <c r="BB750" s="58" t="s">
        <v>1407</v>
      </c>
      <c r="BC750" s="58"/>
    </row>
    <row r="751" spans="1:55" x14ac:dyDescent="0.25">
      <c r="A751" s="10">
        <f t="shared" si="33"/>
        <v>750</v>
      </c>
      <c r="B751" s="181" t="s">
        <v>7677</v>
      </c>
      <c r="C751" s="592" t="s">
        <v>1407</v>
      </c>
      <c r="D751" s="457">
        <v>400523</v>
      </c>
      <c r="E751" s="181" t="s">
        <v>36</v>
      </c>
      <c r="F751" s="97" t="s">
        <v>7678</v>
      </c>
      <c r="G751" s="139">
        <v>6</v>
      </c>
      <c r="H751" s="458">
        <v>0.39583333333333331</v>
      </c>
      <c r="I751" s="458">
        <v>0.4375</v>
      </c>
      <c r="J751" s="458">
        <v>4.1666666666666664E-2</v>
      </c>
      <c r="K751" s="43" t="s">
        <v>1282</v>
      </c>
      <c r="L751" s="97" t="s">
        <v>1376</v>
      </c>
      <c r="M751" s="97" t="s">
        <v>1376</v>
      </c>
      <c r="N751" s="58" t="s">
        <v>1393</v>
      </c>
      <c r="O751" s="58" t="s">
        <v>3290</v>
      </c>
      <c r="P751" s="206">
        <v>44764</v>
      </c>
      <c r="Q751" s="460">
        <v>44764</v>
      </c>
      <c r="R751" s="460">
        <v>45494</v>
      </c>
      <c r="S751" s="461">
        <v>45495</v>
      </c>
      <c r="T751" s="139">
        <v>2010</v>
      </c>
      <c r="U751" s="139" t="s">
        <v>7679</v>
      </c>
      <c r="V751" s="139"/>
      <c r="W751" s="139"/>
      <c r="X751" s="139" t="s">
        <v>30</v>
      </c>
      <c r="Y751" s="462" t="s">
        <v>1611</v>
      </c>
      <c r="Z751" s="140" t="s">
        <v>7680</v>
      </c>
      <c r="AA751" s="140" t="s">
        <v>1886</v>
      </c>
      <c r="AB751" s="460">
        <v>44811</v>
      </c>
      <c r="AC751" s="460">
        <v>45541</v>
      </c>
      <c r="AD751" s="139">
        <v>7095467778</v>
      </c>
      <c r="AE751" s="467" t="s">
        <v>7681</v>
      </c>
      <c r="AF751" s="139" t="s">
        <v>7637</v>
      </c>
      <c r="AG751" s="463" t="s">
        <v>7682</v>
      </c>
      <c r="AH751" s="139" t="s">
        <v>7683</v>
      </c>
      <c r="AI751" s="139" t="s">
        <v>7684</v>
      </c>
      <c r="AJ751" s="464">
        <v>739056668029</v>
      </c>
      <c r="AK751" s="140" t="s">
        <v>7685</v>
      </c>
      <c r="AL751" s="206"/>
      <c r="AM751" s="477"/>
      <c r="AN751" s="465"/>
      <c r="AO751" s="140"/>
      <c r="AP751" s="139"/>
      <c r="AQ751" s="139"/>
      <c r="AR751" s="181"/>
      <c r="AS751" s="458"/>
      <c r="AT751" s="458"/>
      <c r="AU751" s="461">
        <v>32694</v>
      </c>
      <c r="AV751" s="181" t="s">
        <v>1389</v>
      </c>
      <c r="AW751" s="31" t="s">
        <v>32</v>
      </c>
      <c r="AX751" s="139">
        <v>1</v>
      </c>
      <c r="AY751" s="58" t="s">
        <v>1968</v>
      </c>
      <c r="AZ751" s="58" t="s">
        <v>1390</v>
      </c>
      <c r="BA751" s="58" t="s">
        <v>151</v>
      </c>
      <c r="BB751" s="58" t="s">
        <v>1407</v>
      </c>
      <c r="BC751" s="58"/>
    </row>
    <row r="752" spans="1:55" x14ac:dyDescent="0.25">
      <c r="A752" s="10">
        <f t="shared" si="33"/>
        <v>751</v>
      </c>
      <c r="B752" s="181" t="s">
        <v>7686</v>
      </c>
      <c r="C752" s="592" t="s">
        <v>1407</v>
      </c>
      <c r="D752" s="457">
        <v>400524</v>
      </c>
      <c r="E752" s="181" t="s">
        <v>36</v>
      </c>
      <c r="F752" s="97" t="s">
        <v>7687</v>
      </c>
      <c r="G752" s="139">
        <v>6</v>
      </c>
      <c r="H752" s="458">
        <v>0.375</v>
      </c>
      <c r="I752" s="458">
        <v>0.5</v>
      </c>
      <c r="J752" s="458">
        <f>I752-H752</f>
        <v>0.125</v>
      </c>
      <c r="K752" s="35" t="s">
        <v>508</v>
      </c>
      <c r="L752" s="97" t="s">
        <v>7688</v>
      </c>
      <c r="M752" s="97" t="s">
        <v>26</v>
      </c>
      <c r="N752" s="58" t="s">
        <v>38</v>
      </c>
      <c r="O752" s="58" t="s">
        <v>5076</v>
      </c>
      <c r="P752" s="206">
        <v>44767</v>
      </c>
      <c r="Q752" s="460">
        <v>44767</v>
      </c>
      <c r="R752" s="460">
        <v>45497</v>
      </c>
      <c r="S752" s="461">
        <v>45498</v>
      </c>
      <c r="T752" s="139">
        <v>2017</v>
      </c>
      <c r="U752" s="139" t="s">
        <v>7689</v>
      </c>
      <c r="V752" s="139">
        <v>2022</v>
      </c>
      <c r="W752" s="139" t="s">
        <v>7690</v>
      </c>
      <c r="X752" s="139" t="s">
        <v>30</v>
      </c>
      <c r="Y752" s="462" t="s">
        <v>1611</v>
      </c>
      <c r="Z752" s="140" t="s">
        <v>7691</v>
      </c>
      <c r="AA752" s="140" t="s">
        <v>7167</v>
      </c>
      <c r="AB752" s="460">
        <v>44735</v>
      </c>
      <c r="AC752" s="460">
        <v>46560</v>
      </c>
      <c r="AD752" s="488">
        <v>9705425828</v>
      </c>
      <c r="AE752" s="140" t="s">
        <v>7692</v>
      </c>
      <c r="AF752" s="139" t="s">
        <v>2284</v>
      </c>
      <c r="AG752" s="463" t="s">
        <v>7693</v>
      </c>
      <c r="AH752" s="139" t="s">
        <v>7694</v>
      </c>
      <c r="AI752" s="139" t="s">
        <v>7695</v>
      </c>
      <c r="AJ752" s="464">
        <v>314790251177</v>
      </c>
      <c r="AK752" s="140" t="s">
        <v>7696</v>
      </c>
      <c r="AL752" s="461"/>
      <c r="AM752" s="477"/>
      <c r="AN752" s="465"/>
      <c r="AO752" s="140"/>
      <c r="AP752" s="139"/>
      <c r="AQ752" s="139"/>
      <c r="AR752" s="58"/>
      <c r="AS752" s="458"/>
      <c r="AT752" s="458"/>
      <c r="AU752" s="461">
        <v>34494</v>
      </c>
      <c r="AV752" s="181" t="s">
        <v>1352</v>
      </c>
      <c r="AW752" s="31" t="s">
        <v>32</v>
      </c>
      <c r="AX752" s="139">
        <v>3</v>
      </c>
      <c r="AY752" s="58" t="s">
        <v>1881</v>
      </c>
      <c r="AZ752" s="58" t="s">
        <v>26</v>
      </c>
      <c r="BA752" s="58" t="s">
        <v>151</v>
      </c>
      <c r="BB752" s="58" t="s">
        <v>1407</v>
      </c>
      <c r="BC752" s="58"/>
    </row>
    <row r="753" spans="1:55" x14ac:dyDescent="0.25">
      <c r="A753" s="10">
        <f t="shared" si="33"/>
        <v>752</v>
      </c>
      <c r="B753" s="181" t="s">
        <v>7697</v>
      </c>
      <c r="C753" s="592" t="s">
        <v>1407</v>
      </c>
      <c r="D753" s="457">
        <v>400526</v>
      </c>
      <c r="E753" s="181" t="s">
        <v>36</v>
      </c>
      <c r="F753" s="97" t="s">
        <v>7698</v>
      </c>
      <c r="G753" s="139">
        <v>6</v>
      </c>
      <c r="H753" s="458">
        <v>0.375</v>
      </c>
      <c r="I753" s="458">
        <v>0.41666666666666669</v>
      </c>
      <c r="J753" s="458">
        <v>4.1666666666666664E-2</v>
      </c>
      <c r="K753" s="58" t="s">
        <v>1081</v>
      </c>
      <c r="L753" s="97" t="s">
        <v>1376</v>
      </c>
      <c r="M753" s="97" t="s">
        <v>1376</v>
      </c>
      <c r="N753" s="58" t="s">
        <v>1393</v>
      </c>
      <c r="O753" s="58"/>
      <c r="P753" s="206">
        <v>44768</v>
      </c>
      <c r="Q753" s="460">
        <v>44768</v>
      </c>
      <c r="R753" s="460">
        <f>Q753+730</f>
        <v>45498</v>
      </c>
      <c r="S753" s="461">
        <f>R753+1</f>
        <v>45499</v>
      </c>
      <c r="T753" s="139">
        <v>2017</v>
      </c>
      <c r="U753" s="139" t="s">
        <v>7699</v>
      </c>
      <c r="V753" s="139" t="s">
        <v>30</v>
      </c>
      <c r="W753" s="139" t="s">
        <v>30</v>
      </c>
      <c r="X753" s="139" t="s">
        <v>30</v>
      </c>
      <c r="Y753" s="462" t="s">
        <v>226</v>
      </c>
      <c r="Z753" s="140" t="s">
        <v>7700</v>
      </c>
      <c r="AA753" s="140" t="s">
        <v>7167</v>
      </c>
      <c r="AB753" s="460">
        <v>44277</v>
      </c>
      <c r="AC753" s="460">
        <v>46103</v>
      </c>
      <c r="AD753" s="139">
        <v>8639897184</v>
      </c>
      <c r="AE753" s="467" t="s">
        <v>7701</v>
      </c>
      <c r="AF753" s="139" t="s">
        <v>1495</v>
      </c>
      <c r="AG753" s="491" t="s">
        <v>7702</v>
      </c>
      <c r="AH753" s="139" t="s">
        <v>7703</v>
      </c>
      <c r="AI753" s="139" t="s">
        <v>7704</v>
      </c>
      <c r="AJ753" s="464">
        <v>272566330190</v>
      </c>
      <c r="AK753" s="140" t="s">
        <v>7705</v>
      </c>
      <c r="AL753" s="206">
        <v>44884</v>
      </c>
      <c r="AM753" s="477"/>
      <c r="AN753" s="465"/>
      <c r="AO753" s="140"/>
      <c r="AP753" s="139"/>
      <c r="AQ753" s="139" t="e">
        <v>#REF!</v>
      </c>
      <c r="AR753" s="181"/>
      <c r="AS753" s="458"/>
      <c r="AT753" s="458"/>
      <c r="AU753" s="461">
        <v>34267</v>
      </c>
      <c r="AV753" s="181" t="s">
        <v>1352</v>
      </c>
      <c r="AW753" s="31" t="s">
        <v>32</v>
      </c>
      <c r="AX753" s="139">
        <v>1</v>
      </c>
      <c r="AY753" s="466">
        <f>VLOOKUP(K753,[3]Master!M730:BA1113,40,0)</f>
        <v>1</v>
      </c>
      <c r="AZ753" s="58" t="s">
        <v>1390</v>
      </c>
      <c r="BA753" s="58" t="s">
        <v>151</v>
      </c>
      <c r="BB753" s="58" t="s">
        <v>1407</v>
      </c>
      <c r="BC753" s="58"/>
    </row>
    <row r="754" spans="1:55" x14ac:dyDescent="0.25">
      <c r="A754" s="10">
        <f t="shared" si="33"/>
        <v>753</v>
      </c>
      <c r="B754" s="181" t="s">
        <v>7256</v>
      </c>
      <c r="C754" s="592" t="s">
        <v>1407</v>
      </c>
      <c r="D754" s="457">
        <v>400527</v>
      </c>
      <c r="E754" s="181" t="s">
        <v>36</v>
      </c>
      <c r="F754" s="97" t="s">
        <v>7257</v>
      </c>
      <c r="G754" s="139">
        <v>6</v>
      </c>
      <c r="H754" s="458">
        <v>0.79166666666666663</v>
      </c>
      <c r="I754" s="458">
        <v>0.875</v>
      </c>
      <c r="J754" s="458">
        <f>I754-H754</f>
        <v>8.333333333333337E-2</v>
      </c>
      <c r="K754" s="58" t="s">
        <v>446</v>
      </c>
      <c r="L754" s="97" t="s">
        <v>7258</v>
      </c>
      <c r="M754" s="97" t="s">
        <v>26</v>
      </c>
      <c r="N754" s="58" t="s">
        <v>38</v>
      </c>
      <c r="O754" s="58" t="s">
        <v>5076</v>
      </c>
      <c r="P754" s="206">
        <v>44768</v>
      </c>
      <c r="Q754" s="460">
        <v>44768</v>
      </c>
      <c r="R754" s="460">
        <v>45498</v>
      </c>
      <c r="S754" s="461">
        <v>45499</v>
      </c>
      <c r="T754" s="139">
        <v>2012</v>
      </c>
      <c r="U754" s="139" t="s">
        <v>7259</v>
      </c>
      <c r="V754" s="139">
        <v>2020</v>
      </c>
      <c r="W754" s="139" t="s">
        <v>282</v>
      </c>
      <c r="X754" s="139" t="s">
        <v>30</v>
      </c>
      <c r="Y754" s="462" t="s">
        <v>5078</v>
      </c>
      <c r="Z754" s="140" t="s">
        <v>7260</v>
      </c>
      <c r="AA754" s="140" t="s">
        <v>1841</v>
      </c>
      <c r="AB754" s="460">
        <v>44497</v>
      </c>
      <c r="AC754" s="460">
        <v>46322</v>
      </c>
      <c r="AD754" s="488">
        <v>9000419603</v>
      </c>
      <c r="AE754" s="140" t="s">
        <v>7261</v>
      </c>
      <c r="AF754" s="139" t="s">
        <v>2284</v>
      </c>
      <c r="AG754" s="463" t="s">
        <v>7262</v>
      </c>
      <c r="AH754" s="139" t="s">
        <v>7263</v>
      </c>
      <c r="AI754" s="139" t="s">
        <v>7264</v>
      </c>
      <c r="AJ754" s="464">
        <v>406257701478</v>
      </c>
      <c r="AK754" s="140" t="s">
        <v>7266</v>
      </c>
      <c r="AL754" s="461"/>
      <c r="AM754" s="477"/>
      <c r="AN754" s="465"/>
      <c r="AO754" s="140"/>
      <c r="AP754" s="139"/>
      <c r="AQ754" s="139"/>
      <c r="AR754" s="58"/>
      <c r="AS754" s="458"/>
      <c r="AT754" s="458"/>
      <c r="AU754" s="461">
        <v>32288</v>
      </c>
      <c r="AV754" s="181" t="s">
        <v>1352</v>
      </c>
      <c r="AW754" s="31" t="s">
        <v>32</v>
      </c>
      <c r="AX754" s="139">
        <v>2</v>
      </c>
      <c r="AY754" s="58" t="s">
        <v>1849</v>
      </c>
      <c r="AZ754" s="58" t="s">
        <v>26</v>
      </c>
      <c r="BA754" s="58" t="s">
        <v>151</v>
      </c>
      <c r="BB754" s="58" t="s">
        <v>1407</v>
      </c>
      <c r="BC754" s="58"/>
    </row>
    <row r="755" spans="1:55" x14ac:dyDescent="0.25">
      <c r="A755" s="10">
        <f t="shared" si="33"/>
        <v>754</v>
      </c>
      <c r="B755" s="181" t="s">
        <v>7706</v>
      </c>
      <c r="C755" s="592" t="s">
        <v>1407</v>
      </c>
      <c r="D755" s="457">
        <v>401001</v>
      </c>
      <c r="E755" s="181" t="s">
        <v>36</v>
      </c>
      <c r="F755" s="97" t="s">
        <v>7707</v>
      </c>
      <c r="G755" s="139">
        <v>6</v>
      </c>
      <c r="H755" s="469" t="s">
        <v>5222</v>
      </c>
      <c r="I755" s="469" t="s">
        <v>7708</v>
      </c>
      <c r="J755" s="458">
        <f>I755-H755</f>
        <v>8.3333333333333315E-2</v>
      </c>
      <c r="K755" s="100" t="s">
        <v>1187</v>
      </c>
      <c r="L755" s="97" t="s">
        <v>1424</v>
      </c>
      <c r="M755" s="97" t="s">
        <v>1376</v>
      </c>
      <c r="N755" s="58" t="s">
        <v>1393</v>
      </c>
      <c r="O755" s="58" t="s">
        <v>1424</v>
      </c>
      <c r="P755" s="206">
        <v>45429</v>
      </c>
      <c r="Q755" s="206">
        <v>45429</v>
      </c>
      <c r="R755" s="206">
        <v>46158</v>
      </c>
      <c r="S755" s="461">
        <v>46159</v>
      </c>
      <c r="T755" s="139">
        <v>2022</v>
      </c>
      <c r="U755" s="181" t="s">
        <v>283</v>
      </c>
      <c r="V755" s="139" t="s">
        <v>1424</v>
      </c>
      <c r="W755" s="97" t="s">
        <v>1424</v>
      </c>
      <c r="X755" s="181" t="s">
        <v>30</v>
      </c>
      <c r="Y755" s="58" t="s">
        <v>226</v>
      </c>
      <c r="Z755" s="140" t="s">
        <v>7709</v>
      </c>
      <c r="AA755" s="470" t="s">
        <v>1886</v>
      </c>
      <c r="AB755" s="471">
        <v>44914</v>
      </c>
      <c r="AC755" s="471">
        <v>46739</v>
      </c>
      <c r="AD755" s="472">
        <v>8501851143</v>
      </c>
      <c r="AE755" s="473" t="s">
        <v>7710</v>
      </c>
      <c r="AF755" s="474" t="s">
        <v>1833</v>
      </c>
      <c r="AG755" s="475">
        <v>35992724901</v>
      </c>
      <c r="AH755" s="181" t="s">
        <v>7711</v>
      </c>
      <c r="AI755" s="139" t="s">
        <v>7712</v>
      </c>
      <c r="AJ755" s="476">
        <v>843376154589</v>
      </c>
      <c r="AK755" s="470"/>
      <c r="AL755" s="206">
        <v>45494</v>
      </c>
      <c r="AM755" s="477" t="s">
        <v>30</v>
      </c>
      <c r="AN755" s="478" t="s">
        <v>5072</v>
      </c>
      <c r="AO755" s="140" t="s">
        <v>7713</v>
      </c>
      <c r="AP755" s="58"/>
      <c r="AQ755" s="97" t="s">
        <v>7713</v>
      </c>
      <c r="AR755" s="462"/>
      <c r="AS755" s="479"/>
      <c r="AT755" s="479"/>
      <c r="AU755" s="480">
        <v>35605</v>
      </c>
      <c r="AV755" s="181" t="s">
        <v>1389</v>
      </c>
      <c r="AW755" s="31" t="s">
        <v>32</v>
      </c>
      <c r="AX755" s="139">
        <v>2</v>
      </c>
      <c r="AY755" s="58" t="s">
        <v>2006</v>
      </c>
      <c r="AZ755" s="58" t="s">
        <v>1390</v>
      </c>
      <c r="BA755" s="58" t="s">
        <v>151</v>
      </c>
      <c r="BB755" s="58" t="s">
        <v>1407</v>
      </c>
      <c r="BC755" s="58"/>
    </row>
    <row r="756" spans="1:55" x14ac:dyDescent="0.25">
      <c r="A756" s="10">
        <f t="shared" si="33"/>
        <v>755</v>
      </c>
      <c r="B756" s="181" t="s">
        <v>7714</v>
      </c>
      <c r="C756" s="592" t="s">
        <v>1407</v>
      </c>
      <c r="D756" s="457">
        <v>400529</v>
      </c>
      <c r="E756" s="181" t="s">
        <v>36</v>
      </c>
      <c r="F756" s="97" t="s">
        <v>7715</v>
      </c>
      <c r="G756" s="139">
        <v>6</v>
      </c>
      <c r="H756" s="458">
        <v>0.375</v>
      </c>
      <c r="I756" s="458">
        <v>0.54166666666666663</v>
      </c>
      <c r="J756" s="458">
        <f>I756-H756</f>
        <v>0.16666666666666663</v>
      </c>
      <c r="K756" s="100" t="s">
        <v>6088</v>
      </c>
      <c r="L756" s="97" t="s">
        <v>7716</v>
      </c>
      <c r="M756" s="97" t="s">
        <v>26</v>
      </c>
      <c r="N756" s="58" t="s">
        <v>222</v>
      </c>
      <c r="O756" s="58" t="s">
        <v>7182</v>
      </c>
      <c r="P756" s="206">
        <v>44774</v>
      </c>
      <c r="Q756" s="460">
        <v>44774</v>
      </c>
      <c r="R756" s="460">
        <v>45504</v>
      </c>
      <c r="S756" s="461">
        <v>45505</v>
      </c>
      <c r="T756" s="139">
        <v>2016</v>
      </c>
      <c r="U756" s="139" t="s">
        <v>209</v>
      </c>
      <c r="V756" s="139">
        <v>2022</v>
      </c>
      <c r="W756" s="139" t="s">
        <v>196</v>
      </c>
      <c r="X756" s="139" t="s">
        <v>30</v>
      </c>
      <c r="Y756" s="462" t="s">
        <v>30</v>
      </c>
      <c r="Z756" s="140" t="s">
        <v>7717</v>
      </c>
      <c r="AA756" s="140" t="s">
        <v>1841</v>
      </c>
      <c r="AB756" s="460">
        <v>43017</v>
      </c>
      <c r="AC756" s="460">
        <v>44843</v>
      </c>
      <c r="AD756" s="139">
        <v>8500264807</v>
      </c>
      <c r="AE756" s="467" t="s">
        <v>7718</v>
      </c>
      <c r="AF756" s="139" t="s">
        <v>1495</v>
      </c>
      <c r="AG756" s="463">
        <v>62209638491</v>
      </c>
      <c r="AH756" s="139" t="s">
        <v>2891</v>
      </c>
      <c r="AI756" s="139" t="s">
        <v>7719</v>
      </c>
      <c r="AJ756" s="464">
        <v>835541539717</v>
      </c>
      <c r="AK756" s="140" t="s">
        <v>7720</v>
      </c>
      <c r="AL756" s="461" t="s">
        <v>30</v>
      </c>
      <c r="AM756" s="477" t="s">
        <v>30</v>
      </c>
      <c r="AN756" s="490"/>
      <c r="AO756" s="140"/>
      <c r="AP756" s="139"/>
      <c r="AQ756" s="139"/>
      <c r="AR756" s="181"/>
      <c r="AS756" s="458"/>
      <c r="AT756" s="458"/>
      <c r="AU756" s="461">
        <v>34501</v>
      </c>
      <c r="AV756" s="181" t="s">
        <v>1389</v>
      </c>
      <c r="AW756" s="31" t="s">
        <v>32</v>
      </c>
      <c r="AX756" s="139">
        <v>4</v>
      </c>
      <c r="AY756" s="58" t="s">
        <v>1959</v>
      </c>
      <c r="AZ756" s="58" t="s">
        <v>26</v>
      </c>
      <c r="BA756" s="58" t="s">
        <v>151</v>
      </c>
      <c r="BB756" s="58" t="s">
        <v>1407</v>
      </c>
      <c r="BC756" s="58"/>
    </row>
    <row r="757" spans="1:55" x14ac:dyDescent="0.25">
      <c r="A757" s="10">
        <f t="shared" si="33"/>
        <v>756</v>
      </c>
      <c r="B757" s="181" t="s">
        <v>4893</v>
      </c>
      <c r="C757" s="592" t="s">
        <v>1407</v>
      </c>
      <c r="D757" s="457">
        <v>400530</v>
      </c>
      <c r="E757" s="181" t="s">
        <v>36</v>
      </c>
      <c r="F757" s="97" t="s">
        <v>4894</v>
      </c>
      <c r="G757" s="139">
        <v>6</v>
      </c>
      <c r="H757" s="458">
        <v>0.35416666666666669</v>
      </c>
      <c r="I757" s="458">
        <v>0.39583333333333331</v>
      </c>
      <c r="J757" s="458">
        <v>4.1666666666666664E-2</v>
      </c>
      <c r="K757" s="462" t="s">
        <v>850</v>
      </c>
      <c r="L757" s="97" t="s">
        <v>1376</v>
      </c>
      <c r="M757" s="97" t="s">
        <v>1376</v>
      </c>
      <c r="N757" s="58" t="s">
        <v>1393</v>
      </c>
      <c r="O757" s="58" t="s">
        <v>3290</v>
      </c>
      <c r="P757" s="206">
        <v>44774</v>
      </c>
      <c r="Q757" s="460">
        <v>44774</v>
      </c>
      <c r="R757" s="460">
        <v>45504</v>
      </c>
      <c r="S757" s="461">
        <v>45505</v>
      </c>
      <c r="T757" s="139">
        <v>1988</v>
      </c>
      <c r="U757" s="139" t="s">
        <v>7721</v>
      </c>
      <c r="V757" s="139" t="s">
        <v>30</v>
      </c>
      <c r="W757" s="139" t="s">
        <v>30</v>
      </c>
      <c r="X757" s="139" t="s">
        <v>30</v>
      </c>
      <c r="Y757" s="462" t="s">
        <v>30</v>
      </c>
      <c r="Z757" s="140" t="s">
        <v>7722</v>
      </c>
      <c r="AA757" s="140" t="s">
        <v>1841</v>
      </c>
      <c r="AB757" s="460">
        <v>44459</v>
      </c>
      <c r="AC757" s="460">
        <v>46284</v>
      </c>
      <c r="AD757" s="488">
        <v>9676883581</v>
      </c>
      <c r="AE757" s="140" t="s">
        <v>4896</v>
      </c>
      <c r="AF757" s="139" t="s">
        <v>1400</v>
      </c>
      <c r="AG757" s="463" t="s">
        <v>7723</v>
      </c>
      <c r="AH757" s="139" t="s">
        <v>6825</v>
      </c>
      <c r="AI757" s="139" t="s">
        <v>4899</v>
      </c>
      <c r="AJ757" s="464">
        <v>674864384886</v>
      </c>
      <c r="AK757" s="140" t="s">
        <v>7724</v>
      </c>
      <c r="AL757" s="206">
        <v>45138</v>
      </c>
      <c r="AM757" s="477" t="s">
        <v>30</v>
      </c>
      <c r="AN757" s="490"/>
      <c r="AO757" s="140"/>
      <c r="AP757" s="139"/>
      <c r="AQ757" s="139"/>
      <c r="AR757" s="58"/>
      <c r="AS757" s="458"/>
      <c r="AT757" s="458"/>
      <c r="AU757" s="461">
        <v>23121</v>
      </c>
      <c r="AV757" s="181" t="s">
        <v>1352</v>
      </c>
      <c r="AW757" s="31" t="s">
        <v>32</v>
      </c>
      <c r="AX757" s="139">
        <v>1</v>
      </c>
      <c r="AY757" s="58" t="s">
        <v>1904</v>
      </c>
      <c r="AZ757" s="58" t="s">
        <v>1390</v>
      </c>
      <c r="BA757" s="58" t="s">
        <v>151</v>
      </c>
      <c r="BB757" s="58" t="s">
        <v>1407</v>
      </c>
      <c r="BC757" s="58"/>
    </row>
    <row r="758" spans="1:55" x14ac:dyDescent="0.25">
      <c r="A758" s="10">
        <f t="shared" si="33"/>
        <v>757</v>
      </c>
      <c r="B758" s="181" t="s">
        <v>7725</v>
      </c>
      <c r="C758" s="592" t="s">
        <v>1407</v>
      </c>
      <c r="D758" s="457">
        <v>400531</v>
      </c>
      <c r="E758" s="181" t="s">
        <v>36</v>
      </c>
      <c r="F758" s="97" t="s">
        <v>7726</v>
      </c>
      <c r="G758" s="139">
        <v>6</v>
      </c>
      <c r="H758" s="469" t="s">
        <v>235</v>
      </c>
      <c r="I758" s="469" t="s">
        <v>5491</v>
      </c>
      <c r="J758" s="458">
        <v>4.1666666666666664E-2</v>
      </c>
      <c r="K758" s="58" t="s">
        <v>840</v>
      </c>
      <c r="L758" s="97" t="s">
        <v>1376</v>
      </c>
      <c r="M758" s="97" t="s">
        <v>1376</v>
      </c>
      <c r="N758" s="58" t="s">
        <v>1393</v>
      </c>
      <c r="O758" s="58" t="s">
        <v>3290</v>
      </c>
      <c r="P758" s="206">
        <v>44777</v>
      </c>
      <c r="Q758" s="206">
        <v>44777</v>
      </c>
      <c r="R758" s="206">
        <v>45507</v>
      </c>
      <c r="S758" s="461">
        <v>45508</v>
      </c>
      <c r="T758" s="139">
        <v>2020</v>
      </c>
      <c r="U758" s="181" t="s">
        <v>7727</v>
      </c>
      <c r="V758" s="139" t="s">
        <v>1424</v>
      </c>
      <c r="W758" s="140" t="s">
        <v>1424</v>
      </c>
      <c r="X758" s="181" t="s">
        <v>30</v>
      </c>
      <c r="Y758" s="58" t="s">
        <v>226</v>
      </c>
      <c r="Z758" s="140" t="s">
        <v>7728</v>
      </c>
      <c r="AA758" s="97" t="s">
        <v>1841</v>
      </c>
      <c r="AB758" s="471">
        <v>44538</v>
      </c>
      <c r="AC758" s="471">
        <v>46363</v>
      </c>
      <c r="AD758" s="472">
        <v>8790348007</v>
      </c>
      <c r="AE758" s="473" t="s">
        <v>7729</v>
      </c>
      <c r="AF758" s="97" t="s">
        <v>1805</v>
      </c>
      <c r="AG758" s="482" t="s">
        <v>7730</v>
      </c>
      <c r="AH758" s="181" t="s">
        <v>7731</v>
      </c>
      <c r="AI758" s="139" t="s">
        <v>7732</v>
      </c>
      <c r="AJ758" s="464">
        <v>920550346879</v>
      </c>
      <c r="AK758" s="97" t="s">
        <v>7733</v>
      </c>
      <c r="AL758" s="206">
        <v>45382</v>
      </c>
      <c r="AM758" s="477">
        <v>45327</v>
      </c>
      <c r="AN758" s="465" t="s">
        <v>1516</v>
      </c>
      <c r="AO758" s="97"/>
      <c r="AP758" s="58"/>
      <c r="AQ758" s="486"/>
      <c r="AR758" s="462"/>
      <c r="AS758" s="479">
        <v>0.33333333333333331</v>
      </c>
      <c r="AT758" s="479">
        <v>0.375</v>
      </c>
      <c r="AU758" s="461">
        <v>35072</v>
      </c>
      <c r="AV758" s="181" t="s">
        <v>1352</v>
      </c>
      <c r="AW758" s="31" t="s">
        <v>32</v>
      </c>
      <c r="AX758" s="139">
        <v>1</v>
      </c>
      <c r="AY758" s="58" t="s">
        <v>2006</v>
      </c>
      <c r="AZ758" s="58" t="s">
        <v>1390</v>
      </c>
      <c r="BA758" s="58" t="s">
        <v>151</v>
      </c>
      <c r="BB758" s="58" t="s">
        <v>1407</v>
      </c>
      <c r="BC758" s="58"/>
    </row>
    <row r="759" spans="1:55" x14ac:dyDescent="0.25">
      <c r="A759" s="10">
        <f t="shared" si="33"/>
        <v>758</v>
      </c>
      <c r="B759" s="181" t="s">
        <v>7734</v>
      </c>
      <c r="C759" s="592" t="s">
        <v>1407</v>
      </c>
      <c r="D759" s="457">
        <v>400532</v>
      </c>
      <c r="E759" s="181" t="s">
        <v>36</v>
      </c>
      <c r="F759" s="97" t="s">
        <v>7735</v>
      </c>
      <c r="G759" s="139">
        <v>6</v>
      </c>
      <c r="H759" s="458">
        <v>0.58333333333333337</v>
      </c>
      <c r="I759" s="458">
        <v>0.70833333333333337</v>
      </c>
      <c r="J759" s="458">
        <f>I759-H759</f>
        <v>0.125</v>
      </c>
      <c r="K759" s="58" t="s">
        <v>446</v>
      </c>
      <c r="L759" s="97" t="s">
        <v>6877</v>
      </c>
      <c r="M759" s="63" t="s">
        <v>1355</v>
      </c>
      <c r="N759" s="100" t="s">
        <v>1520</v>
      </c>
      <c r="O759" s="58" t="s">
        <v>5168</v>
      </c>
      <c r="P759" s="206">
        <v>44777</v>
      </c>
      <c r="Q759" s="460">
        <v>44777</v>
      </c>
      <c r="R759" s="460">
        <v>45507</v>
      </c>
      <c r="S759" s="461">
        <v>45508</v>
      </c>
      <c r="T759" s="139">
        <v>2016</v>
      </c>
      <c r="U759" s="139" t="s">
        <v>7736</v>
      </c>
      <c r="V759" s="139">
        <v>2020</v>
      </c>
      <c r="W759" s="139" t="s">
        <v>282</v>
      </c>
      <c r="X759" s="139" t="s">
        <v>30</v>
      </c>
      <c r="Y759" s="462" t="s">
        <v>30</v>
      </c>
      <c r="Z759" s="140" t="s">
        <v>7737</v>
      </c>
      <c r="AA759" s="140" t="s">
        <v>1841</v>
      </c>
      <c r="AB759" s="460">
        <v>44508</v>
      </c>
      <c r="AC759" s="460">
        <v>46333</v>
      </c>
      <c r="AD759" s="488">
        <v>9848808699</v>
      </c>
      <c r="AE759" s="140" t="s">
        <v>7738</v>
      </c>
      <c r="AF759" s="139" t="s">
        <v>5086</v>
      </c>
      <c r="AG759" s="463">
        <v>72204749022</v>
      </c>
      <c r="AH759" s="139" t="s">
        <v>7506</v>
      </c>
      <c r="AI759" s="139" t="s">
        <v>7739</v>
      </c>
      <c r="AJ759" s="464">
        <v>359925628390</v>
      </c>
      <c r="AK759" s="140" t="s">
        <v>7740</v>
      </c>
      <c r="AL759" s="206"/>
      <c r="AM759" s="477" t="s">
        <v>30</v>
      </c>
      <c r="AN759" s="490"/>
      <c r="AO759" s="140"/>
      <c r="AP759" s="139"/>
      <c r="AQ759" s="139"/>
      <c r="AR759" s="58"/>
      <c r="AS759" s="458"/>
      <c r="AT759" s="458"/>
      <c r="AU759" s="461">
        <v>34561</v>
      </c>
      <c r="AV759" s="181" t="s">
        <v>1389</v>
      </c>
      <c r="AW759" s="31" t="s">
        <v>32</v>
      </c>
      <c r="AX759" s="139">
        <v>3</v>
      </c>
      <c r="AY759" s="58" t="s">
        <v>1849</v>
      </c>
      <c r="AZ759" s="58" t="s">
        <v>1373</v>
      </c>
      <c r="BA759" s="58" t="s">
        <v>151</v>
      </c>
      <c r="BB759" s="58" t="s">
        <v>1407</v>
      </c>
      <c r="BC759" s="58"/>
    </row>
    <row r="760" spans="1:55" x14ac:dyDescent="0.25">
      <c r="A760" s="10">
        <f t="shared" si="33"/>
        <v>759</v>
      </c>
      <c r="B760" s="181" t="s">
        <v>7741</v>
      </c>
      <c r="C760" s="592" t="s">
        <v>1407</v>
      </c>
      <c r="D760" s="499">
        <v>401015</v>
      </c>
      <c r="E760" s="61" t="s">
        <v>36</v>
      </c>
      <c r="F760" s="97" t="s">
        <v>7742</v>
      </c>
      <c r="G760" s="61">
        <v>6</v>
      </c>
      <c r="H760" s="141">
        <v>0.375</v>
      </c>
      <c r="I760" s="141">
        <v>0.41666666666666669</v>
      </c>
      <c r="J760" s="458">
        <v>4.1666666666666664E-2</v>
      </c>
      <c r="K760" s="100" t="s">
        <v>961</v>
      </c>
      <c r="L760" s="63" t="s">
        <v>1424</v>
      </c>
      <c r="M760" s="97" t="s">
        <v>1376</v>
      </c>
      <c r="N760" s="58" t="s">
        <v>1393</v>
      </c>
      <c r="O760" s="100" t="s">
        <v>1424</v>
      </c>
      <c r="P760" s="338">
        <v>45467</v>
      </c>
      <c r="Q760" s="338">
        <v>45467</v>
      </c>
      <c r="R760" s="338">
        <v>46196</v>
      </c>
      <c r="S760" s="338">
        <v>46197</v>
      </c>
      <c r="T760" s="61">
        <v>2024</v>
      </c>
      <c r="U760" s="63" t="s">
        <v>7743</v>
      </c>
      <c r="V760" s="139" t="s">
        <v>1424</v>
      </c>
      <c r="W760" s="100" t="s">
        <v>1424</v>
      </c>
      <c r="X760" s="62" t="s">
        <v>1424</v>
      </c>
      <c r="Y760" s="100" t="s">
        <v>226</v>
      </c>
      <c r="Z760" s="99" t="s">
        <v>7744</v>
      </c>
      <c r="AA760" s="470" t="s">
        <v>1841</v>
      </c>
      <c r="AB760" s="451">
        <v>45462</v>
      </c>
      <c r="AC760" s="451">
        <v>47287</v>
      </c>
      <c r="AD760" s="304">
        <v>9100786307</v>
      </c>
      <c r="AE760" s="336" t="s">
        <v>7745</v>
      </c>
      <c r="AF760" s="500" t="s">
        <v>1805</v>
      </c>
      <c r="AG760" s="501">
        <v>133610100071430</v>
      </c>
      <c r="AH760" s="62" t="s">
        <v>7746</v>
      </c>
      <c r="AI760" s="61" t="s">
        <v>7747</v>
      </c>
      <c r="AJ760" s="493">
        <v>764509031793</v>
      </c>
      <c r="AK760" s="63" t="s">
        <v>7748</v>
      </c>
      <c r="AL760" s="206">
        <v>45500</v>
      </c>
      <c r="AM760" s="477">
        <v>45502</v>
      </c>
      <c r="AN760" s="502" t="s">
        <v>4891</v>
      </c>
      <c r="AO760" s="140" t="s">
        <v>7749</v>
      </c>
      <c r="AP760" s="100"/>
      <c r="AQ760" s="63" t="s">
        <v>7749</v>
      </c>
      <c r="AR760" s="462"/>
      <c r="AS760" s="479"/>
      <c r="AT760" s="479"/>
      <c r="AU760" s="338">
        <v>36847</v>
      </c>
      <c r="AV760" s="61" t="s">
        <v>1352</v>
      </c>
      <c r="AW760" s="31" t="s">
        <v>32</v>
      </c>
      <c r="AX760" s="139">
        <v>1</v>
      </c>
      <c r="AY760" s="58" t="s">
        <v>1849</v>
      </c>
      <c r="AZ760" s="58" t="s">
        <v>1390</v>
      </c>
      <c r="BA760" s="58" t="s">
        <v>151</v>
      </c>
      <c r="BB760" s="58" t="s">
        <v>1407</v>
      </c>
      <c r="BC760" s="58"/>
    </row>
    <row r="761" spans="1:55" x14ac:dyDescent="0.25">
      <c r="A761" s="10">
        <f t="shared" si="33"/>
        <v>760</v>
      </c>
      <c r="B761" s="181" t="s">
        <v>7750</v>
      </c>
      <c r="C761" s="592" t="s">
        <v>1407</v>
      </c>
      <c r="D761" s="457">
        <v>400534</v>
      </c>
      <c r="E761" s="181" t="s">
        <v>36</v>
      </c>
      <c r="F761" s="97" t="s">
        <v>7751</v>
      </c>
      <c r="G761" s="139">
        <v>6</v>
      </c>
      <c r="H761" s="458">
        <v>0.41666666666666669</v>
      </c>
      <c r="I761" s="458">
        <v>0.54166666666666663</v>
      </c>
      <c r="J761" s="458">
        <f>I761-H761</f>
        <v>0.12499999999999994</v>
      </c>
      <c r="K761" s="35" t="s">
        <v>1884</v>
      </c>
      <c r="L761" s="97" t="s">
        <v>7752</v>
      </c>
      <c r="M761" s="97" t="s">
        <v>26</v>
      </c>
      <c r="N761" s="58" t="s">
        <v>38</v>
      </c>
      <c r="O761" s="58" t="s">
        <v>5076</v>
      </c>
      <c r="P761" s="206">
        <v>44777</v>
      </c>
      <c r="Q761" s="460">
        <v>44777</v>
      </c>
      <c r="R761" s="460">
        <v>45507</v>
      </c>
      <c r="S761" s="461">
        <v>45508</v>
      </c>
      <c r="T761" s="139">
        <v>2012</v>
      </c>
      <c r="U761" s="139" t="s">
        <v>2388</v>
      </c>
      <c r="V761" s="139">
        <v>2020</v>
      </c>
      <c r="W761" s="139" t="s">
        <v>2388</v>
      </c>
      <c r="X761" s="139" t="s">
        <v>30</v>
      </c>
      <c r="Y761" s="462" t="s">
        <v>1611</v>
      </c>
      <c r="Z761" s="140" t="s">
        <v>7753</v>
      </c>
      <c r="AA761" s="140" t="s">
        <v>1886</v>
      </c>
      <c r="AB761" s="460">
        <v>44118</v>
      </c>
      <c r="AC761" s="460">
        <v>45943</v>
      </c>
      <c r="AD761" s="488">
        <v>8978492182</v>
      </c>
      <c r="AE761" s="140" t="s">
        <v>7754</v>
      </c>
      <c r="AF761" s="139" t="s">
        <v>5055</v>
      </c>
      <c r="AG761" s="463" t="s">
        <v>7755</v>
      </c>
      <c r="AH761" s="139" t="s">
        <v>7756</v>
      </c>
      <c r="AI761" s="139" t="s">
        <v>7757</v>
      </c>
      <c r="AJ761" s="464">
        <v>221636668714</v>
      </c>
      <c r="AK761" s="140" t="s">
        <v>7758</v>
      </c>
      <c r="AL761" s="461">
        <v>45203</v>
      </c>
      <c r="AM761" s="477" t="s">
        <v>30</v>
      </c>
      <c r="AN761" s="490"/>
      <c r="AO761" s="140"/>
      <c r="AP761" s="139"/>
      <c r="AQ761" s="139"/>
      <c r="AR761" s="58"/>
      <c r="AS761" s="458"/>
      <c r="AT761" s="458"/>
      <c r="AU761" s="461">
        <v>32635</v>
      </c>
      <c r="AV761" s="181" t="s">
        <v>1389</v>
      </c>
      <c r="AW761" s="31" t="s">
        <v>32</v>
      </c>
      <c r="AX761" s="139">
        <v>3</v>
      </c>
      <c r="AY761" s="58" t="s">
        <v>1895</v>
      </c>
      <c r="AZ761" s="58" t="s">
        <v>26</v>
      </c>
      <c r="BA761" s="58" t="s">
        <v>151</v>
      </c>
      <c r="BB761" s="58" t="s">
        <v>1407</v>
      </c>
      <c r="BC761" s="58"/>
    </row>
    <row r="762" spans="1:55" x14ac:dyDescent="0.25">
      <c r="A762" s="10">
        <f t="shared" si="33"/>
        <v>761</v>
      </c>
      <c r="B762" s="181"/>
      <c r="C762" s="592" t="s">
        <v>1407</v>
      </c>
      <c r="D762" s="457">
        <v>400535</v>
      </c>
      <c r="E762" s="181" t="s">
        <v>36</v>
      </c>
      <c r="F762" s="97" t="s">
        <v>7759</v>
      </c>
      <c r="G762" s="139">
        <v>6</v>
      </c>
      <c r="H762" s="458">
        <v>0.33333333333333331</v>
      </c>
      <c r="I762" s="458">
        <v>0.58333333333333337</v>
      </c>
      <c r="J762" s="458">
        <f>I762-H762</f>
        <v>0.25000000000000006</v>
      </c>
      <c r="K762" s="43" t="s">
        <v>1282</v>
      </c>
      <c r="L762" s="97" t="s">
        <v>7760</v>
      </c>
      <c r="M762" s="97" t="s">
        <v>26</v>
      </c>
      <c r="N762" s="58" t="s">
        <v>38</v>
      </c>
      <c r="O762" s="58" t="s">
        <v>5076</v>
      </c>
      <c r="P762" s="206">
        <v>44784</v>
      </c>
      <c r="Q762" s="460">
        <v>44784</v>
      </c>
      <c r="R762" s="460">
        <v>45514</v>
      </c>
      <c r="S762" s="461">
        <v>45515</v>
      </c>
      <c r="T762" s="139">
        <v>2014</v>
      </c>
      <c r="U762" s="139" t="s">
        <v>7761</v>
      </c>
      <c r="V762" s="139">
        <v>2022</v>
      </c>
      <c r="W762" s="139" t="s">
        <v>7762</v>
      </c>
      <c r="X762" s="139" t="s">
        <v>30</v>
      </c>
      <c r="Y762" s="462" t="s">
        <v>1611</v>
      </c>
      <c r="Z762" s="140" t="s">
        <v>7763</v>
      </c>
      <c r="AA762" s="140" t="s">
        <v>1841</v>
      </c>
      <c r="AB762" s="460">
        <v>44770</v>
      </c>
      <c r="AC762" s="460">
        <v>46595</v>
      </c>
      <c r="AD762" s="139">
        <v>9550334516</v>
      </c>
      <c r="AE762" s="467" t="s">
        <v>7764</v>
      </c>
      <c r="AF762" s="139"/>
      <c r="AG762" s="463"/>
      <c r="AH762" s="139"/>
      <c r="AI762" s="139" t="s">
        <v>7765</v>
      </c>
      <c r="AJ762" s="464">
        <v>793674364360</v>
      </c>
      <c r="AK762" s="140" t="s">
        <v>7766</v>
      </c>
      <c r="AL762" s="461" t="s">
        <v>30</v>
      </c>
      <c r="AM762" s="477" t="s">
        <v>30</v>
      </c>
      <c r="AN762" s="490"/>
      <c r="AO762" s="140"/>
      <c r="AP762" s="139"/>
      <c r="AQ762" s="139"/>
      <c r="AR762" s="181"/>
      <c r="AS762" s="458"/>
      <c r="AT762" s="458"/>
      <c r="AU762" s="461">
        <v>33369</v>
      </c>
      <c r="AV762" s="181" t="s">
        <v>1389</v>
      </c>
      <c r="AW762" s="31" t="s">
        <v>32</v>
      </c>
      <c r="AX762" s="139">
        <v>6</v>
      </c>
      <c r="AY762" s="58" t="s">
        <v>1968</v>
      </c>
      <c r="AZ762" s="58" t="s">
        <v>26</v>
      </c>
      <c r="BA762" s="58" t="s">
        <v>151</v>
      </c>
      <c r="BB762" s="58" t="s">
        <v>1407</v>
      </c>
      <c r="BC762" s="58"/>
    </row>
    <row r="763" spans="1:55" x14ac:dyDescent="0.25">
      <c r="A763" s="10">
        <f t="shared" si="33"/>
        <v>762</v>
      </c>
      <c r="B763" s="181" t="s">
        <v>7767</v>
      </c>
      <c r="C763" s="592" t="s">
        <v>1407</v>
      </c>
      <c r="D763" s="457">
        <v>400863</v>
      </c>
      <c r="E763" s="181" t="s">
        <v>36</v>
      </c>
      <c r="F763" s="97" t="s">
        <v>7768</v>
      </c>
      <c r="G763" s="139">
        <v>6</v>
      </c>
      <c r="H763" s="469" t="s">
        <v>948</v>
      </c>
      <c r="I763" s="469" t="s">
        <v>5702</v>
      </c>
      <c r="J763" s="458">
        <f>I763-H763</f>
        <v>8.333333333333337E-2</v>
      </c>
      <c r="K763" s="58" t="s">
        <v>826</v>
      </c>
      <c r="L763" s="97" t="s">
        <v>1424</v>
      </c>
      <c r="M763" s="97" t="s">
        <v>1544</v>
      </c>
      <c r="N763" s="58" t="s">
        <v>1992</v>
      </c>
      <c r="O763" s="58" t="s">
        <v>6947</v>
      </c>
      <c r="P763" s="206">
        <v>45215</v>
      </c>
      <c r="Q763" s="206">
        <v>45215</v>
      </c>
      <c r="R763" s="206">
        <v>45945</v>
      </c>
      <c r="S763" s="461">
        <v>45946</v>
      </c>
      <c r="T763" s="139">
        <v>2013</v>
      </c>
      <c r="U763" s="181" t="s">
        <v>7769</v>
      </c>
      <c r="V763" s="139">
        <v>2018</v>
      </c>
      <c r="W763" s="140" t="s">
        <v>7770</v>
      </c>
      <c r="X763" s="181" t="s">
        <v>30</v>
      </c>
      <c r="Y763" s="58" t="s">
        <v>5066</v>
      </c>
      <c r="Z763" s="140">
        <v>86325</v>
      </c>
      <c r="AA763" s="470" t="s">
        <v>2242</v>
      </c>
      <c r="AB763" s="471">
        <v>45194</v>
      </c>
      <c r="AC763" s="471">
        <v>47020</v>
      </c>
      <c r="AD763" s="472">
        <v>8978745545</v>
      </c>
      <c r="AE763" s="473" t="s">
        <v>7771</v>
      </c>
      <c r="AF763" s="474" t="s">
        <v>1690</v>
      </c>
      <c r="AG763" s="481" t="s">
        <v>7772</v>
      </c>
      <c r="AH763" s="181" t="s">
        <v>7773</v>
      </c>
      <c r="AI763" s="139" t="s">
        <v>7774</v>
      </c>
      <c r="AJ763" s="476">
        <v>868509258318</v>
      </c>
      <c r="AK763" s="470"/>
      <c r="AL763" s="206">
        <v>45504</v>
      </c>
      <c r="AM763" s="477">
        <v>45510</v>
      </c>
      <c r="AN763" s="478" t="s">
        <v>1516</v>
      </c>
      <c r="AO763" s="140" t="s">
        <v>7775</v>
      </c>
      <c r="AP763" s="58"/>
      <c r="AQ763" s="97" t="s">
        <v>7775</v>
      </c>
      <c r="AR763" s="462"/>
      <c r="AS763" s="479">
        <v>0.75</v>
      </c>
      <c r="AT763" s="479">
        <v>0.83333333333333337</v>
      </c>
      <c r="AU763" s="480">
        <v>32417</v>
      </c>
      <c r="AV763" s="181" t="s">
        <v>1389</v>
      </c>
      <c r="AW763" s="31" t="s">
        <v>32</v>
      </c>
      <c r="AX763" s="139">
        <v>2</v>
      </c>
      <c r="AY763" s="58" t="s">
        <v>2251</v>
      </c>
      <c r="AZ763" s="58" t="s">
        <v>1373</v>
      </c>
      <c r="BA763" s="58" t="s">
        <v>151</v>
      </c>
      <c r="BB763" s="58" t="s">
        <v>1407</v>
      </c>
      <c r="BC763" s="58"/>
    </row>
    <row r="764" spans="1:55" x14ac:dyDescent="0.25">
      <c r="A764" s="10">
        <f t="shared" si="33"/>
        <v>763</v>
      </c>
      <c r="B764" s="181" t="s">
        <v>7776</v>
      </c>
      <c r="C764" s="592" t="s">
        <v>1407</v>
      </c>
      <c r="D764" s="457">
        <v>400536</v>
      </c>
      <c r="E764" s="181" t="s">
        <v>36</v>
      </c>
      <c r="F764" s="97" t="s">
        <v>7777</v>
      </c>
      <c r="G764" s="139">
        <v>6</v>
      </c>
      <c r="H764" s="458">
        <v>0.375</v>
      </c>
      <c r="I764" s="458">
        <v>0.41666666666666669</v>
      </c>
      <c r="J764" s="458">
        <v>4.1666666666666664E-2</v>
      </c>
      <c r="K764" s="143" t="s">
        <v>1266</v>
      </c>
      <c r="L764" s="97" t="s">
        <v>1376</v>
      </c>
      <c r="M764" s="97" t="s">
        <v>1376</v>
      </c>
      <c r="N764" s="58" t="s">
        <v>1393</v>
      </c>
      <c r="O764" s="58"/>
      <c r="P764" s="206">
        <v>44784</v>
      </c>
      <c r="Q764" s="460">
        <v>44784</v>
      </c>
      <c r="R764" s="460">
        <v>45514</v>
      </c>
      <c r="S764" s="461">
        <v>45515</v>
      </c>
      <c r="T764" s="139">
        <v>2021</v>
      </c>
      <c r="U764" s="139" t="s">
        <v>7699</v>
      </c>
      <c r="V764" s="139"/>
      <c r="W764" s="139" t="s">
        <v>30</v>
      </c>
      <c r="X764" s="139" t="s">
        <v>30</v>
      </c>
      <c r="Y764" s="462" t="s">
        <v>30</v>
      </c>
      <c r="Z764" s="140" t="s">
        <v>7778</v>
      </c>
      <c r="AA764" s="140" t="s">
        <v>1841</v>
      </c>
      <c r="AB764" s="460">
        <v>44308</v>
      </c>
      <c r="AC764" s="460">
        <v>46134</v>
      </c>
      <c r="AD764" s="139">
        <v>7386369553</v>
      </c>
      <c r="AE764" s="140" t="s">
        <v>7779</v>
      </c>
      <c r="AF764" s="139" t="s">
        <v>1495</v>
      </c>
      <c r="AG764" s="463">
        <v>33876224351</v>
      </c>
      <c r="AH764" s="139" t="s">
        <v>2055</v>
      </c>
      <c r="AI764" s="139" t="s">
        <v>7780</v>
      </c>
      <c r="AJ764" s="464">
        <v>289158442193</v>
      </c>
      <c r="AK764" s="140" t="s">
        <v>7781</v>
      </c>
      <c r="AL764" s="206">
        <v>44819</v>
      </c>
      <c r="AM764" s="477" t="s">
        <v>30</v>
      </c>
      <c r="AN764" s="490"/>
      <c r="AO764" s="140"/>
      <c r="AP764" s="139"/>
      <c r="AQ764" s="139"/>
      <c r="AR764" s="181"/>
      <c r="AS764" s="458"/>
      <c r="AT764" s="458"/>
      <c r="AU764" s="461">
        <v>34937</v>
      </c>
      <c r="AV764" s="181" t="s">
        <v>1389</v>
      </c>
      <c r="AW764" s="31" t="s">
        <v>32</v>
      </c>
      <c r="AX764" s="139">
        <v>1</v>
      </c>
      <c r="AY764" s="58" t="s">
        <v>1904</v>
      </c>
      <c r="AZ764" s="58" t="s">
        <v>1390</v>
      </c>
      <c r="BA764" s="58" t="s">
        <v>151</v>
      </c>
      <c r="BB764" s="58" t="s">
        <v>1407</v>
      </c>
      <c r="BC764" s="58"/>
    </row>
    <row r="765" spans="1:55" x14ac:dyDescent="0.25">
      <c r="A765" s="10">
        <f t="shared" si="33"/>
        <v>764</v>
      </c>
      <c r="B765" s="181" t="s">
        <v>7782</v>
      </c>
      <c r="C765" s="592" t="s">
        <v>1407</v>
      </c>
      <c r="D765" s="457">
        <v>400537</v>
      </c>
      <c r="E765" s="181" t="s">
        <v>36</v>
      </c>
      <c r="F765" s="97" t="s">
        <v>7783</v>
      </c>
      <c r="G765" s="139">
        <v>6</v>
      </c>
      <c r="H765" s="458">
        <v>0.38541666666666669</v>
      </c>
      <c r="I765" s="458">
        <v>0.42708333333333331</v>
      </c>
      <c r="J765" s="458">
        <v>4.1666666666666664E-2</v>
      </c>
      <c r="K765" s="58" t="s">
        <v>663</v>
      </c>
      <c r="L765" s="97" t="s">
        <v>1376</v>
      </c>
      <c r="M765" s="97" t="s">
        <v>1376</v>
      </c>
      <c r="N765" s="58" t="s">
        <v>1393</v>
      </c>
      <c r="O765" s="58" t="s">
        <v>3290</v>
      </c>
      <c r="P765" s="206">
        <v>44786</v>
      </c>
      <c r="Q765" s="460">
        <v>44786</v>
      </c>
      <c r="R765" s="460">
        <v>45516</v>
      </c>
      <c r="S765" s="461">
        <v>45515</v>
      </c>
      <c r="T765" s="139">
        <v>2020</v>
      </c>
      <c r="U765" s="139" t="s">
        <v>7784</v>
      </c>
      <c r="V765" s="139"/>
      <c r="W765" s="139"/>
      <c r="X765" s="139" t="s">
        <v>30</v>
      </c>
      <c r="Y765" s="462" t="s">
        <v>30</v>
      </c>
      <c r="Z765" s="140" t="s">
        <v>7785</v>
      </c>
      <c r="AA765" s="140" t="s">
        <v>1841</v>
      </c>
      <c r="AB765" s="460">
        <v>44737</v>
      </c>
      <c r="AC765" s="460">
        <v>45467</v>
      </c>
      <c r="AD765" s="139">
        <v>7799090050</v>
      </c>
      <c r="AE765" s="467" t="s">
        <v>7786</v>
      </c>
      <c r="AF765" s="139" t="s">
        <v>1495</v>
      </c>
      <c r="AG765" s="463">
        <v>33017438146</v>
      </c>
      <c r="AH765" s="139" t="s">
        <v>7787</v>
      </c>
      <c r="AI765" s="139" t="s">
        <v>7788</v>
      </c>
      <c r="AJ765" s="464">
        <v>860641654677</v>
      </c>
      <c r="AK765" s="140" t="s">
        <v>7789</v>
      </c>
      <c r="AL765" s="206" t="s">
        <v>30</v>
      </c>
      <c r="AM765" s="477" t="s">
        <v>30</v>
      </c>
      <c r="AN765" s="490"/>
      <c r="AO765" s="140"/>
      <c r="AP765" s="139"/>
      <c r="AQ765" s="139"/>
      <c r="AR765" s="181"/>
      <c r="AS765" s="458"/>
      <c r="AT765" s="458"/>
      <c r="AU765" s="461">
        <v>34496</v>
      </c>
      <c r="AV765" s="181" t="s">
        <v>1352</v>
      </c>
      <c r="AW765" s="31" t="s">
        <v>32</v>
      </c>
      <c r="AX765" s="139">
        <v>1</v>
      </c>
      <c r="AY765" s="58" t="s">
        <v>1904</v>
      </c>
      <c r="AZ765" s="58" t="s">
        <v>1390</v>
      </c>
      <c r="BA765" s="58" t="s">
        <v>151</v>
      </c>
      <c r="BB765" s="58" t="s">
        <v>1407</v>
      </c>
      <c r="BC765" s="58"/>
    </row>
    <row r="766" spans="1:55" x14ac:dyDescent="0.25">
      <c r="A766" s="10">
        <f t="shared" si="33"/>
        <v>765</v>
      </c>
      <c r="B766" s="181" t="s">
        <v>7790</v>
      </c>
      <c r="C766" s="592" t="s">
        <v>1407</v>
      </c>
      <c r="D766" s="457">
        <v>400539</v>
      </c>
      <c r="E766" s="181" t="s">
        <v>36</v>
      </c>
      <c r="F766" s="97" t="s">
        <v>7791</v>
      </c>
      <c r="G766" s="139">
        <v>6</v>
      </c>
      <c r="H766" s="458">
        <v>0.33333333333333331</v>
      </c>
      <c r="I766" s="458">
        <v>0.54166666666666663</v>
      </c>
      <c r="J766" s="458">
        <f>I766-H766</f>
        <v>0.20833333333333331</v>
      </c>
      <c r="K766" s="143" t="s">
        <v>7792</v>
      </c>
      <c r="L766" s="97" t="s">
        <v>7793</v>
      </c>
      <c r="M766" s="97" t="s">
        <v>26</v>
      </c>
      <c r="N766" s="58" t="s">
        <v>38</v>
      </c>
      <c r="O766" s="58" t="s">
        <v>7182</v>
      </c>
      <c r="P766" s="206">
        <v>44795</v>
      </c>
      <c r="Q766" s="460">
        <v>44795</v>
      </c>
      <c r="R766" s="460">
        <v>45525</v>
      </c>
      <c r="S766" s="461">
        <v>45526</v>
      </c>
      <c r="T766" s="139">
        <v>2017</v>
      </c>
      <c r="U766" s="139" t="s">
        <v>7794</v>
      </c>
      <c r="V766" s="139">
        <v>2022</v>
      </c>
      <c r="W766" s="139" t="s">
        <v>7795</v>
      </c>
      <c r="X766" s="139" t="s">
        <v>30</v>
      </c>
      <c r="Y766" s="462" t="s">
        <v>30</v>
      </c>
      <c r="Z766" s="140" t="s">
        <v>7796</v>
      </c>
      <c r="AA766" s="140" t="s">
        <v>1841</v>
      </c>
      <c r="AB766" s="460">
        <v>43021</v>
      </c>
      <c r="AC766" s="460">
        <v>44847</v>
      </c>
      <c r="AD766" s="139">
        <v>8367310728</v>
      </c>
      <c r="AE766" s="467" t="s">
        <v>7797</v>
      </c>
      <c r="AF766" s="139" t="s">
        <v>7798</v>
      </c>
      <c r="AG766" s="491" t="s">
        <v>7799</v>
      </c>
      <c r="AH766" s="139" t="s">
        <v>7800</v>
      </c>
      <c r="AI766" s="139" t="s">
        <v>7801</v>
      </c>
      <c r="AJ766" s="464">
        <v>518994650180</v>
      </c>
      <c r="AK766" s="140" t="s">
        <v>7802</v>
      </c>
      <c r="AL766" s="461">
        <v>44883</v>
      </c>
      <c r="AM766" s="477">
        <v>44823</v>
      </c>
      <c r="AN766" s="465"/>
      <c r="AO766" s="140"/>
      <c r="AP766" s="139"/>
      <c r="AQ766" s="139"/>
      <c r="AR766" s="181"/>
      <c r="AS766" s="458"/>
      <c r="AT766" s="458"/>
      <c r="AU766" s="461">
        <v>33319</v>
      </c>
      <c r="AV766" s="181" t="s">
        <v>1389</v>
      </c>
      <c r="AW766" s="31" t="s">
        <v>32</v>
      </c>
      <c r="AX766" s="139">
        <v>5</v>
      </c>
      <c r="AY766" s="58" t="s">
        <v>1881</v>
      </c>
      <c r="AZ766" s="58" t="s">
        <v>26</v>
      </c>
      <c r="BA766" s="58" t="s">
        <v>151</v>
      </c>
      <c r="BB766" s="58" t="s">
        <v>1407</v>
      </c>
      <c r="BC766" s="58"/>
    </row>
    <row r="767" spans="1:55" x14ac:dyDescent="0.25">
      <c r="A767" s="10">
        <f t="shared" si="33"/>
        <v>766</v>
      </c>
      <c r="B767" s="181" t="s">
        <v>7782</v>
      </c>
      <c r="C767" s="592" t="s">
        <v>1407</v>
      </c>
      <c r="D767" s="457">
        <v>400540</v>
      </c>
      <c r="E767" s="181" t="s">
        <v>36</v>
      </c>
      <c r="F767" s="97" t="s">
        <v>7783</v>
      </c>
      <c r="G767" s="139">
        <v>6</v>
      </c>
      <c r="H767" s="458">
        <v>0.33333333333333331</v>
      </c>
      <c r="I767" s="458">
        <v>0.375</v>
      </c>
      <c r="J767" s="458">
        <v>4.1666666666666664E-2</v>
      </c>
      <c r="K767" s="143" t="s">
        <v>538</v>
      </c>
      <c r="L767" s="97" t="s">
        <v>1376</v>
      </c>
      <c r="M767" s="97" t="s">
        <v>1376</v>
      </c>
      <c r="N767" s="58" t="s">
        <v>1393</v>
      </c>
      <c r="O767" s="58" t="s">
        <v>3290</v>
      </c>
      <c r="P767" s="206">
        <v>44792</v>
      </c>
      <c r="Q767" s="460">
        <v>44792</v>
      </c>
      <c r="R767" s="460">
        <v>45522</v>
      </c>
      <c r="S767" s="461">
        <v>45523</v>
      </c>
      <c r="T767" s="139">
        <v>2020</v>
      </c>
      <c r="U767" s="139" t="s">
        <v>7803</v>
      </c>
      <c r="V767" s="139"/>
      <c r="W767" s="139"/>
      <c r="X767" s="139" t="s">
        <v>30</v>
      </c>
      <c r="Y767" s="462" t="s">
        <v>30</v>
      </c>
      <c r="Z767" s="140" t="s">
        <v>7785</v>
      </c>
      <c r="AA767" s="140" t="s">
        <v>1841</v>
      </c>
      <c r="AB767" s="460">
        <v>44737</v>
      </c>
      <c r="AC767" s="460">
        <v>45467</v>
      </c>
      <c r="AD767" s="139">
        <v>7799090050</v>
      </c>
      <c r="AE767" s="467" t="s">
        <v>7786</v>
      </c>
      <c r="AF767" s="139" t="s">
        <v>1495</v>
      </c>
      <c r="AG767" s="463">
        <v>33017438146</v>
      </c>
      <c r="AH767" s="139" t="s">
        <v>7787</v>
      </c>
      <c r="AI767" s="139" t="s">
        <v>7788</v>
      </c>
      <c r="AJ767" s="464">
        <v>860641654677</v>
      </c>
      <c r="AK767" s="140" t="s">
        <v>7789</v>
      </c>
      <c r="AL767" s="206" t="s">
        <v>30</v>
      </c>
      <c r="AM767" s="477" t="s">
        <v>30</v>
      </c>
      <c r="AN767" s="490"/>
      <c r="AO767" s="140"/>
      <c r="AP767" s="139"/>
      <c r="AQ767" s="139"/>
      <c r="AR767" s="181"/>
      <c r="AS767" s="458"/>
      <c r="AT767" s="458"/>
      <c r="AU767" s="461">
        <v>34496</v>
      </c>
      <c r="AV767" s="181" t="s">
        <v>1352</v>
      </c>
      <c r="AW767" s="31" t="s">
        <v>32</v>
      </c>
      <c r="AX767" s="139">
        <v>1</v>
      </c>
      <c r="AY767" s="58" t="s">
        <v>1904</v>
      </c>
      <c r="AZ767" s="58" t="s">
        <v>1390</v>
      </c>
      <c r="BA767" s="58" t="s">
        <v>151</v>
      </c>
      <c r="BB767" s="58" t="s">
        <v>1407</v>
      </c>
      <c r="BC767" s="58"/>
    </row>
    <row r="768" spans="1:55" x14ac:dyDescent="0.25">
      <c r="A768" s="10">
        <f t="shared" si="33"/>
        <v>767</v>
      </c>
      <c r="B768" s="181" t="s">
        <v>7804</v>
      </c>
      <c r="C768" s="592" t="s">
        <v>1407</v>
      </c>
      <c r="D768" s="457">
        <v>400541</v>
      </c>
      <c r="E768" s="181" t="s">
        <v>36</v>
      </c>
      <c r="F768" s="97" t="s">
        <v>7805</v>
      </c>
      <c r="G768" s="139">
        <v>6</v>
      </c>
      <c r="H768" s="458">
        <v>0.375</v>
      </c>
      <c r="I768" s="458">
        <v>0.45833333333333331</v>
      </c>
      <c r="J768" s="458">
        <f>I768-H768</f>
        <v>8.3333333333333315E-2</v>
      </c>
      <c r="K768" s="143" t="s">
        <v>220</v>
      </c>
      <c r="L768" s="97" t="s">
        <v>1376</v>
      </c>
      <c r="M768" s="97" t="s">
        <v>1376</v>
      </c>
      <c r="N768" s="58" t="s">
        <v>1393</v>
      </c>
      <c r="O768" s="58" t="s">
        <v>3290</v>
      </c>
      <c r="P768" s="206">
        <v>44798</v>
      </c>
      <c r="Q768" s="460">
        <v>44798</v>
      </c>
      <c r="R768" s="460">
        <v>45528</v>
      </c>
      <c r="S768" s="461">
        <v>45527</v>
      </c>
      <c r="T768" s="139">
        <v>2020</v>
      </c>
      <c r="U768" s="139" t="s">
        <v>7806</v>
      </c>
      <c r="V768" s="139"/>
      <c r="W768" s="139"/>
      <c r="X768" s="139" t="s">
        <v>30</v>
      </c>
      <c r="Y768" s="462" t="s">
        <v>30</v>
      </c>
      <c r="Z768" s="140" t="s">
        <v>7807</v>
      </c>
      <c r="AA768" s="140" t="s">
        <v>1841</v>
      </c>
      <c r="AB768" s="460">
        <v>43872</v>
      </c>
      <c r="AC768" s="460">
        <v>45699</v>
      </c>
      <c r="AD768" s="139">
        <v>9849973366</v>
      </c>
      <c r="AE768" s="467" t="s">
        <v>7808</v>
      </c>
      <c r="AF768" s="139" t="s">
        <v>7809</v>
      </c>
      <c r="AG768" s="463" t="s">
        <v>7810</v>
      </c>
      <c r="AH768" s="139" t="s">
        <v>7811</v>
      </c>
      <c r="AI768" s="139" t="s">
        <v>7812</v>
      </c>
      <c r="AJ768" s="464">
        <v>41166651563</v>
      </c>
      <c r="AK768" s="140" t="s">
        <v>7813</v>
      </c>
      <c r="AL768" s="206" t="s">
        <v>30</v>
      </c>
      <c r="AM768" s="477" t="s">
        <v>30</v>
      </c>
      <c r="AN768" s="490"/>
      <c r="AO768" s="140"/>
      <c r="AP768" s="139"/>
      <c r="AQ768" s="139"/>
      <c r="AR768" s="181"/>
      <c r="AS768" s="458"/>
      <c r="AT768" s="458"/>
      <c r="AU768" s="461">
        <v>34512</v>
      </c>
      <c r="AV768" s="181" t="s">
        <v>1389</v>
      </c>
      <c r="AW768" s="31" t="s">
        <v>32</v>
      </c>
      <c r="AX768" s="139">
        <v>2</v>
      </c>
      <c r="AY768" s="58" t="s">
        <v>2006</v>
      </c>
      <c r="AZ768" s="58" t="s">
        <v>1390</v>
      </c>
      <c r="BA768" s="58" t="s">
        <v>151</v>
      </c>
      <c r="BB768" s="58" t="s">
        <v>1407</v>
      </c>
      <c r="BC768" s="58"/>
    </row>
    <row r="769" spans="1:55" x14ac:dyDescent="0.25">
      <c r="A769" s="10">
        <f t="shared" si="33"/>
        <v>768</v>
      </c>
      <c r="B769" s="181" t="s">
        <v>7814</v>
      </c>
      <c r="C769" s="592" t="s">
        <v>1407</v>
      </c>
      <c r="D769" s="457">
        <v>400542</v>
      </c>
      <c r="E769" s="181" t="s">
        <v>36</v>
      </c>
      <c r="F769" s="97" t="s">
        <v>7815</v>
      </c>
      <c r="G769" s="139">
        <v>6</v>
      </c>
      <c r="H769" s="458">
        <v>0.33333333333333331</v>
      </c>
      <c r="I769" s="458">
        <v>0.375</v>
      </c>
      <c r="J769" s="458">
        <v>4.1666666666666664E-2</v>
      </c>
      <c r="K769" s="100" t="s">
        <v>174</v>
      </c>
      <c r="L769" s="97" t="s">
        <v>1376</v>
      </c>
      <c r="M769" s="97" t="s">
        <v>1376</v>
      </c>
      <c r="N769" s="58" t="s">
        <v>1393</v>
      </c>
      <c r="O769" s="58" t="s">
        <v>3290</v>
      </c>
      <c r="P769" s="206">
        <v>44806</v>
      </c>
      <c r="Q769" s="460">
        <v>44806</v>
      </c>
      <c r="R769" s="460">
        <v>45536</v>
      </c>
      <c r="S769" s="461">
        <v>45537</v>
      </c>
      <c r="T769" s="139">
        <v>2019</v>
      </c>
      <c r="U769" s="139" t="s">
        <v>7816</v>
      </c>
      <c r="V769" s="139" t="s">
        <v>30</v>
      </c>
      <c r="W769" s="139" t="s">
        <v>30</v>
      </c>
      <c r="X769" s="139" t="s">
        <v>30</v>
      </c>
      <c r="Y769" s="462" t="s">
        <v>30</v>
      </c>
      <c r="Z769" s="140" t="s">
        <v>7817</v>
      </c>
      <c r="AA769" s="140" t="s">
        <v>1841</v>
      </c>
      <c r="AB769" s="460">
        <v>43755</v>
      </c>
      <c r="AC769" s="460">
        <v>45582</v>
      </c>
      <c r="AD769" s="139">
        <v>9676877672</v>
      </c>
      <c r="AE769" s="467" t="s">
        <v>7818</v>
      </c>
      <c r="AF769" s="139" t="s">
        <v>7819</v>
      </c>
      <c r="AG769" s="463">
        <v>31266823895</v>
      </c>
      <c r="AH769" s="139" t="s">
        <v>6745</v>
      </c>
      <c r="AI769" s="139" t="s">
        <v>7820</v>
      </c>
      <c r="AJ769" s="464">
        <v>299581027429</v>
      </c>
      <c r="AK769" s="140" t="s">
        <v>7821</v>
      </c>
      <c r="AL769" s="206"/>
      <c r="AM769" s="477"/>
      <c r="AN769" s="465"/>
      <c r="AO769" s="140"/>
      <c r="AP769" s="139"/>
      <c r="AQ769" s="139"/>
      <c r="AR769" s="181"/>
      <c r="AS769" s="458"/>
      <c r="AT769" s="458"/>
      <c r="AU769" s="461">
        <v>34998</v>
      </c>
      <c r="AV769" s="181" t="s">
        <v>1389</v>
      </c>
      <c r="AW769" s="31" t="s">
        <v>32</v>
      </c>
      <c r="AX769" s="139">
        <v>1</v>
      </c>
      <c r="AY769" s="58" t="s">
        <v>1849</v>
      </c>
      <c r="AZ769" s="58" t="s">
        <v>1390</v>
      </c>
      <c r="BA769" s="58" t="s">
        <v>151</v>
      </c>
      <c r="BB769" s="58" t="s">
        <v>1407</v>
      </c>
      <c r="BC769" s="58"/>
    </row>
    <row r="770" spans="1:55" x14ac:dyDescent="0.25">
      <c r="A770" s="10">
        <f t="shared" si="33"/>
        <v>769</v>
      </c>
      <c r="B770" s="181" t="s">
        <v>7822</v>
      </c>
      <c r="C770" s="592" t="s">
        <v>1407</v>
      </c>
      <c r="D770" s="457">
        <v>400545</v>
      </c>
      <c r="E770" s="181" t="s">
        <v>36</v>
      </c>
      <c r="F770" s="97" t="s">
        <v>7823</v>
      </c>
      <c r="G770" s="139">
        <v>6</v>
      </c>
      <c r="H770" s="458">
        <v>0.35416666666666669</v>
      </c>
      <c r="I770" s="458">
        <v>0.6875</v>
      </c>
      <c r="J770" s="458">
        <f>I770-H770</f>
        <v>0.33333333333333331</v>
      </c>
      <c r="K770" s="143" t="s">
        <v>513</v>
      </c>
      <c r="L770" s="97" t="s">
        <v>7824</v>
      </c>
      <c r="M770" s="97" t="s">
        <v>26</v>
      </c>
      <c r="N770" s="58" t="s">
        <v>38</v>
      </c>
      <c r="O770" s="58" t="s">
        <v>5076</v>
      </c>
      <c r="P770" s="206">
        <v>44805</v>
      </c>
      <c r="Q770" s="460">
        <v>44805</v>
      </c>
      <c r="R770" s="460">
        <v>45536</v>
      </c>
      <c r="S770" s="461">
        <v>45535</v>
      </c>
      <c r="T770" s="139">
        <v>2011</v>
      </c>
      <c r="U770" s="139" t="s">
        <v>7825</v>
      </c>
      <c r="V770" s="139">
        <v>2015</v>
      </c>
      <c r="W770" s="139" t="s">
        <v>4946</v>
      </c>
      <c r="X770" s="139" t="s">
        <v>30</v>
      </c>
      <c r="Y770" s="462" t="s">
        <v>1611</v>
      </c>
      <c r="Z770" s="140" t="s">
        <v>7826</v>
      </c>
      <c r="AA770" s="140" t="s">
        <v>1841</v>
      </c>
      <c r="AB770" s="460">
        <v>43297</v>
      </c>
      <c r="AC770" s="460">
        <v>45122</v>
      </c>
      <c r="AD770" s="139">
        <v>9505757517</v>
      </c>
      <c r="AE770" s="467" t="s">
        <v>7827</v>
      </c>
      <c r="AF770" s="139" t="s">
        <v>1430</v>
      </c>
      <c r="AG770" s="463" t="s">
        <v>7828</v>
      </c>
      <c r="AH770" s="139" t="s">
        <v>7829</v>
      </c>
      <c r="AI770" s="139" t="s">
        <v>7830</v>
      </c>
      <c r="AJ770" s="464">
        <v>927072892482</v>
      </c>
      <c r="AK770" s="140" t="s">
        <v>7831</v>
      </c>
      <c r="AL770" s="461">
        <v>45077</v>
      </c>
      <c r="AM770" s="477"/>
      <c r="AN770" s="465"/>
      <c r="AO770" s="140"/>
      <c r="AP770" s="139"/>
      <c r="AQ770" s="139"/>
      <c r="AR770" s="181"/>
      <c r="AS770" s="458"/>
      <c r="AT770" s="458"/>
      <c r="AU770" s="461">
        <v>32384</v>
      </c>
      <c r="AV770" s="181" t="s">
        <v>1352</v>
      </c>
      <c r="AW770" s="31" t="s">
        <v>68</v>
      </c>
      <c r="AX770" s="139">
        <v>8</v>
      </c>
      <c r="AY770" s="58" t="s">
        <v>1959</v>
      </c>
      <c r="AZ770" s="58" t="s">
        <v>26</v>
      </c>
      <c r="BA770" s="58" t="s">
        <v>151</v>
      </c>
      <c r="BB770" s="58" t="s">
        <v>1407</v>
      </c>
      <c r="BC770" s="58"/>
    </row>
    <row r="771" spans="1:55" x14ac:dyDescent="0.25">
      <c r="A771" s="10">
        <f t="shared" si="33"/>
        <v>770</v>
      </c>
      <c r="B771" s="181"/>
      <c r="C771" s="592" t="s">
        <v>1407</v>
      </c>
      <c r="D771" s="457">
        <v>400546</v>
      </c>
      <c r="E771" s="181" t="s">
        <v>36</v>
      </c>
      <c r="F771" s="97" t="s">
        <v>7832</v>
      </c>
      <c r="G771" s="139">
        <v>6</v>
      </c>
      <c r="H771" s="458">
        <v>0.375</v>
      </c>
      <c r="I771" s="458">
        <v>0.54166666666666663</v>
      </c>
      <c r="J771" s="458">
        <f>I771-H771</f>
        <v>0.16666666666666663</v>
      </c>
      <c r="K771" s="462" t="s">
        <v>154</v>
      </c>
      <c r="L771" s="97" t="s">
        <v>1907</v>
      </c>
      <c r="M771" s="97" t="s">
        <v>1908</v>
      </c>
      <c r="N771" s="58" t="s">
        <v>1909</v>
      </c>
      <c r="O771" s="58" t="s">
        <v>7833</v>
      </c>
      <c r="P771" s="206">
        <v>44805</v>
      </c>
      <c r="Q771" s="460">
        <v>44805</v>
      </c>
      <c r="R771" s="460">
        <v>45535</v>
      </c>
      <c r="S771" s="461">
        <v>45536</v>
      </c>
      <c r="T771" s="139">
        <v>1978</v>
      </c>
      <c r="U771" s="139" t="s">
        <v>306</v>
      </c>
      <c r="V771" s="139">
        <v>1984</v>
      </c>
      <c r="W771" s="139" t="s">
        <v>7834</v>
      </c>
      <c r="X771" s="139" t="s">
        <v>7835</v>
      </c>
      <c r="Y771" s="462"/>
      <c r="Z771" s="140"/>
      <c r="AA771" s="140"/>
      <c r="AB771" s="460"/>
      <c r="AC771" s="460"/>
      <c r="AD771" s="139">
        <v>9989650137</v>
      </c>
      <c r="AE771" s="467" t="s">
        <v>7836</v>
      </c>
      <c r="AF771" s="139"/>
      <c r="AG771" s="491"/>
      <c r="AH771" s="139"/>
      <c r="AI771" s="139"/>
      <c r="AJ771" s="464"/>
      <c r="AK771" s="140"/>
      <c r="AL771" s="206"/>
      <c r="AM771" s="477"/>
      <c r="AN771" s="465"/>
      <c r="AO771" s="140"/>
      <c r="AP771" s="139"/>
      <c r="AQ771" s="139"/>
      <c r="AR771" s="181"/>
      <c r="AS771" s="458"/>
      <c r="AT771" s="458"/>
      <c r="AU771" s="461"/>
      <c r="AV771" s="181" t="s">
        <v>1352</v>
      </c>
      <c r="AW771" s="31" t="s">
        <v>32</v>
      </c>
      <c r="AX771" s="139">
        <v>4</v>
      </c>
      <c r="AY771" s="58" t="s">
        <v>1904</v>
      </c>
      <c r="AZ771" s="484" t="s">
        <v>1908</v>
      </c>
      <c r="BA771" s="58" t="s">
        <v>151</v>
      </c>
      <c r="BB771" s="58" t="s">
        <v>1407</v>
      </c>
      <c r="BC771" s="58"/>
    </row>
    <row r="772" spans="1:55" x14ac:dyDescent="0.25">
      <c r="A772" s="10">
        <f t="shared" ref="A772:A835" si="35">A771+1</f>
        <v>771</v>
      </c>
      <c r="B772" s="181" t="s">
        <v>7837</v>
      </c>
      <c r="C772" s="592" t="s">
        <v>1407</v>
      </c>
      <c r="D772" s="457">
        <v>400548</v>
      </c>
      <c r="E772" s="181" t="s">
        <v>36</v>
      </c>
      <c r="F772" s="97" t="s">
        <v>7838</v>
      </c>
      <c r="G772" s="139">
        <v>6</v>
      </c>
      <c r="H772" s="458">
        <v>0.375</v>
      </c>
      <c r="I772" s="458">
        <v>0.54166666666666663</v>
      </c>
      <c r="J772" s="458">
        <f>I772-H772</f>
        <v>0.16666666666666663</v>
      </c>
      <c r="K772" s="58" t="s">
        <v>791</v>
      </c>
      <c r="L772" s="97" t="s">
        <v>7839</v>
      </c>
      <c r="M772" s="97" t="s">
        <v>26</v>
      </c>
      <c r="N772" s="58" t="s">
        <v>38</v>
      </c>
      <c r="O772" s="58" t="s">
        <v>5076</v>
      </c>
      <c r="P772" s="206">
        <v>44805</v>
      </c>
      <c r="Q772" s="460">
        <v>44805</v>
      </c>
      <c r="R772" s="460">
        <v>45535</v>
      </c>
      <c r="S772" s="461">
        <v>45536</v>
      </c>
      <c r="T772" s="139">
        <v>1983</v>
      </c>
      <c r="U772" s="139" t="s">
        <v>2370</v>
      </c>
      <c r="V772" s="139">
        <v>1989</v>
      </c>
      <c r="W772" s="139" t="s">
        <v>7840</v>
      </c>
      <c r="X772" s="139" t="s">
        <v>7841</v>
      </c>
      <c r="Y772" s="462" t="s">
        <v>7842</v>
      </c>
      <c r="Z772" s="140" t="s">
        <v>7843</v>
      </c>
      <c r="AA772" s="140" t="s">
        <v>1841</v>
      </c>
      <c r="AB772" s="460">
        <v>44730</v>
      </c>
      <c r="AC772" s="460">
        <v>46555</v>
      </c>
      <c r="AD772" s="139">
        <v>8639010696</v>
      </c>
      <c r="AE772" s="467" t="s">
        <v>7844</v>
      </c>
      <c r="AF772" s="139" t="s">
        <v>1430</v>
      </c>
      <c r="AG772" s="463" t="s">
        <v>7845</v>
      </c>
      <c r="AH772" s="139" t="s">
        <v>7846</v>
      </c>
      <c r="AI772" s="139" t="s">
        <v>7847</v>
      </c>
      <c r="AJ772" s="464">
        <v>883059294639</v>
      </c>
      <c r="AK772" s="140" t="s">
        <v>7848</v>
      </c>
      <c r="AL772" s="461"/>
      <c r="AM772" s="477"/>
      <c r="AN772" s="465"/>
      <c r="AO772" s="140"/>
      <c r="AP772" s="139"/>
      <c r="AQ772" s="139"/>
      <c r="AR772" s="181"/>
      <c r="AS772" s="458"/>
      <c r="AT772" s="458"/>
      <c r="AU772" s="461">
        <v>21894</v>
      </c>
      <c r="AV772" s="181" t="s">
        <v>1352</v>
      </c>
      <c r="AW772" s="31" t="s">
        <v>32</v>
      </c>
      <c r="AX772" s="139">
        <v>4</v>
      </c>
      <c r="AY772" s="58" t="s">
        <v>1959</v>
      </c>
      <c r="AZ772" s="58" t="s">
        <v>26</v>
      </c>
      <c r="BA772" s="58" t="s">
        <v>151</v>
      </c>
      <c r="BB772" s="58" t="s">
        <v>1407</v>
      </c>
      <c r="BC772" s="58"/>
    </row>
    <row r="773" spans="1:55" x14ac:dyDescent="0.25">
      <c r="A773" s="10">
        <f t="shared" si="35"/>
        <v>772</v>
      </c>
      <c r="B773" s="181" t="s">
        <v>7849</v>
      </c>
      <c r="C773" s="592" t="s">
        <v>1407</v>
      </c>
      <c r="D773" s="457">
        <v>400549</v>
      </c>
      <c r="E773" s="181" t="s">
        <v>36</v>
      </c>
      <c r="F773" s="97" t="s">
        <v>7850</v>
      </c>
      <c r="G773" s="139">
        <v>6</v>
      </c>
      <c r="H773" s="458">
        <v>0.375</v>
      </c>
      <c r="I773" s="458">
        <v>0.41666666666666669</v>
      </c>
      <c r="J773" s="458">
        <v>4.1666666666666664E-2</v>
      </c>
      <c r="K773" s="100" t="s">
        <v>819</v>
      </c>
      <c r="L773" s="97" t="s">
        <v>1376</v>
      </c>
      <c r="M773" s="97" t="s">
        <v>1376</v>
      </c>
      <c r="N773" s="58" t="s">
        <v>1393</v>
      </c>
      <c r="O773" s="58" t="s">
        <v>3290</v>
      </c>
      <c r="P773" s="206">
        <v>44805</v>
      </c>
      <c r="Q773" s="460">
        <v>44805</v>
      </c>
      <c r="R773" s="460">
        <v>45535</v>
      </c>
      <c r="S773" s="461">
        <f>R773+1</f>
        <v>45536</v>
      </c>
      <c r="T773" s="139">
        <v>2022</v>
      </c>
      <c r="U773" s="139" t="s">
        <v>7851</v>
      </c>
      <c r="V773" s="139" t="s">
        <v>30</v>
      </c>
      <c r="W773" s="139" t="s">
        <v>30</v>
      </c>
      <c r="X773" s="139" t="s">
        <v>30</v>
      </c>
      <c r="Y773" s="462" t="s">
        <v>7852</v>
      </c>
      <c r="Z773" s="140" t="s">
        <v>7853</v>
      </c>
      <c r="AA773" s="140" t="s">
        <v>1841</v>
      </c>
      <c r="AB773" s="460">
        <v>44799</v>
      </c>
      <c r="AC773" s="460">
        <v>46624</v>
      </c>
      <c r="AD773" s="139">
        <v>8074294054</v>
      </c>
      <c r="AE773" s="467" t="s">
        <v>7854</v>
      </c>
      <c r="AF773" s="139" t="s">
        <v>7819</v>
      </c>
      <c r="AG773" s="491">
        <v>20337774531</v>
      </c>
      <c r="AH773" s="139" t="s">
        <v>7855</v>
      </c>
      <c r="AI773" s="139" t="s">
        <v>7856</v>
      </c>
      <c r="AJ773" s="464">
        <v>247089392940</v>
      </c>
      <c r="AK773" s="140" t="s">
        <v>7857</v>
      </c>
      <c r="AL773" s="206"/>
      <c r="AM773" s="477"/>
      <c r="AN773" s="465"/>
      <c r="AO773" s="140"/>
      <c r="AP773" s="139"/>
      <c r="AQ773" s="139"/>
      <c r="AR773" s="181"/>
      <c r="AS773" s="458"/>
      <c r="AT773" s="458"/>
      <c r="AU773" s="461">
        <v>35956</v>
      </c>
      <c r="AV773" s="181" t="s">
        <v>1389</v>
      </c>
      <c r="AW773" s="31" t="s">
        <v>32</v>
      </c>
      <c r="AX773" s="139">
        <v>1</v>
      </c>
      <c r="AY773" s="58" t="s">
        <v>2189</v>
      </c>
      <c r="AZ773" s="58" t="s">
        <v>1390</v>
      </c>
      <c r="BA773" s="58" t="s">
        <v>151</v>
      </c>
      <c r="BB773" s="58" t="s">
        <v>1407</v>
      </c>
      <c r="BC773" s="58"/>
    </row>
    <row r="774" spans="1:55" x14ac:dyDescent="0.25">
      <c r="A774" s="10">
        <f t="shared" si="35"/>
        <v>773</v>
      </c>
      <c r="B774" s="181" t="s">
        <v>7858</v>
      </c>
      <c r="C774" s="592" t="s">
        <v>1407</v>
      </c>
      <c r="D774" s="457">
        <v>400550</v>
      </c>
      <c r="E774" s="181" t="s">
        <v>36</v>
      </c>
      <c r="F774" s="97" t="s">
        <v>7859</v>
      </c>
      <c r="G774" s="139">
        <v>6</v>
      </c>
      <c r="H774" s="458">
        <v>0.375</v>
      </c>
      <c r="I774" s="458">
        <v>0.41666666666666669</v>
      </c>
      <c r="J774" s="458">
        <v>4.1666666666666664E-2</v>
      </c>
      <c r="K774" s="143" t="s">
        <v>513</v>
      </c>
      <c r="L774" s="97" t="s">
        <v>1376</v>
      </c>
      <c r="M774" s="97" t="s">
        <v>1376</v>
      </c>
      <c r="N774" s="58" t="s">
        <v>1393</v>
      </c>
      <c r="O774" s="58" t="s">
        <v>3290</v>
      </c>
      <c r="P774" s="206">
        <v>44805</v>
      </c>
      <c r="Q774" s="460">
        <v>44805</v>
      </c>
      <c r="R774" s="460">
        <v>45535</v>
      </c>
      <c r="S774" s="461">
        <v>45536</v>
      </c>
      <c r="T774" s="139">
        <v>2018</v>
      </c>
      <c r="U774" s="139" t="s">
        <v>7860</v>
      </c>
      <c r="V774" s="139" t="s">
        <v>30</v>
      </c>
      <c r="W774" s="139" t="s">
        <v>30</v>
      </c>
      <c r="X774" s="139" t="s">
        <v>30</v>
      </c>
      <c r="Y774" s="462" t="s">
        <v>30</v>
      </c>
      <c r="Z774" s="140" t="s">
        <v>7861</v>
      </c>
      <c r="AA774" s="140" t="s">
        <v>1841</v>
      </c>
      <c r="AB774" s="460">
        <v>44356</v>
      </c>
      <c r="AC774" s="460">
        <v>45817</v>
      </c>
      <c r="AD774" s="139">
        <v>8297602319</v>
      </c>
      <c r="AE774" s="467" t="s">
        <v>7862</v>
      </c>
      <c r="AF774" s="139" t="s">
        <v>7863</v>
      </c>
      <c r="AG774" s="463" t="s">
        <v>7864</v>
      </c>
      <c r="AH774" s="139" t="s">
        <v>7865</v>
      </c>
      <c r="AI774" s="139" t="s">
        <v>7866</v>
      </c>
      <c r="AJ774" s="464">
        <v>728516517007</v>
      </c>
      <c r="AK774" s="140" t="s">
        <v>7867</v>
      </c>
      <c r="AL774" s="206"/>
      <c r="AM774" s="477"/>
      <c r="AN774" s="465"/>
      <c r="AO774" s="140"/>
      <c r="AP774" s="139"/>
      <c r="AQ774" s="139"/>
      <c r="AR774" s="181"/>
      <c r="AS774" s="458"/>
      <c r="AT774" s="458"/>
      <c r="AU774" s="461">
        <v>34562</v>
      </c>
      <c r="AV774" s="181" t="s">
        <v>1389</v>
      </c>
      <c r="AW774" s="31" t="s">
        <v>32</v>
      </c>
      <c r="AX774" s="139">
        <v>1</v>
      </c>
      <c r="AY774" s="58" t="s">
        <v>1959</v>
      </c>
      <c r="AZ774" s="58" t="s">
        <v>1390</v>
      </c>
      <c r="BA774" s="58" t="s">
        <v>151</v>
      </c>
      <c r="BB774" s="58" t="s">
        <v>1407</v>
      </c>
      <c r="BC774" s="58"/>
    </row>
    <row r="775" spans="1:55" x14ac:dyDescent="0.25">
      <c r="A775" s="10">
        <f t="shared" si="35"/>
        <v>774</v>
      </c>
      <c r="B775" s="181" t="s">
        <v>7868</v>
      </c>
      <c r="C775" s="592" t="s">
        <v>1407</v>
      </c>
      <c r="D775" s="457">
        <v>400551</v>
      </c>
      <c r="E775" s="181" t="s">
        <v>36</v>
      </c>
      <c r="F775" s="97" t="s">
        <v>7869</v>
      </c>
      <c r="G775" s="139">
        <v>6</v>
      </c>
      <c r="H775" s="458" t="s">
        <v>235</v>
      </c>
      <c r="I775" s="458" t="s">
        <v>5491</v>
      </c>
      <c r="J775" s="458">
        <v>4.1666666666666664E-2</v>
      </c>
      <c r="K775" s="462" t="s">
        <v>532</v>
      </c>
      <c r="L775" s="97" t="s">
        <v>1376</v>
      </c>
      <c r="M775" s="97" t="s">
        <v>1376</v>
      </c>
      <c r="N775" s="58" t="s">
        <v>1393</v>
      </c>
      <c r="O775" s="58" t="s">
        <v>3290</v>
      </c>
      <c r="P775" s="206">
        <v>44805</v>
      </c>
      <c r="Q775" s="460">
        <v>44805</v>
      </c>
      <c r="R775" s="460">
        <v>45535</v>
      </c>
      <c r="S775" s="461">
        <v>45536</v>
      </c>
      <c r="T775" s="139">
        <v>2015</v>
      </c>
      <c r="U775" s="139" t="s">
        <v>7315</v>
      </c>
      <c r="V775" s="139" t="s">
        <v>30</v>
      </c>
      <c r="W775" s="139" t="s">
        <v>30</v>
      </c>
      <c r="X775" s="139" t="s">
        <v>30</v>
      </c>
      <c r="Y775" s="462" t="s">
        <v>226</v>
      </c>
      <c r="Z775" s="140" t="s">
        <v>7870</v>
      </c>
      <c r="AA775" s="140" t="s">
        <v>1841</v>
      </c>
      <c r="AB775" s="460">
        <v>44397</v>
      </c>
      <c r="AC775" s="460">
        <v>46222</v>
      </c>
      <c r="AD775" s="488">
        <v>9652438180</v>
      </c>
      <c r="AE775" s="140" t="s">
        <v>7871</v>
      </c>
      <c r="AF775" s="139" t="s">
        <v>1430</v>
      </c>
      <c r="AG775" s="463" t="s">
        <v>7872</v>
      </c>
      <c r="AH775" s="139" t="s">
        <v>7873</v>
      </c>
      <c r="AI775" s="139" t="s">
        <v>7874</v>
      </c>
      <c r="AJ775" s="464">
        <v>517245385463</v>
      </c>
      <c r="AK775" s="140" t="s">
        <v>7875</v>
      </c>
      <c r="AL775" s="206">
        <v>45327</v>
      </c>
      <c r="AM775" s="477">
        <v>45327</v>
      </c>
      <c r="AN775" s="140"/>
      <c r="AO775" s="140"/>
      <c r="AP775" s="139"/>
      <c r="AQ775" s="58"/>
      <c r="AR775" s="489"/>
      <c r="AS775" s="458">
        <v>0.33333333333333331</v>
      </c>
      <c r="AT775" s="181">
        <v>0.375</v>
      </c>
      <c r="AU775" s="461">
        <v>33845</v>
      </c>
      <c r="AV775" s="181" t="s">
        <v>1389</v>
      </c>
      <c r="AW775" s="31" t="s">
        <v>32</v>
      </c>
      <c r="AX775" s="139">
        <v>1</v>
      </c>
      <c r="AY775" s="58" t="s">
        <v>1849</v>
      </c>
      <c r="AZ775" s="58" t="s">
        <v>1390</v>
      </c>
      <c r="BA775" s="58" t="s">
        <v>151</v>
      </c>
      <c r="BB775" s="58" t="s">
        <v>1407</v>
      </c>
      <c r="BC775" s="58"/>
    </row>
    <row r="776" spans="1:55" x14ac:dyDescent="0.25">
      <c r="A776" s="10">
        <f t="shared" si="35"/>
        <v>775</v>
      </c>
      <c r="B776" s="181" t="s">
        <v>7876</v>
      </c>
      <c r="C776" s="592" t="s">
        <v>1407</v>
      </c>
      <c r="D776" s="457">
        <v>400552</v>
      </c>
      <c r="E776" s="181" t="s">
        <v>36</v>
      </c>
      <c r="F776" s="97" t="s">
        <v>7877</v>
      </c>
      <c r="G776" s="139">
        <v>6</v>
      </c>
      <c r="H776" s="458">
        <v>0.375</v>
      </c>
      <c r="I776" s="458">
        <v>0.41666666666666669</v>
      </c>
      <c r="J776" s="458">
        <v>4.1666666666666664E-2</v>
      </c>
      <c r="K776" s="100" t="s">
        <v>866</v>
      </c>
      <c r="L776" s="97" t="s">
        <v>1376</v>
      </c>
      <c r="M776" s="97" t="s">
        <v>1376</v>
      </c>
      <c r="N776" s="58" t="s">
        <v>1393</v>
      </c>
      <c r="O776" s="58" t="s">
        <v>3290</v>
      </c>
      <c r="P776" s="206">
        <v>44813</v>
      </c>
      <c r="Q776" s="460">
        <v>44813</v>
      </c>
      <c r="R776" s="460">
        <f>Q776+730</f>
        <v>45543</v>
      </c>
      <c r="S776" s="461">
        <f>R776+1</f>
        <v>45544</v>
      </c>
      <c r="T776" s="139">
        <v>2016</v>
      </c>
      <c r="U776" s="139" t="s">
        <v>7878</v>
      </c>
      <c r="V776" s="139" t="s">
        <v>30</v>
      </c>
      <c r="W776" s="139" t="s">
        <v>30</v>
      </c>
      <c r="X776" s="139" t="s">
        <v>30</v>
      </c>
      <c r="Y776" s="462" t="s">
        <v>30</v>
      </c>
      <c r="Z776" s="140" t="s">
        <v>7879</v>
      </c>
      <c r="AA776" s="140" t="s">
        <v>1841</v>
      </c>
      <c r="AB776" s="460">
        <v>44758</v>
      </c>
      <c r="AC776" s="460">
        <v>46583</v>
      </c>
      <c r="AD776" s="139">
        <v>8106376772</v>
      </c>
      <c r="AE776" s="467" t="s">
        <v>7880</v>
      </c>
      <c r="AF776" s="139" t="s">
        <v>7863</v>
      </c>
      <c r="AG776" s="463" t="s">
        <v>7881</v>
      </c>
      <c r="AH776" s="139" t="s">
        <v>7882</v>
      </c>
      <c r="AI776" s="139" t="s">
        <v>7883</v>
      </c>
      <c r="AJ776" s="464">
        <v>532228266952</v>
      </c>
      <c r="AK776" s="140" t="s">
        <v>7884</v>
      </c>
      <c r="AL776" s="206"/>
      <c r="AM776" s="477"/>
      <c r="AN776" s="465"/>
      <c r="AO776" s="140"/>
      <c r="AP776" s="139"/>
      <c r="AQ776" s="139"/>
      <c r="AR776" s="181"/>
      <c r="AS776" s="458"/>
      <c r="AT776" s="458"/>
      <c r="AU776" s="461">
        <v>33350</v>
      </c>
      <c r="AV776" s="181" t="s">
        <v>1389</v>
      </c>
      <c r="AW776" s="31" t="s">
        <v>32</v>
      </c>
      <c r="AX776" s="139">
        <v>1</v>
      </c>
      <c r="AY776" s="58" t="s">
        <v>2189</v>
      </c>
      <c r="AZ776" s="58" t="s">
        <v>1390</v>
      </c>
      <c r="BA776" s="58" t="s">
        <v>151</v>
      </c>
      <c r="BB776" s="58" t="s">
        <v>1407</v>
      </c>
      <c r="BC776" s="58"/>
    </row>
    <row r="777" spans="1:55" x14ac:dyDescent="0.25">
      <c r="A777" s="10">
        <f t="shared" si="35"/>
        <v>776</v>
      </c>
      <c r="B777" s="181" t="s">
        <v>99</v>
      </c>
      <c r="C777" s="592" t="s">
        <v>1407</v>
      </c>
      <c r="D777" s="457">
        <v>400553</v>
      </c>
      <c r="E777" s="181" t="s">
        <v>36</v>
      </c>
      <c r="F777" s="97" t="s">
        <v>7885</v>
      </c>
      <c r="G777" s="139">
        <v>6</v>
      </c>
      <c r="H777" s="458">
        <v>0.29166666666666669</v>
      </c>
      <c r="I777" s="458">
        <v>0.45833333333333331</v>
      </c>
      <c r="J777" s="458">
        <f>I777-H777</f>
        <v>0.16666666666666663</v>
      </c>
      <c r="K777" s="462" t="s">
        <v>5190</v>
      </c>
      <c r="L777" s="97" t="s">
        <v>7886</v>
      </c>
      <c r="M777" s="97" t="s">
        <v>26</v>
      </c>
      <c r="N777" s="58" t="s">
        <v>38</v>
      </c>
      <c r="O777" s="58" t="s">
        <v>7887</v>
      </c>
      <c r="P777" s="206"/>
      <c r="Q777" s="460"/>
      <c r="R777" s="460"/>
      <c r="S777" s="461"/>
      <c r="T777" s="139">
        <v>2013</v>
      </c>
      <c r="U777" s="139" t="s">
        <v>7888</v>
      </c>
      <c r="V777" s="139">
        <v>2020</v>
      </c>
      <c r="W777" s="139" t="s">
        <v>1868</v>
      </c>
      <c r="X777" s="139" t="s">
        <v>30</v>
      </c>
      <c r="Y777" s="462" t="s">
        <v>30</v>
      </c>
      <c r="Z777" s="140" t="s">
        <v>7889</v>
      </c>
      <c r="AA777" s="140" t="s">
        <v>1841</v>
      </c>
      <c r="AB777" s="460">
        <v>44784</v>
      </c>
      <c r="AC777" s="460">
        <v>46609</v>
      </c>
      <c r="AD777" s="139" t="s">
        <v>7890</v>
      </c>
      <c r="AE777" s="467" t="s">
        <v>103</v>
      </c>
      <c r="AF777" s="139" t="s">
        <v>1400</v>
      </c>
      <c r="AG777" s="463" t="s">
        <v>7891</v>
      </c>
      <c r="AH777" s="139" t="s">
        <v>7892</v>
      </c>
      <c r="AI777" s="139" t="s">
        <v>1643</v>
      </c>
      <c r="AJ777" s="464">
        <v>496521594312</v>
      </c>
      <c r="AK777" s="140" t="s">
        <v>1644</v>
      </c>
      <c r="AL777" s="461"/>
      <c r="AM777" s="477" t="s">
        <v>30</v>
      </c>
      <c r="AN777" s="490"/>
      <c r="AO777" s="140"/>
      <c r="AP777" s="139"/>
      <c r="AQ777" s="139"/>
      <c r="AR777" s="181"/>
      <c r="AS777" s="458"/>
      <c r="AT777" s="458"/>
      <c r="AU777" s="461">
        <v>32854</v>
      </c>
      <c r="AV777" s="181" t="s">
        <v>1352</v>
      </c>
      <c r="AW777" s="31" t="s">
        <v>68</v>
      </c>
      <c r="AX777" s="139">
        <v>4</v>
      </c>
      <c r="AY777" s="58" t="s">
        <v>2068</v>
      </c>
      <c r="AZ777" s="58" t="s">
        <v>26</v>
      </c>
      <c r="BA777" s="58" t="s">
        <v>151</v>
      </c>
      <c r="BB777" s="58" t="s">
        <v>1407</v>
      </c>
      <c r="BC777" s="58"/>
    </row>
    <row r="778" spans="1:55" x14ac:dyDescent="0.25">
      <c r="A778" s="10">
        <f t="shared" si="35"/>
        <v>777</v>
      </c>
      <c r="B778" s="181" t="s">
        <v>7893</v>
      </c>
      <c r="C778" s="592" t="s">
        <v>1407</v>
      </c>
      <c r="D778" s="457">
        <v>400554</v>
      </c>
      <c r="E778" s="181" t="s">
        <v>36</v>
      </c>
      <c r="F778" s="97" t="s">
        <v>7894</v>
      </c>
      <c r="G778" s="139">
        <v>6</v>
      </c>
      <c r="H778" s="458">
        <v>0.375</v>
      </c>
      <c r="I778" s="458">
        <v>0.625</v>
      </c>
      <c r="J778" s="458">
        <f>I778-H778</f>
        <v>0.25</v>
      </c>
      <c r="K778" s="462" t="s">
        <v>1271</v>
      </c>
      <c r="L778" s="97" t="s">
        <v>7895</v>
      </c>
      <c r="M778" s="97" t="s">
        <v>26</v>
      </c>
      <c r="N778" s="58" t="s">
        <v>38</v>
      </c>
      <c r="O778" s="58" t="s">
        <v>7887</v>
      </c>
      <c r="P778" s="206">
        <v>44811</v>
      </c>
      <c r="Q778" s="460">
        <v>44811</v>
      </c>
      <c r="R778" s="460">
        <f>Q778+730</f>
        <v>45541</v>
      </c>
      <c r="S778" s="461">
        <f>R778+1</f>
        <v>45542</v>
      </c>
      <c r="T778" s="139">
        <v>2015</v>
      </c>
      <c r="U778" s="139" t="s">
        <v>2339</v>
      </c>
      <c r="V778" s="139">
        <v>2019</v>
      </c>
      <c r="W778" s="139" t="s">
        <v>2339</v>
      </c>
      <c r="X778" s="139" t="s">
        <v>30</v>
      </c>
      <c r="Y778" s="462" t="s">
        <v>30</v>
      </c>
      <c r="Z778" s="140" t="s">
        <v>7896</v>
      </c>
      <c r="AA778" s="140" t="s">
        <v>1841</v>
      </c>
      <c r="AB778" s="460">
        <v>44818</v>
      </c>
      <c r="AC778" s="460">
        <v>46643</v>
      </c>
      <c r="AD778" s="139">
        <v>8309633498</v>
      </c>
      <c r="AE778" s="467" t="s">
        <v>7897</v>
      </c>
      <c r="AF778" s="139" t="s">
        <v>7863</v>
      </c>
      <c r="AG778" s="491" t="s">
        <v>7898</v>
      </c>
      <c r="AH778" s="139" t="s">
        <v>7899</v>
      </c>
      <c r="AI778" s="139" t="s">
        <v>7900</v>
      </c>
      <c r="AJ778" s="464">
        <v>792699181443</v>
      </c>
      <c r="AK778" s="140" t="s">
        <v>7901</v>
      </c>
      <c r="AL778" s="461"/>
      <c r="AM778" s="477"/>
      <c r="AN778" s="465"/>
      <c r="AO778" s="140"/>
      <c r="AP778" s="139"/>
      <c r="AQ778" s="139"/>
      <c r="AR778" s="181"/>
      <c r="AS778" s="458"/>
      <c r="AT778" s="458"/>
      <c r="AU778" s="461">
        <v>32729</v>
      </c>
      <c r="AV778" s="181" t="s">
        <v>1389</v>
      </c>
      <c r="AW778" s="31" t="s">
        <v>32</v>
      </c>
      <c r="AX778" s="139">
        <v>6</v>
      </c>
      <c r="AY778" s="58" t="s">
        <v>1968</v>
      </c>
      <c r="AZ778" s="58" t="s">
        <v>26</v>
      </c>
      <c r="BA778" s="58" t="s">
        <v>151</v>
      </c>
      <c r="BB778" s="58" t="s">
        <v>1407</v>
      </c>
      <c r="BC778" s="58"/>
    </row>
    <row r="779" spans="1:55" x14ac:dyDescent="0.25">
      <c r="A779" s="10">
        <f t="shared" si="35"/>
        <v>778</v>
      </c>
      <c r="B779" s="181" t="s">
        <v>7902</v>
      </c>
      <c r="C779" s="592" t="s">
        <v>1407</v>
      </c>
      <c r="D779" s="457">
        <v>400935</v>
      </c>
      <c r="E779" s="181" t="s">
        <v>36</v>
      </c>
      <c r="F779" s="97" t="s">
        <v>7903</v>
      </c>
      <c r="G779" s="139">
        <v>6</v>
      </c>
      <c r="H779" s="469">
        <v>0.375</v>
      </c>
      <c r="I779" s="469">
        <v>0.41666666666666669</v>
      </c>
      <c r="J779" s="458">
        <v>4.1666666666666664E-2</v>
      </c>
      <c r="K779" s="100" t="s">
        <v>275</v>
      </c>
      <c r="L779" s="97" t="s">
        <v>1424</v>
      </c>
      <c r="M779" s="97" t="s">
        <v>1376</v>
      </c>
      <c r="N779" s="58" t="s">
        <v>1393</v>
      </c>
      <c r="O779" s="58" t="s">
        <v>1424</v>
      </c>
      <c r="P779" s="206">
        <v>45327</v>
      </c>
      <c r="Q779" s="206">
        <v>45327</v>
      </c>
      <c r="R779" s="206">
        <v>46057</v>
      </c>
      <c r="S779" s="461">
        <v>46058</v>
      </c>
      <c r="T779" s="139">
        <v>2020</v>
      </c>
      <c r="U779" s="181" t="s">
        <v>7904</v>
      </c>
      <c r="V779" s="139" t="s">
        <v>30</v>
      </c>
      <c r="W779" s="97" t="s">
        <v>30</v>
      </c>
      <c r="X779" s="181" t="s">
        <v>30</v>
      </c>
      <c r="Y779" s="58" t="s">
        <v>226</v>
      </c>
      <c r="Z779" s="140" t="s">
        <v>7905</v>
      </c>
      <c r="AA779" s="97" t="s">
        <v>1841</v>
      </c>
      <c r="AB779" s="471">
        <v>44246</v>
      </c>
      <c r="AC779" s="471">
        <v>46072</v>
      </c>
      <c r="AD779" s="472">
        <v>8885664433</v>
      </c>
      <c r="AE779" s="473" t="s">
        <v>7906</v>
      </c>
      <c r="AF779" s="97" t="s">
        <v>5183</v>
      </c>
      <c r="AG779" s="503" t="s">
        <v>7907</v>
      </c>
      <c r="AH779" s="181" t="s">
        <v>7908</v>
      </c>
      <c r="AI779" s="139" t="s">
        <v>7909</v>
      </c>
      <c r="AJ779" s="464">
        <v>557319368450</v>
      </c>
      <c r="AK779" s="97"/>
      <c r="AL779" s="206">
        <v>45504</v>
      </c>
      <c r="AM779" s="477">
        <v>45463</v>
      </c>
      <c r="AN779" s="465" t="s">
        <v>6779</v>
      </c>
      <c r="AO779" s="140" t="s">
        <v>7910</v>
      </c>
      <c r="AP779" s="58"/>
      <c r="AQ779" s="483" t="s">
        <v>7910</v>
      </c>
      <c r="AR779" s="462"/>
      <c r="AS779" s="479">
        <v>0.375</v>
      </c>
      <c r="AT779" s="479">
        <v>0.41666666666666669</v>
      </c>
      <c r="AU779" s="461">
        <v>35220</v>
      </c>
      <c r="AV779" s="181" t="s">
        <v>1389</v>
      </c>
      <c r="AW779" s="31" t="s">
        <v>32</v>
      </c>
      <c r="AX779" s="139">
        <v>1</v>
      </c>
      <c r="AY779" s="58" t="s">
        <v>1959</v>
      </c>
      <c r="AZ779" s="58" t="s">
        <v>1390</v>
      </c>
      <c r="BA779" s="58" t="s">
        <v>151</v>
      </c>
      <c r="BB779" s="58" t="s">
        <v>1407</v>
      </c>
      <c r="BC779" s="58"/>
    </row>
    <row r="780" spans="1:55" x14ac:dyDescent="0.25">
      <c r="A780" s="10">
        <f t="shared" si="35"/>
        <v>779</v>
      </c>
      <c r="B780" s="181"/>
      <c r="C780" s="592" t="s">
        <v>1407</v>
      </c>
      <c r="D780" s="457">
        <v>400556</v>
      </c>
      <c r="E780" s="181" t="s">
        <v>36</v>
      </c>
      <c r="F780" s="97" t="s">
        <v>7911</v>
      </c>
      <c r="G780" s="139">
        <v>6</v>
      </c>
      <c r="H780" s="458">
        <v>0.375</v>
      </c>
      <c r="I780" s="458">
        <v>0.45833333333333331</v>
      </c>
      <c r="J780" s="458">
        <f>I780-H780</f>
        <v>8.3333333333333315E-2</v>
      </c>
      <c r="K780" s="58" t="s">
        <v>446</v>
      </c>
      <c r="L780" s="97" t="s">
        <v>1376</v>
      </c>
      <c r="M780" s="97" t="s">
        <v>1376</v>
      </c>
      <c r="N780" s="58" t="s">
        <v>1393</v>
      </c>
      <c r="O780" s="58" t="s">
        <v>3290</v>
      </c>
      <c r="P780" s="206">
        <v>44817</v>
      </c>
      <c r="Q780" s="460">
        <v>44817</v>
      </c>
      <c r="R780" s="460">
        <v>45547</v>
      </c>
      <c r="S780" s="461">
        <v>45548</v>
      </c>
      <c r="T780" s="139">
        <v>2020</v>
      </c>
      <c r="U780" s="139" t="s">
        <v>7806</v>
      </c>
      <c r="V780" s="139" t="s">
        <v>30</v>
      </c>
      <c r="W780" s="139" t="s">
        <v>30</v>
      </c>
      <c r="X780" s="139" t="s">
        <v>30</v>
      </c>
      <c r="Y780" s="462" t="s">
        <v>30</v>
      </c>
      <c r="Z780" s="140" t="s">
        <v>7912</v>
      </c>
      <c r="AA780" s="140" t="s">
        <v>1841</v>
      </c>
      <c r="AB780" s="460">
        <v>44523</v>
      </c>
      <c r="AC780" s="460">
        <v>46346</v>
      </c>
      <c r="AD780" s="139">
        <v>9390157714</v>
      </c>
      <c r="AE780" s="467" t="s">
        <v>7913</v>
      </c>
      <c r="AF780" s="139" t="s">
        <v>2284</v>
      </c>
      <c r="AG780" s="463" t="s">
        <v>7914</v>
      </c>
      <c r="AH780" s="139" t="s">
        <v>7915</v>
      </c>
      <c r="AI780" s="139"/>
      <c r="AJ780" s="464">
        <v>768943650992</v>
      </c>
      <c r="AK780" s="140" t="s">
        <v>7916</v>
      </c>
      <c r="AL780" s="206"/>
      <c r="AM780" s="477"/>
      <c r="AN780" s="465"/>
      <c r="AO780" s="140"/>
      <c r="AP780" s="139"/>
      <c r="AQ780" s="139"/>
      <c r="AR780" s="181"/>
      <c r="AS780" s="458"/>
      <c r="AT780" s="458"/>
      <c r="AU780" s="461" t="s">
        <v>7917</v>
      </c>
      <c r="AV780" s="181" t="s">
        <v>1389</v>
      </c>
      <c r="AW780" s="31" t="s">
        <v>32</v>
      </c>
      <c r="AX780" s="139">
        <v>2</v>
      </c>
      <c r="AY780" s="58" t="s">
        <v>1849</v>
      </c>
      <c r="AZ780" s="58" t="s">
        <v>1390</v>
      </c>
      <c r="BA780" s="58" t="s">
        <v>151</v>
      </c>
      <c r="BB780" s="58" t="s">
        <v>1407</v>
      </c>
      <c r="BC780" s="58"/>
    </row>
    <row r="781" spans="1:55" x14ac:dyDescent="0.25">
      <c r="A781" s="10">
        <f t="shared" si="35"/>
        <v>780</v>
      </c>
      <c r="B781" s="181" t="s">
        <v>5315</v>
      </c>
      <c r="C781" s="592" t="s">
        <v>1407</v>
      </c>
      <c r="D781" s="457">
        <v>400815</v>
      </c>
      <c r="E781" s="181" t="s">
        <v>42</v>
      </c>
      <c r="F781" s="97" t="s">
        <v>7918</v>
      </c>
      <c r="G781" s="139">
        <v>6</v>
      </c>
      <c r="H781" s="469" t="s">
        <v>5491</v>
      </c>
      <c r="I781" s="469" t="s">
        <v>989</v>
      </c>
      <c r="J781" s="458">
        <f>I781-H781</f>
        <v>0.33333333333333337</v>
      </c>
      <c r="K781" s="100" t="s">
        <v>1187</v>
      </c>
      <c r="L781" s="97" t="s">
        <v>7919</v>
      </c>
      <c r="M781" s="97" t="s">
        <v>26</v>
      </c>
      <c r="N781" s="58" t="s">
        <v>38</v>
      </c>
      <c r="O781" s="462" t="s">
        <v>5076</v>
      </c>
      <c r="P781" s="206">
        <v>45139</v>
      </c>
      <c r="Q781" s="206">
        <v>45139</v>
      </c>
      <c r="R781" s="206">
        <v>45869</v>
      </c>
      <c r="S781" s="461">
        <v>45870</v>
      </c>
      <c r="T781" s="139">
        <v>2010</v>
      </c>
      <c r="U781" s="181" t="s">
        <v>7920</v>
      </c>
      <c r="V781" s="139">
        <v>2017</v>
      </c>
      <c r="W781" s="97" t="s">
        <v>250</v>
      </c>
      <c r="X781" s="139" t="s">
        <v>1424</v>
      </c>
      <c r="Y781" s="58" t="s">
        <v>1611</v>
      </c>
      <c r="Z781" s="140" t="s">
        <v>5317</v>
      </c>
      <c r="AA781" s="97" t="s">
        <v>1841</v>
      </c>
      <c r="AB781" s="471">
        <v>45267</v>
      </c>
      <c r="AC781" s="471">
        <v>47093</v>
      </c>
      <c r="AD781" s="472">
        <v>8790757456</v>
      </c>
      <c r="AE781" s="473" t="s">
        <v>5318</v>
      </c>
      <c r="AF781" s="97" t="s">
        <v>1430</v>
      </c>
      <c r="AG781" s="482">
        <v>50100285724093</v>
      </c>
      <c r="AH781" s="181" t="s">
        <v>3512</v>
      </c>
      <c r="AI781" s="139" t="s">
        <v>5321</v>
      </c>
      <c r="AJ781" s="464">
        <v>746901085077</v>
      </c>
      <c r="AK781" s="97"/>
      <c r="AL781" s="461">
        <v>45506</v>
      </c>
      <c r="AM781" s="477" t="s">
        <v>30</v>
      </c>
      <c r="AN781" s="465" t="s">
        <v>4831</v>
      </c>
      <c r="AO781" s="140" t="s">
        <v>7921</v>
      </c>
      <c r="AP781" s="58"/>
      <c r="AQ781" s="483" t="s">
        <v>7921</v>
      </c>
      <c r="AR781" s="462"/>
      <c r="AS781" s="479">
        <v>0.375</v>
      </c>
      <c r="AT781" s="479">
        <v>0.70833333333333337</v>
      </c>
      <c r="AU781" s="461">
        <v>31594</v>
      </c>
      <c r="AV781" s="181" t="s">
        <v>1389</v>
      </c>
      <c r="AW781" s="31" t="s">
        <v>68</v>
      </c>
      <c r="AX781" s="139">
        <v>8</v>
      </c>
      <c r="AY781" s="58" t="s">
        <v>2006</v>
      </c>
      <c r="AZ781" s="58" t="s">
        <v>26</v>
      </c>
      <c r="BA781" s="58" t="s">
        <v>151</v>
      </c>
      <c r="BB781" s="58" t="s">
        <v>1407</v>
      </c>
      <c r="BC781" s="58"/>
    </row>
    <row r="782" spans="1:55" x14ac:dyDescent="0.25">
      <c r="A782" s="10">
        <f t="shared" si="35"/>
        <v>781</v>
      </c>
      <c r="B782" s="181" t="s">
        <v>7922</v>
      </c>
      <c r="C782" s="592" t="s">
        <v>1407</v>
      </c>
      <c r="D782" s="457">
        <v>400559</v>
      </c>
      <c r="E782" s="181" t="s">
        <v>36</v>
      </c>
      <c r="F782" s="97" t="s">
        <v>7923</v>
      </c>
      <c r="G782" s="139">
        <v>6</v>
      </c>
      <c r="H782" s="469" t="s">
        <v>5491</v>
      </c>
      <c r="I782" s="469" t="s">
        <v>7654</v>
      </c>
      <c r="J782" s="458">
        <f>I782-H782</f>
        <v>8.3333333333333315E-2</v>
      </c>
      <c r="K782" s="58" t="s">
        <v>341</v>
      </c>
      <c r="L782" s="97" t="s">
        <v>1376</v>
      </c>
      <c r="M782" s="97" t="s">
        <v>1376</v>
      </c>
      <c r="N782" s="58" t="s">
        <v>1393</v>
      </c>
      <c r="O782" s="58" t="s">
        <v>3290</v>
      </c>
      <c r="P782" s="206">
        <v>44820</v>
      </c>
      <c r="Q782" s="206">
        <v>44820</v>
      </c>
      <c r="R782" s="206">
        <v>45550</v>
      </c>
      <c r="S782" s="461">
        <v>45551</v>
      </c>
      <c r="T782" s="139">
        <v>2019</v>
      </c>
      <c r="U782" s="181" t="s">
        <v>7924</v>
      </c>
      <c r="V782" s="139" t="s">
        <v>30</v>
      </c>
      <c r="W782" s="140" t="s">
        <v>30</v>
      </c>
      <c r="X782" s="181" t="s">
        <v>30</v>
      </c>
      <c r="Y782" s="58" t="s">
        <v>226</v>
      </c>
      <c r="Z782" s="140" t="s">
        <v>7925</v>
      </c>
      <c r="AA782" s="97" t="s">
        <v>1841</v>
      </c>
      <c r="AB782" s="471">
        <v>43992</v>
      </c>
      <c r="AC782" s="471">
        <v>45818</v>
      </c>
      <c r="AD782" s="472">
        <v>8978014496</v>
      </c>
      <c r="AE782" s="473" t="s">
        <v>7926</v>
      </c>
      <c r="AF782" s="97" t="s">
        <v>1430</v>
      </c>
      <c r="AG782" s="482" t="s">
        <v>7927</v>
      </c>
      <c r="AH782" s="181" t="s">
        <v>7928</v>
      </c>
      <c r="AI782" s="139" t="s">
        <v>7929</v>
      </c>
      <c r="AJ782" s="464">
        <v>241405023897</v>
      </c>
      <c r="AK782" s="97" t="s">
        <v>7930</v>
      </c>
      <c r="AL782" s="206"/>
      <c r="AM782" s="477"/>
      <c r="AN782" s="465"/>
      <c r="AO782" s="97"/>
      <c r="AP782" s="58"/>
      <c r="AQ782" s="486"/>
      <c r="AR782" s="462"/>
      <c r="AS782" s="479">
        <v>0.375</v>
      </c>
      <c r="AT782" s="479">
        <v>0.45833333333333331</v>
      </c>
      <c r="AU782" s="461">
        <v>34373</v>
      </c>
      <c r="AV782" s="181" t="s">
        <v>1389</v>
      </c>
      <c r="AW782" s="31" t="s">
        <v>32</v>
      </c>
      <c r="AX782" s="139">
        <v>2</v>
      </c>
      <c r="AY782" s="14" t="s">
        <v>1881</v>
      </c>
      <c r="AZ782" s="58" t="s">
        <v>1390</v>
      </c>
      <c r="BA782" s="58" t="s">
        <v>151</v>
      </c>
      <c r="BB782" s="58" t="s">
        <v>1407</v>
      </c>
      <c r="BC782" s="58"/>
    </row>
    <row r="783" spans="1:55" x14ac:dyDescent="0.25">
      <c r="A783" s="10">
        <f t="shared" si="35"/>
        <v>782</v>
      </c>
      <c r="B783" s="181"/>
      <c r="C783" s="592" t="s">
        <v>1407</v>
      </c>
      <c r="D783" s="457">
        <v>400560</v>
      </c>
      <c r="E783" s="181" t="s">
        <v>36</v>
      </c>
      <c r="F783" s="97" t="s">
        <v>7931</v>
      </c>
      <c r="G783" s="139">
        <v>6</v>
      </c>
      <c r="H783" s="458">
        <v>0.375</v>
      </c>
      <c r="I783" s="458">
        <v>0.625</v>
      </c>
      <c r="J783" s="458">
        <f>I783-H783</f>
        <v>0.25</v>
      </c>
      <c r="K783" s="100" t="s">
        <v>860</v>
      </c>
      <c r="L783" s="97"/>
      <c r="M783" s="97" t="s">
        <v>26</v>
      </c>
      <c r="N783" s="58" t="s">
        <v>38</v>
      </c>
      <c r="O783" s="58" t="s">
        <v>7887</v>
      </c>
      <c r="P783" s="206">
        <v>44821</v>
      </c>
      <c r="Q783" s="460">
        <v>44821</v>
      </c>
      <c r="R783" s="460">
        <v>45551</v>
      </c>
      <c r="S783" s="461">
        <v>45552</v>
      </c>
      <c r="T783" s="139">
        <v>2018</v>
      </c>
      <c r="U783" s="139" t="s">
        <v>7932</v>
      </c>
      <c r="V783" s="139">
        <v>2022</v>
      </c>
      <c r="W783" s="139" t="s">
        <v>4946</v>
      </c>
      <c r="X783" s="139" t="s">
        <v>30</v>
      </c>
      <c r="Y783" s="462" t="s">
        <v>30</v>
      </c>
      <c r="Z783" s="140" t="s">
        <v>7933</v>
      </c>
      <c r="AA783" s="140" t="s">
        <v>1886</v>
      </c>
      <c r="AB783" s="460">
        <v>43731</v>
      </c>
      <c r="AC783" s="460">
        <v>45557</v>
      </c>
      <c r="AD783" s="139">
        <v>9963863044</v>
      </c>
      <c r="AE783" s="467" t="s">
        <v>7934</v>
      </c>
      <c r="AF783" s="139"/>
      <c r="AG783" s="491"/>
      <c r="AH783" s="139"/>
      <c r="AI783" s="139"/>
      <c r="AJ783" s="464"/>
      <c r="AK783" s="140"/>
      <c r="AL783" s="461"/>
      <c r="AM783" s="477"/>
      <c r="AN783" s="465"/>
      <c r="AO783" s="140"/>
      <c r="AP783" s="139"/>
      <c r="AQ783" s="139"/>
      <c r="AR783" s="181"/>
      <c r="AS783" s="458"/>
      <c r="AT783" s="458"/>
      <c r="AU783" s="461">
        <v>35387</v>
      </c>
      <c r="AV783" s="181" t="s">
        <v>1389</v>
      </c>
      <c r="AW783" s="31" t="s">
        <v>32</v>
      </c>
      <c r="AX783" s="139">
        <v>6</v>
      </c>
      <c r="AY783" s="58" t="s">
        <v>2469</v>
      </c>
      <c r="AZ783" s="58" t="s">
        <v>26</v>
      </c>
      <c r="BA783" s="58" t="s">
        <v>151</v>
      </c>
      <c r="BB783" s="58" t="s">
        <v>1407</v>
      </c>
      <c r="BC783" s="58"/>
    </row>
    <row r="784" spans="1:55" x14ac:dyDescent="0.25">
      <c r="A784" s="10">
        <f t="shared" si="35"/>
        <v>783</v>
      </c>
      <c r="B784" s="181" t="s">
        <v>7935</v>
      </c>
      <c r="C784" s="592" t="s">
        <v>1407</v>
      </c>
      <c r="D784" s="457">
        <v>400561</v>
      </c>
      <c r="E784" s="181" t="s">
        <v>36</v>
      </c>
      <c r="F784" s="97" t="s">
        <v>7936</v>
      </c>
      <c r="G784" s="139">
        <v>6</v>
      </c>
      <c r="H784" s="458">
        <v>0.39583333333333331</v>
      </c>
      <c r="I784" s="458">
        <v>0.4375</v>
      </c>
      <c r="J784" s="458">
        <v>4.1666666666666664E-2</v>
      </c>
      <c r="K784" s="58" t="s">
        <v>4961</v>
      </c>
      <c r="L784" s="97" t="s">
        <v>1376</v>
      </c>
      <c r="M784" s="97" t="s">
        <v>1376</v>
      </c>
      <c r="N784" s="58" t="s">
        <v>1393</v>
      </c>
      <c r="O784" s="58" t="s">
        <v>3290</v>
      </c>
      <c r="P784" s="206">
        <v>44820</v>
      </c>
      <c r="Q784" s="460">
        <v>44820</v>
      </c>
      <c r="R784" s="460">
        <v>45550</v>
      </c>
      <c r="S784" s="461">
        <v>45551</v>
      </c>
      <c r="T784" s="139">
        <v>2016</v>
      </c>
      <c r="U784" s="139" t="s">
        <v>7937</v>
      </c>
      <c r="V784" s="139" t="s">
        <v>30</v>
      </c>
      <c r="W784" s="139" t="s">
        <v>30</v>
      </c>
      <c r="X784" s="139" t="s">
        <v>30</v>
      </c>
      <c r="Y784" s="462" t="s">
        <v>30</v>
      </c>
      <c r="Z784" s="140" t="s">
        <v>7938</v>
      </c>
      <c r="AA784" s="140" t="s">
        <v>1841</v>
      </c>
      <c r="AB784" s="460"/>
      <c r="AC784" s="460"/>
      <c r="AD784" s="488">
        <v>8374247237</v>
      </c>
      <c r="AE784" s="140" t="s">
        <v>7939</v>
      </c>
      <c r="AF784" s="139" t="s">
        <v>1430</v>
      </c>
      <c r="AG784" s="463" t="s">
        <v>7940</v>
      </c>
      <c r="AH784" s="139" t="s">
        <v>7941</v>
      </c>
      <c r="AI784" s="139" t="s">
        <v>7942</v>
      </c>
      <c r="AJ784" s="464">
        <v>622692727295</v>
      </c>
      <c r="AK784" s="140" t="s">
        <v>7943</v>
      </c>
      <c r="AL784" s="206">
        <v>45240</v>
      </c>
      <c r="AM784" s="477"/>
      <c r="AN784" s="465"/>
      <c r="AO784" s="140"/>
      <c r="AP784" s="139"/>
      <c r="AQ784" s="139"/>
      <c r="AR784" s="58"/>
      <c r="AS784" s="458" t="e">
        <v>#N/A</v>
      </c>
      <c r="AT784" s="458"/>
      <c r="AU784" s="461">
        <v>33629</v>
      </c>
      <c r="AV784" s="181" t="s">
        <v>1389</v>
      </c>
      <c r="AW784" s="31" t="s">
        <v>32</v>
      </c>
      <c r="AX784" s="139">
        <v>1</v>
      </c>
      <c r="AY784" s="58" t="s">
        <v>2189</v>
      </c>
      <c r="AZ784" s="58" t="s">
        <v>1390</v>
      </c>
      <c r="BA784" s="58" t="s">
        <v>151</v>
      </c>
      <c r="BB784" s="58" t="s">
        <v>1407</v>
      </c>
      <c r="BC784" s="58"/>
    </row>
    <row r="785" spans="1:55" x14ac:dyDescent="0.25">
      <c r="A785" s="10">
        <f t="shared" si="35"/>
        <v>784</v>
      </c>
      <c r="B785" s="181" t="s">
        <v>7454</v>
      </c>
      <c r="C785" s="592" t="s">
        <v>1407</v>
      </c>
      <c r="D785" s="457">
        <v>400562</v>
      </c>
      <c r="E785" s="181" t="s">
        <v>36</v>
      </c>
      <c r="F785" s="97" t="s">
        <v>7455</v>
      </c>
      <c r="G785" s="139">
        <v>6</v>
      </c>
      <c r="H785" s="458">
        <v>0.35416666666666669</v>
      </c>
      <c r="I785" s="458">
        <v>0.39583333333333331</v>
      </c>
      <c r="J785" s="458">
        <v>4.1666666666666664E-2</v>
      </c>
      <c r="K785" s="35" t="s">
        <v>593</v>
      </c>
      <c r="L785" s="97" t="s">
        <v>1376</v>
      </c>
      <c r="M785" s="97" t="s">
        <v>1376</v>
      </c>
      <c r="N785" s="58" t="s">
        <v>1393</v>
      </c>
      <c r="O785" s="58" t="s">
        <v>3290</v>
      </c>
      <c r="P785" s="206">
        <v>44823</v>
      </c>
      <c r="Q785" s="460">
        <v>44823</v>
      </c>
      <c r="R785" s="460">
        <v>45553</v>
      </c>
      <c r="S785" s="461">
        <v>45554</v>
      </c>
      <c r="T785" s="139">
        <v>2008</v>
      </c>
      <c r="U785" s="139" t="s">
        <v>2370</v>
      </c>
      <c r="V785" s="139" t="s">
        <v>30</v>
      </c>
      <c r="W785" s="139" t="s">
        <v>30</v>
      </c>
      <c r="X785" s="139" t="s">
        <v>30</v>
      </c>
      <c r="Y785" s="462" t="s">
        <v>226</v>
      </c>
      <c r="Z785" s="140">
        <v>69343</v>
      </c>
      <c r="AA785" s="140" t="s">
        <v>1886</v>
      </c>
      <c r="AB785" s="460">
        <v>44223</v>
      </c>
      <c r="AC785" s="460">
        <v>46048</v>
      </c>
      <c r="AD785" s="488">
        <v>9502956667</v>
      </c>
      <c r="AE785" s="140" t="s">
        <v>7456</v>
      </c>
      <c r="AF785" s="139" t="s">
        <v>1364</v>
      </c>
      <c r="AG785" s="463" t="s">
        <v>7944</v>
      </c>
      <c r="AH785" s="139" t="s">
        <v>7457</v>
      </c>
      <c r="AI785" s="139" t="s">
        <v>7458</v>
      </c>
      <c r="AJ785" s="464">
        <v>558837138553</v>
      </c>
      <c r="AK785" s="140" t="s">
        <v>7459</v>
      </c>
      <c r="AL785" s="206"/>
      <c r="AM785" s="477" t="s">
        <v>30</v>
      </c>
      <c r="AN785" s="490"/>
      <c r="AO785" s="140"/>
      <c r="AP785" s="139"/>
      <c r="AQ785" s="139"/>
      <c r="AR785" s="58"/>
      <c r="AS785" s="458"/>
      <c r="AT785" s="458"/>
      <c r="AU785" s="461">
        <v>30494</v>
      </c>
      <c r="AV785" s="181" t="s">
        <v>1352</v>
      </c>
      <c r="AW785" s="31" t="s">
        <v>32</v>
      </c>
      <c r="AX785" s="139">
        <v>1</v>
      </c>
      <c r="AY785" s="58" t="s">
        <v>1920</v>
      </c>
      <c r="AZ785" s="58" t="s">
        <v>1390</v>
      </c>
      <c r="BA785" s="58" t="s">
        <v>151</v>
      </c>
      <c r="BB785" s="58" t="s">
        <v>1407</v>
      </c>
      <c r="BC785" s="58"/>
    </row>
    <row r="786" spans="1:55" x14ac:dyDescent="0.25">
      <c r="A786" s="10">
        <f t="shared" si="35"/>
        <v>785</v>
      </c>
      <c r="B786" s="181" t="s">
        <v>7945</v>
      </c>
      <c r="C786" s="592" t="s">
        <v>1407</v>
      </c>
      <c r="D786" s="457">
        <v>400563</v>
      </c>
      <c r="E786" s="181" t="s">
        <v>36</v>
      </c>
      <c r="F786" s="97" t="s">
        <v>7946</v>
      </c>
      <c r="G786" s="139">
        <v>6</v>
      </c>
      <c r="H786" s="458">
        <v>0.33333333333333331</v>
      </c>
      <c r="I786" s="458">
        <v>0.875</v>
      </c>
      <c r="J786" s="458">
        <v>0.33333333333333331</v>
      </c>
      <c r="K786" s="100" t="s">
        <v>287</v>
      </c>
      <c r="L786" s="97" t="s">
        <v>2015</v>
      </c>
      <c r="M786" s="63" t="s">
        <v>1355</v>
      </c>
      <c r="N786" s="100" t="s">
        <v>1520</v>
      </c>
      <c r="O786" s="58" t="s">
        <v>5168</v>
      </c>
      <c r="P786" s="206">
        <v>44954</v>
      </c>
      <c r="Q786" s="460">
        <v>44954</v>
      </c>
      <c r="R786" s="460">
        <v>45684</v>
      </c>
      <c r="S786" s="461">
        <v>45685</v>
      </c>
      <c r="T786" s="139">
        <v>2015</v>
      </c>
      <c r="U786" s="139" t="s">
        <v>2358</v>
      </c>
      <c r="V786" s="139">
        <v>2022</v>
      </c>
      <c r="W786" s="139" t="s">
        <v>7947</v>
      </c>
      <c r="X786" s="139" t="s">
        <v>30</v>
      </c>
      <c r="Y786" s="462" t="s">
        <v>30</v>
      </c>
      <c r="Z786" s="140" t="s">
        <v>7948</v>
      </c>
      <c r="AA786" s="140" t="s">
        <v>1886</v>
      </c>
      <c r="AB786" s="460">
        <v>44741</v>
      </c>
      <c r="AC786" s="460">
        <v>46566</v>
      </c>
      <c r="AD786" s="488">
        <v>7659884548</v>
      </c>
      <c r="AE786" s="140" t="s">
        <v>7949</v>
      </c>
      <c r="AF786" s="139" t="s">
        <v>5086</v>
      </c>
      <c r="AG786" s="463">
        <v>35976728532</v>
      </c>
      <c r="AH786" s="139" t="s">
        <v>7950</v>
      </c>
      <c r="AI786" s="139" t="s">
        <v>7951</v>
      </c>
      <c r="AJ786" s="464">
        <v>532565907243</v>
      </c>
      <c r="AK786" s="140" t="s">
        <v>7952</v>
      </c>
      <c r="AL786" s="206">
        <v>45173</v>
      </c>
      <c r="AM786" s="477">
        <v>45112</v>
      </c>
      <c r="AN786" s="465"/>
      <c r="AO786" s="140"/>
      <c r="AP786" s="139"/>
      <c r="AQ786" s="139"/>
      <c r="AR786" s="58"/>
      <c r="AS786" s="458"/>
      <c r="AT786" s="458"/>
      <c r="AU786" s="461">
        <v>33199</v>
      </c>
      <c r="AV786" s="181" t="s">
        <v>1389</v>
      </c>
      <c r="AW786" s="31" t="s">
        <v>68</v>
      </c>
      <c r="AX786" s="139">
        <v>8</v>
      </c>
      <c r="AY786" s="58" t="s">
        <v>1881</v>
      </c>
      <c r="AZ786" s="58" t="s">
        <v>1373</v>
      </c>
      <c r="BA786" s="58" t="s">
        <v>151</v>
      </c>
      <c r="BB786" s="58" t="s">
        <v>1407</v>
      </c>
      <c r="BC786" s="58"/>
    </row>
    <row r="787" spans="1:55" x14ac:dyDescent="0.25">
      <c r="A787" s="10">
        <f t="shared" si="35"/>
        <v>786</v>
      </c>
      <c r="B787" s="181" t="s">
        <v>7953</v>
      </c>
      <c r="C787" s="592" t="s">
        <v>1407</v>
      </c>
      <c r="D787" s="457">
        <v>400634</v>
      </c>
      <c r="E787" s="181" t="s">
        <v>36</v>
      </c>
      <c r="F787" s="97" t="s">
        <v>7954</v>
      </c>
      <c r="G787" s="139">
        <v>6</v>
      </c>
      <c r="H787" s="469" t="s">
        <v>235</v>
      </c>
      <c r="I787" s="469" t="s">
        <v>948</v>
      </c>
      <c r="J787" s="458">
        <v>0.33333333333333331</v>
      </c>
      <c r="K787" s="58" t="s">
        <v>147</v>
      </c>
      <c r="L787" s="97" t="s">
        <v>30</v>
      </c>
      <c r="M787" s="63" t="s">
        <v>1355</v>
      </c>
      <c r="N787" s="100" t="s">
        <v>1520</v>
      </c>
      <c r="O787" s="58" t="s">
        <v>6947</v>
      </c>
      <c r="P787" s="206">
        <v>44972</v>
      </c>
      <c r="Q787" s="206">
        <v>44972</v>
      </c>
      <c r="R787" s="206">
        <v>45702</v>
      </c>
      <c r="S787" s="461">
        <v>45703</v>
      </c>
      <c r="T787" s="139">
        <v>2014</v>
      </c>
      <c r="U787" s="181" t="s">
        <v>7955</v>
      </c>
      <c r="V787" s="139">
        <v>2020</v>
      </c>
      <c r="W787" s="140" t="s">
        <v>7956</v>
      </c>
      <c r="X787" s="181" t="s">
        <v>30</v>
      </c>
      <c r="Y787" s="58" t="s">
        <v>1611</v>
      </c>
      <c r="Z787" s="140" t="s">
        <v>7957</v>
      </c>
      <c r="AA787" s="97" t="s">
        <v>1841</v>
      </c>
      <c r="AB787" s="471">
        <v>44420</v>
      </c>
      <c r="AC787" s="471">
        <v>46245</v>
      </c>
      <c r="AD787" s="472">
        <v>9701547311</v>
      </c>
      <c r="AE787" s="473" t="s">
        <v>7958</v>
      </c>
      <c r="AF787" s="97" t="s">
        <v>1364</v>
      </c>
      <c r="AG787" s="482" t="s">
        <v>7959</v>
      </c>
      <c r="AH787" s="181" t="s">
        <v>2456</v>
      </c>
      <c r="AI787" s="139" t="s">
        <v>7960</v>
      </c>
      <c r="AJ787" s="464">
        <v>402496671530</v>
      </c>
      <c r="AK787" s="97" t="s">
        <v>7961</v>
      </c>
      <c r="AL787" s="206">
        <v>45511</v>
      </c>
      <c r="AM787" s="477">
        <v>45451</v>
      </c>
      <c r="AN787" s="465" t="s">
        <v>5098</v>
      </c>
      <c r="AO787" s="97"/>
      <c r="AP787" s="58"/>
      <c r="AQ787" s="486"/>
      <c r="AR787" s="462"/>
      <c r="AS787" s="479">
        <v>0.33333333333333331</v>
      </c>
      <c r="AT787" s="479">
        <v>0.66666666666666663</v>
      </c>
      <c r="AU787" s="461">
        <v>33555</v>
      </c>
      <c r="AV787" s="181" t="s">
        <v>1389</v>
      </c>
      <c r="AW787" s="31" t="s">
        <v>68</v>
      </c>
      <c r="AX787" s="139">
        <v>8</v>
      </c>
      <c r="AY787" s="58" t="s">
        <v>1849</v>
      </c>
      <c r="AZ787" s="58" t="s">
        <v>1373</v>
      </c>
      <c r="BA787" s="58" t="s">
        <v>151</v>
      </c>
      <c r="BB787" s="58" t="s">
        <v>1407</v>
      </c>
      <c r="BC787" s="58"/>
    </row>
    <row r="788" spans="1:55" x14ac:dyDescent="0.25">
      <c r="A788" s="10">
        <f t="shared" si="35"/>
        <v>787</v>
      </c>
      <c r="B788" s="181" t="s">
        <v>7962</v>
      </c>
      <c r="C788" s="592" t="s">
        <v>1407</v>
      </c>
      <c r="D788" s="457">
        <v>400565</v>
      </c>
      <c r="E788" s="181" t="s">
        <v>36</v>
      </c>
      <c r="F788" s="97" t="s">
        <v>7963</v>
      </c>
      <c r="G788" s="139">
        <v>6</v>
      </c>
      <c r="H788" s="458">
        <v>0.72916666666666663</v>
      </c>
      <c r="I788" s="458">
        <v>0.89583333333333337</v>
      </c>
      <c r="J788" s="458">
        <f>I788-H788</f>
        <v>0.16666666666666674</v>
      </c>
      <c r="K788" s="143" t="s">
        <v>513</v>
      </c>
      <c r="L788" s="97" t="s">
        <v>2097</v>
      </c>
      <c r="M788" s="97" t="s">
        <v>2097</v>
      </c>
      <c r="N788" s="58" t="s">
        <v>2098</v>
      </c>
      <c r="O788" s="58" t="s">
        <v>5111</v>
      </c>
      <c r="P788" s="206">
        <v>44830</v>
      </c>
      <c r="Q788" s="460">
        <v>44830</v>
      </c>
      <c r="R788" s="460">
        <v>45560</v>
      </c>
      <c r="S788" s="461">
        <v>45561</v>
      </c>
      <c r="T788" s="139">
        <v>2012</v>
      </c>
      <c r="U788" s="139" t="s">
        <v>7964</v>
      </c>
      <c r="V788" s="139">
        <v>2021</v>
      </c>
      <c r="W788" s="139" t="s">
        <v>7965</v>
      </c>
      <c r="X788" s="139" t="s">
        <v>30</v>
      </c>
      <c r="Y788" s="462" t="s">
        <v>2099</v>
      </c>
      <c r="Z788" s="140" t="s">
        <v>7966</v>
      </c>
      <c r="AA788" s="140" t="s">
        <v>1841</v>
      </c>
      <c r="AB788" s="460">
        <v>44819</v>
      </c>
      <c r="AC788" s="460">
        <v>46644</v>
      </c>
      <c r="AD788" s="139">
        <v>9908411044</v>
      </c>
      <c r="AE788" s="467" t="s">
        <v>7967</v>
      </c>
      <c r="AF788" s="139" t="s">
        <v>7819</v>
      </c>
      <c r="AG788" s="491" t="s">
        <v>7968</v>
      </c>
      <c r="AH788" s="139" t="s">
        <v>2891</v>
      </c>
      <c r="AI788" s="139" t="s">
        <v>7969</v>
      </c>
      <c r="AJ788" s="475">
        <v>498246391137</v>
      </c>
      <c r="AK788" s="140" t="s">
        <v>7970</v>
      </c>
      <c r="AL788" s="206"/>
      <c r="AM788" s="477"/>
      <c r="AN788" s="465"/>
      <c r="AO788" s="140"/>
      <c r="AP788" s="139"/>
      <c r="AQ788" s="139"/>
      <c r="AR788" s="181"/>
      <c r="AS788" s="458"/>
      <c r="AT788" s="458"/>
      <c r="AU788" s="461">
        <v>30915</v>
      </c>
      <c r="AV788" s="181" t="s">
        <v>1352</v>
      </c>
      <c r="AW788" s="31" t="s">
        <v>32</v>
      </c>
      <c r="AX788" s="139">
        <v>4</v>
      </c>
      <c r="AY788" s="58" t="s">
        <v>1959</v>
      </c>
      <c r="AZ788" s="58" t="s">
        <v>1373</v>
      </c>
      <c r="BA788" s="58" t="s">
        <v>151</v>
      </c>
      <c r="BB788" s="58" t="s">
        <v>1407</v>
      </c>
      <c r="BC788" s="58"/>
    </row>
    <row r="789" spans="1:55" x14ac:dyDescent="0.25">
      <c r="A789" s="10">
        <f t="shared" si="35"/>
        <v>788</v>
      </c>
      <c r="B789" s="181" t="s">
        <v>7523</v>
      </c>
      <c r="C789" s="592" t="s">
        <v>1407</v>
      </c>
      <c r="D789" s="457">
        <v>400567</v>
      </c>
      <c r="E789" s="181" t="s">
        <v>36</v>
      </c>
      <c r="F789" s="97" t="s">
        <v>7524</v>
      </c>
      <c r="G789" s="139">
        <v>6</v>
      </c>
      <c r="H789" s="458">
        <v>0.39583333333333331</v>
      </c>
      <c r="I789" s="458">
        <v>0.4375</v>
      </c>
      <c r="J789" s="458">
        <v>4.1666666666666664E-2</v>
      </c>
      <c r="K789" s="100" t="s">
        <v>961</v>
      </c>
      <c r="L789" s="97" t="s">
        <v>1376</v>
      </c>
      <c r="M789" s="97" t="s">
        <v>1376</v>
      </c>
      <c r="N789" s="58" t="s">
        <v>1393</v>
      </c>
      <c r="O789" s="58" t="s">
        <v>3290</v>
      </c>
      <c r="P789" s="206">
        <v>44833</v>
      </c>
      <c r="Q789" s="460">
        <v>44833</v>
      </c>
      <c r="R789" s="460">
        <v>45563</v>
      </c>
      <c r="S789" s="461">
        <v>45564</v>
      </c>
      <c r="T789" s="139">
        <v>2016</v>
      </c>
      <c r="U789" s="139" t="s">
        <v>7525</v>
      </c>
      <c r="V789" s="139" t="s">
        <v>30</v>
      </c>
      <c r="W789" s="139" t="s">
        <v>30</v>
      </c>
      <c r="X789" s="139" t="s">
        <v>30</v>
      </c>
      <c r="Y789" s="462" t="s">
        <v>226</v>
      </c>
      <c r="Z789" s="140" t="s">
        <v>7526</v>
      </c>
      <c r="AA789" s="140" t="s">
        <v>1841</v>
      </c>
      <c r="AB789" s="460">
        <v>44832</v>
      </c>
      <c r="AC789" s="460">
        <v>46657</v>
      </c>
      <c r="AD789" s="488">
        <v>9663210666</v>
      </c>
      <c r="AE789" s="140" t="s">
        <v>7527</v>
      </c>
      <c r="AF789" s="139" t="s">
        <v>1430</v>
      </c>
      <c r="AG789" s="463" t="s">
        <v>7971</v>
      </c>
      <c r="AH789" s="139" t="s">
        <v>7528</v>
      </c>
      <c r="AI789" s="139" t="s">
        <v>7529</v>
      </c>
      <c r="AJ789" s="464">
        <v>748081861277</v>
      </c>
      <c r="AK789" s="140" t="s">
        <v>7530</v>
      </c>
      <c r="AL789" s="206">
        <v>45199</v>
      </c>
      <c r="AM789" s="477" t="s">
        <v>30</v>
      </c>
      <c r="AN789" s="490"/>
      <c r="AO789" s="140"/>
      <c r="AP789" s="139"/>
      <c r="AQ789" s="139"/>
      <c r="AR789" s="58"/>
      <c r="AS789" s="458"/>
      <c r="AT789" s="458"/>
      <c r="AU789" s="461">
        <v>33569</v>
      </c>
      <c r="AV789" s="181" t="s">
        <v>1352</v>
      </c>
      <c r="AW789" s="31" t="s">
        <v>32</v>
      </c>
      <c r="AX789" s="139">
        <v>1</v>
      </c>
      <c r="AY789" s="58" t="s">
        <v>1849</v>
      </c>
      <c r="AZ789" s="58" t="s">
        <v>1390</v>
      </c>
      <c r="BA789" s="58" t="s">
        <v>151</v>
      </c>
      <c r="BB789" s="58" t="s">
        <v>1407</v>
      </c>
      <c r="BC789" s="58"/>
    </row>
    <row r="790" spans="1:55" x14ac:dyDescent="0.25">
      <c r="A790" s="10">
        <f t="shared" si="35"/>
        <v>789</v>
      </c>
      <c r="B790" s="181" t="s">
        <v>7972</v>
      </c>
      <c r="C790" s="592" t="s">
        <v>1407</v>
      </c>
      <c r="D790" s="457">
        <v>400568</v>
      </c>
      <c r="E790" s="181" t="s">
        <v>36</v>
      </c>
      <c r="F790" s="97" t="s">
        <v>7973</v>
      </c>
      <c r="G790" s="139">
        <v>6</v>
      </c>
      <c r="H790" s="458">
        <v>0.33333333333333331</v>
      </c>
      <c r="I790" s="458">
        <v>0.875</v>
      </c>
      <c r="J790" s="458">
        <v>0.33333333333333331</v>
      </c>
      <c r="K790" s="58" t="s">
        <v>147</v>
      </c>
      <c r="L790" s="97" t="s">
        <v>2097</v>
      </c>
      <c r="M790" s="97" t="s">
        <v>2097</v>
      </c>
      <c r="N790" s="58" t="s">
        <v>2098</v>
      </c>
      <c r="O790" s="58" t="s">
        <v>5111</v>
      </c>
      <c r="P790" s="206">
        <v>44835</v>
      </c>
      <c r="Q790" s="460">
        <v>44835</v>
      </c>
      <c r="R790" s="460">
        <v>45565</v>
      </c>
      <c r="S790" s="461">
        <v>45566</v>
      </c>
      <c r="T790" s="139">
        <v>2013</v>
      </c>
      <c r="U790" s="139" t="s">
        <v>7974</v>
      </c>
      <c r="V790" s="139">
        <v>2019</v>
      </c>
      <c r="W790" s="139" t="s">
        <v>7975</v>
      </c>
      <c r="X790" s="139" t="s">
        <v>30</v>
      </c>
      <c r="Y790" s="462" t="s">
        <v>30</v>
      </c>
      <c r="Z790" s="140" t="s">
        <v>7976</v>
      </c>
      <c r="AA790" s="140" t="s">
        <v>1841</v>
      </c>
      <c r="AB790" s="460">
        <v>44203</v>
      </c>
      <c r="AC790" s="460">
        <v>46028</v>
      </c>
      <c r="AD790" s="488">
        <v>9441953762</v>
      </c>
      <c r="AE790" s="140" t="s">
        <v>7977</v>
      </c>
      <c r="AF790" s="139" t="s">
        <v>1400</v>
      </c>
      <c r="AG790" s="463" t="s">
        <v>7978</v>
      </c>
      <c r="AH790" s="139" t="s">
        <v>7979</v>
      </c>
      <c r="AI790" s="139" t="s">
        <v>7980</v>
      </c>
      <c r="AJ790" s="464">
        <v>930357091681</v>
      </c>
      <c r="AK790" s="140" t="s">
        <v>7981</v>
      </c>
      <c r="AL790" s="206">
        <v>45157</v>
      </c>
      <c r="AM790" s="477">
        <v>45137</v>
      </c>
      <c r="AN790" s="465"/>
      <c r="AO790" s="140"/>
      <c r="AP790" s="139"/>
      <c r="AQ790" s="139"/>
      <c r="AR790" s="58"/>
      <c r="AS790" s="458"/>
      <c r="AT790" s="458"/>
      <c r="AU790" s="461">
        <v>32831</v>
      </c>
      <c r="AV790" s="181" t="s">
        <v>1389</v>
      </c>
      <c r="AW790" s="31" t="s">
        <v>68</v>
      </c>
      <c r="AX790" s="139">
        <v>8</v>
      </c>
      <c r="AY790" s="58" t="s">
        <v>1849</v>
      </c>
      <c r="AZ790" s="58" t="s">
        <v>1373</v>
      </c>
      <c r="BA790" s="58" t="s">
        <v>151</v>
      </c>
      <c r="BB790" s="58" t="s">
        <v>1407</v>
      </c>
      <c r="BC790" s="58"/>
    </row>
    <row r="791" spans="1:55" x14ac:dyDescent="0.25">
      <c r="A791" s="10">
        <f t="shared" si="35"/>
        <v>790</v>
      </c>
      <c r="B791" s="181" t="s">
        <v>7982</v>
      </c>
      <c r="C791" s="592" t="s">
        <v>1407</v>
      </c>
      <c r="D791" s="457">
        <v>400569</v>
      </c>
      <c r="E791" s="181" t="s">
        <v>36</v>
      </c>
      <c r="F791" s="97" t="s">
        <v>7983</v>
      </c>
      <c r="G791" s="139">
        <v>6</v>
      </c>
      <c r="H791" s="458">
        <v>0.70833333333333337</v>
      </c>
      <c r="I791" s="458">
        <v>0.875</v>
      </c>
      <c r="J791" s="458">
        <f>I791-H791</f>
        <v>0.16666666666666663</v>
      </c>
      <c r="K791" s="143" t="s">
        <v>220</v>
      </c>
      <c r="L791" s="97" t="s">
        <v>7984</v>
      </c>
      <c r="M791" s="97" t="s">
        <v>26</v>
      </c>
      <c r="N791" s="58" t="s">
        <v>38</v>
      </c>
      <c r="O791" s="58" t="s">
        <v>5076</v>
      </c>
      <c r="P791" s="206">
        <v>44835</v>
      </c>
      <c r="Q791" s="460">
        <v>44835</v>
      </c>
      <c r="R791" s="460">
        <v>45565</v>
      </c>
      <c r="S791" s="461">
        <v>45566</v>
      </c>
      <c r="T791" s="139">
        <v>2012</v>
      </c>
      <c r="U791" s="139" t="s">
        <v>7985</v>
      </c>
      <c r="V791" s="139">
        <v>2016</v>
      </c>
      <c r="W791" s="139" t="s">
        <v>7986</v>
      </c>
      <c r="X791" s="139" t="s">
        <v>7987</v>
      </c>
      <c r="Y791" s="462" t="s">
        <v>7988</v>
      </c>
      <c r="Z791" s="140" t="s">
        <v>7989</v>
      </c>
      <c r="AA791" s="140" t="s">
        <v>1841</v>
      </c>
      <c r="AB791" s="460">
        <v>43361</v>
      </c>
      <c r="AC791" s="460">
        <v>45186</v>
      </c>
      <c r="AD791" s="488" t="s">
        <v>7990</v>
      </c>
      <c r="AE791" s="140" t="s">
        <v>7991</v>
      </c>
      <c r="AF791" s="139" t="s">
        <v>1430</v>
      </c>
      <c r="AG791" s="463" t="s">
        <v>7992</v>
      </c>
      <c r="AH791" s="139" t="s">
        <v>2027</v>
      </c>
      <c r="AI791" s="139" t="s">
        <v>7993</v>
      </c>
      <c r="AJ791" s="464">
        <v>371199269060</v>
      </c>
      <c r="AK791" s="140" t="s">
        <v>7994</v>
      </c>
      <c r="AL791" s="461">
        <v>45169</v>
      </c>
      <c r="AM791" s="477"/>
      <c r="AN791" s="465"/>
      <c r="AO791" s="140"/>
      <c r="AP791" s="139"/>
      <c r="AQ791" s="139"/>
      <c r="AR791" s="58"/>
      <c r="AS791" s="458"/>
      <c r="AT791" s="458"/>
      <c r="AU791" s="461">
        <v>32719</v>
      </c>
      <c r="AV791" s="181" t="s">
        <v>1352</v>
      </c>
      <c r="AW791" s="31" t="s">
        <v>32</v>
      </c>
      <c r="AX791" s="139">
        <v>4</v>
      </c>
      <c r="AY791" s="58" t="s">
        <v>2006</v>
      </c>
      <c r="AZ791" s="58" t="s">
        <v>26</v>
      </c>
      <c r="BA791" s="58" t="s">
        <v>151</v>
      </c>
      <c r="BB791" s="58" t="s">
        <v>1407</v>
      </c>
      <c r="BC791" s="58"/>
    </row>
    <row r="792" spans="1:55" x14ac:dyDescent="0.25">
      <c r="A792" s="10">
        <f t="shared" si="35"/>
        <v>791</v>
      </c>
      <c r="B792" s="181" t="s">
        <v>7666</v>
      </c>
      <c r="C792" s="592" t="s">
        <v>1407</v>
      </c>
      <c r="D792" s="457">
        <v>400570</v>
      </c>
      <c r="E792" s="181" t="s">
        <v>36</v>
      </c>
      <c r="F792" s="97" t="s">
        <v>7667</v>
      </c>
      <c r="G792" s="139">
        <v>6</v>
      </c>
      <c r="H792" s="458">
        <v>0.45833333333333331</v>
      </c>
      <c r="I792" s="458">
        <v>0.79166666666666663</v>
      </c>
      <c r="J792" s="458">
        <f>I792-H792</f>
        <v>0.33333333333333331</v>
      </c>
      <c r="K792" s="58" t="s">
        <v>693</v>
      </c>
      <c r="L792" s="97" t="s">
        <v>7668</v>
      </c>
      <c r="M792" s="97" t="s">
        <v>26</v>
      </c>
      <c r="N792" s="58" t="s">
        <v>38</v>
      </c>
      <c r="O792" s="58" t="s">
        <v>5076</v>
      </c>
      <c r="P792" s="206">
        <v>44837</v>
      </c>
      <c r="Q792" s="460">
        <v>44837</v>
      </c>
      <c r="R792" s="460">
        <v>45567</v>
      </c>
      <c r="S792" s="461">
        <v>45568</v>
      </c>
      <c r="T792" s="139">
        <v>2011</v>
      </c>
      <c r="U792" s="139" t="s">
        <v>7669</v>
      </c>
      <c r="V792" s="139">
        <v>2022</v>
      </c>
      <c r="W792" s="139" t="s">
        <v>7670</v>
      </c>
      <c r="X792" s="139" t="s">
        <v>30</v>
      </c>
      <c r="Y792" s="462" t="s">
        <v>1611</v>
      </c>
      <c r="Z792" s="140" t="s">
        <v>7671</v>
      </c>
      <c r="AA792" s="140" t="s">
        <v>7995</v>
      </c>
      <c r="AB792" s="460">
        <v>44716</v>
      </c>
      <c r="AC792" s="460">
        <v>46541</v>
      </c>
      <c r="AD792" s="488">
        <v>9985187860</v>
      </c>
      <c r="AE792" s="140" t="s">
        <v>7672</v>
      </c>
      <c r="AF792" s="139" t="s">
        <v>5982</v>
      </c>
      <c r="AG792" s="463" t="s">
        <v>7673</v>
      </c>
      <c r="AH792" s="139" t="s">
        <v>7674</v>
      </c>
      <c r="AI792" s="139" t="s">
        <v>7675</v>
      </c>
      <c r="AJ792" s="464">
        <v>790349104598</v>
      </c>
      <c r="AK792" s="140" t="s">
        <v>7676</v>
      </c>
      <c r="AL792" s="461">
        <v>45209</v>
      </c>
      <c r="AM792" s="477">
        <v>45147</v>
      </c>
      <c r="AN792" s="465"/>
      <c r="AO792" s="140"/>
      <c r="AP792" s="139"/>
      <c r="AQ792" s="139"/>
      <c r="AR792" s="58"/>
      <c r="AS792" s="458"/>
      <c r="AT792" s="458"/>
      <c r="AU792" s="461">
        <v>30856</v>
      </c>
      <c r="AV792" s="181" t="s">
        <v>1352</v>
      </c>
      <c r="AW792" s="31" t="s">
        <v>32</v>
      </c>
      <c r="AX792" s="139">
        <v>8</v>
      </c>
      <c r="AY792" s="58" t="s">
        <v>2469</v>
      </c>
      <c r="AZ792" s="58" t="s">
        <v>26</v>
      </c>
      <c r="BA792" s="58" t="s">
        <v>151</v>
      </c>
      <c r="BB792" s="58" t="s">
        <v>1407</v>
      </c>
      <c r="BC792" s="58"/>
    </row>
    <row r="793" spans="1:55" x14ac:dyDescent="0.25">
      <c r="A793" s="10">
        <f t="shared" si="35"/>
        <v>792</v>
      </c>
      <c r="B793" s="181" t="s">
        <v>7996</v>
      </c>
      <c r="C793" s="592" t="s">
        <v>1407</v>
      </c>
      <c r="D793" s="457">
        <v>400573</v>
      </c>
      <c r="E793" s="181" t="s">
        <v>36</v>
      </c>
      <c r="F793" s="97" t="s">
        <v>7997</v>
      </c>
      <c r="G793" s="139">
        <v>6</v>
      </c>
      <c r="H793" s="458">
        <v>0.33333333333333331</v>
      </c>
      <c r="I793" s="458">
        <v>0.875</v>
      </c>
      <c r="J793" s="458">
        <v>0.33333333333333331</v>
      </c>
      <c r="K793" s="58" t="s">
        <v>147</v>
      </c>
      <c r="L793" s="97" t="s">
        <v>2015</v>
      </c>
      <c r="M793" s="63" t="s">
        <v>1355</v>
      </c>
      <c r="N793" s="100" t="s">
        <v>1520</v>
      </c>
      <c r="O793" s="58" t="s">
        <v>5168</v>
      </c>
      <c r="P793" s="206">
        <v>44840</v>
      </c>
      <c r="Q793" s="460">
        <v>44840</v>
      </c>
      <c r="R793" s="460">
        <v>45570</v>
      </c>
      <c r="S793" s="461">
        <v>45571</v>
      </c>
      <c r="T793" s="139">
        <v>2012</v>
      </c>
      <c r="U793" s="139" t="s">
        <v>7998</v>
      </c>
      <c r="V793" s="139">
        <v>2018</v>
      </c>
      <c r="W793" s="139" t="s">
        <v>7999</v>
      </c>
      <c r="X793" s="139" t="s">
        <v>30</v>
      </c>
      <c r="Y793" s="462" t="s">
        <v>30</v>
      </c>
      <c r="Z793" s="140">
        <v>99009</v>
      </c>
      <c r="AA793" s="140" t="s">
        <v>8000</v>
      </c>
      <c r="AB793" s="460">
        <v>43319</v>
      </c>
      <c r="AC793" s="460">
        <v>45144</v>
      </c>
      <c r="AD793" s="488">
        <v>7204867765</v>
      </c>
      <c r="AE793" s="140" t="s">
        <v>8001</v>
      </c>
      <c r="AF793" s="139" t="s">
        <v>1364</v>
      </c>
      <c r="AG793" s="463" t="s">
        <v>8002</v>
      </c>
      <c r="AH793" s="139" t="s">
        <v>6912</v>
      </c>
      <c r="AI793" s="139" t="s">
        <v>8003</v>
      </c>
      <c r="AJ793" s="464">
        <v>283557305098</v>
      </c>
      <c r="AK793" s="140" t="s">
        <v>8004</v>
      </c>
      <c r="AL793" s="206">
        <v>45260</v>
      </c>
      <c r="AM793" s="477">
        <v>45220</v>
      </c>
      <c r="AN793" s="465"/>
      <c r="AO793" s="140"/>
      <c r="AP793" s="139"/>
      <c r="AQ793" s="139"/>
      <c r="AR793" s="58"/>
      <c r="AS793" s="458" t="e">
        <v>#N/A</v>
      </c>
      <c r="AT793" s="458"/>
      <c r="AU793" s="461">
        <v>32509</v>
      </c>
      <c r="AV793" s="181" t="s">
        <v>1352</v>
      </c>
      <c r="AW793" s="31" t="s">
        <v>68</v>
      </c>
      <c r="AX793" s="139">
        <v>8</v>
      </c>
      <c r="AY793" s="58" t="s">
        <v>1849</v>
      </c>
      <c r="AZ793" s="58" t="s">
        <v>1373</v>
      </c>
      <c r="BA793" s="58" t="s">
        <v>151</v>
      </c>
      <c r="BB793" s="58" t="s">
        <v>1407</v>
      </c>
      <c r="BC793" s="58"/>
    </row>
    <row r="794" spans="1:55" x14ac:dyDescent="0.25">
      <c r="A794" s="10">
        <f t="shared" si="35"/>
        <v>793</v>
      </c>
      <c r="B794" s="181" t="s">
        <v>8005</v>
      </c>
      <c r="C794" s="592" t="s">
        <v>1407</v>
      </c>
      <c r="D794" s="457">
        <v>400574</v>
      </c>
      <c r="E794" s="181" t="s">
        <v>36</v>
      </c>
      <c r="F794" s="97" t="s">
        <v>8006</v>
      </c>
      <c r="G794" s="139">
        <v>6</v>
      </c>
      <c r="H794" s="458">
        <v>0.72916666666666663</v>
      </c>
      <c r="I794" s="458">
        <v>0.8125</v>
      </c>
      <c r="J794" s="458">
        <f>I794-H794</f>
        <v>8.333333333333337E-2</v>
      </c>
      <c r="K794" s="143" t="s">
        <v>220</v>
      </c>
      <c r="L794" s="97" t="s">
        <v>6877</v>
      </c>
      <c r="M794" s="63" t="s">
        <v>1355</v>
      </c>
      <c r="N794" s="100" t="s">
        <v>1520</v>
      </c>
      <c r="O794" s="58" t="s">
        <v>5168</v>
      </c>
      <c r="P794" s="206">
        <v>44841</v>
      </c>
      <c r="Q794" s="460">
        <v>44841</v>
      </c>
      <c r="R794" s="460">
        <v>45571</v>
      </c>
      <c r="S794" s="461">
        <v>45572</v>
      </c>
      <c r="T794" s="139">
        <v>2010</v>
      </c>
      <c r="U794" s="139" t="s">
        <v>8007</v>
      </c>
      <c r="V794" s="139">
        <v>2019</v>
      </c>
      <c r="W794" s="139" t="s">
        <v>8008</v>
      </c>
      <c r="X794" s="139" t="s">
        <v>30</v>
      </c>
      <c r="Y794" s="462" t="s">
        <v>1611</v>
      </c>
      <c r="Z794" s="140" t="s">
        <v>8009</v>
      </c>
      <c r="AA794" s="140" t="s">
        <v>1841</v>
      </c>
      <c r="AB794" s="460">
        <v>44135</v>
      </c>
      <c r="AC794" s="460">
        <v>45960</v>
      </c>
      <c r="AD794" s="488">
        <v>9894852183</v>
      </c>
      <c r="AE794" s="140" t="s">
        <v>8010</v>
      </c>
      <c r="AF794" s="139" t="s">
        <v>8011</v>
      </c>
      <c r="AG794" s="463">
        <v>6337568875</v>
      </c>
      <c r="AH794" s="139" t="s">
        <v>8012</v>
      </c>
      <c r="AI794" s="139" t="s">
        <v>8013</v>
      </c>
      <c r="AJ794" s="464">
        <v>536917902430</v>
      </c>
      <c r="AK794" s="140" t="s">
        <v>8014</v>
      </c>
      <c r="AL794" s="206">
        <v>45243</v>
      </c>
      <c r="AM794" s="477">
        <v>45182</v>
      </c>
      <c r="AN794" s="465"/>
      <c r="AO794" s="140"/>
      <c r="AP794" s="139"/>
      <c r="AQ794" s="139"/>
      <c r="AR794" s="58"/>
      <c r="AS794" s="458" t="e">
        <v>#N/A</v>
      </c>
      <c r="AT794" s="458"/>
      <c r="AU794" s="461">
        <v>31050</v>
      </c>
      <c r="AV794" s="181" t="s">
        <v>1389</v>
      </c>
      <c r="AW794" s="31" t="s">
        <v>32</v>
      </c>
      <c r="AX794" s="139">
        <v>2</v>
      </c>
      <c r="AY794" s="58" t="s">
        <v>2006</v>
      </c>
      <c r="AZ794" s="58" t="s">
        <v>1373</v>
      </c>
      <c r="BA794" s="58" t="s">
        <v>151</v>
      </c>
      <c r="BB794" s="58" t="s">
        <v>1407</v>
      </c>
      <c r="BC794" s="58"/>
    </row>
    <row r="795" spans="1:55" x14ac:dyDescent="0.25">
      <c r="A795" s="10">
        <f t="shared" si="35"/>
        <v>794</v>
      </c>
      <c r="B795" s="181" t="s">
        <v>8015</v>
      </c>
      <c r="C795" s="592" t="s">
        <v>1407</v>
      </c>
      <c r="D795" s="457">
        <v>400575</v>
      </c>
      <c r="E795" s="181" t="s">
        <v>36</v>
      </c>
      <c r="F795" s="97" t="s">
        <v>8016</v>
      </c>
      <c r="G795" s="139">
        <v>6</v>
      </c>
      <c r="H795" s="458">
        <v>0.72916666666666663</v>
      </c>
      <c r="I795" s="458">
        <v>0.8125</v>
      </c>
      <c r="J795" s="458">
        <f>I795-H795</f>
        <v>8.333333333333337E-2</v>
      </c>
      <c r="K795" s="58" t="s">
        <v>826</v>
      </c>
      <c r="L795" s="97" t="s">
        <v>8017</v>
      </c>
      <c r="M795" s="97" t="s">
        <v>26</v>
      </c>
      <c r="N795" s="58" t="s">
        <v>38</v>
      </c>
      <c r="O795" s="58" t="s">
        <v>5076</v>
      </c>
      <c r="P795" s="206">
        <v>44844</v>
      </c>
      <c r="Q795" s="460">
        <v>44844</v>
      </c>
      <c r="R795" s="460">
        <f>Q795+730</f>
        <v>45574</v>
      </c>
      <c r="S795" s="461">
        <f>R795+1</f>
        <v>45575</v>
      </c>
      <c r="T795" s="139">
        <v>2016</v>
      </c>
      <c r="U795" s="139" t="s">
        <v>8018</v>
      </c>
      <c r="V795" s="139">
        <v>2021</v>
      </c>
      <c r="W795" s="139" t="s">
        <v>8019</v>
      </c>
      <c r="X795" s="139" t="s">
        <v>30</v>
      </c>
      <c r="Y795" s="462" t="s">
        <v>7156</v>
      </c>
      <c r="Z795" s="140" t="s">
        <v>8020</v>
      </c>
      <c r="AA795" s="140" t="s">
        <v>2910</v>
      </c>
      <c r="AB795" s="460">
        <v>44832</v>
      </c>
      <c r="AC795" s="460">
        <f>AB795+5*365</f>
        <v>46657</v>
      </c>
      <c r="AD795" s="139">
        <v>9414865656</v>
      </c>
      <c r="AE795" s="467" t="s">
        <v>8021</v>
      </c>
      <c r="AF795" s="139" t="s">
        <v>1400</v>
      </c>
      <c r="AG795" s="463" t="s">
        <v>8022</v>
      </c>
      <c r="AH795" s="139" t="s">
        <v>8023</v>
      </c>
      <c r="AI795" s="139" t="s">
        <v>8024</v>
      </c>
      <c r="AJ795" s="464">
        <v>592535204767</v>
      </c>
      <c r="AK795" s="140" t="s">
        <v>8025</v>
      </c>
      <c r="AL795" s="461"/>
      <c r="AM795" s="477"/>
      <c r="AN795" s="465"/>
      <c r="AO795" s="140"/>
      <c r="AP795" s="139"/>
      <c r="AQ795" s="139"/>
      <c r="AR795" s="181"/>
      <c r="AS795" s="458"/>
      <c r="AT795" s="458"/>
      <c r="AU795" s="461">
        <v>33693</v>
      </c>
      <c r="AV795" s="181" t="s">
        <v>1352</v>
      </c>
      <c r="AW795" s="31" t="s">
        <v>32</v>
      </c>
      <c r="AX795" s="139">
        <v>2</v>
      </c>
      <c r="AY795" s="58" t="s">
        <v>2251</v>
      </c>
      <c r="AZ795" s="58" t="s">
        <v>26</v>
      </c>
      <c r="BA795" s="58" t="s">
        <v>151</v>
      </c>
      <c r="BB795" s="58" t="s">
        <v>1407</v>
      </c>
      <c r="BC795" s="58"/>
    </row>
    <row r="796" spans="1:55" x14ac:dyDescent="0.25">
      <c r="A796" s="10">
        <f t="shared" si="35"/>
        <v>795</v>
      </c>
      <c r="B796" s="181" t="s">
        <v>8026</v>
      </c>
      <c r="C796" s="592" t="s">
        <v>1407</v>
      </c>
      <c r="D796" s="457">
        <v>400576</v>
      </c>
      <c r="E796" s="181" t="s">
        <v>36</v>
      </c>
      <c r="F796" s="97" t="s">
        <v>8027</v>
      </c>
      <c r="G796" s="139">
        <v>6</v>
      </c>
      <c r="H796" s="458">
        <v>0.33333333333333331</v>
      </c>
      <c r="I796" s="458">
        <v>0.875</v>
      </c>
      <c r="J796" s="458">
        <v>0.33333333333333331</v>
      </c>
      <c r="K796" s="58" t="s">
        <v>147</v>
      </c>
      <c r="L796" s="97" t="s">
        <v>2015</v>
      </c>
      <c r="M796" s="63" t="s">
        <v>1355</v>
      </c>
      <c r="N796" s="58" t="s">
        <v>8028</v>
      </c>
      <c r="O796" s="58" t="s">
        <v>8029</v>
      </c>
      <c r="P796" s="206">
        <v>44851</v>
      </c>
      <c r="Q796" s="460">
        <v>44851</v>
      </c>
      <c r="R796" s="460">
        <f>Q796+730</f>
        <v>45581</v>
      </c>
      <c r="S796" s="461">
        <f>R796+1</f>
        <v>45582</v>
      </c>
      <c r="T796" s="139">
        <v>1998</v>
      </c>
      <c r="U796" s="139" t="s">
        <v>8030</v>
      </c>
      <c r="V796" s="139">
        <v>2003</v>
      </c>
      <c r="W796" s="139" t="s">
        <v>8031</v>
      </c>
      <c r="X796" s="139" t="s">
        <v>8032</v>
      </c>
      <c r="Y796" s="462" t="s">
        <v>8033</v>
      </c>
      <c r="Z796" s="140"/>
      <c r="AA796" s="140" t="s">
        <v>8034</v>
      </c>
      <c r="AB796" s="460"/>
      <c r="AC796" s="460"/>
      <c r="AD796" s="139">
        <v>9360545940</v>
      </c>
      <c r="AE796" s="467" t="s">
        <v>8035</v>
      </c>
      <c r="AF796" s="139" t="s">
        <v>1928</v>
      </c>
      <c r="AG796" s="463" t="s">
        <v>8036</v>
      </c>
      <c r="AH796" s="139" t="s">
        <v>8037</v>
      </c>
      <c r="AI796" s="139" t="s">
        <v>8038</v>
      </c>
      <c r="AJ796" s="464">
        <v>483588581584</v>
      </c>
      <c r="AK796" s="140" t="s">
        <v>8039</v>
      </c>
      <c r="AL796" s="206"/>
      <c r="AM796" s="477"/>
      <c r="AN796" s="465"/>
      <c r="AO796" s="140"/>
      <c r="AP796" s="139"/>
      <c r="AQ796" s="139"/>
      <c r="AR796" s="181"/>
      <c r="AS796" s="458"/>
      <c r="AT796" s="458"/>
      <c r="AU796" s="461">
        <v>27846</v>
      </c>
      <c r="AV796" s="181" t="s">
        <v>1389</v>
      </c>
      <c r="AW796" s="31" t="s">
        <v>68</v>
      </c>
      <c r="AX796" s="139">
        <v>8</v>
      </c>
      <c r="AY796" s="58" t="s">
        <v>1849</v>
      </c>
      <c r="AZ796" s="58" t="s">
        <v>1373</v>
      </c>
      <c r="BA796" s="58" t="s">
        <v>151</v>
      </c>
      <c r="BB796" s="58" t="s">
        <v>1407</v>
      </c>
      <c r="BC796" s="58"/>
    </row>
    <row r="797" spans="1:55" x14ac:dyDescent="0.25">
      <c r="A797" s="10">
        <f t="shared" si="35"/>
        <v>796</v>
      </c>
      <c r="B797" s="181" t="s">
        <v>8040</v>
      </c>
      <c r="C797" s="592" t="s">
        <v>1407</v>
      </c>
      <c r="D797" s="457">
        <v>400577</v>
      </c>
      <c r="E797" s="181" t="s">
        <v>36</v>
      </c>
      <c r="F797" s="97" t="s">
        <v>8041</v>
      </c>
      <c r="G797" s="139">
        <v>6</v>
      </c>
      <c r="H797" s="458">
        <v>0.33333333333333331</v>
      </c>
      <c r="I797" s="458">
        <v>0.875</v>
      </c>
      <c r="J797" s="458">
        <v>0.33333333333333331</v>
      </c>
      <c r="K797" s="58" t="s">
        <v>147</v>
      </c>
      <c r="L797" s="97" t="s">
        <v>3507</v>
      </c>
      <c r="M797" s="97" t="s">
        <v>3507</v>
      </c>
      <c r="N797" s="58" t="s">
        <v>8042</v>
      </c>
      <c r="O797" s="58" t="s">
        <v>3290</v>
      </c>
      <c r="P797" s="206">
        <v>44851</v>
      </c>
      <c r="Q797" s="460">
        <v>44851</v>
      </c>
      <c r="R797" s="460">
        <f>Q797+730</f>
        <v>45581</v>
      </c>
      <c r="S797" s="461">
        <f>R797+1</f>
        <v>45582</v>
      </c>
      <c r="T797" s="139">
        <v>2002</v>
      </c>
      <c r="U797" s="139" t="s">
        <v>8031</v>
      </c>
      <c r="V797" s="139">
        <v>2007</v>
      </c>
      <c r="W797" s="139" t="s">
        <v>8031</v>
      </c>
      <c r="X797" s="139" t="s">
        <v>7224</v>
      </c>
      <c r="Y797" s="462" t="s">
        <v>8033</v>
      </c>
      <c r="Z797" s="140"/>
      <c r="AA797" s="140" t="s">
        <v>8034</v>
      </c>
      <c r="AB797" s="460"/>
      <c r="AC797" s="460"/>
      <c r="AD797" s="139">
        <v>9345428362</v>
      </c>
      <c r="AE797" s="467" t="s">
        <v>8043</v>
      </c>
      <c r="AF797" s="139" t="s">
        <v>1928</v>
      </c>
      <c r="AG797" s="463" t="s">
        <v>8044</v>
      </c>
      <c r="AH797" s="139" t="s">
        <v>8037</v>
      </c>
      <c r="AI797" s="139" t="s">
        <v>8045</v>
      </c>
      <c r="AJ797" s="464">
        <v>245473935801</v>
      </c>
      <c r="AK797" s="140" t="s">
        <v>8046</v>
      </c>
      <c r="AL797" s="206"/>
      <c r="AM797" s="477"/>
      <c r="AN797" s="465"/>
      <c r="AO797" s="140"/>
      <c r="AP797" s="139"/>
      <c r="AQ797" s="139"/>
      <c r="AR797" s="181"/>
      <c r="AS797" s="458"/>
      <c r="AT797" s="458"/>
      <c r="AU797" s="461">
        <v>28682</v>
      </c>
      <c r="AV797" s="181" t="s">
        <v>1352</v>
      </c>
      <c r="AW797" s="31" t="s">
        <v>68</v>
      </c>
      <c r="AX797" s="139">
        <v>8</v>
      </c>
      <c r="AY797" s="58" t="s">
        <v>1849</v>
      </c>
      <c r="AZ797" s="58" t="s">
        <v>1373</v>
      </c>
      <c r="BA797" s="58" t="s">
        <v>151</v>
      </c>
      <c r="BB797" s="58" t="s">
        <v>1407</v>
      </c>
      <c r="BC797" s="58"/>
    </row>
    <row r="798" spans="1:55" x14ac:dyDescent="0.25">
      <c r="A798" s="10">
        <f t="shared" si="35"/>
        <v>797</v>
      </c>
      <c r="B798" s="181" t="s">
        <v>8047</v>
      </c>
      <c r="C798" s="592" t="s">
        <v>1407</v>
      </c>
      <c r="D798" s="457">
        <v>400578</v>
      </c>
      <c r="E798" s="181" t="s">
        <v>36</v>
      </c>
      <c r="F798" s="97" t="s">
        <v>8048</v>
      </c>
      <c r="G798" s="139">
        <v>6</v>
      </c>
      <c r="H798" s="458">
        <v>0.375</v>
      </c>
      <c r="I798" s="458">
        <v>0.58333333333333337</v>
      </c>
      <c r="J798" s="458">
        <f>I798-H798</f>
        <v>0.20833333333333337</v>
      </c>
      <c r="K798" s="35" t="s">
        <v>453</v>
      </c>
      <c r="L798" s="97" t="s">
        <v>8049</v>
      </c>
      <c r="M798" s="97" t="s">
        <v>26</v>
      </c>
      <c r="N798" s="58" t="s">
        <v>38</v>
      </c>
      <c r="O798" s="58" t="s">
        <v>5076</v>
      </c>
      <c r="P798" s="206">
        <v>44851</v>
      </c>
      <c r="Q798" s="460">
        <v>44851</v>
      </c>
      <c r="R798" s="460">
        <v>45581</v>
      </c>
      <c r="S798" s="461">
        <v>45582</v>
      </c>
      <c r="T798" s="139">
        <v>2014</v>
      </c>
      <c r="U798" s="139" t="s">
        <v>8050</v>
      </c>
      <c r="V798" s="139">
        <v>2018</v>
      </c>
      <c r="W798" s="139" t="s">
        <v>8051</v>
      </c>
      <c r="X798" s="139" t="s">
        <v>30</v>
      </c>
      <c r="Y798" s="462" t="s">
        <v>1611</v>
      </c>
      <c r="Z798" s="140"/>
      <c r="AA798" s="140"/>
      <c r="AB798" s="460"/>
      <c r="AC798" s="460"/>
      <c r="AD798" s="139">
        <v>9840328710</v>
      </c>
      <c r="AE798" s="467" t="s">
        <v>8052</v>
      </c>
      <c r="AF798" s="139" t="s">
        <v>8053</v>
      </c>
      <c r="AG798" s="463">
        <v>20204253906</v>
      </c>
      <c r="AH798" s="139" t="s">
        <v>8054</v>
      </c>
      <c r="AI798" s="139" t="s">
        <v>8055</v>
      </c>
      <c r="AJ798" s="464">
        <v>521405805875</v>
      </c>
      <c r="AK798" s="140" t="s">
        <v>8056</v>
      </c>
      <c r="AL798" s="461"/>
      <c r="AM798" s="477"/>
      <c r="AN798" s="465"/>
      <c r="AO798" s="140"/>
      <c r="AP798" s="139"/>
      <c r="AQ798" s="139"/>
      <c r="AR798" s="181"/>
      <c r="AS798" s="458"/>
      <c r="AT798" s="458"/>
      <c r="AU798" s="461">
        <v>33244</v>
      </c>
      <c r="AV798" s="181" t="s">
        <v>1389</v>
      </c>
      <c r="AW798" s="31" t="s">
        <v>32</v>
      </c>
      <c r="AX798" s="139">
        <v>5</v>
      </c>
      <c r="AY798" s="58" t="s">
        <v>1920</v>
      </c>
      <c r="AZ798" s="58" t="s">
        <v>26</v>
      </c>
      <c r="BA798" s="58" t="s">
        <v>151</v>
      </c>
      <c r="BB798" s="58" t="s">
        <v>1407</v>
      </c>
      <c r="BC798" s="58"/>
    </row>
    <row r="799" spans="1:55" x14ac:dyDescent="0.25">
      <c r="A799" s="10">
        <f t="shared" si="35"/>
        <v>798</v>
      </c>
      <c r="B799" s="181" t="s">
        <v>8057</v>
      </c>
      <c r="C799" s="592" t="s">
        <v>1407</v>
      </c>
      <c r="D799" s="457">
        <v>400579</v>
      </c>
      <c r="E799" s="181" t="s">
        <v>36</v>
      </c>
      <c r="F799" s="97" t="s">
        <v>8058</v>
      </c>
      <c r="G799" s="139">
        <v>6</v>
      </c>
      <c r="H799" s="458">
        <v>0.75</v>
      </c>
      <c r="I799" s="458">
        <v>0.83333333333333337</v>
      </c>
      <c r="J799" s="458">
        <f>I799-H799</f>
        <v>8.333333333333337E-2</v>
      </c>
      <c r="K799" s="100" t="s">
        <v>174</v>
      </c>
      <c r="L799" s="97" t="s">
        <v>8059</v>
      </c>
      <c r="M799" s="97" t="s">
        <v>26</v>
      </c>
      <c r="N799" s="58" t="s">
        <v>38</v>
      </c>
      <c r="O799" s="58" t="s">
        <v>5076</v>
      </c>
      <c r="P799" s="206">
        <v>44852</v>
      </c>
      <c r="Q799" s="460">
        <v>44852</v>
      </c>
      <c r="R799" s="460">
        <v>45582</v>
      </c>
      <c r="S799" s="461">
        <v>45583</v>
      </c>
      <c r="T799" s="139">
        <v>2018</v>
      </c>
      <c r="U799" s="139" t="s">
        <v>8060</v>
      </c>
      <c r="V799" s="139">
        <v>2022</v>
      </c>
      <c r="W799" s="139" t="s">
        <v>8061</v>
      </c>
      <c r="X799" s="139" t="s">
        <v>30</v>
      </c>
      <c r="Y799" s="462" t="s">
        <v>1611</v>
      </c>
      <c r="Z799" s="140" t="s">
        <v>8062</v>
      </c>
      <c r="AA799" s="140" t="s">
        <v>1841</v>
      </c>
      <c r="AB799" s="460"/>
      <c r="AC799" s="460"/>
      <c r="AD799" s="488">
        <v>9398970845</v>
      </c>
      <c r="AE799" s="140" t="s">
        <v>8063</v>
      </c>
      <c r="AF799" s="139" t="s">
        <v>1430</v>
      </c>
      <c r="AG799" s="463" t="s">
        <v>8064</v>
      </c>
      <c r="AH799" s="139" t="s">
        <v>7928</v>
      </c>
      <c r="AI799" s="139" t="s">
        <v>8065</v>
      </c>
      <c r="AJ799" s="464">
        <v>842495952712</v>
      </c>
      <c r="AK799" s="140" t="s">
        <v>8066</v>
      </c>
      <c r="AL799" s="461">
        <v>45201</v>
      </c>
      <c r="AM799" s="477"/>
      <c r="AN799" s="465"/>
      <c r="AO799" s="140"/>
      <c r="AP799" s="139"/>
      <c r="AQ799" s="139"/>
      <c r="AR799" s="58"/>
      <c r="AS799" s="458" t="e">
        <v>#N/A</v>
      </c>
      <c r="AT799" s="458"/>
      <c r="AU799" s="461">
        <v>33346</v>
      </c>
      <c r="AV799" s="181" t="s">
        <v>1389</v>
      </c>
      <c r="AW799" s="31" t="s">
        <v>32</v>
      </c>
      <c r="AX799" s="139">
        <v>2</v>
      </c>
      <c r="AY799" s="58" t="s">
        <v>1849</v>
      </c>
      <c r="AZ799" s="58" t="s">
        <v>26</v>
      </c>
      <c r="BA799" s="58" t="s">
        <v>151</v>
      </c>
      <c r="BB799" s="58" t="s">
        <v>1407</v>
      </c>
      <c r="BC799" s="58"/>
    </row>
    <row r="800" spans="1:55" x14ac:dyDescent="0.25">
      <c r="A800" s="10">
        <f t="shared" si="35"/>
        <v>799</v>
      </c>
      <c r="B800" s="181" t="s">
        <v>5904</v>
      </c>
      <c r="C800" s="592" t="s">
        <v>1407</v>
      </c>
      <c r="D800" s="457">
        <v>400580</v>
      </c>
      <c r="E800" s="181" t="s">
        <v>36</v>
      </c>
      <c r="F800" s="97" t="s">
        <v>8067</v>
      </c>
      <c r="G800" s="139">
        <v>6</v>
      </c>
      <c r="H800" s="458">
        <v>0.75</v>
      </c>
      <c r="I800" s="458">
        <v>0.83333333333333337</v>
      </c>
      <c r="J800" s="458">
        <f>I800-H800</f>
        <v>8.333333333333337E-2</v>
      </c>
      <c r="K800" s="58" t="s">
        <v>5906</v>
      </c>
      <c r="L800" s="97" t="s">
        <v>8068</v>
      </c>
      <c r="M800" s="97" t="s">
        <v>26</v>
      </c>
      <c r="N800" s="58" t="s">
        <v>38</v>
      </c>
      <c r="O800" s="58" t="s">
        <v>5076</v>
      </c>
      <c r="P800" s="206">
        <v>44854</v>
      </c>
      <c r="Q800" s="460">
        <v>44854</v>
      </c>
      <c r="R800" s="460">
        <v>45584</v>
      </c>
      <c r="S800" s="461">
        <v>45585</v>
      </c>
      <c r="T800" s="139">
        <v>2009</v>
      </c>
      <c r="U800" s="139" t="s">
        <v>8069</v>
      </c>
      <c r="V800" s="139">
        <v>2017</v>
      </c>
      <c r="W800" s="139" t="s">
        <v>8070</v>
      </c>
      <c r="X800" s="139" t="s">
        <v>30</v>
      </c>
      <c r="Y800" s="462" t="s">
        <v>1611</v>
      </c>
      <c r="Z800" s="140" t="s">
        <v>5909</v>
      </c>
      <c r="AA800" s="140" t="s">
        <v>8071</v>
      </c>
      <c r="AB800" s="460">
        <v>43573</v>
      </c>
      <c r="AC800" s="460">
        <f>AB800+5*365</f>
        <v>45398</v>
      </c>
      <c r="AD800" s="488" t="s">
        <v>5910</v>
      </c>
      <c r="AE800" s="140" t="s">
        <v>5911</v>
      </c>
      <c r="AF800" s="139" t="s">
        <v>5912</v>
      </c>
      <c r="AG800" s="463" t="s">
        <v>5913</v>
      </c>
      <c r="AH800" s="139" t="s">
        <v>5914</v>
      </c>
      <c r="AI800" s="139" t="s">
        <v>5915</v>
      </c>
      <c r="AJ800" s="464">
        <v>789295915195</v>
      </c>
      <c r="AK800" s="140" t="s">
        <v>8072</v>
      </c>
      <c r="AL800" s="461">
        <v>45291</v>
      </c>
      <c r="AM800" s="477">
        <v>45261</v>
      </c>
      <c r="AN800" s="465"/>
      <c r="AO800" s="140"/>
      <c r="AP800" s="139"/>
      <c r="AQ800" s="139"/>
      <c r="AR800" s="58"/>
      <c r="AS800" s="458">
        <v>0.75</v>
      </c>
      <c r="AT800" s="458">
        <v>0.83333333333333337</v>
      </c>
      <c r="AU800" s="461">
        <v>30017</v>
      </c>
      <c r="AV800" s="181" t="s">
        <v>1352</v>
      </c>
      <c r="AW800" s="31" t="s">
        <v>32</v>
      </c>
      <c r="AX800" s="139">
        <v>2</v>
      </c>
      <c r="AY800" s="58" t="s">
        <v>2469</v>
      </c>
      <c r="AZ800" s="58" t="s">
        <v>26</v>
      </c>
      <c r="BA800" s="58" t="s">
        <v>151</v>
      </c>
      <c r="BB800" s="58" t="s">
        <v>1407</v>
      </c>
      <c r="BC800" s="58"/>
    </row>
    <row r="801" spans="1:55" x14ac:dyDescent="0.25">
      <c r="A801" s="10">
        <f t="shared" si="35"/>
        <v>800</v>
      </c>
      <c r="B801" s="181" t="s">
        <v>8073</v>
      </c>
      <c r="C801" s="592" t="s">
        <v>1407</v>
      </c>
      <c r="D801" s="457">
        <v>400582</v>
      </c>
      <c r="E801" s="181" t="s">
        <v>36</v>
      </c>
      <c r="F801" s="97" t="s">
        <v>8074</v>
      </c>
      <c r="G801" s="139">
        <v>6</v>
      </c>
      <c r="H801" s="458">
        <v>0.33333333333333331</v>
      </c>
      <c r="I801" s="458">
        <v>0.375</v>
      </c>
      <c r="J801" s="458">
        <v>4.1666666666666664E-2</v>
      </c>
      <c r="K801" s="143" t="s">
        <v>754</v>
      </c>
      <c r="L801" s="97" t="s">
        <v>1376</v>
      </c>
      <c r="M801" s="97" t="s">
        <v>1376</v>
      </c>
      <c r="N801" s="58" t="s">
        <v>1393</v>
      </c>
      <c r="O801" s="58" t="s">
        <v>3290</v>
      </c>
      <c r="P801" s="206">
        <v>44860</v>
      </c>
      <c r="Q801" s="460">
        <v>44860</v>
      </c>
      <c r="R801" s="460">
        <v>45590</v>
      </c>
      <c r="S801" s="461">
        <v>45591</v>
      </c>
      <c r="T801" s="139">
        <v>2018</v>
      </c>
      <c r="U801" s="139" t="s">
        <v>835</v>
      </c>
      <c r="V801" s="139"/>
      <c r="W801" s="139"/>
      <c r="X801" s="139" t="s">
        <v>30</v>
      </c>
      <c r="Y801" s="462"/>
      <c r="Z801" s="140" t="s">
        <v>8075</v>
      </c>
      <c r="AA801" s="140" t="s">
        <v>1841</v>
      </c>
      <c r="AB801" s="460">
        <v>43580</v>
      </c>
      <c r="AC801" s="460">
        <v>45407</v>
      </c>
      <c r="AD801" s="139">
        <v>9494129058</v>
      </c>
      <c r="AE801" s="467" t="s">
        <v>8076</v>
      </c>
      <c r="AF801" s="139" t="s">
        <v>1759</v>
      </c>
      <c r="AG801" s="463" t="s">
        <v>8077</v>
      </c>
      <c r="AH801" s="139" t="s">
        <v>8078</v>
      </c>
      <c r="AI801" s="139" t="s">
        <v>8079</v>
      </c>
      <c r="AJ801" s="464">
        <v>510704651529</v>
      </c>
      <c r="AK801" s="140" t="s">
        <v>8080</v>
      </c>
      <c r="AL801" s="206"/>
      <c r="AM801" s="477"/>
      <c r="AN801" s="465"/>
      <c r="AO801" s="140"/>
      <c r="AP801" s="139"/>
      <c r="AQ801" s="139"/>
      <c r="AR801" s="181"/>
      <c r="AS801" s="458"/>
      <c r="AT801" s="458"/>
      <c r="AU801" s="461">
        <v>34148</v>
      </c>
      <c r="AV801" s="181" t="s">
        <v>1389</v>
      </c>
      <c r="AW801" s="31" t="s">
        <v>32</v>
      </c>
      <c r="AX801" s="139">
        <v>1</v>
      </c>
      <c r="AY801" s="58" t="s">
        <v>1968</v>
      </c>
      <c r="AZ801" s="58" t="s">
        <v>1390</v>
      </c>
      <c r="BA801" s="58" t="s">
        <v>151</v>
      </c>
      <c r="BB801" s="58" t="s">
        <v>1407</v>
      </c>
      <c r="BC801" s="58"/>
    </row>
    <row r="802" spans="1:55" x14ac:dyDescent="0.25">
      <c r="A802" s="10">
        <f t="shared" si="35"/>
        <v>801</v>
      </c>
      <c r="B802" s="181" t="s">
        <v>8081</v>
      </c>
      <c r="C802" s="592" t="s">
        <v>1407</v>
      </c>
      <c r="D802" s="457">
        <v>400583</v>
      </c>
      <c r="E802" s="181" t="s">
        <v>36</v>
      </c>
      <c r="F802" s="97" t="s">
        <v>8082</v>
      </c>
      <c r="G802" s="139">
        <v>6</v>
      </c>
      <c r="H802" s="458">
        <v>0.41666666666666669</v>
      </c>
      <c r="I802" s="458">
        <v>0.5</v>
      </c>
      <c r="J802" s="458">
        <f>I802-H802</f>
        <v>8.3333333333333315E-2</v>
      </c>
      <c r="K802" s="143" t="s">
        <v>7112</v>
      </c>
      <c r="L802" s="97" t="s">
        <v>8083</v>
      </c>
      <c r="M802" s="97" t="s">
        <v>26</v>
      </c>
      <c r="N802" s="58" t="s">
        <v>38</v>
      </c>
      <c r="O802" s="58" t="s">
        <v>5076</v>
      </c>
      <c r="P802" s="206">
        <v>44866</v>
      </c>
      <c r="Q802" s="460">
        <v>44866</v>
      </c>
      <c r="R802" s="460">
        <v>45596</v>
      </c>
      <c r="S802" s="461">
        <v>45597</v>
      </c>
      <c r="T802" s="139">
        <v>2016</v>
      </c>
      <c r="U802" s="139" t="s">
        <v>8084</v>
      </c>
      <c r="V802" s="139">
        <v>2022</v>
      </c>
      <c r="W802" s="139" t="s">
        <v>8085</v>
      </c>
      <c r="X802" s="139" t="s">
        <v>30</v>
      </c>
      <c r="Y802" s="462" t="s">
        <v>1611</v>
      </c>
      <c r="Z802" s="140" t="s">
        <v>8086</v>
      </c>
      <c r="AA802" s="140" t="s">
        <v>1841</v>
      </c>
      <c r="AB802" s="460"/>
      <c r="AC802" s="460"/>
      <c r="AD802" s="139">
        <v>9494861526</v>
      </c>
      <c r="AE802" s="467" t="s">
        <v>8087</v>
      </c>
      <c r="AF802" s="139" t="s">
        <v>1430</v>
      </c>
      <c r="AG802" s="463">
        <v>50100016798528</v>
      </c>
      <c r="AH802" s="139" t="s">
        <v>8088</v>
      </c>
      <c r="AI802" s="139" t="s">
        <v>8089</v>
      </c>
      <c r="AJ802" s="464">
        <v>565661927844</v>
      </c>
      <c r="AK802" s="140" t="s">
        <v>8090</v>
      </c>
      <c r="AL802" s="461"/>
      <c r="AM802" s="477"/>
      <c r="AN802" s="465"/>
      <c r="AO802" s="140"/>
      <c r="AP802" s="139"/>
      <c r="AQ802" s="139"/>
      <c r="AR802" s="181"/>
      <c r="AS802" s="458"/>
      <c r="AT802" s="458"/>
      <c r="AU802" s="461">
        <v>33008</v>
      </c>
      <c r="AV802" s="181" t="s">
        <v>1352</v>
      </c>
      <c r="AW802" s="31" t="s">
        <v>32</v>
      </c>
      <c r="AX802" s="139">
        <v>2</v>
      </c>
      <c r="AY802" s="58" t="s">
        <v>1968</v>
      </c>
      <c r="AZ802" s="58" t="s">
        <v>26</v>
      </c>
      <c r="BA802" s="58" t="s">
        <v>151</v>
      </c>
      <c r="BB802" s="58" t="s">
        <v>1407</v>
      </c>
      <c r="BC802" s="58"/>
    </row>
    <row r="803" spans="1:55" x14ac:dyDescent="0.25">
      <c r="A803" s="10">
        <f t="shared" si="35"/>
        <v>802</v>
      </c>
      <c r="B803" s="181" t="s">
        <v>8091</v>
      </c>
      <c r="C803" s="592" t="s">
        <v>1407</v>
      </c>
      <c r="D803" s="457">
        <v>400584</v>
      </c>
      <c r="E803" s="181" t="s">
        <v>36</v>
      </c>
      <c r="F803" s="97" t="s">
        <v>8092</v>
      </c>
      <c r="G803" s="139">
        <v>6</v>
      </c>
      <c r="H803" s="458">
        <v>0.75</v>
      </c>
      <c r="I803" s="458">
        <v>0.875</v>
      </c>
      <c r="J803" s="458">
        <f>I803-H803</f>
        <v>0.125</v>
      </c>
      <c r="K803" s="100" t="s">
        <v>348</v>
      </c>
      <c r="L803" s="97" t="s">
        <v>8093</v>
      </c>
      <c r="M803" s="97" t="s">
        <v>26</v>
      </c>
      <c r="N803" s="58" t="s">
        <v>38</v>
      </c>
      <c r="O803" s="58" t="s">
        <v>5076</v>
      </c>
      <c r="P803" s="206">
        <v>44866</v>
      </c>
      <c r="Q803" s="460">
        <v>44866</v>
      </c>
      <c r="R803" s="460">
        <v>45596</v>
      </c>
      <c r="S803" s="461">
        <v>45597</v>
      </c>
      <c r="T803" s="139">
        <v>2018</v>
      </c>
      <c r="U803" s="139" t="s">
        <v>7494</v>
      </c>
      <c r="V803" s="139">
        <v>2022</v>
      </c>
      <c r="W803" s="139" t="s">
        <v>7184</v>
      </c>
      <c r="X803" s="139" t="s">
        <v>30</v>
      </c>
      <c r="Y803" s="462" t="s">
        <v>1611</v>
      </c>
      <c r="Z803" s="140" t="s">
        <v>8094</v>
      </c>
      <c r="AA803" s="140" t="s">
        <v>1841</v>
      </c>
      <c r="AB803" s="460"/>
      <c r="AC803" s="460"/>
      <c r="AD803" s="139">
        <v>7995675438</v>
      </c>
      <c r="AE803" s="467" t="s">
        <v>8095</v>
      </c>
      <c r="AF803" s="139" t="s">
        <v>8053</v>
      </c>
      <c r="AG803" s="463">
        <v>62235523670</v>
      </c>
      <c r="AH803" s="139" t="s">
        <v>8096</v>
      </c>
      <c r="AI803" s="139" t="s">
        <v>8097</v>
      </c>
      <c r="AJ803" s="464">
        <v>954975541910</v>
      </c>
      <c r="AK803" s="140" t="s">
        <v>8098</v>
      </c>
      <c r="AL803" s="461"/>
      <c r="AM803" s="477"/>
      <c r="AN803" s="465"/>
      <c r="AO803" s="140"/>
      <c r="AP803" s="139"/>
      <c r="AQ803" s="139" t="e">
        <v>#N/A</v>
      </c>
      <c r="AR803" s="181"/>
      <c r="AS803" s="458"/>
      <c r="AT803" s="458"/>
      <c r="AU803" s="461">
        <v>34466</v>
      </c>
      <c r="AV803" s="181" t="s">
        <v>1352</v>
      </c>
      <c r="AW803" s="31" t="s">
        <v>32</v>
      </c>
      <c r="AX803" s="139">
        <v>3</v>
      </c>
      <c r="AY803" s="58" t="s">
        <v>2053</v>
      </c>
      <c r="AZ803" s="58" t="s">
        <v>26</v>
      </c>
      <c r="BA803" s="58" t="s">
        <v>151</v>
      </c>
      <c r="BB803" s="58" t="s">
        <v>1407</v>
      </c>
      <c r="BC803" s="58"/>
    </row>
    <row r="804" spans="1:55" x14ac:dyDescent="0.25">
      <c r="A804" s="10">
        <f t="shared" si="35"/>
        <v>803</v>
      </c>
      <c r="B804" s="181" t="s">
        <v>8099</v>
      </c>
      <c r="C804" s="592" t="s">
        <v>1407</v>
      </c>
      <c r="D804" s="457">
        <v>400825</v>
      </c>
      <c r="E804" s="181" t="s">
        <v>36</v>
      </c>
      <c r="F804" s="97" t="s">
        <v>8100</v>
      </c>
      <c r="G804" s="139">
        <v>6</v>
      </c>
      <c r="H804" s="469" t="s">
        <v>235</v>
      </c>
      <c r="I804" s="469" t="s">
        <v>7654</v>
      </c>
      <c r="J804" s="458">
        <f>I804-H804</f>
        <v>0.125</v>
      </c>
      <c r="K804" s="58" t="s">
        <v>446</v>
      </c>
      <c r="L804" s="97" t="s">
        <v>8101</v>
      </c>
      <c r="M804" s="97" t="s">
        <v>26</v>
      </c>
      <c r="N804" s="58" t="s">
        <v>38</v>
      </c>
      <c r="O804" s="462" t="s">
        <v>5076</v>
      </c>
      <c r="P804" s="206">
        <v>45154</v>
      </c>
      <c r="Q804" s="206">
        <v>45154</v>
      </c>
      <c r="R804" s="206">
        <v>45884</v>
      </c>
      <c r="S804" s="461">
        <v>45885</v>
      </c>
      <c r="T804" s="139">
        <v>2017</v>
      </c>
      <c r="U804" s="181" t="s">
        <v>7338</v>
      </c>
      <c r="V804" s="139">
        <v>2021</v>
      </c>
      <c r="W804" s="140" t="s">
        <v>8102</v>
      </c>
      <c r="X804" s="181" t="s">
        <v>30</v>
      </c>
      <c r="Y804" s="58" t="s">
        <v>5066</v>
      </c>
      <c r="Z804" s="140" t="s">
        <v>8103</v>
      </c>
      <c r="AA804" s="97" t="s">
        <v>1841</v>
      </c>
      <c r="AB804" s="471">
        <v>44739</v>
      </c>
      <c r="AC804" s="471">
        <v>46564</v>
      </c>
      <c r="AD804" s="472">
        <v>9696968670</v>
      </c>
      <c r="AE804" s="473" t="s">
        <v>8104</v>
      </c>
      <c r="AF804" s="97" t="s">
        <v>5086</v>
      </c>
      <c r="AG804" s="482">
        <v>62391185674</v>
      </c>
      <c r="AH804" s="181" t="s">
        <v>8105</v>
      </c>
      <c r="AI804" s="139" t="s">
        <v>8106</v>
      </c>
      <c r="AJ804" s="464">
        <v>679967224332</v>
      </c>
      <c r="AK804" s="97" t="s">
        <v>8107</v>
      </c>
      <c r="AL804" s="461">
        <v>45511</v>
      </c>
      <c r="AM804" s="477" t="s">
        <v>30</v>
      </c>
      <c r="AN804" s="465" t="s">
        <v>5098</v>
      </c>
      <c r="AO804" s="140" t="s">
        <v>8108</v>
      </c>
      <c r="AP804" s="58"/>
      <c r="AQ804" s="483" t="s">
        <v>8108</v>
      </c>
      <c r="AR804" s="462"/>
      <c r="AS804" s="479">
        <v>0.33333333333333331</v>
      </c>
      <c r="AT804" s="479">
        <v>0.45833333333333331</v>
      </c>
      <c r="AU804" s="461">
        <v>34393</v>
      </c>
      <c r="AV804" s="181" t="s">
        <v>1352</v>
      </c>
      <c r="AW804" s="31" t="s">
        <v>32</v>
      </c>
      <c r="AX804" s="139">
        <v>3</v>
      </c>
      <c r="AY804" s="58" t="s">
        <v>1849</v>
      </c>
      <c r="AZ804" s="58" t="s">
        <v>26</v>
      </c>
      <c r="BA804" s="58" t="s">
        <v>151</v>
      </c>
      <c r="BB804" s="58" t="s">
        <v>1407</v>
      </c>
      <c r="BC804" s="58"/>
    </row>
    <row r="805" spans="1:55" x14ac:dyDescent="0.25">
      <c r="A805" s="10">
        <f t="shared" si="35"/>
        <v>804</v>
      </c>
      <c r="B805" s="181" t="s">
        <v>8109</v>
      </c>
      <c r="C805" s="592" t="s">
        <v>1407</v>
      </c>
      <c r="D805" s="457">
        <v>400671</v>
      </c>
      <c r="E805" s="181" t="s">
        <v>36</v>
      </c>
      <c r="F805" s="97" t="s">
        <v>8110</v>
      </c>
      <c r="G805" s="139">
        <v>6</v>
      </c>
      <c r="H805" s="469" t="s">
        <v>235</v>
      </c>
      <c r="I805" s="469" t="s">
        <v>978</v>
      </c>
      <c r="J805" s="458">
        <v>0.33333333333333331</v>
      </c>
      <c r="K805" s="58" t="s">
        <v>147</v>
      </c>
      <c r="L805" s="97" t="s">
        <v>1424</v>
      </c>
      <c r="M805" s="97" t="s">
        <v>1544</v>
      </c>
      <c r="N805" s="58" t="s">
        <v>8111</v>
      </c>
      <c r="O805" s="58" t="s">
        <v>6947</v>
      </c>
      <c r="P805" s="206">
        <v>45082</v>
      </c>
      <c r="Q805" s="206">
        <v>45082</v>
      </c>
      <c r="R805" s="206">
        <v>45081</v>
      </c>
      <c r="S805" s="461">
        <v>45813</v>
      </c>
      <c r="T805" s="139">
        <v>2001</v>
      </c>
      <c r="U805" s="181" t="s">
        <v>565</v>
      </c>
      <c r="V805" s="139">
        <v>2010</v>
      </c>
      <c r="W805" s="140" t="s">
        <v>424</v>
      </c>
      <c r="X805" s="139" t="s">
        <v>1424</v>
      </c>
      <c r="Y805" s="58" t="s">
        <v>1611</v>
      </c>
      <c r="Z805" s="140">
        <v>48289</v>
      </c>
      <c r="AA805" s="97" t="s">
        <v>1841</v>
      </c>
      <c r="AB805" s="471">
        <v>44443</v>
      </c>
      <c r="AC805" s="471">
        <v>46268</v>
      </c>
      <c r="AD805" s="472">
        <v>8886272761</v>
      </c>
      <c r="AE805" s="473" t="s">
        <v>8112</v>
      </c>
      <c r="AF805" s="97" t="s">
        <v>1430</v>
      </c>
      <c r="AG805" s="482" t="s">
        <v>8113</v>
      </c>
      <c r="AH805" s="181" t="s">
        <v>4429</v>
      </c>
      <c r="AI805" s="139" t="s">
        <v>8114</v>
      </c>
      <c r="AJ805" s="464">
        <v>919860349039</v>
      </c>
      <c r="AK805" s="97" t="s">
        <v>8115</v>
      </c>
      <c r="AL805" s="206">
        <v>45514</v>
      </c>
      <c r="AM805" s="477">
        <v>45512</v>
      </c>
      <c r="AN805" s="465" t="s">
        <v>8116</v>
      </c>
      <c r="AO805" s="97"/>
      <c r="AP805" s="58"/>
      <c r="AQ805" s="486"/>
      <c r="AR805" s="462"/>
      <c r="AS805" s="479">
        <v>0.33333333333333331</v>
      </c>
      <c r="AT805" s="479">
        <v>0.66666666666666663</v>
      </c>
      <c r="AU805" s="461">
        <v>28817</v>
      </c>
      <c r="AV805" s="181" t="s">
        <v>1352</v>
      </c>
      <c r="AW805" s="31" t="s">
        <v>68</v>
      </c>
      <c r="AX805" s="139">
        <v>8</v>
      </c>
      <c r="AY805" s="58" t="s">
        <v>1849</v>
      </c>
      <c r="AZ805" s="58" t="s">
        <v>1373</v>
      </c>
      <c r="BA805" s="58" t="s">
        <v>151</v>
      </c>
      <c r="BB805" s="58" t="s">
        <v>1407</v>
      </c>
      <c r="BC805" s="58"/>
    </row>
    <row r="806" spans="1:55" x14ac:dyDescent="0.25">
      <c r="A806" s="10">
        <f t="shared" si="35"/>
        <v>805</v>
      </c>
      <c r="B806" s="181" t="s">
        <v>8117</v>
      </c>
      <c r="C806" s="592" t="s">
        <v>1407</v>
      </c>
      <c r="D806" s="457">
        <v>400587</v>
      </c>
      <c r="E806" s="181" t="s">
        <v>36</v>
      </c>
      <c r="F806" s="97" t="s">
        <v>8118</v>
      </c>
      <c r="G806" s="139">
        <v>6</v>
      </c>
      <c r="H806" s="469" t="s">
        <v>235</v>
      </c>
      <c r="I806" s="469" t="s">
        <v>978</v>
      </c>
      <c r="J806" s="458">
        <v>0.33333333333333331</v>
      </c>
      <c r="K806" s="143" t="s">
        <v>513</v>
      </c>
      <c r="L806" s="97" t="s">
        <v>2015</v>
      </c>
      <c r="M806" s="63" t="s">
        <v>1355</v>
      </c>
      <c r="N806" s="100" t="s">
        <v>1520</v>
      </c>
      <c r="O806" s="58" t="s">
        <v>8029</v>
      </c>
      <c r="P806" s="206">
        <v>44868</v>
      </c>
      <c r="Q806" s="206">
        <v>44868</v>
      </c>
      <c r="R806" s="206">
        <v>45598</v>
      </c>
      <c r="S806" s="461">
        <v>45599</v>
      </c>
      <c r="T806" s="139">
        <v>2018</v>
      </c>
      <c r="U806" s="181" t="s">
        <v>367</v>
      </c>
      <c r="V806" s="139">
        <v>2021</v>
      </c>
      <c r="W806" s="140" t="s">
        <v>367</v>
      </c>
      <c r="X806" s="181" t="s">
        <v>30</v>
      </c>
      <c r="Y806" s="58" t="s">
        <v>1611</v>
      </c>
      <c r="Z806" s="140" t="s">
        <v>8119</v>
      </c>
      <c r="AA806" s="97" t="s">
        <v>1841</v>
      </c>
      <c r="AB806" s="471">
        <v>44784</v>
      </c>
      <c r="AC806" s="471">
        <v>46609</v>
      </c>
      <c r="AD806" s="472">
        <v>8143765563</v>
      </c>
      <c r="AE806" s="473" t="s">
        <v>8120</v>
      </c>
      <c r="AF806" s="97" t="s">
        <v>1466</v>
      </c>
      <c r="AG806" s="482" t="s">
        <v>8121</v>
      </c>
      <c r="AH806" s="181" t="s">
        <v>8122</v>
      </c>
      <c r="AI806" s="139" t="s">
        <v>8123</v>
      </c>
      <c r="AJ806" s="464">
        <v>876423381868</v>
      </c>
      <c r="AK806" s="97" t="s">
        <v>8124</v>
      </c>
      <c r="AL806" s="206">
        <v>45401</v>
      </c>
      <c r="AM806" s="477">
        <v>45395</v>
      </c>
      <c r="AN806" s="465" t="s">
        <v>5098</v>
      </c>
      <c r="AO806" s="97"/>
      <c r="AP806" s="58"/>
      <c r="AQ806" s="486"/>
      <c r="AR806" s="462"/>
      <c r="AS806" s="479">
        <v>0.33333333333333331</v>
      </c>
      <c r="AT806" s="479">
        <v>0.66666666666666663</v>
      </c>
      <c r="AU806" s="461">
        <v>34614</v>
      </c>
      <c r="AV806" s="181" t="s">
        <v>1389</v>
      </c>
      <c r="AW806" s="31" t="s">
        <v>68</v>
      </c>
      <c r="AX806" s="139">
        <v>8</v>
      </c>
      <c r="AY806" s="58" t="s">
        <v>1959</v>
      </c>
      <c r="AZ806" s="58" t="s">
        <v>1373</v>
      </c>
      <c r="BA806" s="58" t="s">
        <v>151</v>
      </c>
      <c r="BB806" s="58" t="s">
        <v>1407</v>
      </c>
      <c r="BC806" s="58"/>
    </row>
    <row r="807" spans="1:55" x14ac:dyDescent="0.25">
      <c r="A807" s="10">
        <f t="shared" si="35"/>
        <v>806</v>
      </c>
      <c r="B807" s="181" t="s">
        <v>8125</v>
      </c>
      <c r="C807" s="592" t="s">
        <v>1407</v>
      </c>
      <c r="D807" s="457">
        <v>400588</v>
      </c>
      <c r="E807" s="181" t="s">
        <v>36</v>
      </c>
      <c r="F807" s="97" t="s">
        <v>8126</v>
      </c>
      <c r="G807" s="139">
        <v>6</v>
      </c>
      <c r="H807" s="458">
        <v>0.375</v>
      </c>
      <c r="I807" s="458">
        <v>0.70833333333333337</v>
      </c>
      <c r="J807" s="458">
        <f>I807-H807</f>
        <v>0.33333333333333337</v>
      </c>
      <c r="K807" s="100" t="s">
        <v>819</v>
      </c>
      <c r="L807" s="97" t="s">
        <v>8127</v>
      </c>
      <c r="M807" s="97" t="s">
        <v>26</v>
      </c>
      <c r="N807" s="58" t="s">
        <v>38</v>
      </c>
      <c r="O807" s="58" t="s">
        <v>5076</v>
      </c>
      <c r="P807" s="206">
        <v>44872</v>
      </c>
      <c r="Q807" s="460">
        <v>44872</v>
      </c>
      <c r="R807" s="460">
        <v>45602</v>
      </c>
      <c r="S807" s="461">
        <v>45603</v>
      </c>
      <c r="T807" s="139">
        <v>2016</v>
      </c>
      <c r="U807" s="139" t="s">
        <v>8128</v>
      </c>
      <c r="V807" s="139">
        <v>2021</v>
      </c>
      <c r="W807" s="139" t="s">
        <v>8129</v>
      </c>
      <c r="X807" s="139" t="s">
        <v>30</v>
      </c>
      <c r="Y807" s="462" t="s">
        <v>1611</v>
      </c>
      <c r="Z807" s="140" t="s">
        <v>8130</v>
      </c>
      <c r="AA807" s="140" t="s">
        <v>1841</v>
      </c>
      <c r="AB807" s="460">
        <v>44411</v>
      </c>
      <c r="AC807" s="460">
        <v>46236</v>
      </c>
      <c r="AD807" s="488">
        <v>7893336394</v>
      </c>
      <c r="AE807" s="140" t="s">
        <v>8131</v>
      </c>
      <c r="AF807" s="139" t="s">
        <v>5086</v>
      </c>
      <c r="AG807" s="463">
        <v>62096744731</v>
      </c>
      <c r="AH807" s="139" t="s">
        <v>8132</v>
      </c>
      <c r="AI807" s="139" t="s">
        <v>8133</v>
      </c>
      <c r="AJ807" s="464">
        <v>510727456707</v>
      </c>
      <c r="AK807" s="140" t="s">
        <v>8134</v>
      </c>
      <c r="AL807" s="461">
        <v>45166</v>
      </c>
      <c r="AM807" s="477"/>
      <c r="AN807" s="465"/>
      <c r="AO807" s="140"/>
      <c r="AP807" s="139"/>
      <c r="AQ807" s="139"/>
      <c r="AR807" s="58"/>
      <c r="AS807" s="458"/>
      <c r="AT807" s="458"/>
      <c r="AU807" s="461">
        <v>34238</v>
      </c>
      <c r="AV807" s="181" t="s">
        <v>1389</v>
      </c>
      <c r="AW807" s="31" t="s">
        <v>68</v>
      </c>
      <c r="AX807" s="139">
        <v>8</v>
      </c>
      <c r="AY807" s="58" t="s">
        <v>2189</v>
      </c>
      <c r="AZ807" s="58" t="s">
        <v>26</v>
      </c>
      <c r="BA807" s="58" t="s">
        <v>151</v>
      </c>
      <c r="BB807" s="58" t="s">
        <v>1407</v>
      </c>
      <c r="BC807" s="58"/>
    </row>
    <row r="808" spans="1:55" x14ac:dyDescent="0.25">
      <c r="A808" s="10">
        <f t="shared" si="35"/>
        <v>807</v>
      </c>
      <c r="B808" s="181" t="s">
        <v>8135</v>
      </c>
      <c r="C808" s="592" t="s">
        <v>1407</v>
      </c>
      <c r="D808" s="457">
        <v>400589</v>
      </c>
      <c r="E808" s="181" t="s">
        <v>36</v>
      </c>
      <c r="F808" s="97" t="s">
        <v>8136</v>
      </c>
      <c r="G808" s="139">
        <v>6</v>
      </c>
      <c r="H808" s="458">
        <v>0.33333333333333331</v>
      </c>
      <c r="I808" s="458">
        <v>0.875</v>
      </c>
      <c r="J808" s="458">
        <v>0.33333333333333331</v>
      </c>
      <c r="K808" s="462" t="s">
        <v>154</v>
      </c>
      <c r="L808" s="97" t="s">
        <v>2015</v>
      </c>
      <c r="M808" s="63" t="s">
        <v>1355</v>
      </c>
      <c r="N808" s="100" t="s">
        <v>1520</v>
      </c>
      <c r="O808" s="58" t="s">
        <v>8029</v>
      </c>
      <c r="P808" s="206">
        <v>44872</v>
      </c>
      <c r="Q808" s="460">
        <v>44872</v>
      </c>
      <c r="R808" s="460">
        <v>45602</v>
      </c>
      <c r="S808" s="461">
        <v>45603</v>
      </c>
      <c r="T808" s="139">
        <v>2014</v>
      </c>
      <c r="U808" s="139" t="s">
        <v>8137</v>
      </c>
      <c r="V808" s="139">
        <v>2020</v>
      </c>
      <c r="W808" s="139" t="s">
        <v>8138</v>
      </c>
      <c r="X808" s="139" t="s">
        <v>30</v>
      </c>
      <c r="Y808" s="462" t="s">
        <v>1611</v>
      </c>
      <c r="Z808" s="140">
        <v>160252</v>
      </c>
      <c r="AA808" s="140" t="s">
        <v>3344</v>
      </c>
      <c r="AB808" s="460"/>
      <c r="AC808" s="460"/>
      <c r="AD808" s="488">
        <v>9511859166</v>
      </c>
      <c r="AE808" s="140" t="s">
        <v>8139</v>
      </c>
      <c r="AF808" s="139" t="s">
        <v>5484</v>
      </c>
      <c r="AG808" s="463" t="s">
        <v>8140</v>
      </c>
      <c r="AH808" s="139" t="s">
        <v>8141</v>
      </c>
      <c r="AI808" s="139" t="s">
        <v>8142</v>
      </c>
      <c r="AJ808" s="464">
        <v>524580536460</v>
      </c>
      <c r="AK808" s="140" t="s">
        <v>8143</v>
      </c>
      <c r="AL808" s="206">
        <v>45181</v>
      </c>
      <c r="AM808" s="477"/>
      <c r="AN808" s="465"/>
      <c r="AO808" s="140"/>
      <c r="AP808" s="139"/>
      <c r="AQ808" s="139"/>
      <c r="AR808" s="58"/>
      <c r="AS808" s="458"/>
      <c r="AT808" s="458"/>
      <c r="AU808" s="461">
        <v>32502</v>
      </c>
      <c r="AV808" s="181" t="s">
        <v>1389</v>
      </c>
      <c r="AW808" s="31" t="s">
        <v>68</v>
      </c>
      <c r="AX808" s="139">
        <v>8</v>
      </c>
      <c r="AY808" s="58" t="s">
        <v>1904</v>
      </c>
      <c r="AZ808" s="58" t="s">
        <v>1373</v>
      </c>
      <c r="BA808" s="58" t="s">
        <v>151</v>
      </c>
      <c r="BB808" s="58" t="s">
        <v>1407</v>
      </c>
      <c r="BC808" s="58"/>
    </row>
    <row r="809" spans="1:55" x14ac:dyDescent="0.25">
      <c r="A809" s="10">
        <f t="shared" si="35"/>
        <v>808</v>
      </c>
      <c r="B809" s="181" t="s">
        <v>8144</v>
      </c>
      <c r="C809" s="592" t="s">
        <v>1407</v>
      </c>
      <c r="D809" s="457">
        <v>400590</v>
      </c>
      <c r="E809" s="181" t="s">
        <v>42</v>
      </c>
      <c r="F809" s="97" t="s">
        <v>8145</v>
      </c>
      <c r="G809" s="139">
        <v>6</v>
      </c>
      <c r="H809" s="458">
        <v>0.75</v>
      </c>
      <c r="I809" s="458">
        <v>0.91666666666666663</v>
      </c>
      <c r="J809" s="458">
        <f>I809-H809</f>
        <v>0.16666666666666663</v>
      </c>
      <c r="K809" s="143" t="s">
        <v>477</v>
      </c>
      <c r="L809" s="97" t="s">
        <v>8146</v>
      </c>
      <c r="M809" s="97" t="s">
        <v>26</v>
      </c>
      <c r="N809" s="58" t="s">
        <v>38</v>
      </c>
      <c r="O809" s="58" t="s">
        <v>5076</v>
      </c>
      <c r="P809" s="206">
        <v>44872</v>
      </c>
      <c r="Q809" s="460">
        <v>44872</v>
      </c>
      <c r="R809" s="460">
        <f>Q809+730</f>
        <v>45602</v>
      </c>
      <c r="S809" s="461">
        <f>R809+1</f>
        <v>45603</v>
      </c>
      <c r="T809" s="139"/>
      <c r="U809" s="139" t="s">
        <v>4355</v>
      </c>
      <c r="V809" s="139">
        <v>2020</v>
      </c>
      <c r="W809" s="139" t="s">
        <v>8147</v>
      </c>
      <c r="X809" s="139" t="s">
        <v>8148</v>
      </c>
      <c r="Y809" s="462" t="s">
        <v>8033</v>
      </c>
      <c r="Z809" s="140" t="s">
        <v>8149</v>
      </c>
      <c r="AA809" s="140" t="s">
        <v>1841</v>
      </c>
      <c r="AB809" s="460"/>
      <c r="AC809" s="460"/>
      <c r="AD809" s="139">
        <v>9585227838</v>
      </c>
      <c r="AE809" s="467" t="s">
        <v>8150</v>
      </c>
      <c r="AF809" s="139" t="s">
        <v>8053</v>
      </c>
      <c r="AG809" s="463">
        <v>36573428299</v>
      </c>
      <c r="AH809" s="139" t="s">
        <v>3891</v>
      </c>
      <c r="AI809" s="139" t="s">
        <v>8151</v>
      </c>
      <c r="AJ809" s="464">
        <v>222210265980</v>
      </c>
      <c r="AK809" s="140" t="s">
        <v>8152</v>
      </c>
      <c r="AL809" s="461">
        <v>44575</v>
      </c>
      <c r="AM809" s="477">
        <v>44880</v>
      </c>
      <c r="AN809" s="465"/>
      <c r="AO809" s="140"/>
      <c r="AP809" s="139"/>
      <c r="AQ809" s="139"/>
      <c r="AR809" s="181"/>
      <c r="AS809" s="458"/>
      <c r="AT809" s="458"/>
      <c r="AU809" s="461">
        <v>33325</v>
      </c>
      <c r="AV809" s="181" t="s">
        <v>1352</v>
      </c>
      <c r="AW809" s="31" t="s">
        <v>32</v>
      </c>
      <c r="AX809" s="139">
        <v>4</v>
      </c>
      <c r="AY809" s="58" t="s">
        <v>2053</v>
      </c>
      <c r="AZ809" s="58" t="s">
        <v>26</v>
      </c>
      <c r="BA809" s="58" t="s">
        <v>151</v>
      </c>
      <c r="BB809" s="58" t="s">
        <v>1407</v>
      </c>
      <c r="BC809" s="58"/>
    </row>
    <row r="810" spans="1:55" x14ac:dyDescent="0.25">
      <c r="A810" s="10">
        <f t="shared" si="35"/>
        <v>809</v>
      </c>
      <c r="B810" s="181" t="s">
        <v>1754</v>
      </c>
      <c r="C810" s="592" t="s">
        <v>1407</v>
      </c>
      <c r="D810" s="457">
        <v>400591</v>
      </c>
      <c r="E810" s="181" t="s">
        <v>36</v>
      </c>
      <c r="F810" s="97" t="s">
        <v>8153</v>
      </c>
      <c r="G810" s="139">
        <v>6</v>
      </c>
      <c r="H810" s="458">
        <v>0.35416666666666669</v>
      </c>
      <c r="I810" s="458">
        <v>0.60416666666666663</v>
      </c>
      <c r="J810" s="458">
        <f>I810-H810</f>
        <v>0.24999999999999994</v>
      </c>
      <c r="K810" s="58" t="s">
        <v>826</v>
      </c>
      <c r="L810" s="97" t="s">
        <v>8154</v>
      </c>
      <c r="M810" s="97" t="s">
        <v>26</v>
      </c>
      <c r="N810" s="58" t="s">
        <v>38</v>
      </c>
      <c r="O810" s="58" t="s">
        <v>5076</v>
      </c>
      <c r="P810" s="206">
        <v>44880</v>
      </c>
      <c r="Q810" s="460">
        <v>44880</v>
      </c>
      <c r="R810" s="460">
        <f>Q810+730</f>
        <v>45610</v>
      </c>
      <c r="S810" s="461">
        <f>R810+1</f>
        <v>45611</v>
      </c>
      <c r="T810" s="139">
        <v>2009</v>
      </c>
      <c r="U810" s="139" t="s">
        <v>8155</v>
      </c>
      <c r="V810" s="139">
        <v>2014</v>
      </c>
      <c r="W810" s="139" t="s">
        <v>8156</v>
      </c>
      <c r="X810" s="139" t="s">
        <v>30</v>
      </c>
      <c r="Y810" s="462" t="s">
        <v>1611</v>
      </c>
      <c r="Z810" s="140" t="s">
        <v>8157</v>
      </c>
      <c r="AA810" s="140" t="s">
        <v>8158</v>
      </c>
      <c r="AB810" s="460"/>
      <c r="AC810" s="460"/>
      <c r="AD810" s="139">
        <v>7530048397</v>
      </c>
      <c r="AE810" s="467" t="s">
        <v>8159</v>
      </c>
      <c r="AF810" s="139" t="s">
        <v>1690</v>
      </c>
      <c r="AG810" s="463" t="s">
        <v>8160</v>
      </c>
      <c r="AH810" s="139" t="s">
        <v>8161</v>
      </c>
      <c r="AI810" s="139" t="s">
        <v>1762</v>
      </c>
      <c r="AJ810" s="464">
        <v>271779227552</v>
      </c>
      <c r="AK810" s="140" t="s">
        <v>1764</v>
      </c>
      <c r="AL810" s="461"/>
      <c r="AM810" s="477"/>
      <c r="AN810" s="465"/>
      <c r="AO810" s="140"/>
      <c r="AP810" s="139"/>
      <c r="AQ810" s="139"/>
      <c r="AR810" s="181"/>
      <c r="AS810" s="458"/>
      <c r="AT810" s="458"/>
      <c r="AU810" s="461">
        <v>30956</v>
      </c>
      <c r="AV810" s="181" t="s">
        <v>1389</v>
      </c>
      <c r="AW810" s="31" t="s">
        <v>32</v>
      </c>
      <c r="AX810" s="139">
        <v>6</v>
      </c>
      <c r="AY810" s="58" t="s">
        <v>2251</v>
      </c>
      <c r="AZ810" s="58" t="s">
        <v>26</v>
      </c>
      <c r="BA810" s="58" t="s">
        <v>151</v>
      </c>
      <c r="BB810" s="58" t="s">
        <v>1407</v>
      </c>
      <c r="BC810" s="58"/>
    </row>
    <row r="811" spans="1:55" x14ac:dyDescent="0.25">
      <c r="A811" s="10">
        <f t="shared" si="35"/>
        <v>810</v>
      </c>
      <c r="B811" s="181" t="s">
        <v>8162</v>
      </c>
      <c r="C811" s="592" t="s">
        <v>1407</v>
      </c>
      <c r="D811" s="457">
        <v>400592</v>
      </c>
      <c r="E811" s="181" t="s">
        <v>36</v>
      </c>
      <c r="F811" s="97" t="s">
        <v>8163</v>
      </c>
      <c r="G811" s="139">
        <v>6</v>
      </c>
      <c r="H811" s="458" t="s">
        <v>5491</v>
      </c>
      <c r="I811" s="458" t="s">
        <v>1084</v>
      </c>
      <c r="J811" s="458">
        <f>I811-H811</f>
        <v>0.16666666666666663</v>
      </c>
      <c r="K811" s="100" t="s">
        <v>6088</v>
      </c>
      <c r="L811" s="97" t="s">
        <v>8164</v>
      </c>
      <c r="M811" s="97" t="s">
        <v>26</v>
      </c>
      <c r="N811" s="58" t="s">
        <v>38</v>
      </c>
      <c r="O811" s="58" t="s">
        <v>5076</v>
      </c>
      <c r="P811" s="206">
        <v>44879</v>
      </c>
      <c r="Q811" s="460">
        <v>44879</v>
      </c>
      <c r="R811" s="460">
        <v>45609</v>
      </c>
      <c r="S811" s="461">
        <v>45610</v>
      </c>
      <c r="T811" s="139">
        <v>2005</v>
      </c>
      <c r="U811" s="139" t="s">
        <v>7617</v>
      </c>
      <c r="V811" s="139">
        <v>2011</v>
      </c>
      <c r="W811" s="139" t="s">
        <v>7617</v>
      </c>
      <c r="X811" s="139" t="s">
        <v>30</v>
      </c>
      <c r="Y811" s="462" t="s">
        <v>1611</v>
      </c>
      <c r="Z811" s="140">
        <v>72908</v>
      </c>
      <c r="AA811" s="140" t="s">
        <v>1841</v>
      </c>
      <c r="AB811" s="460">
        <v>43157</v>
      </c>
      <c r="AC811" s="460">
        <v>44982</v>
      </c>
      <c r="AD811" s="488">
        <v>7702344881</v>
      </c>
      <c r="AE811" s="140" t="s">
        <v>8165</v>
      </c>
      <c r="AF811" s="139" t="s">
        <v>5086</v>
      </c>
      <c r="AG811" s="463">
        <v>62178468215</v>
      </c>
      <c r="AH811" s="139" t="s">
        <v>8166</v>
      </c>
      <c r="AI811" s="139" t="s">
        <v>8167</v>
      </c>
      <c r="AJ811" s="464">
        <v>854317701894</v>
      </c>
      <c r="AK811" s="140" t="s">
        <v>8168</v>
      </c>
      <c r="AL811" s="461">
        <v>45297</v>
      </c>
      <c r="AM811" s="477">
        <v>45297</v>
      </c>
      <c r="AN811" s="140"/>
      <c r="AO811" s="140"/>
      <c r="AP811" s="139"/>
      <c r="AQ811" s="58"/>
      <c r="AR811" s="489"/>
      <c r="AS811" s="458">
        <v>0.375</v>
      </c>
      <c r="AT811" s="181">
        <v>0.54166666666666663</v>
      </c>
      <c r="AU811" s="461">
        <v>29683</v>
      </c>
      <c r="AV811" s="181" t="s">
        <v>1389</v>
      </c>
      <c r="AW811" s="31" t="s">
        <v>32</v>
      </c>
      <c r="AX811" s="139">
        <v>4</v>
      </c>
      <c r="AY811" s="58" t="s">
        <v>1959</v>
      </c>
      <c r="AZ811" s="58" t="s">
        <v>26</v>
      </c>
      <c r="BA811" s="58" t="s">
        <v>151</v>
      </c>
      <c r="BB811" s="58" t="s">
        <v>1407</v>
      </c>
      <c r="BC811" s="58"/>
    </row>
    <row r="812" spans="1:55" x14ac:dyDescent="0.25">
      <c r="A812" s="10">
        <f t="shared" si="35"/>
        <v>811</v>
      </c>
      <c r="B812" s="181" t="s">
        <v>8169</v>
      </c>
      <c r="C812" s="592" t="s">
        <v>1407</v>
      </c>
      <c r="D812" s="457">
        <v>400593</v>
      </c>
      <c r="E812" s="181" t="s">
        <v>36</v>
      </c>
      <c r="F812" s="97" t="s">
        <v>8170</v>
      </c>
      <c r="G812" s="139">
        <v>6</v>
      </c>
      <c r="H812" s="458">
        <v>0.33333333333333331</v>
      </c>
      <c r="I812" s="458">
        <v>0.875</v>
      </c>
      <c r="J812" s="458">
        <v>0.33333333333333331</v>
      </c>
      <c r="K812" s="462" t="s">
        <v>411</v>
      </c>
      <c r="L812" s="97" t="s">
        <v>2015</v>
      </c>
      <c r="M812" s="63" t="s">
        <v>1355</v>
      </c>
      <c r="N812" s="100" t="s">
        <v>1520</v>
      </c>
      <c r="O812" s="58" t="s">
        <v>8029</v>
      </c>
      <c r="P812" s="206">
        <v>44879</v>
      </c>
      <c r="Q812" s="460">
        <v>44879</v>
      </c>
      <c r="R812" s="460">
        <v>45609</v>
      </c>
      <c r="S812" s="461">
        <v>45610</v>
      </c>
      <c r="T812" s="139">
        <v>2015</v>
      </c>
      <c r="U812" s="139" t="s">
        <v>8171</v>
      </c>
      <c r="V812" s="139">
        <v>2021</v>
      </c>
      <c r="W812" s="139" t="s">
        <v>689</v>
      </c>
      <c r="X812" s="139" t="s">
        <v>30</v>
      </c>
      <c r="Y812" s="462" t="s">
        <v>1611</v>
      </c>
      <c r="Z812" s="140" t="s">
        <v>8172</v>
      </c>
      <c r="AA812" s="140" t="s">
        <v>1886</v>
      </c>
      <c r="AB812" s="460">
        <v>44739</v>
      </c>
      <c r="AC812" s="460">
        <v>46564</v>
      </c>
      <c r="AD812" s="488">
        <v>9989249267</v>
      </c>
      <c r="AE812" s="140" t="s">
        <v>8173</v>
      </c>
      <c r="AF812" s="139" t="s">
        <v>2284</v>
      </c>
      <c r="AG812" s="463" t="s">
        <v>8174</v>
      </c>
      <c r="AH812" s="139" t="s">
        <v>8175</v>
      </c>
      <c r="AI812" s="139" t="s">
        <v>8176</v>
      </c>
      <c r="AJ812" s="464">
        <v>851637589690</v>
      </c>
      <c r="AK812" s="140" t="s">
        <v>8177</v>
      </c>
      <c r="AL812" s="206">
        <v>45118</v>
      </c>
      <c r="AM812" s="477"/>
      <c r="AN812" s="465"/>
      <c r="AO812" s="140"/>
      <c r="AP812" s="139"/>
      <c r="AQ812" s="139"/>
      <c r="AR812" s="58"/>
      <c r="AS812" s="458"/>
      <c r="AT812" s="458"/>
      <c r="AU812" s="461">
        <v>33722</v>
      </c>
      <c r="AV812" s="181" t="s">
        <v>1389</v>
      </c>
      <c r="AW812" s="31" t="s">
        <v>68</v>
      </c>
      <c r="AX812" s="139">
        <v>8</v>
      </c>
      <c r="AY812" s="58" t="s">
        <v>1920</v>
      </c>
      <c r="AZ812" s="58" t="s">
        <v>1373</v>
      </c>
      <c r="BA812" s="58" t="s">
        <v>151</v>
      </c>
      <c r="BB812" s="58" t="s">
        <v>1407</v>
      </c>
      <c r="BC812" s="58"/>
    </row>
    <row r="813" spans="1:55" x14ac:dyDescent="0.25">
      <c r="A813" s="10">
        <f t="shared" si="35"/>
        <v>812</v>
      </c>
      <c r="B813" s="181"/>
      <c r="C813" s="592" t="s">
        <v>1407</v>
      </c>
      <c r="D813" s="457">
        <v>400597</v>
      </c>
      <c r="E813" s="181" t="s">
        <v>42</v>
      </c>
      <c r="F813" s="97" t="s">
        <v>8178</v>
      </c>
      <c r="G813" s="139">
        <v>6</v>
      </c>
      <c r="H813" s="458">
        <v>0.375</v>
      </c>
      <c r="I813" s="458">
        <v>0.70833333333333337</v>
      </c>
      <c r="J813" s="458">
        <f>I813-H813</f>
        <v>0.33333333333333337</v>
      </c>
      <c r="K813" s="58" t="s">
        <v>700</v>
      </c>
      <c r="L813" s="97" t="s">
        <v>8179</v>
      </c>
      <c r="M813" s="97" t="s">
        <v>26</v>
      </c>
      <c r="N813" s="58" t="s">
        <v>38</v>
      </c>
      <c r="O813" s="58" t="s">
        <v>5076</v>
      </c>
      <c r="P813" s="206">
        <v>44881</v>
      </c>
      <c r="Q813" s="460">
        <v>44881</v>
      </c>
      <c r="R813" s="460">
        <v>45611</v>
      </c>
      <c r="S813" s="461">
        <v>45612</v>
      </c>
      <c r="T813" s="139">
        <v>2015</v>
      </c>
      <c r="U813" s="139" t="s">
        <v>8180</v>
      </c>
      <c r="V813" s="139">
        <v>2019</v>
      </c>
      <c r="W813" s="139" t="s">
        <v>8180</v>
      </c>
      <c r="X813" s="139" t="s">
        <v>30</v>
      </c>
      <c r="Y813" s="462" t="s">
        <v>1611</v>
      </c>
      <c r="Z813" s="140" t="s">
        <v>8181</v>
      </c>
      <c r="AA813" s="140" t="s">
        <v>1841</v>
      </c>
      <c r="AB813" s="460">
        <v>44076</v>
      </c>
      <c r="AC813" s="460">
        <v>45901</v>
      </c>
      <c r="AD813" s="488">
        <v>9003096615</v>
      </c>
      <c r="AE813" s="140" t="s">
        <v>8182</v>
      </c>
      <c r="AF813" s="139" t="s">
        <v>1430</v>
      </c>
      <c r="AG813" s="463">
        <v>50100301205926</v>
      </c>
      <c r="AH813" s="139" t="s">
        <v>8183</v>
      </c>
      <c r="AI813" s="139" t="s">
        <v>8184</v>
      </c>
      <c r="AJ813" s="464">
        <v>782339620606</v>
      </c>
      <c r="AK813" s="140" t="s">
        <v>8185</v>
      </c>
      <c r="AL813" s="461">
        <v>45138</v>
      </c>
      <c r="AM813" s="477">
        <v>45107</v>
      </c>
      <c r="AN813" s="465"/>
      <c r="AO813" s="140"/>
      <c r="AP813" s="139"/>
      <c r="AQ813" s="139"/>
      <c r="AR813" s="58"/>
      <c r="AS813" s="458"/>
      <c r="AT813" s="458"/>
      <c r="AU813" s="461">
        <v>33753</v>
      </c>
      <c r="AV813" s="181" t="s">
        <v>1389</v>
      </c>
      <c r="AW813" s="31" t="s">
        <v>68</v>
      </c>
      <c r="AX813" s="139">
        <v>8</v>
      </c>
      <c r="AY813" s="58" t="s">
        <v>2469</v>
      </c>
      <c r="AZ813" s="58" t="s">
        <v>26</v>
      </c>
      <c r="BA813" s="58" t="s">
        <v>151</v>
      </c>
      <c r="BB813" s="58" t="s">
        <v>1407</v>
      </c>
      <c r="BC813" s="58"/>
    </row>
    <row r="814" spans="1:55" x14ac:dyDescent="0.25">
      <c r="A814" s="10">
        <f t="shared" si="35"/>
        <v>813</v>
      </c>
      <c r="B814" s="181" t="s">
        <v>4524</v>
      </c>
      <c r="C814" s="592" t="s">
        <v>1407</v>
      </c>
      <c r="D814" s="457">
        <v>400598</v>
      </c>
      <c r="E814" s="181" t="s">
        <v>36</v>
      </c>
      <c r="F814" s="97" t="s">
        <v>4525</v>
      </c>
      <c r="G814" s="139">
        <v>6</v>
      </c>
      <c r="H814" s="458" t="s">
        <v>235</v>
      </c>
      <c r="I814" s="458" t="s">
        <v>978</v>
      </c>
      <c r="J814" s="458">
        <v>0.33333333333333331</v>
      </c>
      <c r="K814" s="462" t="s">
        <v>154</v>
      </c>
      <c r="L814" s="97" t="s">
        <v>2015</v>
      </c>
      <c r="M814" s="63" t="s">
        <v>1355</v>
      </c>
      <c r="N814" s="100" t="s">
        <v>1520</v>
      </c>
      <c r="O814" s="58" t="s">
        <v>8029</v>
      </c>
      <c r="P814" s="206">
        <v>44882</v>
      </c>
      <c r="Q814" s="460">
        <v>44882</v>
      </c>
      <c r="R814" s="460">
        <v>45612</v>
      </c>
      <c r="S814" s="461">
        <v>45613</v>
      </c>
      <c r="T814" s="139">
        <v>2014</v>
      </c>
      <c r="U814" s="139" t="s">
        <v>7547</v>
      </c>
      <c r="V814" s="139">
        <v>2021</v>
      </c>
      <c r="W814" s="139" t="s">
        <v>8186</v>
      </c>
      <c r="X814" s="139" t="s">
        <v>30</v>
      </c>
      <c r="Y814" s="462" t="s">
        <v>7156</v>
      </c>
      <c r="Z814" s="140" t="s">
        <v>4528</v>
      </c>
      <c r="AA814" s="140" t="s">
        <v>1841</v>
      </c>
      <c r="AB814" s="460">
        <v>44547</v>
      </c>
      <c r="AC814" s="460">
        <v>46372</v>
      </c>
      <c r="AD814" s="488">
        <v>6302331983</v>
      </c>
      <c r="AE814" s="140" t="s">
        <v>4529</v>
      </c>
      <c r="AF814" s="139" t="s">
        <v>1805</v>
      </c>
      <c r="AG814" s="463" t="s">
        <v>4530</v>
      </c>
      <c r="AH814" s="139" t="s">
        <v>5772</v>
      </c>
      <c r="AI814" s="139" t="s">
        <v>4532</v>
      </c>
      <c r="AJ814" s="464">
        <v>827873697699</v>
      </c>
      <c r="AK814" s="140" t="s">
        <v>4534</v>
      </c>
      <c r="AL814" s="206">
        <v>45319</v>
      </c>
      <c r="AM814" s="477">
        <v>45259</v>
      </c>
      <c r="AN814" s="465"/>
      <c r="AO814" s="140"/>
      <c r="AP814" s="139"/>
      <c r="AQ814" s="139"/>
      <c r="AR814" s="58"/>
      <c r="AS814" s="458"/>
      <c r="AT814" s="458">
        <v>0.33333333333333331</v>
      </c>
      <c r="AU814" s="461">
        <v>32433</v>
      </c>
      <c r="AV814" s="181" t="s">
        <v>1389</v>
      </c>
      <c r="AW814" s="31" t="s">
        <v>68</v>
      </c>
      <c r="AX814" s="139">
        <v>8</v>
      </c>
      <c r="AY814" s="58" t="s">
        <v>1904</v>
      </c>
      <c r="AZ814" s="58" t="s">
        <v>1373</v>
      </c>
      <c r="BA814" s="58" t="s">
        <v>151</v>
      </c>
      <c r="BB814" s="58" t="s">
        <v>1407</v>
      </c>
      <c r="BC814" s="58"/>
    </row>
    <row r="815" spans="1:55" x14ac:dyDescent="0.25">
      <c r="A815" s="10">
        <f t="shared" si="35"/>
        <v>814</v>
      </c>
      <c r="B815" s="181" t="s">
        <v>8187</v>
      </c>
      <c r="C815" s="592" t="s">
        <v>1407</v>
      </c>
      <c r="D815" s="457">
        <v>400599</v>
      </c>
      <c r="E815" s="181" t="s">
        <v>9124</v>
      </c>
      <c r="F815" s="97" t="s">
        <v>8188</v>
      </c>
      <c r="G815" s="139">
        <v>6</v>
      </c>
      <c r="H815" s="458" t="s">
        <v>8189</v>
      </c>
      <c r="I815" s="458" t="s">
        <v>8190</v>
      </c>
      <c r="J815" s="458">
        <v>0.20833333333333334</v>
      </c>
      <c r="K815" s="100" t="s">
        <v>922</v>
      </c>
      <c r="L815" s="97" t="s">
        <v>8191</v>
      </c>
      <c r="M815" s="97" t="s">
        <v>26</v>
      </c>
      <c r="N815" s="58" t="s">
        <v>38</v>
      </c>
      <c r="O815" s="58" t="s">
        <v>5076</v>
      </c>
      <c r="P815" s="206">
        <v>44886</v>
      </c>
      <c r="Q815" s="460">
        <v>44886</v>
      </c>
      <c r="R815" s="460">
        <v>45616</v>
      </c>
      <c r="S815" s="461">
        <v>45617</v>
      </c>
      <c r="T815" s="139">
        <v>2022</v>
      </c>
      <c r="U815" s="139" t="s">
        <v>1078</v>
      </c>
      <c r="V815" s="139">
        <v>2017</v>
      </c>
      <c r="W815" s="139" t="s">
        <v>1078</v>
      </c>
      <c r="X815" s="139" t="s">
        <v>30</v>
      </c>
      <c r="Y815" s="462" t="s">
        <v>1611</v>
      </c>
      <c r="Z815" s="140" t="s">
        <v>8192</v>
      </c>
      <c r="AA815" s="140" t="s">
        <v>8193</v>
      </c>
      <c r="AB815" s="460"/>
      <c r="AC815" s="460"/>
      <c r="AD815" s="139" t="s">
        <v>8194</v>
      </c>
      <c r="AE815" s="467" t="s">
        <v>8195</v>
      </c>
      <c r="AF815" s="139" t="s">
        <v>8053</v>
      </c>
      <c r="AG815" s="463">
        <v>62207478313</v>
      </c>
      <c r="AH815" s="139" t="s">
        <v>2891</v>
      </c>
      <c r="AI815" s="139" t="s">
        <v>8196</v>
      </c>
      <c r="AJ815" s="464">
        <v>211330129670</v>
      </c>
      <c r="AK815" s="140" t="s">
        <v>8197</v>
      </c>
      <c r="AL815" s="461"/>
      <c r="AM815" s="477"/>
      <c r="AN815" s="465"/>
      <c r="AO815" s="140"/>
      <c r="AP815" s="139"/>
      <c r="AQ815" s="139" t="e">
        <v>#N/A</v>
      </c>
      <c r="AR815" s="181"/>
      <c r="AS815" s="458"/>
      <c r="AT815" s="458"/>
      <c r="AU815" s="461">
        <v>34336</v>
      </c>
      <c r="AV815" s="181" t="s">
        <v>1352</v>
      </c>
      <c r="AW815" s="31" t="s">
        <v>32</v>
      </c>
      <c r="AX815" s="139">
        <v>5</v>
      </c>
      <c r="AY815" s="58" t="s">
        <v>2053</v>
      </c>
      <c r="AZ815" s="58" t="s">
        <v>26</v>
      </c>
      <c r="BA815" s="58" t="s">
        <v>151</v>
      </c>
      <c r="BB815" s="58" t="s">
        <v>1407</v>
      </c>
      <c r="BC815" s="58"/>
    </row>
    <row r="816" spans="1:55" x14ac:dyDescent="0.25">
      <c r="A816" s="10">
        <f t="shared" si="35"/>
        <v>815</v>
      </c>
      <c r="B816" s="181" t="s">
        <v>8198</v>
      </c>
      <c r="C816" s="592" t="s">
        <v>1407</v>
      </c>
      <c r="D816" s="457">
        <v>400600</v>
      </c>
      <c r="E816" s="181" t="s">
        <v>36</v>
      </c>
      <c r="F816" s="97" t="s">
        <v>8199</v>
      </c>
      <c r="G816" s="139">
        <v>6</v>
      </c>
      <c r="H816" s="458">
        <v>0.35416666666666669</v>
      </c>
      <c r="I816" s="458">
        <v>0.6875</v>
      </c>
      <c r="J816" s="458">
        <f>I816-H816</f>
        <v>0.33333333333333331</v>
      </c>
      <c r="K816" s="100" t="s">
        <v>866</v>
      </c>
      <c r="L816" s="97" t="s">
        <v>8200</v>
      </c>
      <c r="M816" s="97" t="s">
        <v>26</v>
      </c>
      <c r="N816" s="58" t="s">
        <v>38</v>
      </c>
      <c r="O816" s="58" t="s">
        <v>5076</v>
      </c>
      <c r="P816" s="206">
        <v>44893</v>
      </c>
      <c r="Q816" s="460">
        <v>44893</v>
      </c>
      <c r="R816" s="460">
        <v>45623</v>
      </c>
      <c r="S816" s="461">
        <v>45624</v>
      </c>
      <c r="T816" s="139">
        <v>2017</v>
      </c>
      <c r="U816" s="139" t="s">
        <v>8201</v>
      </c>
      <c r="V816" s="139">
        <v>2021</v>
      </c>
      <c r="W816" s="139" t="s">
        <v>7795</v>
      </c>
      <c r="X816" s="139" t="s">
        <v>30</v>
      </c>
      <c r="Y816" s="462" t="s">
        <v>1611</v>
      </c>
      <c r="Z816" s="140" t="s">
        <v>8202</v>
      </c>
      <c r="AA816" s="140" t="s">
        <v>1841</v>
      </c>
      <c r="AB816" s="460">
        <v>44874</v>
      </c>
      <c r="AC816" s="460">
        <v>46699</v>
      </c>
      <c r="AD816" s="139">
        <v>9966377814</v>
      </c>
      <c r="AE816" s="467" t="s">
        <v>8203</v>
      </c>
      <c r="AF816" s="139" t="s">
        <v>1430</v>
      </c>
      <c r="AG816" s="463" t="s">
        <v>8204</v>
      </c>
      <c r="AH816" s="139" t="s">
        <v>8205</v>
      </c>
      <c r="AI816" s="139" t="s">
        <v>8206</v>
      </c>
      <c r="AJ816" s="464">
        <v>306624475679</v>
      </c>
      <c r="AK816" s="140" t="s">
        <v>8207</v>
      </c>
      <c r="AL816" s="461"/>
      <c r="AM816" s="477"/>
      <c r="AN816" s="465"/>
      <c r="AO816" s="140"/>
      <c r="AP816" s="139"/>
      <c r="AQ816" s="139"/>
      <c r="AR816" s="181"/>
      <c r="AS816" s="458"/>
      <c r="AT816" s="458"/>
      <c r="AU816" s="461">
        <v>34464</v>
      </c>
      <c r="AV816" s="181" t="s">
        <v>1389</v>
      </c>
      <c r="AW816" s="31" t="s">
        <v>68</v>
      </c>
      <c r="AX816" s="139">
        <v>8</v>
      </c>
      <c r="AY816" s="58" t="s">
        <v>2189</v>
      </c>
      <c r="AZ816" s="58" t="s">
        <v>26</v>
      </c>
      <c r="BA816" s="58" t="s">
        <v>151</v>
      </c>
      <c r="BB816" s="58" t="s">
        <v>1407</v>
      </c>
      <c r="BC816" s="58"/>
    </row>
    <row r="817" spans="1:55" x14ac:dyDescent="0.25">
      <c r="A817" s="10">
        <f t="shared" si="35"/>
        <v>816</v>
      </c>
      <c r="B817" s="181" t="s">
        <v>8208</v>
      </c>
      <c r="C817" s="592" t="s">
        <v>1407</v>
      </c>
      <c r="D817" s="457">
        <v>400601</v>
      </c>
      <c r="E817" s="181" t="s">
        <v>36</v>
      </c>
      <c r="F817" s="97" t="s">
        <v>8209</v>
      </c>
      <c r="G817" s="139">
        <v>6</v>
      </c>
      <c r="H817" s="458">
        <v>0.41666666666666669</v>
      </c>
      <c r="I817" s="458">
        <v>0.5</v>
      </c>
      <c r="J817" s="458">
        <f>I817-H817</f>
        <v>8.3333333333333315E-2</v>
      </c>
      <c r="K817" s="143" t="s">
        <v>802</v>
      </c>
      <c r="L817" s="97" t="s">
        <v>6877</v>
      </c>
      <c r="M817" s="63" t="s">
        <v>1355</v>
      </c>
      <c r="N817" s="100" t="s">
        <v>1520</v>
      </c>
      <c r="O817" s="58" t="s">
        <v>8029</v>
      </c>
      <c r="P817" s="206">
        <v>44879</v>
      </c>
      <c r="Q817" s="460">
        <v>44879</v>
      </c>
      <c r="R817" s="460">
        <v>45609</v>
      </c>
      <c r="S817" s="461">
        <v>45610</v>
      </c>
      <c r="T817" s="139">
        <v>2017</v>
      </c>
      <c r="U817" s="139" t="s">
        <v>8210</v>
      </c>
      <c r="V817" s="139">
        <v>2021</v>
      </c>
      <c r="W817" s="139" t="s">
        <v>836</v>
      </c>
      <c r="X817" s="139" t="s">
        <v>30</v>
      </c>
      <c r="Y817" s="462" t="s">
        <v>1611</v>
      </c>
      <c r="Z817" s="140" t="s">
        <v>8211</v>
      </c>
      <c r="AA817" s="140" t="s">
        <v>8193</v>
      </c>
      <c r="AB817" s="460"/>
      <c r="AC817" s="460"/>
      <c r="AD817" s="139">
        <v>8801042426</v>
      </c>
      <c r="AE817" s="467" t="s">
        <v>8212</v>
      </c>
      <c r="AF817" s="139" t="s">
        <v>8053</v>
      </c>
      <c r="AG817" s="463">
        <v>39751243076</v>
      </c>
      <c r="AH817" s="139" t="s">
        <v>8213</v>
      </c>
      <c r="AI817" s="139" t="s">
        <v>8214</v>
      </c>
      <c r="AJ817" s="464">
        <v>319194380425</v>
      </c>
      <c r="AK817" s="140" t="s">
        <v>8215</v>
      </c>
      <c r="AL817" s="206">
        <v>45160</v>
      </c>
      <c r="AM817" s="477"/>
      <c r="AN817" s="465"/>
      <c r="AO817" s="140"/>
      <c r="AP817" s="139"/>
      <c r="AQ817" s="139" t="e">
        <v>#N/A</v>
      </c>
      <c r="AR817" s="181"/>
      <c r="AS817" s="458"/>
      <c r="AT817" s="458"/>
      <c r="AU817" s="461">
        <v>34030</v>
      </c>
      <c r="AV817" s="181" t="s">
        <v>1389</v>
      </c>
      <c r="AW817" s="31" t="s">
        <v>32</v>
      </c>
      <c r="AX817" s="139">
        <v>2</v>
      </c>
      <c r="AY817" s="58" t="s">
        <v>2469</v>
      </c>
      <c r="AZ817" s="58" t="s">
        <v>1373</v>
      </c>
      <c r="BA817" s="58" t="s">
        <v>151</v>
      </c>
      <c r="BB817" s="58" t="s">
        <v>1407</v>
      </c>
      <c r="BC817" s="58"/>
    </row>
    <row r="818" spans="1:55" x14ac:dyDescent="0.25">
      <c r="A818" s="10">
        <f t="shared" si="35"/>
        <v>817</v>
      </c>
      <c r="B818" s="181" t="s">
        <v>8216</v>
      </c>
      <c r="C818" s="592" t="s">
        <v>1407</v>
      </c>
      <c r="D818" s="457">
        <v>400977</v>
      </c>
      <c r="E818" s="181" t="s">
        <v>36</v>
      </c>
      <c r="F818" s="97" t="s">
        <v>8217</v>
      </c>
      <c r="G818" s="139">
        <v>6</v>
      </c>
      <c r="H818" s="469">
        <v>0.35416666666666669</v>
      </c>
      <c r="I818" s="469">
        <v>0.52083333333333337</v>
      </c>
      <c r="J818" s="458">
        <f>I818-H818</f>
        <v>0.16666666666666669</v>
      </c>
      <c r="K818" s="271" t="s">
        <v>5084</v>
      </c>
      <c r="L818" s="97" t="s">
        <v>8218</v>
      </c>
      <c r="M818" s="97" t="s">
        <v>26</v>
      </c>
      <c r="N818" s="58" t="s">
        <v>38</v>
      </c>
      <c r="O818" s="462" t="s">
        <v>5076</v>
      </c>
      <c r="P818" s="206">
        <v>45383</v>
      </c>
      <c r="Q818" s="206">
        <v>45383</v>
      </c>
      <c r="R818" s="206">
        <v>46112</v>
      </c>
      <c r="S818" s="461">
        <v>46113</v>
      </c>
      <c r="T818" s="139">
        <v>2015</v>
      </c>
      <c r="U818" s="181" t="s">
        <v>57</v>
      </c>
      <c r="V818" s="139">
        <v>2024</v>
      </c>
      <c r="W818" s="97" t="s">
        <v>225</v>
      </c>
      <c r="X818" s="181" t="s">
        <v>30</v>
      </c>
      <c r="Y818" s="58" t="s">
        <v>5141</v>
      </c>
      <c r="Z818" s="140" t="s">
        <v>8219</v>
      </c>
      <c r="AA818" s="470" t="s">
        <v>1841</v>
      </c>
      <c r="AB818" s="471">
        <v>44692</v>
      </c>
      <c r="AC818" s="471">
        <v>46517</v>
      </c>
      <c r="AD818" s="472">
        <v>9028417190</v>
      </c>
      <c r="AE818" s="473" t="s">
        <v>8220</v>
      </c>
      <c r="AF818" s="474" t="s">
        <v>5183</v>
      </c>
      <c r="AG818" s="475" t="s">
        <v>8221</v>
      </c>
      <c r="AH818" s="181" t="s">
        <v>7892</v>
      </c>
      <c r="AI818" s="139" t="s">
        <v>8222</v>
      </c>
      <c r="AJ818" s="476">
        <v>790069242852</v>
      </c>
      <c r="AK818" s="470"/>
      <c r="AL818" s="461">
        <v>45514</v>
      </c>
      <c r="AM818" s="477">
        <v>45542</v>
      </c>
      <c r="AN818" s="478" t="s">
        <v>8223</v>
      </c>
      <c r="AO818" s="140" t="s">
        <v>8224</v>
      </c>
      <c r="AP818" s="58"/>
      <c r="AQ818" s="140" t="s">
        <v>8224</v>
      </c>
      <c r="AR818" s="462"/>
      <c r="AS818" s="479">
        <v>0.35416666666666669</v>
      </c>
      <c r="AT818" s="479">
        <v>0.52083333333333337</v>
      </c>
      <c r="AU818" s="480">
        <v>32926</v>
      </c>
      <c r="AV818" s="181" t="s">
        <v>1389</v>
      </c>
      <c r="AW818" s="31" t="s">
        <v>32</v>
      </c>
      <c r="AX818" s="139">
        <v>4</v>
      </c>
      <c r="AY818" s="58" t="s">
        <v>1849</v>
      </c>
      <c r="AZ818" s="58" t="s">
        <v>26</v>
      </c>
      <c r="BA818" s="58" t="s">
        <v>151</v>
      </c>
      <c r="BB818" s="58" t="s">
        <v>1407</v>
      </c>
      <c r="BC818" s="58"/>
    </row>
    <row r="819" spans="1:55" x14ac:dyDescent="0.25">
      <c r="A819" s="10">
        <f t="shared" si="35"/>
        <v>818</v>
      </c>
      <c r="B819" s="181" t="s">
        <v>8225</v>
      </c>
      <c r="C819" s="592" t="s">
        <v>1407</v>
      </c>
      <c r="D819" s="457">
        <v>400604</v>
      </c>
      <c r="E819" s="181" t="s">
        <v>36</v>
      </c>
      <c r="F819" s="97" t="s">
        <v>8226</v>
      </c>
      <c r="G819" s="139">
        <v>6</v>
      </c>
      <c r="H819" s="458">
        <v>0.35416666666666669</v>
      </c>
      <c r="I819" s="458">
        <v>0.41666666666666669</v>
      </c>
      <c r="J819" s="458">
        <f>I819-H819</f>
        <v>6.25E-2</v>
      </c>
      <c r="K819" s="58" t="s">
        <v>3609</v>
      </c>
      <c r="L819" s="97" t="s">
        <v>8227</v>
      </c>
      <c r="M819" s="97" t="s">
        <v>26</v>
      </c>
      <c r="N819" s="58" t="s">
        <v>38</v>
      </c>
      <c r="O819" s="58" t="s">
        <v>5076</v>
      </c>
      <c r="P819" s="206">
        <v>44900</v>
      </c>
      <c r="Q819" s="460">
        <v>44900</v>
      </c>
      <c r="R819" s="460">
        <v>45630</v>
      </c>
      <c r="S819" s="461">
        <v>45631</v>
      </c>
      <c r="T819" s="139"/>
      <c r="U819" s="139" t="s">
        <v>7227</v>
      </c>
      <c r="V819" s="139">
        <v>2021</v>
      </c>
      <c r="W819" s="139" t="s">
        <v>8228</v>
      </c>
      <c r="X819" s="139" t="s">
        <v>30</v>
      </c>
      <c r="Y819" s="462" t="s">
        <v>1611</v>
      </c>
      <c r="Z819" s="140" t="s">
        <v>8229</v>
      </c>
      <c r="AA819" s="140" t="s">
        <v>1841</v>
      </c>
      <c r="AB819" s="460"/>
      <c r="AC819" s="460"/>
      <c r="AD819" s="488">
        <v>9866505330</v>
      </c>
      <c r="AE819" s="140" t="s">
        <v>8230</v>
      </c>
      <c r="AF819" s="139" t="s">
        <v>1430</v>
      </c>
      <c r="AG819" s="463" t="s">
        <v>8231</v>
      </c>
      <c r="AH819" s="139" t="s">
        <v>7928</v>
      </c>
      <c r="AI819" s="139" t="s">
        <v>8232</v>
      </c>
      <c r="AJ819" s="464" t="s">
        <v>8233</v>
      </c>
      <c r="AK819" s="140" t="s">
        <v>8234</v>
      </c>
      <c r="AL819" s="461"/>
      <c r="AM819" s="477"/>
      <c r="AN819" s="465"/>
      <c r="AO819" s="140"/>
      <c r="AP819" s="139"/>
      <c r="AQ819" s="139"/>
      <c r="AR819" s="58"/>
      <c r="AS819" s="458"/>
      <c r="AT819" s="458"/>
      <c r="AU819" s="461">
        <v>33050</v>
      </c>
      <c r="AV819" s="181" t="s">
        <v>1389</v>
      </c>
      <c r="AW819" s="31" t="s">
        <v>32</v>
      </c>
      <c r="AX819" s="139">
        <v>1.5</v>
      </c>
      <c r="AY819" s="58" t="s">
        <v>1959</v>
      </c>
      <c r="AZ819" s="58" t="s">
        <v>26</v>
      </c>
      <c r="BA819" s="58" t="s">
        <v>151</v>
      </c>
      <c r="BB819" s="58" t="s">
        <v>1407</v>
      </c>
      <c r="BC819" s="58"/>
    </row>
    <row r="820" spans="1:55" x14ac:dyDescent="0.25">
      <c r="A820" s="10">
        <f t="shared" si="35"/>
        <v>819</v>
      </c>
      <c r="B820" s="181" t="s">
        <v>8235</v>
      </c>
      <c r="C820" s="592" t="s">
        <v>1407</v>
      </c>
      <c r="D820" s="457">
        <v>400605</v>
      </c>
      <c r="E820" s="181" t="s">
        <v>36</v>
      </c>
      <c r="F820" s="97" t="s">
        <v>8236</v>
      </c>
      <c r="G820" s="139">
        <v>6</v>
      </c>
      <c r="H820" s="458">
        <v>0.35416666666666669</v>
      </c>
      <c r="I820" s="458">
        <v>0.6875</v>
      </c>
      <c r="J820" s="458">
        <f>I820-H820</f>
        <v>0.33333333333333331</v>
      </c>
      <c r="K820" s="143" t="s">
        <v>255</v>
      </c>
      <c r="L820" s="97" t="s">
        <v>8237</v>
      </c>
      <c r="M820" s="97" t="s">
        <v>26</v>
      </c>
      <c r="N820" s="58" t="s">
        <v>38</v>
      </c>
      <c r="O820" s="58" t="s">
        <v>5076</v>
      </c>
      <c r="P820" s="206">
        <v>44900</v>
      </c>
      <c r="Q820" s="460">
        <v>44900</v>
      </c>
      <c r="R820" s="460">
        <v>45630</v>
      </c>
      <c r="S820" s="461">
        <v>45631</v>
      </c>
      <c r="T820" s="139">
        <v>2012</v>
      </c>
      <c r="U820" s="139" t="s">
        <v>343</v>
      </c>
      <c r="V820" s="139">
        <v>2022</v>
      </c>
      <c r="W820" s="139" t="s">
        <v>1358</v>
      </c>
      <c r="X820" s="139" t="s">
        <v>30</v>
      </c>
      <c r="Y820" s="462" t="s">
        <v>1611</v>
      </c>
      <c r="Z820" s="140" t="s">
        <v>8238</v>
      </c>
      <c r="AA820" s="140" t="s">
        <v>1841</v>
      </c>
      <c r="AB820" s="460">
        <v>43399</v>
      </c>
      <c r="AC820" s="460">
        <v>45224</v>
      </c>
      <c r="AD820" s="488">
        <v>9966011239</v>
      </c>
      <c r="AE820" s="140" t="s">
        <v>8239</v>
      </c>
      <c r="AF820" s="139" t="s">
        <v>1430</v>
      </c>
      <c r="AG820" s="463" t="s">
        <v>8240</v>
      </c>
      <c r="AH820" s="139" t="s">
        <v>8241</v>
      </c>
      <c r="AI820" s="139" t="s">
        <v>8242</v>
      </c>
      <c r="AJ820" s="464" t="s">
        <v>8243</v>
      </c>
      <c r="AK820" s="140" t="s">
        <v>8244</v>
      </c>
      <c r="AL820" s="461">
        <v>45169</v>
      </c>
      <c r="AM820" s="477"/>
      <c r="AN820" s="465"/>
      <c r="AO820" s="140"/>
      <c r="AP820" s="139"/>
      <c r="AQ820" s="139"/>
      <c r="AR820" s="58"/>
      <c r="AS820" s="458"/>
      <c r="AT820" s="458"/>
      <c r="AU820" s="461">
        <v>32178</v>
      </c>
      <c r="AV820" s="181" t="s">
        <v>1352</v>
      </c>
      <c r="AW820" s="31" t="s">
        <v>68</v>
      </c>
      <c r="AX820" s="139">
        <v>8</v>
      </c>
      <c r="AY820" s="58" t="s">
        <v>2068</v>
      </c>
      <c r="AZ820" s="58" t="s">
        <v>26</v>
      </c>
      <c r="BA820" s="58" t="s">
        <v>151</v>
      </c>
      <c r="BB820" s="58" t="s">
        <v>1407</v>
      </c>
      <c r="BC820" s="58"/>
    </row>
    <row r="821" spans="1:55" x14ac:dyDescent="0.25">
      <c r="A821" s="10">
        <f t="shared" si="35"/>
        <v>820</v>
      </c>
      <c r="B821" s="181" t="s">
        <v>4893</v>
      </c>
      <c r="C821" s="592" t="s">
        <v>1407</v>
      </c>
      <c r="D821" s="457">
        <v>400606</v>
      </c>
      <c r="E821" s="181" t="s">
        <v>36</v>
      </c>
      <c r="F821" s="97" t="s">
        <v>4894</v>
      </c>
      <c r="G821" s="139">
        <v>6</v>
      </c>
      <c r="H821" s="458">
        <v>0.41666666666666669</v>
      </c>
      <c r="I821" s="458">
        <v>0.45833333333333331</v>
      </c>
      <c r="J821" s="458">
        <v>4.1666666666666664E-2</v>
      </c>
      <c r="K821" s="100" t="s">
        <v>287</v>
      </c>
      <c r="L821" s="97" t="s">
        <v>1376</v>
      </c>
      <c r="M821" s="97" t="s">
        <v>1376</v>
      </c>
      <c r="N821" s="58" t="s">
        <v>1393</v>
      </c>
      <c r="O821" s="58" t="s">
        <v>3290</v>
      </c>
      <c r="P821" s="206">
        <v>44903</v>
      </c>
      <c r="Q821" s="460">
        <v>44903</v>
      </c>
      <c r="R821" s="460">
        <v>45633</v>
      </c>
      <c r="S821" s="461">
        <v>45634</v>
      </c>
      <c r="T821" s="139">
        <v>1988</v>
      </c>
      <c r="U821" s="139" t="s">
        <v>7721</v>
      </c>
      <c r="V821" s="139"/>
      <c r="W821" s="139"/>
      <c r="X821" s="139" t="s">
        <v>30</v>
      </c>
      <c r="Y821" s="462" t="s">
        <v>30</v>
      </c>
      <c r="Z821" s="140" t="s">
        <v>7722</v>
      </c>
      <c r="AA821" s="140" t="s">
        <v>1841</v>
      </c>
      <c r="AB821" s="460">
        <v>44459</v>
      </c>
      <c r="AC821" s="460">
        <v>46284</v>
      </c>
      <c r="AD821" s="488">
        <v>9676883581</v>
      </c>
      <c r="AE821" s="140" t="s">
        <v>4896</v>
      </c>
      <c r="AF821" s="139" t="s">
        <v>1400</v>
      </c>
      <c r="AG821" s="463" t="s">
        <v>7723</v>
      </c>
      <c r="AH821" s="139" t="s">
        <v>6825</v>
      </c>
      <c r="AI821" s="139" t="s">
        <v>4899</v>
      </c>
      <c r="AJ821" s="464" t="s">
        <v>4900</v>
      </c>
      <c r="AK821" s="140" t="s">
        <v>7724</v>
      </c>
      <c r="AL821" s="206"/>
      <c r="AM821" s="477" t="s">
        <v>30</v>
      </c>
      <c r="AN821" s="490"/>
      <c r="AO821" s="140"/>
      <c r="AP821" s="139"/>
      <c r="AQ821" s="139"/>
      <c r="AR821" s="58"/>
      <c r="AS821" s="458"/>
      <c r="AT821" s="458"/>
      <c r="AU821" s="461">
        <v>23121</v>
      </c>
      <c r="AV821" s="181" t="s">
        <v>1352</v>
      </c>
      <c r="AW821" s="31" t="s">
        <v>32</v>
      </c>
      <c r="AX821" s="139">
        <v>1</v>
      </c>
      <c r="AY821" s="58" t="s">
        <v>1881</v>
      </c>
      <c r="AZ821" s="58" t="s">
        <v>1390</v>
      </c>
      <c r="BA821" s="58" t="s">
        <v>151</v>
      </c>
      <c r="BB821" s="58" t="s">
        <v>1407</v>
      </c>
      <c r="BC821" s="58"/>
    </row>
    <row r="822" spans="1:55" x14ac:dyDescent="0.25">
      <c r="A822" s="10">
        <f t="shared" si="35"/>
        <v>821</v>
      </c>
      <c r="B822" s="181"/>
      <c r="C822" s="592" t="s">
        <v>1407</v>
      </c>
      <c r="D822" s="96">
        <v>400607</v>
      </c>
      <c r="E822" s="181"/>
      <c r="F822" s="97" t="s">
        <v>8245</v>
      </c>
      <c r="G822" s="462"/>
      <c r="H822" s="458"/>
      <c r="I822" s="458"/>
      <c r="J822" s="458"/>
      <c r="K822" s="58"/>
      <c r="L822" s="97"/>
      <c r="M822" s="97" t="s">
        <v>30</v>
      </c>
      <c r="N822" s="58"/>
      <c r="O822" s="58"/>
      <c r="P822" s="460"/>
      <c r="Q822" s="460"/>
      <c r="R822" s="460"/>
      <c r="S822" s="461"/>
      <c r="T822" s="139"/>
      <c r="U822" s="139"/>
      <c r="V822" s="139"/>
      <c r="W822" s="462"/>
      <c r="X822" s="139"/>
      <c r="Y822" s="462"/>
      <c r="Z822" s="140"/>
      <c r="AA822" s="465"/>
      <c r="AB822" s="460"/>
      <c r="AC822" s="139"/>
      <c r="AD822" s="139"/>
      <c r="AE822" s="140"/>
      <c r="AF822" s="486"/>
      <c r="AG822" s="139"/>
      <c r="AH822" s="139"/>
      <c r="AI822" s="464"/>
      <c r="AJ822" s="139"/>
      <c r="AK822" s="140"/>
      <c r="AL822" s="206"/>
      <c r="AM822" s="477"/>
      <c r="AN822" s="140"/>
      <c r="AO822" s="140"/>
      <c r="AP822" s="462"/>
      <c r="AQ822" s="58"/>
      <c r="AR822" s="489"/>
      <c r="AS822" s="458"/>
      <c r="AT822" s="181"/>
      <c r="AU822" s="181"/>
      <c r="AV822" s="461"/>
      <c r="AW822" s="181"/>
      <c r="AX822" s="139"/>
      <c r="AY822" s="58"/>
      <c r="AZ822" s="58"/>
      <c r="BA822" s="58" t="s">
        <v>151</v>
      </c>
      <c r="BB822" s="58" t="s">
        <v>1407</v>
      </c>
      <c r="BC822" s="58"/>
    </row>
    <row r="823" spans="1:55" x14ac:dyDescent="0.25">
      <c r="A823" s="10">
        <f t="shared" si="35"/>
        <v>822</v>
      </c>
      <c r="B823" s="181" t="s">
        <v>8246</v>
      </c>
      <c r="C823" s="592" t="s">
        <v>1407</v>
      </c>
      <c r="D823" s="457">
        <v>400608</v>
      </c>
      <c r="E823" s="181" t="s">
        <v>36</v>
      </c>
      <c r="F823" s="97" t="s">
        <v>8247</v>
      </c>
      <c r="G823" s="139">
        <v>6</v>
      </c>
      <c r="H823" s="458">
        <v>0.33333333333333331</v>
      </c>
      <c r="I823" s="458">
        <v>0.875</v>
      </c>
      <c r="J823" s="458">
        <v>0.33333333333333331</v>
      </c>
      <c r="K823" s="100" t="s">
        <v>287</v>
      </c>
      <c r="L823" s="97"/>
      <c r="M823" s="63" t="s">
        <v>1355</v>
      </c>
      <c r="N823" s="100" t="s">
        <v>1520</v>
      </c>
      <c r="O823" s="58"/>
      <c r="P823" s="206">
        <v>44914</v>
      </c>
      <c r="Q823" s="460">
        <v>44914</v>
      </c>
      <c r="R823" s="460">
        <v>45644</v>
      </c>
      <c r="S823" s="461">
        <v>45645</v>
      </c>
      <c r="T823" s="139">
        <v>2013</v>
      </c>
      <c r="U823" s="139" t="s">
        <v>2451</v>
      </c>
      <c r="V823" s="139">
        <v>2021</v>
      </c>
      <c r="W823" s="139" t="s">
        <v>689</v>
      </c>
      <c r="X823" s="139" t="s">
        <v>30</v>
      </c>
      <c r="Y823" s="462" t="s">
        <v>226</v>
      </c>
      <c r="Z823" s="140" t="s">
        <v>8248</v>
      </c>
      <c r="AA823" s="140" t="s">
        <v>1841</v>
      </c>
      <c r="AB823" s="460">
        <v>44145</v>
      </c>
      <c r="AC823" s="460">
        <v>45970</v>
      </c>
      <c r="AD823" s="139">
        <v>9642437952</v>
      </c>
      <c r="AE823" s="467" t="s">
        <v>8249</v>
      </c>
      <c r="AF823" s="139" t="s">
        <v>1690</v>
      </c>
      <c r="AG823" s="463">
        <v>7813051175</v>
      </c>
      <c r="AH823" s="139" t="s">
        <v>8250</v>
      </c>
      <c r="AI823" s="139" t="s">
        <v>8251</v>
      </c>
      <c r="AJ823" s="475" t="s">
        <v>8252</v>
      </c>
      <c r="AK823" s="140" t="s">
        <v>8253</v>
      </c>
      <c r="AL823" s="206"/>
      <c r="AM823" s="477"/>
      <c r="AN823" s="465"/>
      <c r="AO823" s="140"/>
      <c r="AP823" s="139"/>
      <c r="AQ823" s="139"/>
      <c r="AR823" s="181"/>
      <c r="AS823" s="458"/>
      <c r="AT823" s="458"/>
      <c r="AU823" s="461">
        <v>32974</v>
      </c>
      <c r="AV823" s="181" t="s">
        <v>1389</v>
      </c>
      <c r="AW823" s="31" t="s">
        <v>68</v>
      </c>
      <c r="AX823" s="139">
        <v>8</v>
      </c>
      <c r="AY823" s="58" t="s">
        <v>1881</v>
      </c>
      <c r="AZ823" s="58" t="s">
        <v>1373</v>
      </c>
      <c r="BA823" s="58" t="s">
        <v>151</v>
      </c>
      <c r="BB823" s="58" t="s">
        <v>1407</v>
      </c>
      <c r="BC823" s="58"/>
    </row>
    <row r="824" spans="1:55" x14ac:dyDescent="0.25">
      <c r="A824" s="10">
        <f t="shared" si="35"/>
        <v>823</v>
      </c>
      <c r="B824" s="181"/>
      <c r="C824" s="592" t="s">
        <v>1407</v>
      </c>
      <c r="D824" s="96">
        <v>400609</v>
      </c>
      <c r="E824" s="181"/>
      <c r="F824" s="97" t="s">
        <v>8254</v>
      </c>
      <c r="G824" s="462"/>
      <c r="H824" s="458"/>
      <c r="I824" s="458"/>
      <c r="J824" s="458"/>
      <c r="K824" s="58"/>
      <c r="L824" s="97"/>
      <c r="M824" s="97" t="s">
        <v>30</v>
      </c>
      <c r="N824" s="58"/>
      <c r="O824" s="58"/>
      <c r="P824" s="460"/>
      <c r="Q824" s="460"/>
      <c r="R824" s="460"/>
      <c r="S824" s="461"/>
      <c r="T824" s="139"/>
      <c r="U824" s="139"/>
      <c r="V824" s="139"/>
      <c r="W824" s="462"/>
      <c r="X824" s="139"/>
      <c r="Y824" s="462"/>
      <c r="Z824" s="140"/>
      <c r="AA824" s="465"/>
      <c r="AB824" s="460"/>
      <c r="AC824" s="139"/>
      <c r="AD824" s="139"/>
      <c r="AE824" s="140"/>
      <c r="AF824" s="486"/>
      <c r="AG824" s="139"/>
      <c r="AH824" s="139"/>
      <c r="AI824" s="464"/>
      <c r="AJ824" s="139"/>
      <c r="AK824" s="140"/>
      <c r="AL824" s="206"/>
      <c r="AM824" s="477"/>
      <c r="AN824" s="140"/>
      <c r="AO824" s="140"/>
      <c r="AP824" s="462"/>
      <c r="AQ824" s="58"/>
      <c r="AR824" s="489"/>
      <c r="AS824" s="458"/>
      <c r="AT824" s="181"/>
      <c r="AU824" s="181"/>
      <c r="AV824" s="461"/>
      <c r="AW824" s="181"/>
      <c r="AX824" s="139"/>
      <c r="AY824" s="58"/>
      <c r="AZ824" s="58"/>
      <c r="BA824" s="58" t="s">
        <v>151</v>
      </c>
      <c r="BB824" s="58" t="s">
        <v>1407</v>
      </c>
      <c r="BC824" s="58"/>
    </row>
    <row r="825" spans="1:55" x14ac:dyDescent="0.25">
      <c r="A825" s="10">
        <f t="shared" si="35"/>
        <v>824</v>
      </c>
      <c r="B825" s="181" t="s">
        <v>8255</v>
      </c>
      <c r="C825" s="592" t="s">
        <v>1407</v>
      </c>
      <c r="D825" s="457">
        <v>400653</v>
      </c>
      <c r="E825" s="181" t="s">
        <v>36</v>
      </c>
      <c r="F825" s="97" t="s">
        <v>8256</v>
      </c>
      <c r="G825" s="139">
        <v>6</v>
      </c>
      <c r="H825" s="469" t="s">
        <v>235</v>
      </c>
      <c r="I825" s="469" t="s">
        <v>978</v>
      </c>
      <c r="J825" s="458">
        <v>0.33333333333333331</v>
      </c>
      <c r="K825" s="100" t="s">
        <v>348</v>
      </c>
      <c r="L825" s="97" t="s">
        <v>1424</v>
      </c>
      <c r="M825" s="63" t="s">
        <v>1355</v>
      </c>
      <c r="N825" s="100" t="s">
        <v>1520</v>
      </c>
      <c r="O825" s="58" t="s">
        <v>6947</v>
      </c>
      <c r="P825" s="206">
        <v>45017</v>
      </c>
      <c r="Q825" s="206">
        <v>45017</v>
      </c>
      <c r="R825" s="206">
        <v>45747</v>
      </c>
      <c r="S825" s="461">
        <v>45748</v>
      </c>
      <c r="T825" s="139">
        <v>2018</v>
      </c>
      <c r="U825" s="181" t="s">
        <v>8257</v>
      </c>
      <c r="V825" s="139">
        <v>2022</v>
      </c>
      <c r="W825" s="140" t="s">
        <v>2564</v>
      </c>
      <c r="X825" s="181" t="s">
        <v>30</v>
      </c>
      <c r="Y825" s="58" t="s">
        <v>1611</v>
      </c>
      <c r="Z825" s="140" t="s">
        <v>8258</v>
      </c>
      <c r="AA825" s="97" t="s">
        <v>1841</v>
      </c>
      <c r="AB825" s="471">
        <v>43727</v>
      </c>
      <c r="AC825" s="471">
        <v>45554</v>
      </c>
      <c r="AD825" s="472">
        <v>9949447271</v>
      </c>
      <c r="AE825" s="473" t="s">
        <v>8259</v>
      </c>
      <c r="AF825" s="97" t="s">
        <v>1364</v>
      </c>
      <c r="AG825" s="482" t="s">
        <v>8260</v>
      </c>
      <c r="AH825" s="181" t="s">
        <v>8261</v>
      </c>
      <c r="AI825" s="139" t="s">
        <v>8262</v>
      </c>
      <c r="AJ825" s="464">
        <v>310978467099</v>
      </c>
      <c r="AK825" s="97"/>
      <c r="AL825" s="206">
        <v>45515</v>
      </c>
      <c r="AM825" s="477">
        <v>45536</v>
      </c>
      <c r="AN825" s="465" t="s">
        <v>3793</v>
      </c>
      <c r="AO825" s="97"/>
      <c r="AP825" s="58"/>
      <c r="AQ825" s="486"/>
      <c r="AR825" s="462"/>
      <c r="AS825" s="479">
        <v>0.33333333333333331</v>
      </c>
      <c r="AT825" s="479">
        <v>0.66666666666666663</v>
      </c>
      <c r="AU825" s="461" t="s">
        <v>8263</v>
      </c>
      <c r="AV825" s="181" t="s">
        <v>1389</v>
      </c>
      <c r="AW825" s="31" t="s">
        <v>68</v>
      </c>
      <c r="AX825" s="139">
        <v>8</v>
      </c>
      <c r="AY825" s="58" t="s">
        <v>2053</v>
      </c>
      <c r="AZ825" s="58" t="s">
        <v>1373</v>
      </c>
      <c r="BA825" s="58" t="s">
        <v>151</v>
      </c>
      <c r="BB825" s="58" t="s">
        <v>1407</v>
      </c>
      <c r="BC825" s="58"/>
    </row>
    <row r="826" spans="1:55" x14ac:dyDescent="0.25">
      <c r="A826" s="10">
        <f t="shared" si="35"/>
        <v>825</v>
      </c>
      <c r="B826" s="181" t="s">
        <v>5894</v>
      </c>
      <c r="C826" s="592" t="s">
        <v>1407</v>
      </c>
      <c r="D826" s="457">
        <v>400612</v>
      </c>
      <c r="E826" s="181" t="s">
        <v>36</v>
      </c>
      <c r="F826" s="97" t="s">
        <v>5840</v>
      </c>
      <c r="G826" s="139">
        <v>6</v>
      </c>
      <c r="H826" s="458">
        <v>0.375</v>
      </c>
      <c r="I826" s="458">
        <v>0.625</v>
      </c>
      <c r="J826" s="458">
        <f>I826-H826</f>
        <v>0.25</v>
      </c>
      <c r="K826" s="58" t="s">
        <v>826</v>
      </c>
      <c r="L826" s="97" t="s">
        <v>8264</v>
      </c>
      <c r="M826" s="97" t="s">
        <v>26</v>
      </c>
      <c r="N826" s="58" t="s">
        <v>38</v>
      </c>
      <c r="O826" s="58" t="s">
        <v>5076</v>
      </c>
      <c r="P826" s="206">
        <v>44921</v>
      </c>
      <c r="Q826" s="460">
        <v>44921</v>
      </c>
      <c r="R826" s="460">
        <v>45651</v>
      </c>
      <c r="S826" s="461">
        <v>45652</v>
      </c>
      <c r="T826" s="139">
        <v>2007</v>
      </c>
      <c r="U826" s="139" t="s">
        <v>8265</v>
      </c>
      <c r="V826" s="139">
        <v>2019</v>
      </c>
      <c r="W826" s="139" t="s">
        <v>8266</v>
      </c>
      <c r="X826" s="139" t="s">
        <v>30</v>
      </c>
      <c r="Y826" s="462" t="s">
        <v>1611</v>
      </c>
      <c r="Z826" s="140" t="s">
        <v>5898</v>
      </c>
      <c r="AA826" s="140" t="s">
        <v>2910</v>
      </c>
      <c r="AB826" s="460">
        <v>44187</v>
      </c>
      <c r="AC826" s="460">
        <v>46012</v>
      </c>
      <c r="AD826" s="139">
        <v>8531975440</v>
      </c>
      <c r="AE826" s="467" t="s">
        <v>8267</v>
      </c>
      <c r="AF826" s="139" t="s">
        <v>7282</v>
      </c>
      <c r="AG826" s="463">
        <v>653000000000</v>
      </c>
      <c r="AH826" s="139" t="s">
        <v>5901</v>
      </c>
      <c r="AI826" s="139" t="s">
        <v>5902</v>
      </c>
      <c r="AJ826" s="464" t="s">
        <v>8268</v>
      </c>
      <c r="AK826" s="140" t="s">
        <v>5903</v>
      </c>
      <c r="AL826" s="461"/>
      <c r="AM826" s="477"/>
      <c r="AN826" s="465"/>
      <c r="AO826" s="140"/>
      <c r="AP826" s="139"/>
      <c r="AQ826" s="139"/>
      <c r="AR826" s="181"/>
      <c r="AS826" s="458"/>
      <c r="AT826" s="458"/>
      <c r="AU826" s="461">
        <v>29969</v>
      </c>
      <c r="AV826" s="181" t="s">
        <v>1389</v>
      </c>
      <c r="AW826" s="31" t="s">
        <v>32</v>
      </c>
      <c r="AX826" s="139">
        <v>6</v>
      </c>
      <c r="AY826" s="58" t="s">
        <v>2251</v>
      </c>
      <c r="AZ826" s="58" t="s">
        <v>26</v>
      </c>
      <c r="BA826" s="58" t="s">
        <v>151</v>
      </c>
      <c r="BB826" s="58" t="s">
        <v>1407</v>
      </c>
      <c r="BC826" s="58"/>
    </row>
    <row r="827" spans="1:55" x14ac:dyDescent="0.25">
      <c r="A827" s="10">
        <f t="shared" si="35"/>
        <v>826</v>
      </c>
      <c r="B827" s="181" t="s">
        <v>8269</v>
      </c>
      <c r="C827" s="592" t="s">
        <v>1407</v>
      </c>
      <c r="D827" s="457">
        <v>400615</v>
      </c>
      <c r="E827" s="181" t="s">
        <v>36</v>
      </c>
      <c r="F827" s="97" t="s">
        <v>8270</v>
      </c>
      <c r="G827" s="139">
        <v>6</v>
      </c>
      <c r="H827" s="458">
        <v>0.375</v>
      </c>
      <c r="I827" s="458">
        <v>0.70833333333333337</v>
      </c>
      <c r="J827" s="458">
        <f>I827-H827</f>
        <v>0.33333333333333337</v>
      </c>
      <c r="K827" s="143" t="s">
        <v>513</v>
      </c>
      <c r="L827" s="97" t="s">
        <v>8271</v>
      </c>
      <c r="M827" s="97" t="s">
        <v>26</v>
      </c>
      <c r="N827" s="58" t="s">
        <v>38</v>
      </c>
      <c r="O827" s="58" t="s">
        <v>5076</v>
      </c>
      <c r="P827" s="206">
        <v>44930</v>
      </c>
      <c r="Q827" s="460">
        <v>44930</v>
      </c>
      <c r="R827" s="460">
        <v>45660</v>
      </c>
      <c r="S827" s="461">
        <v>45661</v>
      </c>
      <c r="T827" s="139">
        <v>2012</v>
      </c>
      <c r="U827" s="139" t="s">
        <v>8272</v>
      </c>
      <c r="V827" s="139">
        <v>2018</v>
      </c>
      <c r="W827" s="139" t="s">
        <v>8273</v>
      </c>
      <c r="X827" s="139" t="s">
        <v>30</v>
      </c>
      <c r="Y827" s="462" t="s">
        <v>5066</v>
      </c>
      <c r="Z827" s="140" t="s">
        <v>8274</v>
      </c>
      <c r="AA827" s="140" t="s">
        <v>1841</v>
      </c>
      <c r="AB827" s="460">
        <v>43288</v>
      </c>
      <c r="AC827" s="460">
        <v>45113</v>
      </c>
      <c r="AD827" s="139">
        <v>8142070075</v>
      </c>
      <c r="AE827" s="467" t="s">
        <v>8275</v>
      </c>
      <c r="AF827" s="139" t="s">
        <v>1495</v>
      </c>
      <c r="AG827" s="463">
        <v>20205631560</v>
      </c>
      <c r="AH827" s="139" t="s">
        <v>2083</v>
      </c>
      <c r="AI827" s="139" t="s">
        <v>8276</v>
      </c>
      <c r="AJ827" s="464">
        <v>580250620145</v>
      </c>
      <c r="AK827" s="140" t="s">
        <v>8277</v>
      </c>
      <c r="AL827" s="461"/>
      <c r="AM827" s="477"/>
      <c r="AN827" s="465"/>
      <c r="AO827" s="140"/>
      <c r="AP827" s="139"/>
      <c r="AQ827" s="139"/>
      <c r="AR827" s="181"/>
      <c r="AS827" s="458"/>
      <c r="AT827" s="458"/>
      <c r="AU827" s="461">
        <v>32673</v>
      </c>
      <c r="AV827" s="181" t="s">
        <v>1389</v>
      </c>
      <c r="AW827" s="31" t="s">
        <v>68</v>
      </c>
      <c r="AX827" s="139">
        <v>8</v>
      </c>
      <c r="AY827" s="58" t="s">
        <v>1959</v>
      </c>
      <c r="AZ827" s="58" t="s">
        <v>26</v>
      </c>
      <c r="BA827" s="58" t="s">
        <v>151</v>
      </c>
      <c r="BB827" s="58" t="s">
        <v>1407</v>
      </c>
      <c r="BC827" s="58"/>
    </row>
    <row r="828" spans="1:55" x14ac:dyDescent="0.25">
      <c r="A828" s="10">
        <f t="shared" si="35"/>
        <v>827</v>
      </c>
      <c r="B828" s="181"/>
      <c r="C828" s="592" t="s">
        <v>1407</v>
      </c>
      <c r="D828" s="457">
        <v>400616</v>
      </c>
      <c r="E828" s="181" t="s">
        <v>36</v>
      </c>
      <c r="F828" s="97" t="s">
        <v>8278</v>
      </c>
      <c r="G828" s="139">
        <v>6</v>
      </c>
      <c r="H828" s="458">
        <v>0.375</v>
      </c>
      <c r="I828" s="458">
        <v>0.41666666666666669</v>
      </c>
      <c r="J828" s="458">
        <v>4.1666666666666664E-2</v>
      </c>
      <c r="K828" s="35" t="s">
        <v>983</v>
      </c>
      <c r="L828" s="97" t="s">
        <v>1376</v>
      </c>
      <c r="M828" s="97" t="s">
        <v>1376</v>
      </c>
      <c r="N828" s="58" t="s">
        <v>1393</v>
      </c>
      <c r="O828" s="58" t="s">
        <v>3290</v>
      </c>
      <c r="P828" s="206">
        <v>44930</v>
      </c>
      <c r="Q828" s="460">
        <v>44930</v>
      </c>
      <c r="R828" s="460">
        <v>45660</v>
      </c>
      <c r="S828" s="461">
        <v>45661</v>
      </c>
      <c r="T828" s="139">
        <v>2021</v>
      </c>
      <c r="U828" s="139" t="s">
        <v>8279</v>
      </c>
      <c r="V828" s="139" t="s">
        <v>30</v>
      </c>
      <c r="W828" s="139" t="s">
        <v>30</v>
      </c>
      <c r="X828" s="139" t="s">
        <v>30</v>
      </c>
      <c r="Y828" s="462" t="s">
        <v>226</v>
      </c>
      <c r="Z828" s="140" t="s">
        <v>8280</v>
      </c>
      <c r="AA828" s="140" t="s">
        <v>1841</v>
      </c>
      <c r="AB828" s="460">
        <v>44837</v>
      </c>
      <c r="AC828" s="460">
        <v>46662</v>
      </c>
      <c r="AD828" s="139">
        <v>9177441500</v>
      </c>
      <c r="AE828" s="467" t="s">
        <v>8281</v>
      </c>
      <c r="AF828" s="139" t="s">
        <v>8282</v>
      </c>
      <c r="AG828" s="463">
        <v>5923101000319</v>
      </c>
      <c r="AH828" s="139" t="s">
        <v>8283</v>
      </c>
      <c r="AI828" s="139" t="s">
        <v>8284</v>
      </c>
      <c r="AJ828" s="464">
        <v>622663275032</v>
      </c>
      <c r="AK828" s="140" t="s">
        <v>8285</v>
      </c>
      <c r="AL828" s="206"/>
      <c r="AM828" s="477"/>
      <c r="AN828" s="465"/>
      <c r="AO828" s="140"/>
      <c r="AP828" s="139"/>
      <c r="AQ828" s="139"/>
      <c r="AR828" s="181"/>
      <c r="AS828" s="458"/>
      <c r="AT828" s="458"/>
      <c r="AU828" s="461">
        <v>35767</v>
      </c>
      <c r="AV828" s="181" t="s">
        <v>1352</v>
      </c>
      <c r="AW828" s="31" t="s">
        <v>32</v>
      </c>
      <c r="AX828" s="139">
        <v>1</v>
      </c>
      <c r="AY828" s="58" t="s">
        <v>2006</v>
      </c>
      <c r="AZ828" s="58" t="s">
        <v>1390</v>
      </c>
      <c r="BA828" s="58" t="s">
        <v>151</v>
      </c>
      <c r="BB828" s="58" t="s">
        <v>1407</v>
      </c>
      <c r="BC828" s="58"/>
    </row>
    <row r="829" spans="1:55" x14ac:dyDescent="0.25">
      <c r="A829" s="10">
        <f t="shared" si="35"/>
        <v>828</v>
      </c>
      <c r="B829" s="181" t="s">
        <v>2905</v>
      </c>
      <c r="C829" s="592" t="s">
        <v>1407</v>
      </c>
      <c r="D829" s="457">
        <v>400617</v>
      </c>
      <c r="E829" s="181" t="s">
        <v>36</v>
      </c>
      <c r="F829" s="97" t="s">
        <v>2906</v>
      </c>
      <c r="G829" s="139">
        <v>6</v>
      </c>
      <c r="H829" s="458">
        <v>0.33333333333333331</v>
      </c>
      <c r="I829" s="458">
        <v>0.875</v>
      </c>
      <c r="J829" s="458">
        <v>0.33333333333333331</v>
      </c>
      <c r="K829" s="58" t="s">
        <v>826</v>
      </c>
      <c r="L829" s="97" t="s">
        <v>2015</v>
      </c>
      <c r="M829" s="63" t="s">
        <v>1355</v>
      </c>
      <c r="N829" s="100" t="s">
        <v>1520</v>
      </c>
      <c r="O829" s="58" t="s">
        <v>5168</v>
      </c>
      <c r="P829" s="206">
        <v>44932</v>
      </c>
      <c r="Q829" s="460">
        <v>44932</v>
      </c>
      <c r="R829" s="460">
        <v>45662</v>
      </c>
      <c r="S829" s="461">
        <v>45663</v>
      </c>
      <c r="T829" s="139">
        <v>2001</v>
      </c>
      <c r="U829" s="139" t="s">
        <v>8286</v>
      </c>
      <c r="V829" s="139">
        <v>2020</v>
      </c>
      <c r="W829" s="139" t="s">
        <v>8286</v>
      </c>
      <c r="X829" s="139" t="s">
        <v>30</v>
      </c>
      <c r="Y829" s="462" t="s">
        <v>5066</v>
      </c>
      <c r="Z829" s="140">
        <v>17349</v>
      </c>
      <c r="AA829" s="140" t="s">
        <v>8287</v>
      </c>
      <c r="AB829" s="460">
        <v>44186</v>
      </c>
      <c r="AC829" s="460">
        <v>46011</v>
      </c>
      <c r="AD829" s="139">
        <v>9650180810</v>
      </c>
      <c r="AE829" s="467" t="s">
        <v>2911</v>
      </c>
      <c r="AF829" s="139" t="s">
        <v>5484</v>
      </c>
      <c r="AG829" s="463" t="s">
        <v>7443</v>
      </c>
      <c r="AH829" s="139" t="s">
        <v>7444</v>
      </c>
      <c r="AI829" s="139" t="s">
        <v>2914</v>
      </c>
      <c r="AJ829" s="464">
        <v>204515481975</v>
      </c>
      <c r="AK829" s="140" t="s">
        <v>7445</v>
      </c>
      <c r="AL829" s="206"/>
      <c r="AM829" s="477"/>
      <c r="AN829" s="465"/>
      <c r="AO829" s="140"/>
      <c r="AP829" s="139"/>
      <c r="AQ829" s="139"/>
      <c r="AR829" s="181"/>
      <c r="AS829" s="458"/>
      <c r="AT829" s="458"/>
      <c r="AU829" s="461">
        <v>28371</v>
      </c>
      <c r="AV829" s="181" t="s">
        <v>1352</v>
      </c>
      <c r="AW829" s="31" t="s">
        <v>68</v>
      </c>
      <c r="AX829" s="139">
        <v>8</v>
      </c>
      <c r="AY829" s="58" t="s">
        <v>2251</v>
      </c>
      <c r="AZ829" s="58" t="s">
        <v>1373</v>
      </c>
      <c r="BA829" s="58" t="s">
        <v>151</v>
      </c>
      <c r="BB829" s="58" t="s">
        <v>1407</v>
      </c>
      <c r="BC829" s="58"/>
    </row>
    <row r="830" spans="1:55" x14ac:dyDescent="0.25">
      <c r="A830" s="10">
        <f t="shared" si="35"/>
        <v>829</v>
      </c>
      <c r="B830" s="181" t="s">
        <v>8288</v>
      </c>
      <c r="C830" s="592" t="s">
        <v>1407</v>
      </c>
      <c r="D830" s="457">
        <v>400619</v>
      </c>
      <c r="E830" s="181" t="s">
        <v>36</v>
      </c>
      <c r="F830" s="97" t="s">
        <v>8289</v>
      </c>
      <c r="G830" s="139">
        <v>6</v>
      </c>
      <c r="H830" s="458">
        <v>0.33333333333333331</v>
      </c>
      <c r="I830" s="458">
        <v>0.41666666666666669</v>
      </c>
      <c r="J830" s="458">
        <f>I830-H830</f>
        <v>8.333333333333337E-2</v>
      </c>
      <c r="K830" s="143" t="s">
        <v>187</v>
      </c>
      <c r="L830" s="97" t="s">
        <v>1376</v>
      </c>
      <c r="M830" s="97" t="s">
        <v>1376</v>
      </c>
      <c r="N830" s="58" t="s">
        <v>1393</v>
      </c>
      <c r="O830" s="58" t="s">
        <v>3290</v>
      </c>
      <c r="P830" s="206">
        <v>44932</v>
      </c>
      <c r="Q830" s="460">
        <v>44932</v>
      </c>
      <c r="R830" s="460">
        <v>45662</v>
      </c>
      <c r="S830" s="461">
        <v>45663</v>
      </c>
      <c r="T830" s="139">
        <v>2018</v>
      </c>
      <c r="U830" s="139" t="s">
        <v>8290</v>
      </c>
      <c r="V830" s="139" t="s">
        <v>8291</v>
      </c>
      <c r="W830" s="139" t="s">
        <v>8291</v>
      </c>
      <c r="X830" s="139" t="s">
        <v>30</v>
      </c>
      <c r="Y830" s="462" t="s">
        <v>226</v>
      </c>
      <c r="Z830" s="140" t="s">
        <v>8292</v>
      </c>
      <c r="AA830" s="140" t="s">
        <v>1841</v>
      </c>
      <c r="AB830" s="460">
        <v>44251</v>
      </c>
      <c r="AC830" s="460">
        <v>44251</v>
      </c>
      <c r="AD830" s="139">
        <v>9381377371</v>
      </c>
      <c r="AE830" s="467" t="s">
        <v>8293</v>
      </c>
      <c r="AF830" s="139" t="s">
        <v>1430</v>
      </c>
      <c r="AG830" s="463" t="s">
        <v>8294</v>
      </c>
      <c r="AH830" s="139" t="s">
        <v>2490</v>
      </c>
      <c r="AI830" s="139" t="s">
        <v>8295</v>
      </c>
      <c r="AJ830" s="464">
        <v>807680055246</v>
      </c>
      <c r="AK830" s="140" t="s">
        <v>8296</v>
      </c>
      <c r="AL830" s="206">
        <v>45112</v>
      </c>
      <c r="AM830" s="477"/>
      <c r="AN830" s="465"/>
      <c r="AO830" s="140"/>
      <c r="AP830" s="139"/>
      <c r="AQ830" s="139" t="e">
        <v>#N/A</v>
      </c>
      <c r="AR830" s="181"/>
      <c r="AS830" s="458"/>
      <c r="AT830" s="458"/>
      <c r="AU830" s="461">
        <v>34218</v>
      </c>
      <c r="AV830" s="181" t="s">
        <v>1352</v>
      </c>
      <c r="AW830" s="31" t="s">
        <v>32</v>
      </c>
      <c r="AX830" s="139">
        <v>2</v>
      </c>
      <c r="AY830" s="58" t="s">
        <v>1959</v>
      </c>
      <c r="AZ830" s="58" t="s">
        <v>1390</v>
      </c>
      <c r="BA830" s="58" t="s">
        <v>151</v>
      </c>
      <c r="BB830" s="58" t="s">
        <v>1407</v>
      </c>
      <c r="BC830" s="58"/>
    </row>
    <row r="831" spans="1:55" x14ac:dyDescent="0.25">
      <c r="A831" s="10">
        <f t="shared" si="35"/>
        <v>830</v>
      </c>
      <c r="B831" s="181" t="s">
        <v>8297</v>
      </c>
      <c r="C831" s="592" t="s">
        <v>1407</v>
      </c>
      <c r="D831" s="457">
        <v>400528</v>
      </c>
      <c r="E831" s="181" t="s">
        <v>36</v>
      </c>
      <c r="F831" s="97" t="s">
        <v>8298</v>
      </c>
      <c r="G831" s="139">
        <v>6</v>
      </c>
      <c r="H831" s="469" t="s">
        <v>235</v>
      </c>
      <c r="I831" s="469" t="s">
        <v>978</v>
      </c>
      <c r="J831" s="458">
        <v>0.33333333333333331</v>
      </c>
      <c r="K831" s="58" t="s">
        <v>147</v>
      </c>
      <c r="L831" s="97" t="s">
        <v>30</v>
      </c>
      <c r="M831" s="97" t="s">
        <v>8299</v>
      </c>
      <c r="N831" s="58" t="s">
        <v>8300</v>
      </c>
      <c r="O831" s="58" t="s">
        <v>6947</v>
      </c>
      <c r="P831" s="206">
        <v>44774</v>
      </c>
      <c r="Q831" s="206">
        <v>44774</v>
      </c>
      <c r="R831" s="206">
        <v>45504</v>
      </c>
      <c r="S831" s="461">
        <v>45505</v>
      </c>
      <c r="T831" s="139">
        <v>2015</v>
      </c>
      <c r="U831" s="181" t="s">
        <v>8301</v>
      </c>
      <c r="V831" s="139">
        <v>2018</v>
      </c>
      <c r="W831" s="140" t="s">
        <v>8302</v>
      </c>
      <c r="X831" s="181" t="s">
        <v>30</v>
      </c>
      <c r="Y831" s="58" t="s">
        <v>1611</v>
      </c>
      <c r="Z831" s="140">
        <v>107995</v>
      </c>
      <c r="AA831" s="97" t="s">
        <v>3344</v>
      </c>
      <c r="AB831" s="471">
        <v>45518</v>
      </c>
      <c r="AC831" s="471">
        <v>45507</v>
      </c>
      <c r="AD831" s="472">
        <v>9884165591</v>
      </c>
      <c r="AE831" s="473" t="s">
        <v>8303</v>
      </c>
      <c r="AF831" s="97" t="s">
        <v>1364</v>
      </c>
      <c r="AG831" s="482" t="s">
        <v>8304</v>
      </c>
      <c r="AH831" s="181" t="s">
        <v>8305</v>
      </c>
      <c r="AI831" s="139" t="s">
        <v>8306</v>
      </c>
      <c r="AJ831" s="464" t="s">
        <v>8307</v>
      </c>
      <c r="AK831" s="97" t="s">
        <v>8308</v>
      </c>
      <c r="AL831" s="206">
        <v>45518</v>
      </c>
      <c r="AM831" s="477">
        <v>45510</v>
      </c>
      <c r="AN831" s="465" t="s">
        <v>8309</v>
      </c>
      <c r="AO831" s="97"/>
      <c r="AP831" s="58"/>
      <c r="AQ831" s="486"/>
      <c r="AR831" s="462"/>
      <c r="AS831" s="479">
        <v>0.33333333333333331</v>
      </c>
      <c r="AT831" s="479">
        <v>0.66666666666666663</v>
      </c>
      <c r="AU831" s="461">
        <v>33249</v>
      </c>
      <c r="AV831" s="181" t="s">
        <v>1389</v>
      </c>
      <c r="AW831" s="31" t="s">
        <v>68</v>
      </c>
      <c r="AX831" s="139">
        <v>8</v>
      </c>
      <c r="AY831" s="58" t="s">
        <v>1849</v>
      </c>
      <c r="AZ831" s="58" t="s">
        <v>1373</v>
      </c>
      <c r="BA831" s="58" t="s">
        <v>151</v>
      </c>
      <c r="BB831" s="58" t="s">
        <v>1407</v>
      </c>
      <c r="BC831" s="58"/>
    </row>
    <row r="832" spans="1:55" x14ac:dyDescent="0.25">
      <c r="A832" s="10">
        <f t="shared" si="35"/>
        <v>831</v>
      </c>
      <c r="B832" s="181" t="s">
        <v>543</v>
      </c>
      <c r="C832" s="592" t="s">
        <v>1407</v>
      </c>
      <c r="D832" s="457">
        <v>400622</v>
      </c>
      <c r="E832" s="181"/>
      <c r="F832" s="97" t="s">
        <v>8310</v>
      </c>
      <c r="G832" s="87">
        <v>6</v>
      </c>
      <c r="H832" s="504" t="s">
        <v>5089</v>
      </c>
      <c r="I832" s="504" t="s">
        <v>7654</v>
      </c>
      <c r="J832" s="458">
        <f>I832-H832</f>
        <v>0.10416666666666663</v>
      </c>
      <c r="K832" s="128" t="s">
        <v>7026</v>
      </c>
      <c r="L832" s="39" t="s">
        <v>545</v>
      </c>
      <c r="M832" s="39" t="s">
        <v>26</v>
      </c>
      <c r="N832" s="43" t="s">
        <v>38</v>
      </c>
      <c r="O832" s="128" t="s">
        <v>5076</v>
      </c>
      <c r="P832" s="183">
        <v>44935</v>
      </c>
      <c r="Q832" s="505">
        <v>44935</v>
      </c>
      <c r="R832" s="505">
        <v>45665</v>
      </c>
      <c r="S832" s="506">
        <v>45666</v>
      </c>
      <c r="T832" s="87">
        <v>2012</v>
      </c>
      <c r="U832" s="39" t="s">
        <v>380</v>
      </c>
      <c r="V832" s="87">
        <v>2020</v>
      </c>
      <c r="W832" s="86" t="s">
        <v>546</v>
      </c>
      <c r="X832" s="40" t="s">
        <v>30</v>
      </c>
      <c r="Y832" s="100" t="s">
        <v>49</v>
      </c>
      <c r="Z832" s="86" t="s">
        <v>2920</v>
      </c>
      <c r="AA832" s="39" t="s">
        <v>1841</v>
      </c>
      <c r="AB832" s="507">
        <v>44026</v>
      </c>
      <c r="AC832" s="507">
        <v>45851</v>
      </c>
      <c r="AD832" s="472">
        <v>9441500794</v>
      </c>
      <c r="AE832" s="473" t="s">
        <v>547</v>
      </c>
      <c r="AF832" s="39" t="s">
        <v>1364</v>
      </c>
      <c r="AG832" s="508" t="s">
        <v>2921</v>
      </c>
      <c r="AH832" s="40" t="s">
        <v>2350</v>
      </c>
      <c r="AI832" s="87" t="s">
        <v>2922</v>
      </c>
      <c r="AJ832" s="44">
        <v>839800974296</v>
      </c>
      <c r="AK832" s="39" t="s">
        <v>2924</v>
      </c>
      <c r="AL832" s="182"/>
      <c r="AM832" s="477"/>
      <c r="AN832" s="509"/>
      <c r="AO832" s="509"/>
      <c r="AP832" s="509"/>
      <c r="AQ832" s="509"/>
      <c r="AR832" s="509"/>
      <c r="AS832" s="181"/>
      <c r="AT832" s="181"/>
      <c r="AU832" s="265">
        <v>32366</v>
      </c>
      <c r="AV832" s="39" t="s">
        <v>1352</v>
      </c>
      <c r="AW832" s="31" t="s">
        <v>32</v>
      </c>
      <c r="AX832" s="139">
        <v>2.5</v>
      </c>
      <c r="AY832" s="58" t="s">
        <v>1881</v>
      </c>
      <c r="AZ832" s="58" t="s">
        <v>26</v>
      </c>
      <c r="BA832" s="58" t="s">
        <v>151</v>
      </c>
      <c r="BB832" s="58" t="s">
        <v>1407</v>
      </c>
      <c r="BC832" s="58"/>
    </row>
    <row r="833" spans="1:55" x14ac:dyDescent="0.25">
      <c r="A833" s="10">
        <f t="shared" si="35"/>
        <v>832</v>
      </c>
      <c r="B833" s="181" t="s">
        <v>8311</v>
      </c>
      <c r="C833" s="592" t="s">
        <v>1407</v>
      </c>
      <c r="D833" s="457">
        <v>400623</v>
      </c>
      <c r="E833" s="181" t="s">
        <v>36</v>
      </c>
      <c r="F833" s="97" t="s">
        <v>8312</v>
      </c>
      <c r="G833" s="139">
        <v>6</v>
      </c>
      <c r="H833" s="458">
        <v>0.36458333333333331</v>
      </c>
      <c r="I833" s="458">
        <v>0.44791666666666669</v>
      </c>
      <c r="J833" s="458">
        <f>I833-H833</f>
        <v>8.333333333333337E-2</v>
      </c>
      <c r="K833" s="58" t="s">
        <v>341</v>
      </c>
      <c r="L833" s="97" t="s">
        <v>1376</v>
      </c>
      <c r="M833" s="97" t="s">
        <v>1376</v>
      </c>
      <c r="N833" s="58" t="s">
        <v>1393</v>
      </c>
      <c r="O833" s="58" t="s">
        <v>3290</v>
      </c>
      <c r="P833" s="206">
        <v>44935</v>
      </c>
      <c r="Q833" s="460">
        <v>44935</v>
      </c>
      <c r="R833" s="460">
        <v>45665</v>
      </c>
      <c r="S833" s="461">
        <v>45666</v>
      </c>
      <c r="T833" s="139">
        <v>2018</v>
      </c>
      <c r="U833" s="139" t="s">
        <v>8313</v>
      </c>
      <c r="V833" s="139" t="s">
        <v>8291</v>
      </c>
      <c r="W833" s="139" t="s">
        <v>8291</v>
      </c>
      <c r="X833" s="139" t="s">
        <v>30</v>
      </c>
      <c r="Y833" s="462" t="s">
        <v>226</v>
      </c>
      <c r="Z833" s="140" t="s">
        <v>8314</v>
      </c>
      <c r="AA833" s="140" t="s">
        <v>1841</v>
      </c>
      <c r="AB833" s="460">
        <v>43539</v>
      </c>
      <c r="AC833" s="460">
        <v>45366</v>
      </c>
      <c r="AD833" s="139">
        <v>8121141101</v>
      </c>
      <c r="AE833" s="467" t="s">
        <v>8315</v>
      </c>
      <c r="AF833" s="139" t="s">
        <v>8316</v>
      </c>
      <c r="AG833" s="463" t="s">
        <v>8317</v>
      </c>
      <c r="AH833" s="139" t="s">
        <v>8318</v>
      </c>
      <c r="AI833" s="139" t="s">
        <v>8319</v>
      </c>
      <c r="AJ833" s="464">
        <v>845181250599</v>
      </c>
      <c r="AK833" s="140" t="s">
        <v>8320</v>
      </c>
      <c r="AL833" s="206"/>
      <c r="AM833" s="477"/>
      <c r="AN833" s="465"/>
      <c r="AO833" s="140"/>
      <c r="AP833" s="139"/>
      <c r="AQ833" s="139"/>
      <c r="AR833" s="181"/>
      <c r="AS833" s="458"/>
      <c r="AT833" s="458"/>
      <c r="AU833" s="461">
        <v>34313</v>
      </c>
      <c r="AV833" s="181" t="s">
        <v>1352</v>
      </c>
      <c r="AW833" s="31" t="s">
        <v>32</v>
      </c>
      <c r="AX833" s="139">
        <v>2</v>
      </c>
      <c r="AY833" s="14" t="s">
        <v>1881</v>
      </c>
      <c r="AZ833" s="58" t="s">
        <v>1390</v>
      </c>
      <c r="BA833" s="58" t="s">
        <v>151</v>
      </c>
      <c r="BB833" s="58" t="s">
        <v>1407</v>
      </c>
      <c r="BC833" s="58"/>
    </row>
    <row r="834" spans="1:55" x14ac:dyDescent="0.25">
      <c r="A834" s="10">
        <f t="shared" si="35"/>
        <v>833</v>
      </c>
      <c r="B834" s="181" t="s">
        <v>8099</v>
      </c>
      <c r="C834" s="592" t="s">
        <v>1407</v>
      </c>
      <c r="D834" s="457">
        <v>400624</v>
      </c>
      <c r="E834" s="181" t="s">
        <v>36</v>
      </c>
      <c r="F834" s="97" t="s">
        <v>8100</v>
      </c>
      <c r="G834" s="139">
        <v>6</v>
      </c>
      <c r="H834" s="458">
        <v>0.33333333333333331</v>
      </c>
      <c r="I834" s="458">
        <v>0.66666666666666663</v>
      </c>
      <c r="J834" s="458">
        <f>I834-H834</f>
        <v>0.33333333333333331</v>
      </c>
      <c r="K834" s="58" t="s">
        <v>147</v>
      </c>
      <c r="L834" s="97"/>
      <c r="M834" s="97" t="s">
        <v>26</v>
      </c>
      <c r="N834" s="58" t="s">
        <v>38</v>
      </c>
      <c r="O834" s="58" t="s">
        <v>5076</v>
      </c>
      <c r="P834" s="206">
        <v>44935</v>
      </c>
      <c r="Q834" s="460">
        <v>44935</v>
      </c>
      <c r="R834" s="460">
        <v>45665</v>
      </c>
      <c r="S834" s="461">
        <v>45666</v>
      </c>
      <c r="T834" s="139"/>
      <c r="U834" s="139" t="s">
        <v>7338</v>
      </c>
      <c r="V834" s="139">
        <v>2021</v>
      </c>
      <c r="W834" s="139" t="s">
        <v>8102</v>
      </c>
      <c r="X834" s="139" t="s">
        <v>30</v>
      </c>
      <c r="Y834" s="462" t="s">
        <v>5066</v>
      </c>
      <c r="Z834" s="140" t="s">
        <v>8103</v>
      </c>
      <c r="AA834" s="140" t="s">
        <v>1841</v>
      </c>
      <c r="AB834" s="460">
        <v>44739</v>
      </c>
      <c r="AC834" s="460">
        <v>46199</v>
      </c>
      <c r="AD834" s="488">
        <v>9696968670</v>
      </c>
      <c r="AE834" s="140" t="s">
        <v>8104</v>
      </c>
      <c r="AF834" s="139" t="s">
        <v>5086</v>
      </c>
      <c r="AG834" s="463">
        <v>62391185674</v>
      </c>
      <c r="AH834" s="139" t="s">
        <v>8105</v>
      </c>
      <c r="AI834" s="139" t="s">
        <v>8106</v>
      </c>
      <c r="AJ834" s="464">
        <v>679967224332</v>
      </c>
      <c r="AK834" s="140" t="s">
        <v>8107</v>
      </c>
      <c r="AL834" s="461">
        <v>45124</v>
      </c>
      <c r="AM834" s="477"/>
      <c r="AN834" s="465"/>
      <c r="AO834" s="140"/>
      <c r="AP834" s="139"/>
      <c r="AQ834" s="139"/>
      <c r="AR834" s="58"/>
      <c r="AS834" s="458"/>
      <c r="AT834" s="458"/>
      <c r="AU834" s="461">
        <v>34393</v>
      </c>
      <c r="AV834" s="181" t="s">
        <v>1352</v>
      </c>
      <c r="AW834" s="31" t="s">
        <v>68</v>
      </c>
      <c r="AX834" s="139">
        <v>8</v>
      </c>
      <c r="AY834" s="58" t="s">
        <v>1849</v>
      </c>
      <c r="AZ834" s="58" t="s">
        <v>26</v>
      </c>
      <c r="BA834" s="58" t="s">
        <v>151</v>
      </c>
      <c r="BB834" s="58" t="s">
        <v>1407</v>
      </c>
      <c r="BC834" s="58"/>
    </row>
    <row r="835" spans="1:55" x14ac:dyDescent="0.25">
      <c r="A835" s="10">
        <f t="shared" si="35"/>
        <v>834</v>
      </c>
      <c r="B835" s="181" t="s">
        <v>684</v>
      </c>
      <c r="C835" s="592" t="s">
        <v>1407</v>
      </c>
      <c r="D835" s="457">
        <v>400625</v>
      </c>
      <c r="E835" s="181" t="s">
        <v>36</v>
      </c>
      <c r="F835" s="97" t="s">
        <v>685</v>
      </c>
      <c r="G835" s="139">
        <v>6</v>
      </c>
      <c r="H835" s="469" t="s">
        <v>235</v>
      </c>
      <c r="I835" s="469" t="s">
        <v>7654</v>
      </c>
      <c r="J835" s="458">
        <f>I835-H835</f>
        <v>0.125</v>
      </c>
      <c r="K835" s="58" t="s">
        <v>686</v>
      </c>
      <c r="L835" s="97" t="s">
        <v>687</v>
      </c>
      <c r="M835" s="97" t="s">
        <v>26</v>
      </c>
      <c r="N835" s="58" t="s">
        <v>38</v>
      </c>
      <c r="O835" s="58" t="s">
        <v>5076</v>
      </c>
      <c r="P835" s="206">
        <v>44945</v>
      </c>
      <c r="Q835" s="206">
        <v>44945</v>
      </c>
      <c r="R835" s="206">
        <v>45675</v>
      </c>
      <c r="S835" s="461">
        <v>45676</v>
      </c>
      <c r="T835" s="139">
        <v>2012</v>
      </c>
      <c r="U835" s="181" t="s">
        <v>688</v>
      </c>
      <c r="V835" s="139">
        <v>2016</v>
      </c>
      <c r="W835" s="140" t="s">
        <v>689</v>
      </c>
      <c r="X835" s="181" t="s">
        <v>30</v>
      </c>
      <c r="Y835" s="58" t="s">
        <v>8321</v>
      </c>
      <c r="Z835" s="140" t="s">
        <v>3320</v>
      </c>
      <c r="AA835" s="97" t="s">
        <v>1841</v>
      </c>
      <c r="AB835" s="471">
        <v>43881</v>
      </c>
      <c r="AC835" s="471">
        <v>45707</v>
      </c>
      <c r="AD835" s="472">
        <v>8885840668</v>
      </c>
      <c r="AE835" s="473" t="s">
        <v>690</v>
      </c>
      <c r="AF835" s="97" t="s">
        <v>1364</v>
      </c>
      <c r="AG835" s="482" t="s">
        <v>5325</v>
      </c>
      <c r="AH835" s="181" t="s">
        <v>5326</v>
      </c>
      <c r="AI835" s="139" t="s">
        <v>3323</v>
      </c>
      <c r="AJ835" s="464">
        <v>363250717209</v>
      </c>
      <c r="AK835" s="97" t="s">
        <v>3325</v>
      </c>
      <c r="AL835" s="461">
        <v>45378</v>
      </c>
      <c r="AM835" s="477">
        <v>45378</v>
      </c>
      <c r="AN835" s="465"/>
      <c r="AO835" s="97"/>
      <c r="AP835" s="58"/>
      <c r="AQ835" s="486"/>
      <c r="AR835" s="462"/>
      <c r="AS835" s="479">
        <v>0.33333333333333331</v>
      </c>
      <c r="AT835" s="479">
        <v>0.45833333333333331</v>
      </c>
      <c r="AU835" s="461">
        <v>32558</v>
      </c>
      <c r="AV835" s="181" t="s">
        <v>1352</v>
      </c>
      <c r="AW835" s="31" t="s">
        <v>32</v>
      </c>
      <c r="AX835" s="139">
        <v>3</v>
      </c>
      <c r="AY835" s="58" t="s">
        <v>1904</v>
      </c>
      <c r="AZ835" s="58" t="s">
        <v>26</v>
      </c>
      <c r="BA835" s="58" t="s">
        <v>151</v>
      </c>
      <c r="BB835" s="58" t="s">
        <v>1407</v>
      </c>
      <c r="BC835" s="58"/>
    </row>
    <row r="836" spans="1:55" x14ac:dyDescent="0.25">
      <c r="A836" s="10">
        <f t="shared" ref="A836:A899" si="36">A835+1</f>
        <v>835</v>
      </c>
      <c r="B836" s="181" t="s">
        <v>8322</v>
      </c>
      <c r="C836" s="592" t="s">
        <v>1407</v>
      </c>
      <c r="D836" s="457">
        <v>400840</v>
      </c>
      <c r="E836" s="181" t="s">
        <v>36</v>
      </c>
      <c r="F836" s="97" t="s">
        <v>8323</v>
      </c>
      <c r="G836" s="139">
        <v>6</v>
      </c>
      <c r="H836" s="469" t="s">
        <v>5089</v>
      </c>
      <c r="I836" s="469" t="s">
        <v>146</v>
      </c>
      <c r="J836" s="458">
        <f>I836-H836</f>
        <v>0.33333333333333331</v>
      </c>
      <c r="K836" s="462" t="s">
        <v>532</v>
      </c>
      <c r="L836" s="97" t="s">
        <v>8324</v>
      </c>
      <c r="M836" s="97" t="s">
        <v>26</v>
      </c>
      <c r="N836" s="58" t="s">
        <v>38</v>
      </c>
      <c r="O836" s="58" t="s">
        <v>5063</v>
      </c>
      <c r="P836" s="206">
        <v>45175</v>
      </c>
      <c r="Q836" s="206">
        <v>45175</v>
      </c>
      <c r="R836" s="206">
        <v>45905</v>
      </c>
      <c r="S836" s="461">
        <v>45906</v>
      </c>
      <c r="T836" s="139">
        <v>2019</v>
      </c>
      <c r="U836" s="181" t="s">
        <v>8325</v>
      </c>
      <c r="V836" s="139">
        <v>2023</v>
      </c>
      <c r="W836" s="140" t="s">
        <v>8326</v>
      </c>
      <c r="X836" s="181" t="s">
        <v>30</v>
      </c>
      <c r="Y836" s="58" t="s">
        <v>5066</v>
      </c>
      <c r="Z836" s="140" t="s">
        <v>8327</v>
      </c>
      <c r="AA836" s="97" t="s">
        <v>1841</v>
      </c>
      <c r="AB836" s="471">
        <v>45169</v>
      </c>
      <c r="AC836" s="471">
        <v>46995</v>
      </c>
      <c r="AD836" s="472">
        <v>9676576148</v>
      </c>
      <c r="AE836" s="473" t="s">
        <v>8328</v>
      </c>
      <c r="AF836" s="97" t="s">
        <v>1364</v>
      </c>
      <c r="AG836" s="482" t="s">
        <v>8329</v>
      </c>
      <c r="AH836" s="181" t="s">
        <v>2456</v>
      </c>
      <c r="AI836" s="139" t="s">
        <v>8330</v>
      </c>
      <c r="AJ836" s="464">
        <v>432594120257</v>
      </c>
      <c r="AK836" s="97"/>
      <c r="AL836" s="461">
        <v>45521</v>
      </c>
      <c r="AM836" s="477">
        <v>45478</v>
      </c>
      <c r="AN836" s="465" t="s">
        <v>8331</v>
      </c>
      <c r="AO836" s="140" t="s">
        <v>8332</v>
      </c>
      <c r="AP836" s="58"/>
      <c r="AQ836" s="483" t="s">
        <v>8332</v>
      </c>
      <c r="AR836" s="462"/>
      <c r="AS836" s="479">
        <v>0.35416666666666669</v>
      </c>
      <c r="AT836" s="479">
        <v>0.6875</v>
      </c>
      <c r="AU836" s="461">
        <v>35215</v>
      </c>
      <c r="AV836" s="181" t="s">
        <v>1352</v>
      </c>
      <c r="AW836" s="31" t="s">
        <v>68</v>
      </c>
      <c r="AX836" s="139">
        <v>8</v>
      </c>
      <c r="AY836" s="58" t="s">
        <v>1849</v>
      </c>
      <c r="AZ836" s="58" t="s">
        <v>26</v>
      </c>
      <c r="BA836" s="58" t="s">
        <v>151</v>
      </c>
      <c r="BB836" s="58" t="s">
        <v>1407</v>
      </c>
      <c r="BC836" s="58"/>
    </row>
    <row r="837" spans="1:55" x14ac:dyDescent="0.25">
      <c r="A837" s="10">
        <f t="shared" si="36"/>
        <v>836</v>
      </c>
      <c r="B837" s="181"/>
      <c r="C837" s="592" t="s">
        <v>1407</v>
      </c>
      <c r="D837" s="96">
        <v>400627</v>
      </c>
      <c r="E837" s="181"/>
      <c r="F837" s="97" t="s">
        <v>8333</v>
      </c>
      <c r="G837" s="462"/>
      <c r="H837" s="458"/>
      <c r="I837" s="458"/>
      <c r="J837" s="458"/>
      <c r="K837" s="58"/>
      <c r="L837" s="97"/>
      <c r="M837" s="97" t="s">
        <v>30</v>
      </c>
      <c r="N837" s="58"/>
      <c r="O837" s="58"/>
      <c r="P837" s="460"/>
      <c r="Q837" s="460"/>
      <c r="R837" s="460"/>
      <c r="S837" s="461"/>
      <c r="T837" s="139"/>
      <c r="U837" s="139"/>
      <c r="V837" s="139"/>
      <c r="W837" s="462"/>
      <c r="X837" s="139"/>
      <c r="Y837" s="462"/>
      <c r="Z837" s="140"/>
      <c r="AA837" s="465"/>
      <c r="AB837" s="460"/>
      <c r="AC837" s="139"/>
      <c r="AD837" s="139"/>
      <c r="AE837" s="140"/>
      <c r="AF837" s="486"/>
      <c r="AG837" s="139"/>
      <c r="AH837" s="139"/>
      <c r="AI837" s="464"/>
      <c r="AJ837" s="139"/>
      <c r="AK837" s="140"/>
      <c r="AL837" s="206"/>
      <c r="AM837" s="477"/>
      <c r="AN837" s="140"/>
      <c r="AO837" s="140"/>
      <c r="AP837" s="462"/>
      <c r="AQ837" s="58"/>
      <c r="AR837" s="489"/>
      <c r="AS837" s="458"/>
      <c r="AT837" s="181"/>
      <c r="AU837" s="181"/>
      <c r="AV837" s="461"/>
      <c r="AW837" s="181"/>
      <c r="AX837" s="139"/>
      <c r="AY837" s="58"/>
      <c r="AZ837" s="58"/>
      <c r="BA837" s="58" t="s">
        <v>151</v>
      </c>
      <c r="BB837" s="58" t="s">
        <v>1407</v>
      </c>
      <c r="BC837" s="58"/>
    </row>
    <row r="838" spans="1:55" x14ac:dyDescent="0.25">
      <c r="A838" s="10">
        <f t="shared" si="36"/>
        <v>837</v>
      </c>
      <c r="B838" s="181" t="s">
        <v>8334</v>
      </c>
      <c r="C838" s="592" t="s">
        <v>1407</v>
      </c>
      <c r="D838" s="457">
        <v>400628</v>
      </c>
      <c r="E838" s="181" t="s">
        <v>36</v>
      </c>
      <c r="F838" s="97" t="s">
        <v>8335</v>
      </c>
      <c r="G838" s="139">
        <v>6</v>
      </c>
      <c r="H838" s="458">
        <v>0.41666666666666669</v>
      </c>
      <c r="I838" s="458">
        <v>0.75</v>
      </c>
      <c r="J838" s="458">
        <f>I838-H838</f>
        <v>0.33333333333333331</v>
      </c>
      <c r="K838" s="58" t="s">
        <v>446</v>
      </c>
      <c r="L838" s="97" t="s">
        <v>8336</v>
      </c>
      <c r="M838" s="97" t="s">
        <v>26</v>
      </c>
      <c r="N838" s="58" t="s">
        <v>38</v>
      </c>
      <c r="O838" s="58"/>
      <c r="P838" s="206">
        <v>44958</v>
      </c>
      <c r="Q838" s="460">
        <v>44958</v>
      </c>
      <c r="R838" s="460">
        <v>45688</v>
      </c>
      <c r="S838" s="461">
        <v>45689</v>
      </c>
      <c r="T838" s="139">
        <v>2012</v>
      </c>
      <c r="U838" s="139" t="s">
        <v>8337</v>
      </c>
      <c r="V838" s="139">
        <v>2016</v>
      </c>
      <c r="W838" s="139" t="s">
        <v>8337</v>
      </c>
      <c r="X838" s="139" t="s">
        <v>30</v>
      </c>
      <c r="Y838" s="462" t="s">
        <v>1611</v>
      </c>
      <c r="Z838" s="140" t="s">
        <v>8338</v>
      </c>
      <c r="AA838" s="140" t="s">
        <v>1841</v>
      </c>
      <c r="AB838" s="460">
        <v>43482</v>
      </c>
      <c r="AC838" s="460">
        <v>45307</v>
      </c>
      <c r="AD838" s="488">
        <v>9379937955</v>
      </c>
      <c r="AE838" s="140" t="s">
        <v>8339</v>
      </c>
      <c r="AF838" s="139" t="s">
        <v>1430</v>
      </c>
      <c r="AG838" s="463" t="s">
        <v>8340</v>
      </c>
      <c r="AH838" s="139" t="s">
        <v>8341</v>
      </c>
      <c r="AI838" s="139" t="s">
        <v>8342</v>
      </c>
      <c r="AJ838" s="464">
        <v>323218034099</v>
      </c>
      <c r="AK838" s="140" t="s">
        <v>8343</v>
      </c>
      <c r="AL838" s="461">
        <v>45199</v>
      </c>
      <c r="AM838" s="477"/>
      <c r="AN838" s="465"/>
      <c r="AO838" s="140"/>
      <c r="AP838" s="139"/>
      <c r="AQ838" s="139"/>
      <c r="AR838" s="58"/>
      <c r="AS838" s="458"/>
      <c r="AT838" s="458"/>
      <c r="AU838" s="461">
        <v>32804</v>
      </c>
      <c r="AV838" s="181" t="s">
        <v>1352</v>
      </c>
      <c r="AW838" s="31" t="s">
        <v>68</v>
      </c>
      <c r="AX838" s="139">
        <v>8</v>
      </c>
      <c r="AY838" s="58" t="s">
        <v>1849</v>
      </c>
      <c r="AZ838" s="58" t="s">
        <v>26</v>
      </c>
      <c r="BA838" s="58" t="s">
        <v>151</v>
      </c>
      <c r="BB838" s="58" t="s">
        <v>1407</v>
      </c>
      <c r="BC838" s="58"/>
    </row>
    <row r="839" spans="1:55" x14ac:dyDescent="0.25">
      <c r="A839" s="10">
        <f t="shared" si="36"/>
        <v>838</v>
      </c>
      <c r="B839" s="181" t="s">
        <v>8344</v>
      </c>
      <c r="C839" s="592" t="s">
        <v>1407</v>
      </c>
      <c r="D839" s="457">
        <v>400629</v>
      </c>
      <c r="E839" s="181" t="s">
        <v>36</v>
      </c>
      <c r="F839" s="97" t="s">
        <v>8345</v>
      </c>
      <c r="G839" s="139">
        <v>6</v>
      </c>
      <c r="H839" s="458">
        <v>0.70833333333333337</v>
      </c>
      <c r="I839" s="458">
        <v>0.79166666666666663</v>
      </c>
      <c r="J839" s="458">
        <f>I839-H839</f>
        <v>8.3333333333333259E-2</v>
      </c>
      <c r="K839" s="35" t="s">
        <v>453</v>
      </c>
      <c r="L839" s="97" t="s">
        <v>8346</v>
      </c>
      <c r="M839" s="97" t="s">
        <v>26</v>
      </c>
      <c r="N839" s="58" t="s">
        <v>38</v>
      </c>
      <c r="O839" s="58"/>
      <c r="P839" s="206">
        <v>44959</v>
      </c>
      <c r="Q839" s="460">
        <v>44959</v>
      </c>
      <c r="R839" s="460">
        <v>45689</v>
      </c>
      <c r="S839" s="461">
        <v>45690</v>
      </c>
      <c r="T839" s="139">
        <v>2008</v>
      </c>
      <c r="U839" s="139" t="s">
        <v>230</v>
      </c>
      <c r="V839" s="139">
        <v>2019</v>
      </c>
      <c r="W839" s="139" t="s">
        <v>456</v>
      </c>
      <c r="X839" s="139" t="s">
        <v>30</v>
      </c>
      <c r="Y839" s="462" t="s">
        <v>1611</v>
      </c>
      <c r="Z839" s="140">
        <v>61296</v>
      </c>
      <c r="AA839" s="140" t="s">
        <v>8347</v>
      </c>
      <c r="AB839" s="460">
        <v>43682</v>
      </c>
      <c r="AC839" s="460">
        <v>45508</v>
      </c>
      <c r="AD839" s="139">
        <v>8125441233</v>
      </c>
      <c r="AE839" s="467" t="s">
        <v>8348</v>
      </c>
      <c r="AF839" s="139" t="s">
        <v>7378</v>
      </c>
      <c r="AG839" s="463" t="s">
        <v>8349</v>
      </c>
      <c r="AH839" s="139" t="s">
        <v>3174</v>
      </c>
      <c r="AI839" s="139" t="s">
        <v>8350</v>
      </c>
      <c r="AJ839" s="464" t="s">
        <v>8351</v>
      </c>
      <c r="AK839" s="140" t="s">
        <v>8352</v>
      </c>
      <c r="AL839" s="461"/>
      <c r="AM839" s="477"/>
      <c r="AN839" s="465"/>
      <c r="AO839" s="140"/>
      <c r="AP839" s="139"/>
      <c r="AQ839" s="139"/>
      <c r="AR839" s="181"/>
      <c r="AS839" s="458"/>
      <c r="AT839" s="458"/>
      <c r="AU839" s="461">
        <v>29819</v>
      </c>
      <c r="AV839" s="181" t="s">
        <v>1352</v>
      </c>
      <c r="AW839" s="31" t="s">
        <v>32</v>
      </c>
      <c r="AX839" s="139">
        <v>2</v>
      </c>
      <c r="AY839" s="58" t="s">
        <v>1920</v>
      </c>
      <c r="AZ839" s="58" t="s">
        <v>26</v>
      </c>
      <c r="BA839" s="58" t="s">
        <v>151</v>
      </c>
      <c r="BB839" s="58" t="s">
        <v>1407</v>
      </c>
      <c r="BC839" s="58"/>
    </row>
    <row r="840" spans="1:55" x14ac:dyDescent="0.25">
      <c r="A840" s="10">
        <f t="shared" si="36"/>
        <v>839</v>
      </c>
      <c r="B840" s="181" t="s">
        <v>8353</v>
      </c>
      <c r="C840" s="592" t="s">
        <v>1407</v>
      </c>
      <c r="D840" s="457">
        <v>400630</v>
      </c>
      <c r="E840" s="181" t="s">
        <v>8354</v>
      </c>
      <c r="F840" s="97" t="s">
        <v>8355</v>
      </c>
      <c r="G840" s="139">
        <v>6</v>
      </c>
      <c r="H840" s="458" t="s">
        <v>5491</v>
      </c>
      <c r="I840" s="458" t="s">
        <v>989</v>
      </c>
      <c r="J840" s="458">
        <f>I840-H840</f>
        <v>0.33333333333333337</v>
      </c>
      <c r="K840" s="143" t="s">
        <v>255</v>
      </c>
      <c r="L840" s="97" t="s">
        <v>539</v>
      </c>
      <c r="M840" s="97" t="s">
        <v>26</v>
      </c>
      <c r="N840" s="58" t="s">
        <v>38</v>
      </c>
      <c r="O840" s="58" t="s">
        <v>5063</v>
      </c>
      <c r="P840" s="206">
        <v>44968</v>
      </c>
      <c r="Q840" s="460">
        <v>45181</v>
      </c>
      <c r="R840" s="460">
        <v>45698</v>
      </c>
      <c r="S840" s="461">
        <v>45699</v>
      </c>
      <c r="T840" s="139">
        <v>2013</v>
      </c>
      <c r="U840" s="139" t="s">
        <v>8356</v>
      </c>
      <c r="V840" s="139">
        <v>2022</v>
      </c>
      <c r="W840" s="139" t="s">
        <v>8356</v>
      </c>
      <c r="X840" s="139" t="s">
        <v>30</v>
      </c>
      <c r="Y840" s="462" t="s">
        <v>1611</v>
      </c>
      <c r="Z840" s="140" t="s">
        <v>8357</v>
      </c>
      <c r="AA840" s="140" t="s">
        <v>1841</v>
      </c>
      <c r="AB840" s="460">
        <v>44912</v>
      </c>
      <c r="AC840" s="460">
        <v>46737</v>
      </c>
      <c r="AD840" s="488">
        <v>8921010380</v>
      </c>
      <c r="AE840" s="140" t="s">
        <v>8358</v>
      </c>
      <c r="AF840" s="139" t="s">
        <v>1430</v>
      </c>
      <c r="AG840" s="463" t="s">
        <v>8359</v>
      </c>
      <c r="AH840" s="139" t="s">
        <v>7941</v>
      </c>
      <c r="AI840" s="139" t="s">
        <v>8360</v>
      </c>
      <c r="AJ840" s="464">
        <v>508115279400</v>
      </c>
      <c r="AK840" s="140" t="s">
        <v>8361</v>
      </c>
      <c r="AL840" s="461">
        <v>45343</v>
      </c>
      <c r="AM840" s="477">
        <v>45280</v>
      </c>
      <c r="AN840" s="140" t="s">
        <v>8362</v>
      </c>
      <c r="AO840" s="140"/>
      <c r="AP840" s="139"/>
      <c r="AQ840" s="58"/>
      <c r="AR840" s="489"/>
      <c r="AS840" s="458">
        <v>0.375</v>
      </c>
      <c r="AT840" s="181">
        <v>0.70833333333333337</v>
      </c>
      <c r="AU840" s="461">
        <v>32723</v>
      </c>
      <c r="AV840" s="181" t="s">
        <v>1389</v>
      </c>
      <c r="AW840" s="31" t="s">
        <v>32</v>
      </c>
      <c r="AX840" s="139">
        <v>8</v>
      </c>
      <c r="AY840" s="58" t="s">
        <v>2068</v>
      </c>
      <c r="AZ840" s="58" t="s">
        <v>26</v>
      </c>
      <c r="BA840" s="58" t="s">
        <v>151</v>
      </c>
      <c r="BB840" s="58" t="s">
        <v>1407</v>
      </c>
      <c r="BC840" s="58"/>
    </row>
    <row r="841" spans="1:55" x14ac:dyDescent="0.25">
      <c r="A841" s="10">
        <f t="shared" si="36"/>
        <v>840</v>
      </c>
      <c r="B841" s="181" t="s">
        <v>8363</v>
      </c>
      <c r="C841" s="592" t="s">
        <v>1407</v>
      </c>
      <c r="D841" s="457">
        <v>400631</v>
      </c>
      <c r="E841" s="181" t="s">
        <v>36</v>
      </c>
      <c r="F841" s="97" t="s">
        <v>8364</v>
      </c>
      <c r="G841" s="139">
        <v>6</v>
      </c>
      <c r="H841" s="458" t="s">
        <v>6636</v>
      </c>
      <c r="I841" s="458" t="s">
        <v>1105</v>
      </c>
      <c r="J841" s="458">
        <f>I841-H841</f>
        <v>8.333333333333337E-2</v>
      </c>
      <c r="K841" s="100" t="s">
        <v>713</v>
      </c>
      <c r="L841" s="97" t="s">
        <v>30</v>
      </c>
      <c r="M841" s="97" t="s">
        <v>1544</v>
      </c>
      <c r="N841" s="58" t="s">
        <v>1992</v>
      </c>
      <c r="O841" s="58"/>
      <c r="P841" s="206">
        <v>44970</v>
      </c>
      <c r="Q841" s="460">
        <v>44970</v>
      </c>
      <c r="R841" s="460">
        <v>45700</v>
      </c>
      <c r="S841" s="461">
        <v>45701</v>
      </c>
      <c r="T841" s="139">
        <v>2006</v>
      </c>
      <c r="U841" s="139" t="s">
        <v>8365</v>
      </c>
      <c r="V841" s="139">
        <v>2013</v>
      </c>
      <c r="W841" s="139" t="s">
        <v>8366</v>
      </c>
      <c r="X841" s="139" t="s">
        <v>30</v>
      </c>
      <c r="Y841" s="462" t="s">
        <v>1611</v>
      </c>
      <c r="Z841" s="140" t="s">
        <v>8367</v>
      </c>
      <c r="AA841" s="140" t="s">
        <v>8347</v>
      </c>
      <c r="AB841" s="460">
        <v>43855</v>
      </c>
      <c r="AC841" s="460">
        <v>45681</v>
      </c>
      <c r="AD841" s="488">
        <v>8142141178</v>
      </c>
      <c r="AE841" s="140" t="s">
        <v>8368</v>
      </c>
      <c r="AF841" s="139" t="s">
        <v>5086</v>
      </c>
      <c r="AG841" s="463" t="s">
        <v>8369</v>
      </c>
      <c r="AH841" s="139" t="s">
        <v>3550</v>
      </c>
      <c r="AI841" s="139" t="s">
        <v>8370</v>
      </c>
      <c r="AJ841" s="464">
        <v>388634946042</v>
      </c>
      <c r="AK841" s="140" t="s">
        <v>8371</v>
      </c>
      <c r="AL841" s="206">
        <v>45325</v>
      </c>
      <c r="AM841" s="477">
        <v>45296</v>
      </c>
      <c r="AN841" s="140"/>
      <c r="AO841" s="140"/>
      <c r="AP841" s="139"/>
      <c r="AQ841" s="58"/>
      <c r="AR841" s="489"/>
      <c r="AS841" s="458">
        <v>0.72916666666666663</v>
      </c>
      <c r="AT841" s="181">
        <v>0.8125</v>
      </c>
      <c r="AU841" s="461">
        <v>30081</v>
      </c>
      <c r="AV841" s="181" t="s">
        <v>1389</v>
      </c>
      <c r="AW841" s="31" t="s">
        <v>32</v>
      </c>
      <c r="AX841" s="139">
        <v>2</v>
      </c>
      <c r="AY841" s="58" t="s">
        <v>2262</v>
      </c>
      <c r="AZ841" s="58" t="s">
        <v>1373</v>
      </c>
      <c r="BA841" s="58" t="s">
        <v>151</v>
      </c>
      <c r="BB841" s="58" t="s">
        <v>1407</v>
      </c>
      <c r="BC841" s="58"/>
    </row>
    <row r="842" spans="1:55" x14ac:dyDescent="0.25">
      <c r="A842" s="10">
        <f t="shared" si="36"/>
        <v>841</v>
      </c>
      <c r="B842" s="181" t="s">
        <v>8322</v>
      </c>
      <c r="C842" s="592" t="s">
        <v>1407</v>
      </c>
      <c r="D842" s="457">
        <v>400840</v>
      </c>
      <c r="E842" s="181" t="s">
        <v>36</v>
      </c>
      <c r="F842" s="97" t="s">
        <v>8323</v>
      </c>
      <c r="G842" s="139">
        <v>6</v>
      </c>
      <c r="H842" s="469" t="s">
        <v>5491</v>
      </c>
      <c r="I842" s="469" t="s">
        <v>1084</v>
      </c>
      <c r="J842" s="458">
        <f>I842-H842</f>
        <v>0.16666666666666663</v>
      </c>
      <c r="K842" s="58" t="s">
        <v>1081</v>
      </c>
      <c r="L842" s="97" t="s">
        <v>8324</v>
      </c>
      <c r="M842" s="97" t="s">
        <v>26</v>
      </c>
      <c r="N842" s="58" t="s">
        <v>38</v>
      </c>
      <c r="O842" s="462" t="s">
        <v>5076</v>
      </c>
      <c r="P842" s="206">
        <v>45175</v>
      </c>
      <c r="Q842" s="206">
        <v>45175</v>
      </c>
      <c r="R842" s="206">
        <v>45905</v>
      </c>
      <c r="S842" s="461">
        <v>45906</v>
      </c>
      <c r="T842" s="139">
        <v>2019</v>
      </c>
      <c r="U842" s="181" t="s">
        <v>8325</v>
      </c>
      <c r="V842" s="139">
        <v>2023</v>
      </c>
      <c r="W842" s="140" t="s">
        <v>8326</v>
      </c>
      <c r="X842" s="181" t="s">
        <v>30</v>
      </c>
      <c r="Y842" s="58" t="s">
        <v>5066</v>
      </c>
      <c r="Z842" s="140" t="s">
        <v>8327</v>
      </c>
      <c r="AA842" s="97" t="s">
        <v>1841</v>
      </c>
      <c r="AB842" s="471">
        <v>45169</v>
      </c>
      <c r="AC842" s="471">
        <v>46995</v>
      </c>
      <c r="AD842" s="472">
        <v>9676576148</v>
      </c>
      <c r="AE842" s="473" t="s">
        <v>8328</v>
      </c>
      <c r="AF842" s="97" t="s">
        <v>1364</v>
      </c>
      <c r="AG842" s="482" t="s">
        <v>8329</v>
      </c>
      <c r="AH842" s="181" t="s">
        <v>2456</v>
      </c>
      <c r="AI842" s="139" t="s">
        <v>8330</v>
      </c>
      <c r="AJ842" s="464">
        <v>432594120257</v>
      </c>
      <c r="AK842" s="97"/>
      <c r="AL842" s="461">
        <v>45521</v>
      </c>
      <c r="AM842" s="477">
        <v>45478</v>
      </c>
      <c r="AN842" s="465" t="s">
        <v>8331</v>
      </c>
      <c r="AO842" s="140" t="s">
        <v>8332</v>
      </c>
      <c r="AP842" s="58"/>
      <c r="AQ842" s="483" t="s">
        <v>8332</v>
      </c>
      <c r="AR842" s="462"/>
      <c r="AS842" s="479">
        <v>0.35416666666666669</v>
      </c>
      <c r="AT842" s="479">
        <v>0.6875</v>
      </c>
      <c r="AU842" s="461">
        <v>35215</v>
      </c>
      <c r="AV842" s="181" t="s">
        <v>1352</v>
      </c>
      <c r="AW842" s="31" t="s">
        <v>68</v>
      </c>
      <c r="AX842" s="139">
        <v>4</v>
      </c>
      <c r="AY842" s="58" t="s">
        <v>1881</v>
      </c>
      <c r="AZ842" s="58" t="s">
        <v>26</v>
      </c>
      <c r="BA842" s="58" t="s">
        <v>151</v>
      </c>
      <c r="BB842" s="58" t="s">
        <v>1407</v>
      </c>
      <c r="BC842" s="58"/>
    </row>
    <row r="843" spans="1:55" x14ac:dyDescent="0.25">
      <c r="A843" s="10">
        <f t="shared" si="36"/>
        <v>842</v>
      </c>
      <c r="B843" s="181"/>
      <c r="C843" s="592" t="s">
        <v>1407</v>
      </c>
      <c r="D843" s="96">
        <v>400633</v>
      </c>
      <c r="E843" s="181"/>
      <c r="F843" s="97" t="s">
        <v>8372</v>
      </c>
      <c r="G843" s="462"/>
      <c r="H843" s="458"/>
      <c r="I843" s="458"/>
      <c r="J843" s="458"/>
      <c r="K843" s="58"/>
      <c r="L843" s="97"/>
      <c r="M843" s="97" t="s">
        <v>30</v>
      </c>
      <c r="N843" s="58"/>
      <c r="O843" s="58"/>
      <c r="P843" s="460"/>
      <c r="Q843" s="460"/>
      <c r="R843" s="460"/>
      <c r="S843" s="461"/>
      <c r="T843" s="139"/>
      <c r="U843" s="139"/>
      <c r="V843" s="139"/>
      <c r="W843" s="462"/>
      <c r="X843" s="139"/>
      <c r="Y843" s="462"/>
      <c r="Z843" s="140"/>
      <c r="AA843" s="465"/>
      <c r="AB843" s="460"/>
      <c r="AC843" s="139"/>
      <c r="AD843" s="139"/>
      <c r="AE843" s="140"/>
      <c r="AF843" s="486"/>
      <c r="AG843" s="139"/>
      <c r="AH843" s="139"/>
      <c r="AI843" s="464"/>
      <c r="AJ843" s="139"/>
      <c r="AK843" s="140"/>
      <c r="AL843" s="206"/>
      <c r="AM843" s="477"/>
      <c r="AN843" s="140"/>
      <c r="AO843" s="140"/>
      <c r="AP843" s="462"/>
      <c r="AQ843" s="58"/>
      <c r="AR843" s="489"/>
      <c r="AS843" s="458"/>
      <c r="AT843" s="181"/>
      <c r="AU843" s="181"/>
      <c r="AV843" s="461"/>
      <c r="AW843" s="181"/>
      <c r="AX843" s="139"/>
      <c r="AY843" s="58"/>
      <c r="AZ843" s="58"/>
      <c r="BA843" s="58" t="s">
        <v>151</v>
      </c>
      <c r="BB843" s="58" t="s">
        <v>1407</v>
      </c>
      <c r="BC843" s="58"/>
    </row>
    <row r="844" spans="1:55" x14ac:dyDescent="0.25">
      <c r="A844" s="10">
        <f t="shared" si="36"/>
        <v>843</v>
      </c>
      <c r="B844" s="181" t="s">
        <v>8373</v>
      </c>
      <c r="C844" s="592" t="s">
        <v>1407</v>
      </c>
      <c r="D844" s="457">
        <v>401013</v>
      </c>
      <c r="E844" s="181" t="s">
        <v>36</v>
      </c>
      <c r="F844" s="97" t="s">
        <v>8374</v>
      </c>
      <c r="G844" s="139">
        <v>6</v>
      </c>
      <c r="H844" s="458">
        <v>0.375</v>
      </c>
      <c r="I844" s="458">
        <v>0.41666666666666669</v>
      </c>
      <c r="J844" s="458">
        <v>4.1666666666666664E-2</v>
      </c>
      <c r="K844" s="100" t="s">
        <v>680</v>
      </c>
      <c r="L844" s="97" t="s">
        <v>1424</v>
      </c>
      <c r="M844" s="97" t="s">
        <v>1376</v>
      </c>
      <c r="N844" s="58" t="s">
        <v>1393</v>
      </c>
      <c r="O844" s="58" t="s">
        <v>1424</v>
      </c>
      <c r="P844" s="461">
        <v>45457</v>
      </c>
      <c r="Q844" s="461">
        <v>45457</v>
      </c>
      <c r="R844" s="461">
        <v>46186</v>
      </c>
      <c r="S844" s="461">
        <v>46187</v>
      </c>
      <c r="T844" s="139">
        <v>2015</v>
      </c>
      <c r="U844" s="97" t="s">
        <v>8375</v>
      </c>
      <c r="V844" s="139" t="s">
        <v>1424</v>
      </c>
      <c r="W844" s="58" t="s">
        <v>1424</v>
      </c>
      <c r="X844" s="181" t="s">
        <v>1424</v>
      </c>
      <c r="Y844" s="58" t="s">
        <v>226</v>
      </c>
      <c r="Z844" s="140" t="s">
        <v>8376</v>
      </c>
      <c r="AA844" s="470" t="s">
        <v>1841</v>
      </c>
      <c r="AB844" s="471">
        <v>45341</v>
      </c>
      <c r="AC844" s="471">
        <v>46802</v>
      </c>
      <c r="AD844" s="472">
        <v>9789447301</v>
      </c>
      <c r="AE844" s="473" t="s">
        <v>8377</v>
      </c>
      <c r="AF844" s="474" t="s">
        <v>1430</v>
      </c>
      <c r="AG844" s="475">
        <v>50100240953972</v>
      </c>
      <c r="AH844" s="181" t="s">
        <v>8378</v>
      </c>
      <c r="AI844" s="139" t="s">
        <v>8379</v>
      </c>
      <c r="AJ844" s="476">
        <v>354572514042</v>
      </c>
      <c r="AK844" s="470" t="s">
        <v>8380</v>
      </c>
      <c r="AL844" s="206">
        <v>45521</v>
      </c>
      <c r="AM844" s="477">
        <v>45522</v>
      </c>
      <c r="AN844" s="478" t="s">
        <v>8381</v>
      </c>
      <c r="AO844" s="140" t="s">
        <v>8382</v>
      </c>
      <c r="AP844" s="58"/>
      <c r="AQ844" s="97" t="s">
        <v>8382</v>
      </c>
      <c r="AR844" s="462"/>
      <c r="AS844" s="479"/>
      <c r="AT844" s="479"/>
      <c r="AU844" s="461">
        <v>33736</v>
      </c>
      <c r="AV844" s="139" t="s">
        <v>1389</v>
      </c>
      <c r="AW844" s="31" t="s">
        <v>32</v>
      </c>
      <c r="AX844" s="139">
        <v>1</v>
      </c>
      <c r="AY844" s="58" t="s">
        <v>2189</v>
      </c>
      <c r="AZ844" s="58" t="s">
        <v>1390</v>
      </c>
      <c r="BA844" s="58" t="s">
        <v>151</v>
      </c>
      <c r="BB844" s="58" t="s">
        <v>1407</v>
      </c>
      <c r="BC844" s="58"/>
    </row>
    <row r="845" spans="1:55" x14ac:dyDescent="0.25">
      <c r="A845" s="10">
        <f t="shared" si="36"/>
        <v>844</v>
      </c>
      <c r="B845" s="181" t="s">
        <v>8383</v>
      </c>
      <c r="C845" s="592" t="s">
        <v>1407</v>
      </c>
      <c r="D845" s="457">
        <v>400635</v>
      </c>
      <c r="E845" s="181" t="s">
        <v>36</v>
      </c>
      <c r="F845" s="97" t="s">
        <v>8384</v>
      </c>
      <c r="G845" s="139">
        <v>6</v>
      </c>
      <c r="H845" s="458">
        <v>0.75</v>
      </c>
      <c r="I845" s="458">
        <v>0.83333333333333337</v>
      </c>
      <c r="J845" s="458">
        <f>I845-H845</f>
        <v>8.333333333333337E-2</v>
      </c>
      <c r="K845" s="58" t="s">
        <v>826</v>
      </c>
      <c r="L845" s="97" t="s">
        <v>30</v>
      </c>
      <c r="M845" s="97" t="s">
        <v>1544</v>
      </c>
      <c r="N845" s="58" t="s">
        <v>1992</v>
      </c>
      <c r="O845" s="58"/>
      <c r="P845" s="206">
        <v>44972</v>
      </c>
      <c r="Q845" s="460">
        <v>44972</v>
      </c>
      <c r="R845" s="460">
        <v>45702</v>
      </c>
      <c r="S845" s="461">
        <v>45703</v>
      </c>
      <c r="T845" s="139">
        <v>2011</v>
      </c>
      <c r="U845" s="139" t="s">
        <v>8385</v>
      </c>
      <c r="V845" s="139">
        <v>2019</v>
      </c>
      <c r="W845" s="139" t="s">
        <v>8386</v>
      </c>
      <c r="X845" s="139" t="s">
        <v>30</v>
      </c>
      <c r="Y845" s="462" t="s">
        <v>1611</v>
      </c>
      <c r="Z845" s="140" t="s">
        <v>8387</v>
      </c>
      <c r="AA845" s="140" t="s">
        <v>8388</v>
      </c>
      <c r="AB845" s="460">
        <v>44672</v>
      </c>
      <c r="AC845" s="460">
        <v>46497</v>
      </c>
      <c r="AD845" s="139">
        <v>7506104551</v>
      </c>
      <c r="AE845" s="467" t="s">
        <v>8389</v>
      </c>
      <c r="AF845" s="139" t="s">
        <v>5183</v>
      </c>
      <c r="AG845" s="463" t="s">
        <v>8390</v>
      </c>
      <c r="AH845" s="139" t="s">
        <v>8391</v>
      </c>
      <c r="AI845" s="139" t="s">
        <v>8392</v>
      </c>
      <c r="AJ845" s="464">
        <v>311179696340</v>
      </c>
      <c r="AK845" s="140" t="s">
        <v>8393</v>
      </c>
      <c r="AL845" s="206">
        <v>45110</v>
      </c>
      <c r="AM845" s="477"/>
      <c r="AN845" s="465"/>
      <c r="AO845" s="140"/>
      <c r="AP845" s="139"/>
      <c r="AQ845" s="139"/>
      <c r="AR845" s="181"/>
      <c r="AS845" s="458"/>
      <c r="AT845" s="458"/>
      <c r="AU845" s="461">
        <v>30411</v>
      </c>
      <c r="AV845" s="181" t="s">
        <v>1352</v>
      </c>
      <c r="AW845" s="31" t="s">
        <v>32</v>
      </c>
      <c r="AX845" s="139">
        <v>2</v>
      </c>
      <c r="AY845" s="58" t="s">
        <v>2251</v>
      </c>
      <c r="AZ845" s="58" t="s">
        <v>1373</v>
      </c>
      <c r="BA845" s="58" t="s">
        <v>151</v>
      </c>
      <c r="BB845" s="58" t="s">
        <v>1407</v>
      </c>
      <c r="BC845" s="58"/>
    </row>
    <row r="846" spans="1:55" x14ac:dyDescent="0.25">
      <c r="A846" s="10">
        <f t="shared" si="36"/>
        <v>845</v>
      </c>
      <c r="B846" s="181" t="s">
        <v>8394</v>
      </c>
      <c r="C846" s="592" t="s">
        <v>1407</v>
      </c>
      <c r="D846" s="457">
        <v>400636</v>
      </c>
      <c r="E846" s="181" t="s">
        <v>36</v>
      </c>
      <c r="F846" s="97" t="s">
        <v>8395</v>
      </c>
      <c r="G846" s="139">
        <v>6</v>
      </c>
      <c r="H846" s="458">
        <v>0.33333333333333331</v>
      </c>
      <c r="I846" s="458">
        <v>0.875</v>
      </c>
      <c r="J846" s="458">
        <v>0.33333333333333331</v>
      </c>
      <c r="K846" s="100" t="s">
        <v>713</v>
      </c>
      <c r="L846" s="97" t="s">
        <v>30</v>
      </c>
      <c r="M846" s="63" t="s">
        <v>1355</v>
      </c>
      <c r="N846" s="100" t="s">
        <v>1520</v>
      </c>
      <c r="O846" s="58"/>
      <c r="P846" s="206">
        <v>44981</v>
      </c>
      <c r="Q846" s="460">
        <v>44981</v>
      </c>
      <c r="R846" s="460">
        <v>45711</v>
      </c>
      <c r="S846" s="461">
        <v>45712</v>
      </c>
      <c r="T846" s="139">
        <v>2013</v>
      </c>
      <c r="U846" s="139" t="s">
        <v>8396</v>
      </c>
      <c r="V846" s="139">
        <v>2020</v>
      </c>
      <c r="W846" s="139" t="s">
        <v>8397</v>
      </c>
      <c r="X846" s="139" t="s">
        <v>30</v>
      </c>
      <c r="Y846" s="462" t="s">
        <v>1611</v>
      </c>
      <c r="Z846" s="140" t="s">
        <v>8398</v>
      </c>
      <c r="AA846" s="140" t="s">
        <v>8347</v>
      </c>
      <c r="AB846" s="460">
        <v>44320</v>
      </c>
      <c r="AC846" s="460">
        <v>46145</v>
      </c>
      <c r="AD846" s="139">
        <v>8015190465</v>
      </c>
      <c r="AE846" s="467" t="s">
        <v>8399</v>
      </c>
      <c r="AF846" s="139" t="s">
        <v>8400</v>
      </c>
      <c r="AG846" s="463" t="s">
        <v>8401</v>
      </c>
      <c r="AH846" s="139" t="s">
        <v>8402</v>
      </c>
      <c r="AI846" s="139" t="s">
        <v>8403</v>
      </c>
      <c r="AJ846" s="464">
        <v>213247229272</v>
      </c>
      <c r="AK846" s="140" t="s">
        <v>8404</v>
      </c>
      <c r="AL846" s="206">
        <v>45115</v>
      </c>
      <c r="AM846" s="477"/>
      <c r="AN846" s="465"/>
      <c r="AO846" s="140"/>
      <c r="AP846" s="139"/>
      <c r="AQ846" s="139" t="e">
        <v>#N/A</v>
      </c>
      <c r="AR846" s="181"/>
      <c r="AS846" s="458"/>
      <c r="AT846" s="458"/>
      <c r="AU846" s="461">
        <v>33046</v>
      </c>
      <c r="AV846" s="181" t="s">
        <v>1389</v>
      </c>
      <c r="AW846" s="31" t="s">
        <v>68</v>
      </c>
      <c r="AX846" s="139">
        <v>8</v>
      </c>
      <c r="AY846" s="58" t="s">
        <v>2262</v>
      </c>
      <c r="AZ846" s="58" t="s">
        <v>1373</v>
      </c>
      <c r="BA846" s="58" t="s">
        <v>151</v>
      </c>
      <c r="BB846" s="58" t="s">
        <v>1407</v>
      </c>
      <c r="BC846" s="58"/>
    </row>
    <row r="847" spans="1:55" x14ac:dyDescent="0.25">
      <c r="A847" s="10">
        <f t="shared" si="36"/>
        <v>846</v>
      </c>
      <c r="B847" s="181" t="s">
        <v>8322</v>
      </c>
      <c r="C847" s="592" t="s">
        <v>1407</v>
      </c>
      <c r="D847" s="457">
        <v>401019</v>
      </c>
      <c r="E847" s="181" t="s">
        <v>36</v>
      </c>
      <c r="F847" s="97" t="s">
        <v>8323</v>
      </c>
      <c r="G847" s="139">
        <v>6</v>
      </c>
      <c r="H847" s="469" t="s">
        <v>8405</v>
      </c>
      <c r="I847" s="469" t="s">
        <v>8406</v>
      </c>
      <c r="J847" s="458">
        <v>0.16666666666666666</v>
      </c>
      <c r="K847" s="58" t="s">
        <v>147</v>
      </c>
      <c r="L847" s="97" t="s">
        <v>8324</v>
      </c>
      <c r="M847" s="97" t="s">
        <v>26</v>
      </c>
      <c r="N847" s="58" t="s">
        <v>38</v>
      </c>
      <c r="O847" s="462" t="s">
        <v>5076</v>
      </c>
      <c r="P847" s="461">
        <v>45469</v>
      </c>
      <c r="Q847" s="338">
        <v>45469</v>
      </c>
      <c r="R847" s="338">
        <v>46198</v>
      </c>
      <c r="S847" s="338">
        <v>46199</v>
      </c>
      <c r="T847" s="139">
        <v>2019</v>
      </c>
      <c r="U847" s="97" t="s">
        <v>8325</v>
      </c>
      <c r="V847" s="139">
        <v>2023</v>
      </c>
      <c r="W847" s="462" t="s">
        <v>8326</v>
      </c>
      <c r="X847" s="181" t="s">
        <v>30</v>
      </c>
      <c r="Y847" s="58" t="s">
        <v>5066</v>
      </c>
      <c r="Z847" s="140" t="s">
        <v>8327</v>
      </c>
      <c r="AA847" s="97" t="s">
        <v>1841</v>
      </c>
      <c r="AB847" s="471">
        <v>45169</v>
      </c>
      <c r="AC847" s="471">
        <v>46995</v>
      </c>
      <c r="AD847" s="472">
        <v>9676576148</v>
      </c>
      <c r="AE847" s="473" t="s">
        <v>8328</v>
      </c>
      <c r="AF847" s="97" t="s">
        <v>1364</v>
      </c>
      <c r="AG847" s="482" t="s">
        <v>8329</v>
      </c>
      <c r="AH847" s="181" t="s">
        <v>2456</v>
      </c>
      <c r="AI847" s="139" t="s">
        <v>8330</v>
      </c>
      <c r="AJ847" s="464">
        <v>432594120257</v>
      </c>
      <c r="AK847" s="97"/>
      <c r="AL847" s="461">
        <v>45521</v>
      </c>
      <c r="AM847" s="477">
        <v>45478</v>
      </c>
      <c r="AN847" s="465" t="s">
        <v>8331</v>
      </c>
      <c r="AO847" s="140" t="s">
        <v>8332</v>
      </c>
      <c r="AP847" s="58"/>
      <c r="AQ847" s="483" t="s">
        <v>8332</v>
      </c>
      <c r="AR847" s="462"/>
      <c r="AS847" s="479"/>
      <c r="AT847" s="479"/>
      <c r="AU847" s="461">
        <v>35215</v>
      </c>
      <c r="AV847" s="181" t="s">
        <v>1352</v>
      </c>
      <c r="AW847" s="31" t="s">
        <v>68</v>
      </c>
      <c r="AX847" s="139">
        <v>4</v>
      </c>
      <c r="AY847" s="58" t="s">
        <v>1849</v>
      </c>
      <c r="AZ847" s="58" t="s">
        <v>26</v>
      </c>
      <c r="BA847" s="58" t="s">
        <v>151</v>
      </c>
      <c r="BB847" s="58" t="s">
        <v>1407</v>
      </c>
      <c r="BC847" s="58"/>
    </row>
    <row r="848" spans="1:55" x14ac:dyDescent="0.25">
      <c r="A848" s="10">
        <f t="shared" si="36"/>
        <v>847</v>
      </c>
      <c r="B848" s="181" t="s">
        <v>8407</v>
      </c>
      <c r="C848" s="592" t="s">
        <v>1407</v>
      </c>
      <c r="D848" s="457">
        <v>400639</v>
      </c>
      <c r="E848" s="181" t="s">
        <v>36</v>
      </c>
      <c r="F848" s="97" t="s">
        <v>8408</v>
      </c>
      <c r="G848" s="139">
        <v>4</v>
      </c>
      <c r="H848" s="469" t="s">
        <v>7654</v>
      </c>
      <c r="I848" s="469" t="s">
        <v>7655</v>
      </c>
      <c r="J848" s="458">
        <f>I848-H848</f>
        <v>0.33333333333333331</v>
      </c>
      <c r="K848" s="100" t="s">
        <v>713</v>
      </c>
      <c r="L848" s="97" t="s">
        <v>30</v>
      </c>
      <c r="M848" s="97" t="s">
        <v>26</v>
      </c>
      <c r="N848" s="58" t="s">
        <v>38</v>
      </c>
      <c r="O848" s="58" t="s">
        <v>5063</v>
      </c>
      <c r="P848" s="206">
        <v>44979</v>
      </c>
      <c r="Q848" s="206">
        <v>44979</v>
      </c>
      <c r="R848" s="206">
        <v>45709</v>
      </c>
      <c r="S848" s="461">
        <v>45710</v>
      </c>
      <c r="T848" s="139">
        <v>1992</v>
      </c>
      <c r="U848" s="181" t="s">
        <v>8409</v>
      </c>
      <c r="V848" s="139">
        <v>2004</v>
      </c>
      <c r="W848" s="140" t="s">
        <v>8410</v>
      </c>
      <c r="X848" s="181" t="s">
        <v>30</v>
      </c>
      <c r="Y848" s="58" t="s">
        <v>1611</v>
      </c>
      <c r="Z848" s="140" t="s">
        <v>8411</v>
      </c>
      <c r="AA848" s="97" t="s">
        <v>8347</v>
      </c>
      <c r="AB848" s="471">
        <v>44971</v>
      </c>
      <c r="AC848" s="471">
        <v>46796</v>
      </c>
      <c r="AD848" s="472">
        <v>9787307771</v>
      </c>
      <c r="AE848" s="473" t="s">
        <v>8412</v>
      </c>
      <c r="AF848" s="97" t="s">
        <v>5183</v>
      </c>
      <c r="AG848" s="482" t="s">
        <v>8413</v>
      </c>
      <c r="AH848" s="181" t="s">
        <v>8414</v>
      </c>
      <c r="AI848" s="139" t="s">
        <v>8415</v>
      </c>
      <c r="AJ848" s="464">
        <v>519167984121</v>
      </c>
      <c r="AK848" s="97" t="s">
        <v>8416</v>
      </c>
      <c r="AL848" s="461">
        <v>45383</v>
      </c>
      <c r="AM848" s="477">
        <v>45344</v>
      </c>
      <c r="AN848" s="465" t="s">
        <v>5098</v>
      </c>
      <c r="AO848" s="97"/>
      <c r="AP848" s="58"/>
      <c r="AQ848" s="486"/>
      <c r="AR848" s="462"/>
      <c r="AS848" s="479">
        <v>0.45833333333333331</v>
      </c>
      <c r="AT848" s="479">
        <v>0.79166666666666663</v>
      </c>
      <c r="AU848" s="461">
        <v>25756</v>
      </c>
      <c r="AV848" s="181" t="s">
        <v>1352</v>
      </c>
      <c r="AW848" s="31" t="s">
        <v>68</v>
      </c>
      <c r="AX848" s="139">
        <v>8</v>
      </c>
      <c r="AY848" s="58" t="s">
        <v>2262</v>
      </c>
      <c r="AZ848" s="58" t="s">
        <v>26</v>
      </c>
      <c r="BA848" s="58" t="s">
        <v>151</v>
      </c>
      <c r="BB848" s="58" t="s">
        <v>1407</v>
      </c>
      <c r="BC848" s="58"/>
    </row>
    <row r="849" spans="1:55" x14ac:dyDescent="0.25">
      <c r="A849" s="10">
        <f t="shared" si="36"/>
        <v>848</v>
      </c>
      <c r="B849" s="181" t="s">
        <v>8407</v>
      </c>
      <c r="C849" s="592" t="s">
        <v>1407</v>
      </c>
      <c r="D849" s="96">
        <v>400639</v>
      </c>
      <c r="E849" s="62" t="s">
        <v>192</v>
      </c>
      <c r="F849" s="97" t="s">
        <v>8408</v>
      </c>
      <c r="G849" s="61"/>
      <c r="H849" s="141" t="s">
        <v>8417</v>
      </c>
      <c r="I849" s="141"/>
      <c r="J849" s="141"/>
      <c r="K849" s="21" t="s">
        <v>334</v>
      </c>
      <c r="L849" s="63" t="s">
        <v>611</v>
      </c>
      <c r="M849" s="63" t="s">
        <v>26</v>
      </c>
      <c r="N849" s="100" t="s">
        <v>38</v>
      </c>
      <c r="O849" s="143" t="s">
        <v>5710</v>
      </c>
      <c r="P849" s="446"/>
      <c r="Q849" s="446">
        <v>45485</v>
      </c>
      <c r="R849" s="446">
        <v>46214</v>
      </c>
      <c r="S849" s="338">
        <v>46215</v>
      </c>
      <c r="T849" s="61">
        <v>1992</v>
      </c>
      <c r="U849" s="62" t="s">
        <v>8409</v>
      </c>
      <c r="V849" s="61">
        <v>2004</v>
      </c>
      <c r="W849" s="63" t="s">
        <v>8410</v>
      </c>
      <c r="X849" s="62" t="s">
        <v>30</v>
      </c>
      <c r="Y849" s="100" t="s">
        <v>49</v>
      </c>
      <c r="Z849" s="99" t="s">
        <v>8411</v>
      </c>
      <c r="AA849" s="63" t="s">
        <v>8418</v>
      </c>
      <c r="AB849" s="446">
        <v>44971</v>
      </c>
      <c r="AC849" s="338">
        <v>46796</v>
      </c>
      <c r="AD849" s="61">
        <v>9787307771</v>
      </c>
      <c r="AE849" s="510" t="s">
        <v>8412</v>
      </c>
      <c r="AF849" s="100" t="s">
        <v>5183</v>
      </c>
      <c r="AG849" s="337" t="s">
        <v>8413</v>
      </c>
      <c r="AH849" s="62" t="s">
        <v>8414</v>
      </c>
      <c r="AI849" s="62" t="s">
        <v>8415</v>
      </c>
      <c r="AJ849" s="493">
        <v>519167984121</v>
      </c>
      <c r="AK849" s="63" t="s">
        <v>8416</v>
      </c>
      <c r="AL849" s="338" t="s">
        <v>5711</v>
      </c>
      <c r="AM849" s="477" t="s">
        <v>30</v>
      </c>
      <c r="AN849" s="100" t="s">
        <v>5712</v>
      </c>
      <c r="AO849" s="63">
        <v>0</v>
      </c>
      <c r="AP849" s="61">
        <v>55</v>
      </c>
      <c r="AQ849" s="100"/>
      <c r="AR849" s="143"/>
      <c r="AS849" s="338"/>
      <c r="AT849" s="338"/>
      <c r="AU849" s="453">
        <v>25756</v>
      </c>
      <c r="AV849" s="62" t="s">
        <v>1352</v>
      </c>
      <c r="AW849" s="31" t="s">
        <v>68</v>
      </c>
      <c r="AX849" s="139"/>
      <c r="AY849" s="58" t="s">
        <v>30</v>
      </c>
      <c r="AZ849" s="58" t="s">
        <v>26</v>
      </c>
      <c r="BA849" s="58" t="s">
        <v>151</v>
      </c>
      <c r="BB849" s="58" t="s">
        <v>1407</v>
      </c>
      <c r="BC849" s="58"/>
    </row>
    <row r="850" spans="1:55" x14ac:dyDescent="0.25">
      <c r="A850" s="10">
        <f t="shared" si="36"/>
        <v>849</v>
      </c>
      <c r="B850" s="181" t="s">
        <v>8419</v>
      </c>
      <c r="C850" s="592" t="s">
        <v>1407</v>
      </c>
      <c r="D850" s="457">
        <v>400640</v>
      </c>
      <c r="E850" s="181" t="s">
        <v>36</v>
      </c>
      <c r="F850" s="97" t="s">
        <v>8420</v>
      </c>
      <c r="G850" s="139">
        <v>6</v>
      </c>
      <c r="H850" s="458">
        <v>0.375</v>
      </c>
      <c r="I850" s="458">
        <v>0.45833333333333331</v>
      </c>
      <c r="J850" s="458">
        <f>I850-H850</f>
        <v>8.3333333333333315E-2</v>
      </c>
      <c r="K850" s="100" t="s">
        <v>563</v>
      </c>
      <c r="L850" s="97" t="s">
        <v>30</v>
      </c>
      <c r="M850" s="97" t="s">
        <v>1376</v>
      </c>
      <c r="N850" s="58" t="s">
        <v>1393</v>
      </c>
      <c r="O850" s="58"/>
      <c r="P850" s="206">
        <v>44979</v>
      </c>
      <c r="Q850" s="460">
        <v>44979</v>
      </c>
      <c r="R850" s="460">
        <v>45709</v>
      </c>
      <c r="S850" s="461">
        <v>45710</v>
      </c>
      <c r="T850" s="139">
        <v>2016</v>
      </c>
      <c r="U850" s="139" t="s">
        <v>8421</v>
      </c>
      <c r="V850" s="139" t="s">
        <v>30</v>
      </c>
      <c r="W850" s="139" t="s">
        <v>30</v>
      </c>
      <c r="X850" s="139" t="s">
        <v>30</v>
      </c>
      <c r="Y850" s="462" t="s">
        <v>226</v>
      </c>
      <c r="Z850" s="140" t="s">
        <v>8422</v>
      </c>
      <c r="AA850" s="140" t="s">
        <v>8347</v>
      </c>
      <c r="AB850" s="460">
        <v>43196</v>
      </c>
      <c r="AC850" s="460">
        <v>45021</v>
      </c>
      <c r="AD850" s="139" t="s">
        <v>8423</v>
      </c>
      <c r="AE850" s="467" t="s">
        <v>8424</v>
      </c>
      <c r="AF850" s="139" t="s">
        <v>1495</v>
      </c>
      <c r="AG850" s="463">
        <v>20393048900</v>
      </c>
      <c r="AH850" s="139" t="s">
        <v>8425</v>
      </c>
      <c r="AI850" s="139" t="s">
        <v>8426</v>
      </c>
      <c r="AJ850" s="464">
        <v>958889767811</v>
      </c>
      <c r="AK850" s="140" t="s">
        <v>8427</v>
      </c>
      <c r="AL850" s="206"/>
      <c r="AM850" s="477"/>
      <c r="AN850" s="465"/>
      <c r="AO850" s="140"/>
      <c r="AP850" s="139"/>
      <c r="AQ850" s="139"/>
      <c r="AR850" s="181"/>
      <c r="AS850" s="458"/>
      <c r="AT850" s="458"/>
      <c r="AU850" s="461">
        <v>33480</v>
      </c>
      <c r="AV850" s="181" t="s">
        <v>1352</v>
      </c>
      <c r="AW850" s="31" t="s">
        <v>32</v>
      </c>
      <c r="AX850" s="139">
        <v>2</v>
      </c>
      <c r="AY850" s="58" t="s">
        <v>1895</v>
      </c>
      <c r="AZ850" s="58" t="s">
        <v>1390</v>
      </c>
      <c r="BA850" s="58" t="s">
        <v>151</v>
      </c>
      <c r="BB850" s="58" t="s">
        <v>1407</v>
      </c>
      <c r="BC850" s="58"/>
    </row>
    <row r="851" spans="1:55" x14ac:dyDescent="0.25">
      <c r="A851" s="10">
        <f t="shared" si="36"/>
        <v>850</v>
      </c>
      <c r="B851" s="181" t="s">
        <v>8428</v>
      </c>
      <c r="C851" s="592" t="s">
        <v>1407</v>
      </c>
      <c r="D851" s="457">
        <v>400642</v>
      </c>
      <c r="E851" s="181" t="s">
        <v>36</v>
      </c>
      <c r="F851" s="97" t="s">
        <v>8429</v>
      </c>
      <c r="G851" s="139">
        <v>6</v>
      </c>
      <c r="H851" s="469" t="s">
        <v>235</v>
      </c>
      <c r="I851" s="469" t="s">
        <v>978</v>
      </c>
      <c r="J851" s="458">
        <v>0.33333333333333331</v>
      </c>
      <c r="K851" s="100" t="s">
        <v>287</v>
      </c>
      <c r="L851" s="97" t="s">
        <v>30</v>
      </c>
      <c r="M851" s="63" t="s">
        <v>1355</v>
      </c>
      <c r="N851" s="100" t="s">
        <v>1520</v>
      </c>
      <c r="O851" s="58" t="s">
        <v>5330</v>
      </c>
      <c r="P851" s="206">
        <v>44986</v>
      </c>
      <c r="Q851" s="206">
        <v>44986</v>
      </c>
      <c r="R851" s="206">
        <v>45716</v>
      </c>
      <c r="S851" s="461">
        <v>45717</v>
      </c>
      <c r="T851" s="139">
        <v>2012</v>
      </c>
      <c r="U851" s="181" t="s">
        <v>8430</v>
      </c>
      <c r="V851" s="139">
        <v>2021</v>
      </c>
      <c r="W851" s="140" t="s">
        <v>8431</v>
      </c>
      <c r="X851" s="181" t="s">
        <v>30</v>
      </c>
      <c r="Y851" s="58" t="s">
        <v>1611</v>
      </c>
      <c r="Z851" s="140" t="s">
        <v>8432</v>
      </c>
      <c r="AA851" s="97" t="s">
        <v>1841</v>
      </c>
      <c r="AB851" s="471">
        <v>44853</v>
      </c>
      <c r="AC851" s="471">
        <v>46678</v>
      </c>
      <c r="AD851" s="472">
        <v>9845329465</v>
      </c>
      <c r="AE851" s="473" t="s">
        <v>8433</v>
      </c>
      <c r="AF851" s="97" t="s">
        <v>1805</v>
      </c>
      <c r="AG851" s="482" t="s">
        <v>8434</v>
      </c>
      <c r="AH851" s="181" t="s">
        <v>8435</v>
      </c>
      <c r="AI851" s="139" t="s">
        <v>8436</v>
      </c>
      <c r="AJ851" s="464" t="s">
        <v>8437</v>
      </c>
      <c r="AK851" s="97" t="s">
        <v>8438</v>
      </c>
      <c r="AL851" s="206">
        <v>45373</v>
      </c>
      <c r="AM851" s="477">
        <v>45315</v>
      </c>
      <c r="AN851" s="465" t="s">
        <v>8439</v>
      </c>
      <c r="AO851" s="97"/>
      <c r="AP851" s="58"/>
      <c r="AQ851" s="486"/>
      <c r="AR851" s="462"/>
      <c r="AS851" s="479">
        <v>0.33333333333333331</v>
      </c>
      <c r="AT851" s="479">
        <v>0.66666666666666663</v>
      </c>
      <c r="AU851" s="461">
        <v>32530</v>
      </c>
      <c r="AV851" s="181" t="s">
        <v>1389</v>
      </c>
      <c r="AW851" s="31" t="s">
        <v>68</v>
      </c>
      <c r="AX851" s="139">
        <v>8</v>
      </c>
      <c r="AY851" s="58" t="s">
        <v>1881</v>
      </c>
      <c r="AZ851" s="58" t="s">
        <v>1373</v>
      </c>
      <c r="BA851" s="58" t="s">
        <v>151</v>
      </c>
      <c r="BB851" s="58" t="s">
        <v>1407</v>
      </c>
      <c r="BC851" s="58"/>
    </row>
    <row r="852" spans="1:55" x14ac:dyDescent="0.25">
      <c r="A852" s="10">
        <f t="shared" si="36"/>
        <v>851</v>
      </c>
      <c r="B852" s="181"/>
      <c r="C852" s="592" t="s">
        <v>1407</v>
      </c>
      <c r="D852" s="457">
        <v>400644</v>
      </c>
      <c r="E852" s="181" t="s">
        <v>36</v>
      </c>
      <c r="F852" s="97" t="s">
        <v>8440</v>
      </c>
      <c r="G852" s="139">
        <v>6</v>
      </c>
      <c r="H852" s="458">
        <v>0.375</v>
      </c>
      <c r="I852" s="458">
        <v>0.41666666666666669</v>
      </c>
      <c r="J852" s="458">
        <v>4.1666666666666664E-2</v>
      </c>
      <c r="K852" s="58" t="s">
        <v>446</v>
      </c>
      <c r="L852" s="97" t="s">
        <v>30</v>
      </c>
      <c r="M852" s="97" t="s">
        <v>1376</v>
      </c>
      <c r="N852" s="58" t="s">
        <v>1393</v>
      </c>
      <c r="O852" s="58"/>
      <c r="P852" s="206">
        <v>44994</v>
      </c>
      <c r="Q852" s="460">
        <v>44994</v>
      </c>
      <c r="R852" s="460">
        <v>45724</v>
      </c>
      <c r="S852" s="461">
        <v>45725</v>
      </c>
      <c r="T852" s="139">
        <v>2019</v>
      </c>
      <c r="U852" s="139" t="s">
        <v>8441</v>
      </c>
      <c r="V852" s="139" t="s">
        <v>30</v>
      </c>
      <c r="W852" s="139" t="s">
        <v>30</v>
      </c>
      <c r="X852" s="139" t="s">
        <v>30</v>
      </c>
      <c r="Y852" s="462" t="s">
        <v>8291</v>
      </c>
      <c r="Z852" s="140" t="s">
        <v>8442</v>
      </c>
      <c r="AA852" s="140"/>
      <c r="AB852" s="460"/>
      <c r="AC852" s="460"/>
      <c r="AD852" s="139">
        <v>8297072470</v>
      </c>
      <c r="AE852" s="467" t="s">
        <v>8443</v>
      </c>
      <c r="AF852" s="139" t="s">
        <v>8444</v>
      </c>
      <c r="AG852" s="463">
        <v>20255185718</v>
      </c>
      <c r="AH852" s="139" t="s">
        <v>8445</v>
      </c>
      <c r="AI852" s="139" t="s">
        <v>8446</v>
      </c>
      <c r="AJ852" s="464" t="s">
        <v>8447</v>
      </c>
      <c r="AK852" s="140" t="s">
        <v>8448</v>
      </c>
      <c r="AL852" s="206"/>
      <c r="AM852" s="477"/>
      <c r="AN852" s="465"/>
      <c r="AO852" s="140"/>
      <c r="AP852" s="139"/>
      <c r="AQ852" s="139"/>
      <c r="AR852" s="181"/>
      <c r="AS852" s="458"/>
      <c r="AT852" s="458"/>
      <c r="AU852" s="461">
        <v>35246</v>
      </c>
      <c r="AV852" s="181" t="s">
        <v>1389</v>
      </c>
      <c r="AW852" s="31" t="s">
        <v>32</v>
      </c>
      <c r="AX852" s="139">
        <v>1</v>
      </c>
      <c r="AY852" s="58" t="s">
        <v>1849</v>
      </c>
      <c r="AZ852" s="58" t="s">
        <v>1390</v>
      </c>
      <c r="BA852" s="58" t="s">
        <v>151</v>
      </c>
      <c r="BB852" s="58" t="s">
        <v>1407</v>
      </c>
      <c r="BC852" s="58"/>
    </row>
    <row r="853" spans="1:55" x14ac:dyDescent="0.25">
      <c r="A853" s="10">
        <f t="shared" si="36"/>
        <v>852</v>
      </c>
      <c r="B853" s="181" t="s">
        <v>8449</v>
      </c>
      <c r="C853" s="592" t="s">
        <v>1407</v>
      </c>
      <c r="D853" s="457">
        <v>400645</v>
      </c>
      <c r="E853" s="181" t="s">
        <v>36</v>
      </c>
      <c r="F853" s="97" t="s">
        <v>8450</v>
      </c>
      <c r="G853" s="139">
        <v>6</v>
      </c>
      <c r="H853" s="458">
        <v>0.375</v>
      </c>
      <c r="I853" s="458">
        <v>0.45833333333333331</v>
      </c>
      <c r="J853" s="458">
        <f>I853-H853</f>
        <v>8.3333333333333315E-2</v>
      </c>
      <c r="K853" s="143" t="s">
        <v>220</v>
      </c>
      <c r="L853" s="97" t="s">
        <v>30</v>
      </c>
      <c r="M853" s="97" t="s">
        <v>1376</v>
      </c>
      <c r="N853" s="58" t="s">
        <v>1393</v>
      </c>
      <c r="O853" s="58"/>
      <c r="P853" s="206">
        <v>44993</v>
      </c>
      <c r="Q853" s="460">
        <v>44993</v>
      </c>
      <c r="R853" s="460">
        <v>45723</v>
      </c>
      <c r="S853" s="461">
        <v>45724</v>
      </c>
      <c r="T853" s="139">
        <v>2017</v>
      </c>
      <c r="U853" s="139" t="s">
        <v>8451</v>
      </c>
      <c r="V853" s="139"/>
      <c r="W853" s="139" t="s">
        <v>30</v>
      </c>
      <c r="X853" s="139" t="s">
        <v>30</v>
      </c>
      <c r="Y853" s="462" t="s">
        <v>8291</v>
      </c>
      <c r="Z853" s="140" t="s">
        <v>8452</v>
      </c>
      <c r="AA853" s="140"/>
      <c r="AB853" s="460"/>
      <c r="AC853" s="460"/>
      <c r="AD853" s="488">
        <v>8147467645</v>
      </c>
      <c r="AE853" s="140" t="s">
        <v>8453</v>
      </c>
      <c r="AF853" s="139" t="s">
        <v>1805</v>
      </c>
      <c r="AG853" s="463" t="s">
        <v>8454</v>
      </c>
      <c r="AH853" s="139" t="s">
        <v>8455</v>
      </c>
      <c r="AI853" s="139" t="s">
        <v>8456</v>
      </c>
      <c r="AJ853" s="464" t="s">
        <v>8457</v>
      </c>
      <c r="AK853" s="140" t="s">
        <v>8458</v>
      </c>
      <c r="AL853" s="206">
        <v>45178</v>
      </c>
      <c r="AM853" s="477"/>
      <c r="AN853" s="465"/>
      <c r="AO853" s="140"/>
      <c r="AP853" s="139"/>
      <c r="AQ853" s="139"/>
      <c r="AR853" s="58"/>
      <c r="AS853" s="458"/>
      <c r="AT853" s="458"/>
      <c r="AU853" s="461">
        <v>33821</v>
      </c>
      <c r="AV853" s="181" t="s">
        <v>1352</v>
      </c>
      <c r="AW853" s="31" t="s">
        <v>32</v>
      </c>
      <c r="AX853" s="139">
        <v>2</v>
      </c>
      <c r="AY853" s="58" t="s">
        <v>2006</v>
      </c>
      <c r="AZ853" s="58" t="s">
        <v>1390</v>
      </c>
      <c r="BA853" s="58" t="s">
        <v>151</v>
      </c>
      <c r="BB853" s="58" t="s">
        <v>1407</v>
      </c>
      <c r="BC853" s="58"/>
    </row>
    <row r="854" spans="1:55" x14ac:dyDescent="0.25">
      <c r="A854" s="10">
        <f t="shared" si="36"/>
        <v>853</v>
      </c>
      <c r="B854" s="181"/>
      <c r="C854" s="592" t="s">
        <v>1407</v>
      </c>
      <c r="D854" s="457">
        <v>400646</v>
      </c>
      <c r="E854" s="181" t="s">
        <v>36</v>
      </c>
      <c r="F854" s="97" t="s">
        <v>537</v>
      </c>
      <c r="G854" s="139">
        <v>6</v>
      </c>
      <c r="H854" s="458">
        <v>0.375</v>
      </c>
      <c r="I854" s="458">
        <v>0.625</v>
      </c>
      <c r="J854" s="458">
        <f>I854-H854</f>
        <v>0.25</v>
      </c>
      <c r="K854" s="143" t="s">
        <v>587</v>
      </c>
      <c r="L854" s="97" t="s">
        <v>539</v>
      </c>
      <c r="M854" s="97" t="s">
        <v>26</v>
      </c>
      <c r="N854" s="58" t="s">
        <v>38</v>
      </c>
      <c r="O854" s="58" t="s">
        <v>5063</v>
      </c>
      <c r="P854" s="206">
        <v>44988</v>
      </c>
      <c r="Q854" s="460">
        <v>44988</v>
      </c>
      <c r="R854" s="460">
        <v>45718</v>
      </c>
      <c r="S854" s="461">
        <v>45719</v>
      </c>
      <c r="T854" s="139">
        <v>2015</v>
      </c>
      <c r="U854" s="139" t="s">
        <v>540</v>
      </c>
      <c r="V854" s="139">
        <v>2019</v>
      </c>
      <c r="W854" s="139" t="s">
        <v>541</v>
      </c>
      <c r="X854" s="139" t="s">
        <v>30</v>
      </c>
      <c r="Y854" s="462" t="s">
        <v>7017</v>
      </c>
      <c r="Z854" s="140" t="s">
        <v>2897</v>
      </c>
      <c r="AA854" s="140"/>
      <c r="AB854" s="460"/>
      <c r="AC854" s="460"/>
      <c r="AD854" s="139">
        <v>8179352520</v>
      </c>
      <c r="AE854" s="467" t="s">
        <v>542</v>
      </c>
      <c r="AF854" s="139" t="s">
        <v>8444</v>
      </c>
      <c r="AG854" s="463">
        <v>62344114675</v>
      </c>
      <c r="AH854" s="139" t="s">
        <v>2899</v>
      </c>
      <c r="AI854" s="139" t="s">
        <v>8459</v>
      </c>
      <c r="AJ854" s="464" t="s">
        <v>2901</v>
      </c>
      <c r="AK854" s="140" t="s">
        <v>2902</v>
      </c>
      <c r="AL854" s="461">
        <v>45133</v>
      </c>
      <c r="AM854" s="477"/>
      <c r="AN854" s="465"/>
      <c r="AO854" s="140"/>
      <c r="AP854" s="139"/>
      <c r="AQ854" s="139" t="e">
        <v>#N/A</v>
      </c>
      <c r="AR854" s="181"/>
      <c r="AS854" s="458"/>
      <c r="AT854" s="458"/>
      <c r="AU854" s="461">
        <v>33834</v>
      </c>
      <c r="AV854" s="181" t="s">
        <v>1389</v>
      </c>
      <c r="AW854" s="31" t="s">
        <v>32</v>
      </c>
      <c r="AX854" s="139">
        <v>6</v>
      </c>
      <c r="AY854" s="58" t="s">
        <v>2053</v>
      </c>
      <c r="AZ854" s="58" t="s">
        <v>26</v>
      </c>
      <c r="BA854" s="58" t="s">
        <v>151</v>
      </c>
      <c r="BB854" s="58" t="s">
        <v>1407</v>
      </c>
      <c r="BC854" s="58"/>
    </row>
    <row r="855" spans="1:55" x14ac:dyDescent="0.25">
      <c r="A855" s="10">
        <f t="shared" si="36"/>
        <v>854</v>
      </c>
      <c r="B855" s="181" t="s">
        <v>415</v>
      </c>
      <c r="C855" s="592" t="s">
        <v>1407</v>
      </c>
      <c r="D855" s="457">
        <v>400647</v>
      </c>
      <c r="E855" s="181" t="s">
        <v>36</v>
      </c>
      <c r="F855" s="97" t="s">
        <v>416</v>
      </c>
      <c r="G855" s="139">
        <v>6</v>
      </c>
      <c r="H855" s="469" t="s">
        <v>5491</v>
      </c>
      <c r="I855" s="469" t="s">
        <v>989</v>
      </c>
      <c r="J855" s="458">
        <f>I855-H855</f>
        <v>0.33333333333333337</v>
      </c>
      <c r="K855" s="100" t="s">
        <v>713</v>
      </c>
      <c r="L855" s="97" t="s">
        <v>417</v>
      </c>
      <c r="M855" s="97" t="s">
        <v>26</v>
      </c>
      <c r="N855" s="58" t="s">
        <v>38</v>
      </c>
      <c r="O855" s="58" t="s">
        <v>5063</v>
      </c>
      <c r="P855" s="206">
        <v>44986</v>
      </c>
      <c r="Q855" s="206">
        <v>44986</v>
      </c>
      <c r="R855" s="206">
        <v>45716</v>
      </c>
      <c r="S855" s="461">
        <v>45717</v>
      </c>
      <c r="T855" s="139">
        <v>2011</v>
      </c>
      <c r="U855" s="181" t="s">
        <v>418</v>
      </c>
      <c r="V855" s="139">
        <v>2017</v>
      </c>
      <c r="W855" s="140" t="s">
        <v>413</v>
      </c>
      <c r="X855" s="181" t="s">
        <v>30</v>
      </c>
      <c r="Y855" s="58" t="s">
        <v>1611</v>
      </c>
      <c r="Z855" s="140" t="s">
        <v>2581</v>
      </c>
      <c r="AA855" s="97" t="s">
        <v>8347</v>
      </c>
      <c r="AB855" s="471">
        <v>44936</v>
      </c>
      <c r="AC855" s="471">
        <v>46761</v>
      </c>
      <c r="AD855" s="472">
        <v>9642860960</v>
      </c>
      <c r="AE855" s="473" t="s">
        <v>419</v>
      </c>
      <c r="AF855" s="97" t="s">
        <v>5086</v>
      </c>
      <c r="AG855" s="482" t="s">
        <v>8460</v>
      </c>
      <c r="AH855" s="181" t="s">
        <v>8461</v>
      </c>
      <c r="AI855" s="139" t="s">
        <v>2584</v>
      </c>
      <c r="AJ855" s="464" t="s">
        <v>2585</v>
      </c>
      <c r="AK855" s="97" t="s">
        <v>2586</v>
      </c>
      <c r="AL855" s="461">
        <v>45443</v>
      </c>
      <c r="AM855" s="477">
        <v>45408</v>
      </c>
      <c r="AN855" s="465" t="s">
        <v>5098</v>
      </c>
      <c r="AO855" s="97"/>
      <c r="AP855" s="58"/>
      <c r="AQ855" s="486"/>
      <c r="AR855" s="462"/>
      <c r="AS855" s="479">
        <v>0.375</v>
      </c>
      <c r="AT855" s="479">
        <v>0.70833333333333337</v>
      </c>
      <c r="AU855" s="461">
        <v>32476</v>
      </c>
      <c r="AV855" s="181" t="s">
        <v>1389</v>
      </c>
      <c r="AW855" s="31" t="s">
        <v>68</v>
      </c>
      <c r="AX855" s="139">
        <v>8</v>
      </c>
      <c r="AY855" s="58" t="s">
        <v>2262</v>
      </c>
      <c r="AZ855" s="58" t="s">
        <v>26</v>
      </c>
      <c r="BA855" s="58" t="s">
        <v>151</v>
      </c>
      <c r="BB855" s="58" t="s">
        <v>1407</v>
      </c>
      <c r="BC855" s="58"/>
    </row>
    <row r="856" spans="1:55" x14ac:dyDescent="0.25">
      <c r="A856" s="10">
        <f t="shared" si="36"/>
        <v>855</v>
      </c>
      <c r="B856" s="181" t="s">
        <v>8462</v>
      </c>
      <c r="C856" s="592" t="s">
        <v>1407</v>
      </c>
      <c r="D856" s="457">
        <v>400564</v>
      </c>
      <c r="E856" s="181" t="s">
        <v>8354</v>
      </c>
      <c r="F856" s="97" t="s">
        <v>8463</v>
      </c>
      <c r="G856" s="139">
        <v>6</v>
      </c>
      <c r="H856" s="469" t="s">
        <v>5491</v>
      </c>
      <c r="I856" s="469" t="s">
        <v>989</v>
      </c>
      <c r="J856" s="458">
        <f>I856-H856</f>
        <v>0.33333333333333337</v>
      </c>
      <c r="K856" s="143" t="s">
        <v>255</v>
      </c>
      <c r="L856" s="97" t="s">
        <v>2507</v>
      </c>
      <c r="M856" s="97" t="s">
        <v>1908</v>
      </c>
      <c r="N856" s="58" t="s">
        <v>1909</v>
      </c>
      <c r="O856" s="58" t="s">
        <v>8464</v>
      </c>
      <c r="P856" s="206">
        <v>44830</v>
      </c>
      <c r="Q856" s="206">
        <v>44830</v>
      </c>
      <c r="R856" s="206">
        <v>45560</v>
      </c>
      <c r="S856" s="461">
        <v>45561</v>
      </c>
      <c r="T856" s="139">
        <v>2004</v>
      </c>
      <c r="U856" s="181" t="s">
        <v>8465</v>
      </c>
      <c r="V856" s="139">
        <v>2007</v>
      </c>
      <c r="W856" s="140" t="s">
        <v>8466</v>
      </c>
      <c r="X856" s="181" t="s">
        <v>8467</v>
      </c>
      <c r="Y856" s="58" t="s">
        <v>7326</v>
      </c>
      <c r="Z856" s="140" t="s">
        <v>8468</v>
      </c>
      <c r="AA856" s="97" t="s">
        <v>8469</v>
      </c>
      <c r="AB856" s="471"/>
      <c r="AC856" s="471"/>
      <c r="AD856" s="472">
        <v>9979788181</v>
      </c>
      <c r="AE856" s="473" t="s">
        <v>8470</v>
      </c>
      <c r="AF856" s="97" t="s">
        <v>1364</v>
      </c>
      <c r="AG856" s="181" t="s">
        <v>8471</v>
      </c>
      <c r="AH856" s="482" t="s">
        <v>8472</v>
      </c>
      <c r="AI856" s="139" t="s">
        <v>8473</v>
      </c>
      <c r="AJ856" s="464">
        <v>242709186990</v>
      </c>
      <c r="AK856" s="97" t="s">
        <v>8474</v>
      </c>
      <c r="AL856" s="206">
        <v>45523</v>
      </c>
      <c r="AM856" s="477">
        <v>45463</v>
      </c>
      <c r="AN856" s="465"/>
      <c r="AO856" s="97"/>
      <c r="AP856" s="58"/>
      <c r="AQ856" s="486"/>
      <c r="AR856" s="462"/>
      <c r="AS856" s="479">
        <v>0.375</v>
      </c>
      <c r="AT856" s="479">
        <v>0.70833333333333337</v>
      </c>
      <c r="AU856" s="461">
        <v>29937</v>
      </c>
      <c r="AV856" s="181" t="s">
        <v>1352</v>
      </c>
      <c r="AW856" s="31" t="s">
        <v>68</v>
      </c>
      <c r="AX856" s="139">
        <v>8</v>
      </c>
      <c r="AY856" s="58" t="s">
        <v>2068</v>
      </c>
      <c r="AZ856" s="484" t="s">
        <v>1908</v>
      </c>
      <c r="BA856" s="58" t="s">
        <v>151</v>
      </c>
      <c r="BB856" s="58" t="s">
        <v>1407</v>
      </c>
      <c r="BC856" s="58"/>
    </row>
    <row r="857" spans="1:55" x14ac:dyDescent="0.25">
      <c r="A857" s="10">
        <f t="shared" si="36"/>
        <v>856</v>
      </c>
      <c r="B857" s="181" t="s">
        <v>8475</v>
      </c>
      <c r="C857" s="592" t="s">
        <v>1407</v>
      </c>
      <c r="D857" s="457">
        <v>400649</v>
      </c>
      <c r="E857" s="181" t="s">
        <v>36</v>
      </c>
      <c r="F857" s="97" t="s">
        <v>8476</v>
      </c>
      <c r="G857" s="139">
        <v>6</v>
      </c>
      <c r="H857" s="458">
        <v>0.375</v>
      </c>
      <c r="I857" s="458">
        <v>0.41666666666666669</v>
      </c>
      <c r="J857" s="458">
        <v>4.1666666666666664E-2</v>
      </c>
      <c r="K857" s="100" t="s">
        <v>680</v>
      </c>
      <c r="L857" s="97" t="s">
        <v>30</v>
      </c>
      <c r="M857" s="97" t="s">
        <v>1376</v>
      </c>
      <c r="N857" s="58" t="s">
        <v>1393</v>
      </c>
      <c r="O857" s="58"/>
      <c r="P857" s="206">
        <v>44998</v>
      </c>
      <c r="Q857" s="460">
        <v>44998</v>
      </c>
      <c r="R857" s="460">
        <v>45728</v>
      </c>
      <c r="S857" s="461">
        <v>45729</v>
      </c>
      <c r="T857" s="139">
        <v>2021</v>
      </c>
      <c r="U857" s="139" t="s">
        <v>8477</v>
      </c>
      <c r="V857" s="139" t="s">
        <v>30</v>
      </c>
      <c r="W857" s="139" t="s">
        <v>30</v>
      </c>
      <c r="X857" s="139" t="s">
        <v>30</v>
      </c>
      <c r="Y857" s="462" t="s">
        <v>8291</v>
      </c>
      <c r="Z857" s="140" t="s">
        <v>8478</v>
      </c>
      <c r="AA857" s="140"/>
      <c r="AB857" s="460"/>
      <c r="AC857" s="460"/>
      <c r="AD857" s="139">
        <v>7013901319</v>
      </c>
      <c r="AE857" s="467" t="s">
        <v>8479</v>
      </c>
      <c r="AF857" s="139" t="s">
        <v>8480</v>
      </c>
      <c r="AG857" s="463" t="s">
        <v>8480</v>
      </c>
      <c r="AH857" s="139" t="s">
        <v>8480</v>
      </c>
      <c r="AI857" s="139" t="s">
        <v>8481</v>
      </c>
      <c r="AJ857" s="464" t="s">
        <v>8482</v>
      </c>
      <c r="AK857" s="140" t="s">
        <v>8483</v>
      </c>
      <c r="AL857" s="206"/>
      <c r="AM857" s="477"/>
      <c r="AN857" s="465"/>
      <c r="AO857" s="140"/>
      <c r="AP857" s="139"/>
      <c r="AQ857" s="139"/>
      <c r="AR857" s="181"/>
      <c r="AS857" s="458"/>
      <c r="AT857" s="458"/>
      <c r="AU857" s="461">
        <v>34443</v>
      </c>
      <c r="AV857" s="181" t="s">
        <v>1352</v>
      </c>
      <c r="AW857" s="31" t="s">
        <v>32</v>
      </c>
      <c r="AX857" s="139">
        <v>1</v>
      </c>
      <c r="AY857" s="58" t="s">
        <v>2189</v>
      </c>
      <c r="AZ857" s="58" t="s">
        <v>1390</v>
      </c>
      <c r="BA857" s="58" t="s">
        <v>151</v>
      </c>
      <c r="BB857" s="58" t="s">
        <v>1407</v>
      </c>
      <c r="BC857" s="58"/>
    </row>
    <row r="858" spans="1:55" x14ac:dyDescent="0.25">
      <c r="A858" s="10">
        <f t="shared" si="36"/>
        <v>857</v>
      </c>
      <c r="B858" s="181" t="s">
        <v>8484</v>
      </c>
      <c r="C858" s="592" t="s">
        <v>1407</v>
      </c>
      <c r="D858" s="457">
        <v>400994</v>
      </c>
      <c r="E858" s="181" t="s">
        <v>36</v>
      </c>
      <c r="F858" s="97" t="s">
        <v>8485</v>
      </c>
      <c r="G858" s="139">
        <v>6</v>
      </c>
      <c r="H858" s="469" t="s">
        <v>7708</v>
      </c>
      <c r="I858" s="469" t="s">
        <v>8486</v>
      </c>
      <c r="J858" s="458">
        <f>I858-H858</f>
        <v>8.3333333333333315E-2</v>
      </c>
      <c r="K858" s="100" t="s">
        <v>680</v>
      </c>
      <c r="L858" s="97" t="s">
        <v>1424</v>
      </c>
      <c r="M858" s="63" t="s">
        <v>1355</v>
      </c>
      <c r="N858" s="100" t="s">
        <v>1520</v>
      </c>
      <c r="O858" s="58" t="s">
        <v>6947</v>
      </c>
      <c r="P858" s="206">
        <v>45422</v>
      </c>
      <c r="Q858" s="206">
        <v>45422</v>
      </c>
      <c r="R858" s="206">
        <v>46151</v>
      </c>
      <c r="S858" s="461">
        <v>46152</v>
      </c>
      <c r="T858" s="139">
        <v>2014</v>
      </c>
      <c r="U858" s="181" t="s">
        <v>8487</v>
      </c>
      <c r="V858" s="139">
        <v>2021</v>
      </c>
      <c r="W858" s="97" t="s">
        <v>209</v>
      </c>
      <c r="X858" s="181" t="s">
        <v>30</v>
      </c>
      <c r="Y858" s="58" t="s">
        <v>5066</v>
      </c>
      <c r="Z858" s="140" t="s">
        <v>8488</v>
      </c>
      <c r="AA858" s="470" t="s">
        <v>1841</v>
      </c>
      <c r="AB858" s="471">
        <v>44917</v>
      </c>
      <c r="AC858" s="471">
        <v>46742</v>
      </c>
      <c r="AD858" s="472">
        <v>8328667272</v>
      </c>
      <c r="AE858" s="473" t="s">
        <v>8489</v>
      </c>
      <c r="AF858" s="474" t="s">
        <v>1833</v>
      </c>
      <c r="AG858" s="475" t="s">
        <v>8490</v>
      </c>
      <c r="AH858" s="181" t="s">
        <v>2891</v>
      </c>
      <c r="AI858" s="139" t="s">
        <v>8491</v>
      </c>
      <c r="AJ858" s="476">
        <v>357162032223</v>
      </c>
      <c r="AK858" s="470"/>
      <c r="AL858" s="206">
        <v>45525</v>
      </c>
      <c r="AM858" s="477">
        <v>45521</v>
      </c>
      <c r="AN858" s="478" t="s">
        <v>8492</v>
      </c>
      <c r="AO858" s="140" t="s">
        <v>8493</v>
      </c>
      <c r="AP858" s="58"/>
      <c r="AQ858" s="140" t="s">
        <v>8493</v>
      </c>
      <c r="AR858" s="462"/>
      <c r="AS858" s="479">
        <v>0.45833333333333331</v>
      </c>
      <c r="AT858" s="479">
        <v>0.54166666666666663</v>
      </c>
      <c r="AU858" s="480">
        <v>33334</v>
      </c>
      <c r="AV858" s="181" t="s">
        <v>1389</v>
      </c>
      <c r="AW858" s="31" t="s">
        <v>32</v>
      </c>
      <c r="AX858" s="139">
        <v>2</v>
      </c>
      <c r="AY858" s="58" t="s">
        <v>2189</v>
      </c>
      <c r="AZ858" s="58" t="s">
        <v>1373</v>
      </c>
      <c r="BA858" s="58" t="s">
        <v>151</v>
      </c>
      <c r="BB858" s="58" t="s">
        <v>1407</v>
      </c>
      <c r="BC858" s="58"/>
    </row>
    <row r="859" spans="1:55" x14ac:dyDescent="0.25">
      <c r="A859" s="10">
        <f t="shared" si="36"/>
        <v>858</v>
      </c>
      <c r="B859" s="181"/>
      <c r="C859" s="592" t="s">
        <v>1407</v>
      </c>
      <c r="D859" s="457">
        <v>400651</v>
      </c>
      <c r="E859" s="181" t="s">
        <v>36</v>
      </c>
      <c r="F859" s="97" t="s">
        <v>8494</v>
      </c>
      <c r="G859" s="139">
        <v>6</v>
      </c>
      <c r="H859" s="458">
        <v>0.33333333333333331</v>
      </c>
      <c r="I859" s="458">
        <v>0.375</v>
      </c>
      <c r="J859" s="458">
        <v>4.1666666666666664E-2</v>
      </c>
      <c r="K859" s="100" t="s">
        <v>6088</v>
      </c>
      <c r="L859" s="97" t="s">
        <v>30</v>
      </c>
      <c r="M859" s="97" t="s">
        <v>1376</v>
      </c>
      <c r="N859" s="58" t="s">
        <v>1393</v>
      </c>
      <c r="O859" s="58"/>
      <c r="P859" s="206">
        <v>44998</v>
      </c>
      <c r="Q859" s="460">
        <v>44998</v>
      </c>
      <c r="R859" s="460">
        <v>45728</v>
      </c>
      <c r="S859" s="461">
        <v>45729</v>
      </c>
      <c r="T859" s="139">
        <v>2018</v>
      </c>
      <c r="U859" s="139" t="s">
        <v>8495</v>
      </c>
      <c r="V859" s="139" t="s">
        <v>30</v>
      </c>
      <c r="W859" s="139" t="s">
        <v>30</v>
      </c>
      <c r="X859" s="139" t="s">
        <v>30</v>
      </c>
      <c r="Y859" s="462" t="s">
        <v>8291</v>
      </c>
      <c r="Z859" s="140" t="s">
        <v>8496</v>
      </c>
      <c r="AA859" s="140"/>
      <c r="AB859" s="460"/>
      <c r="AC859" s="460"/>
      <c r="AD859" s="139">
        <v>9148811665</v>
      </c>
      <c r="AE859" s="467" t="s">
        <v>8497</v>
      </c>
      <c r="AF859" s="139" t="s">
        <v>8480</v>
      </c>
      <c r="AG859" s="463" t="s">
        <v>8480</v>
      </c>
      <c r="AH859" s="139" t="s">
        <v>8480</v>
      </c>
      <c r="AI859" s="139" t="s">
        <v>8498</v>
      </c>
      <c r="AJ859" s="464" t="s">
        <v>8499</v>
      </c>
      <c r="AK859" s="140" t="s">
        <v>8500</v>
      </c>
      <c r="AL859" s="206"/>
      <c r="AM859" s="477"/>
      <c r="AN859" s="465"/>
      <c r="AO859" s="140"/>
      <c r="AP859" s="139"/>
      <c r="AQ859" s="139"/>
      <c r="AR859" s="181"/>
      <c r="AS859" s="458"/>
      <c r="AT859" s="458"/>
      <c r="AU859" s="461">
        <v>34777</v>
      </c>
      <c r="AV859" s="181" t="s">
        <v>1389</v>
      </c>
      <c r="AW859" s="31" t="s">
        <v>32</v>
      </c>
      <c r="AX859" s="139">
        <v>1</v>
      </c>
      <c r="AY859" s="58" t="s">
        <v>1959</v>
      </c>
      <c r="AZ859" s="58" t="s">
        <v>1390</v>
      </c>
      <c r="BA859" s="58" t="s">
        <v>151</v>
      </c>
      <c r="BB859" s="58" t="s">
        <v>1407</v>
      </c>
      <c r="BC859" s="58"/>
    </row>
    <row r="860" spans="1:55" x14ac:dyDescent="0.25">
      <c r="A860" s="10">
        <f t="shared" si="36"/>
        <v>859</v>
      </c>
      <c r="B860" s="181" t="s">
        <v>8501</v>
      </c>
      <c r="C860" s="592" t="s">
        <v>1407</v>
      </c>
      <c r="D860" s="457">
        <v>400829</v>
      </c>
      <c r="E860" s="181" t="s">
        <v>36</v>
      </c>
      <c r="F860" s="97" t="s">
        <v>8502</v>
      </c>
      <c r="G860" s="139">
        <v>6</v>
      </c>
      <c r="H860" s="469" t="s">
        <v>235</v>
      </c>
      <c r="I860" s="469" t="s">
        <v>978</v>
      </c>
      <c r="J860" s="458">
        <v>0.33333333333333331</v>
      </c>
      <c r="K860" s="462" t="s">
        <v>154</v>
      </c>
      <c r="L860" s="97" t="s">
        <v>1424</v>
      </c>
      <c r="M860" s="63" t="s">
        <v>1355</v>
      </c>
      <c r="N860" s="100" t="s">
        <v>1520</v>
      </c>
      <c r="O860" s="58" t="s">
        <v>6947</v>
      </c>
      <c r="P860" s="206">
        <v>45159</v>
      </c>
      <c r="Q860" s="206">
        <v>45159</v>
      </c>
      <c r="R860" s="206">
        <v>45889</v>
      </c>
      <c r="S860" s="461">
        <v>45890</v>
      </c>
      <c r="T860" s="139">
        <v>2014</v>
      </c>
      <c r="U860" s="181" t="s">
        <v>209</v>
      </c>
      <c r="V860" s="139">
        <v>2019</v>
      </c>
      <c r="W860" s="140" t="s">
        <v>8503</v>
      </c>
      <c r="X860" s="181" t="s">
        <v>30</v>
      </c>
      <c r="Y860" s="58" t="s">
        <v>5066</v>
      </c>
      <c r="Z860" s="140" t="s">
        <v>8504</v>
      </c>
      <c r="AA860" s="97" t="s">
        <v>1841</v>
      </c>
      <c r="AB860" s="471">
        <v>44364</v>
      </c>
      <c r="AC860" s="471">
        <v>46189</v>
      </c>
      <c r="AD860" s="472">
        <v>7207152889</v>
      </c>
      <c r="AE860" s="473" t="s">
        <v>8505</v>
      </c>
      <c r="AF860" s="97" t="s">
        <v>1430</v>
      </c>
      <c r="AG860" s="482">
        <v>50100470042930</v>
      </c>
      <c r="AH860" s="181" t="s">
        <v>8506</v>
      </c>
      <c r="AI860" s="139" t="s">
        <v>8507</v>
      </c>
      <c r="AJ860" s="464">
        <v>294068268394</v>
      </c>
      <c r="AK860" s="97"/>
      <c r="AL860" s="206">
        <v>45527</v>
      </c>
      <c r="AM860" s="477">
        <v>45467</v>
      </c>
      <c r="AN860" s="465"/>
      <c r="AO860" s="140" t="s">
        <v>8508</v>
      </c>
      <c r="AP860" s="58"/>
      <c r="AQ860" s="483" t="s">
        <v>8508</v>
      </c>
      <c r="AR860" s="462"/>
      <c r="AS860" s="479">
        <v>0.33333333333333331</v>
      </c>
      <c r="AT860" s="479">
        <v>0.66666666666666663</v>
      </c>
      <c r="AU860" s="461">
        <v>33331</v>
      </c>
      <c r="AV860" s="181" t="s">
        <v>1389</v>
      </c>
      <c r="AW860" s="31" t="s">
        <v>68</v>
      </c>
      <c r="AX860" s="139">
        <v>8</v>
      </c>
      <c r="AY860" s="58" t="s">
        <v>1904</v>
      </c>
      <c r="AZ860" s="58" t="s">
        <v>1373</v>
      </c>
      <c r="BA860" s="58" t="s">
        <v>151</v>
      </c>
      <c r="BB860" s="58" t="s">
        <v>1407</v>
      </c>
      <c r="BC860" s="58"/>
    </row>
    <row r="861" spans="1:55" x14ac:dyDescent="0.25">
      <c r="A861" s="10">
        <f t="shared" si="36"/>
        <v>860</v>
      </c>
      <c r="B861" s="181" t="s">
        <v>8509</v>
      </c>
      <c r="C861" s="592" t="s">
        <v>1407</v>
      </c>
      <c r="D861" s="457">
        <v>400262</v>
      </c>
      <c r="E861" s="181" t="s">
        <v>36</v>
      </c>
      <c r="F861" s="97" t="s">
        <v>8510</v>
      </c>
      <c r="G861" s="139">
        <v>6</v>
      </c>
      <c r="H861" s="469" t="s">
        <v>6636</v>
      </c>
      <c r="I861" s="469" t="s">
        <v>1105</v>
      </c>
      <c r="J861" s="458">
        <f>I861-H861</f>
        <v>8.333333333333337E-2</v>
      </c>
      <c r="K861" s="143" t="s">
        <v>1266</v>
      </c>
      <c r="L861" s="97" t="s">
        <v>8511</v>
      </c>
      <c r="M861" s="97" t="s">
        <v>26</v>
      </c>
      <c r="N861" s="58" t="s">
        <v>38</v>
      </c>
      <c r="O861" s="462" t="s">
        <v>5076</v>
      </c>
      <c r="P861" s="206">
        <v>44146</v>
      </c>
      <c r="Q861" s="206">
        <v>44876</v>
      </c>
      <c r="R861" s="206">
        <v>45606</v>
      </c>
      <c r="S861" s="461">
        <v>45607</v>
      </c>
      <c r="T861" s="139">
        <v>2015</v>
      </c>
      <c r="U861" s="181" t="s">
        <v>856</v>
      </c>
      <c r="V861" s="139">
        <v>2020</v>
      </c>
      <c r="W861" s="140" t="s">
        <v>8512</v>
      </c>
      <c r="X861" s="181" t="s">
        <v>30</v>
      </c>
      <c r="Y861" s="58" t="s">
        <v>5078</v>
      </c>
      <c r="Z861" s="140" t="s">
        <v>8513</v>
      </c>
      <c r="AA861" s="97" t="s">
        <v>1841</v>
      </c>
      <c r="AB861" s="471">
        <v>44404</v>
      </c>
      <c r="AC861" s="471">
        <v>46229</v>
      </c>
      <c r="AD861" s="472">
        <v>9739795196</v>
      </c>
      <c r="AE861" s="473" t="s">
        <v>8514</v>
      </c>
      <c r="AF861" s="97" t="s">
        <v>5086</v>
      </c>
      <c r="AG861" s="482" t="s">
        <v>8515</v>
      </c>
      <c r="AH861" s="181" t="s">
        <v>8516</v>
      </c>
      <c r="AI861" s="139" t="s">
        <v>8517</v>
      </c>
      <c r="AJ861" s="464">
        <v>695042630421</v>
      </c>
      <c r="AK861" s="97" t="s">
        <v>8518</v>
      </c>
      <c r="AL861" s="461">
        <v>45530</v>
      </c>
      <c r="AM861" s="477">
        <v>45530</v>
      </c>
      <c r="AN861" s="465" t="s">
        <v>895</v>
      </c>
      <c r="AO861" s="97"/>
      <c r="AP861" s="58"/>
      <c r="AQ861" s="486"/>
      <c r="AR861" s="462"/>
      <c r="AS861" s="479">
        <v>0.72916666666666663</v>
      </c>
      <c r="AT861" s="479">
        <v>0.8125</v>
      </c>
      <c r="AU861" s="461">
        <v>33515</v>
      </c>
      <c r="AV861" s="181" t="s">
        <v>1352</v>
      </c>
      <c r="AW861" s="31" t="s">
        <v>32</v>
      </c>
      <c r="AX861" s="139">
        <v>2</v>
      </c>
      <c r="AY861" s="466" t="s">
        <v>1904</v>
      </c>
      <c r="AZ861" s="58" t="s">
        <v>26</v>
      </c>
      <c r="BA861" s="58" t="s">
        <v>151</v>
      </c>
      <c r="BB861" s="58" t="s">
        <v>1407</v>
      </c>
      <c r="BC861" s="58"/>
    </row>
    <row r="862" spans="1:55" x14ac:dyDescent="0.25">
      <c r="A862" s="10">
        <f t="shared" si="36"/>
        <v>861</v>
      </c>
      <c r="B862" s="181" t="s">
        <v>8519</v>
      </c>
      <c r="C862" s="592" t="s">
        <v>1407</v>
      </c>
      <c r="D862" s="457">
        <v>400656</v>
      </c>
      <c r="E862" s="181" t="s">
        <v>36</v>
      </c>
      <c r="F862" s="97" t="s">
        <v>8520</v>
      </c>
      <c r="G862" s="139">
        <v>6</v>
      </c>
      <c r="H862" s="458">
        <v>0.41666666666666669</v>
      </c>
      <c r="I862" s="458">
        <v>0.75</v>
      </c>
      <c r="J862" s="458">
        <f>I862-H862</f>
        <v>0.33333333333333331</v>
      </c>
      <c r="K862" s="100" t="s">
        <v>669</v>
      </c>
      <c r="L862" s="97"/>
      <c r="M862" s="97" t="s">
        <v>26</v>
      </c>
      <c r="N862" s="58" t="s">
        <v>38</v>
      </c>
      <c r="O862" s="58"/>
      <c r="P862" s="206">
        <v>45023</v>
      </c>
      <c r="Q862" s="460">
        <v>45023</v>
      </c>
      <c r="R862" s="460">
        <v>45753</v>
      </c>
      <c r="S862" s="461">
        <v>45754</v>
      </c>
      <c r="T862" s="139"/>
      <c r="U862" s="139" t="s">
        <v>8521</v>
      </c>
      <c r="V862" s="139"/>
      <c r="W862" s="139"/>
      <c r="X862" s="139"/>
      <c r="Y862" s="462"/>
      <c r="Z862" s="140"/>
      <c r="AA862" s="140"/>
      <c r="AB862" s="460"/>
      <c r="AC862" s="460"/>
      <c r="AD862" s="488">
        <v>7661924775</v>
      </c>
      <c r="AE862" s="467" t="s">
        <v>8522</v>
      </c>
      <c r="AF862" s="139" t="s">
        <v>1430</v>
      </c>
      <c r="AG862" s="463">
        <v>62310885398</v>
      </c>
      <c r="AH862" s="139" t="s">
        <v>8523</v>
      </c>
      <c r="AI862" s="139" t="s">
        <v>8524</v>
      </c>
      <c r="AJ862" s="464"/>
      <c r="AK862" s="140"/>
      <c r="AL862" s="461">
        <v>45023</v>
      </c>
      <c r="AM862" s="477"/>
      <c r="AN862" s="465"/>
      <c r="AO862" s="140"/>
      <c r="AP862" s="139"/>
      <c r="AQ862" s="139"/>
      <c r="AR862" s="58"/>
      <c r="AS862" s="458"/>
      <c r="AT862" s="458"/>
      <c r="AU862" s="461"/>
      <c r="AV862" s="181" t="s">
        <v>1352</v>
      </c>
      <c r="AW862" s="31" t="s">
        <v>68</v>
      </c>
      <c r="AX862" s="139">
        <v>8</v>
      </c>
      <c r="AY862" s="58" t="s">
        <v>2469</v>
      </c>
      <c r="AZ862" s="58" t="s">
        <v>26</v>
      </c>
      <c r="BA862" s="58" t="s">
        <v>151</v>
      </c>
      <c r="BB862" s="58" t="s">
        <v>1407</v>
      </c>
      <c r="BC862" s="58"/>
    </row>
    <row r="863" spans="1:55" x14ac:dyDescent="0.25">
      <c r="A863" s="10">
        <f t="shared" si="36"/>
        <v>862</v>
      </c>
      <c r="B863" s="181" t="s">
        <v>3241</v>
      </c>
      <c r="C863" s="592" t="s">
        <v>1407</v>
      </c>
      <c r="D863" s="457">
        <v>400657</v>
      </c>
      <c r="E863" s="181" t="s">
        <v>36</v>
      </c>
      <c r="F863" s="97" t="s">
        <v>3242</v>
      </c>
      <c r="G863" s="139">
        <v>6</v>
      </c>
      <c r="H863" s="458">
        <v>0.70833333333333337</v>
      </c>
      <c r="I863" s="458">
        <v>0.83333333333333337</v>
      </c>
      <c r="J863" s="458">
        <f>I863-H863</f>
        <v>0.125</v>
      </c>
      <c r="K863" s="143" t="s">
        <v>477</v>
      </c>
      <c r="L863" s="97"/>
      <c r="M863" s="97" t="s">
        <v>1544</v>
      </c>
      <c r="N863" s="58" t="s">
        <v>1992</v>
      </c>
      <c r="O863" s="58"/>
      <c r="P863" s="206">
        <v>45029</v>
      </c>
      <c r="Q863" s="460">
        <v>45029</v>
      </c>
      <c r="R863" s="460">
        <v>45759</v>
      </c>
      <c r="S863" s="461">
        <v>45760</v>
      </c>
      <c r="T863" s="139"/>
      <c r="U863" s="139" t="s">
        <v>8525</v>
      </c>
      <c r="V863" s="139"/>
      <c r="W863" s="139"/>
      <c r="X863" s="139"/>
      <c r="Y863" s="462"/>
      <c r="Z863" s="140" t="s">
        <v>3243</v>
      </c>
      <c r="AA863" s="140"/>
      <c r="AB863" s="460"/>
      <c r="AC863" s="460"/>
      <c r="AD863" s="488">
        <v>7799990950</v>
      </c>
      <c r="AE863" s="140" t="s">
        <v>3244</v>
      </c>
      <c r="AF863" s="139" t="s">
        <v>1430</v>
      </c>
      <c r="AG863" s="463" t="s">
        <v>3245</v>
      </c>
      <c r="AH863" s="139" t="s">
        <v>3246</v>
      </c>
      <c r="AI863" s="139" t="s">
        <v>3247</v>
      </c>
      <c r="AJ863" s="464"/>
      <c r="AK863" s="140"/>
      <c r="AL863" s="206">
        <v>45290</v>
      </c>
      <c r="AM863" s="477">
        <v>45261</v>
      </c>
      <c r="AN863" s="465"/>
      <c r="AO863" s="140"/>
      <c r="AP863" s="139"/>
      <c r="AQ863" s="139"/>
      <c r="AR863" s="58"/>
      <c r="AS863" s="458">
        <v>0.70833333333333337</v>
      </c>
      <c r="AT863" s="458">
        <v>0.83333333333333337</v>
      </c>
      <c r="AU863" s="461"/>
      <c r="AV863" s="181" t="s">
        <v>1352</v>
      </c>
      <c r="AW863" s="31" t="s">
        <v>32</v>
      </c>
      <c r="AX863" s="139">
        <v>3</v>
      </c>
      <c r="AY863" s="58" t="s">
        <v>2053</v>
      </c>
      <c r="AZ863" s="58" t="s">
        <v>1373</v>
      </c>
      <c r="BA863" s="58" t="s">
        <v>151</v>
      </c>
      <c r="BB863" s="58" t="s">
        <v>1407</v>
      </c>
      <c r="BC863" s="58"/>
    </row>
    <row r="864" spans="1:55" x14ac:dyDescent="0.25">
      <c r="A864" s="10">
        <f t="shared" si="36"/>
        <v>863</v>
      </c>
      <c r="B864" s="181" t="s">
        <v>8526</v>
      </c>
      <c r="C864" s="592" t="s">
        <v>1407</v>
      </c>
      <c r="D864" s="457">
        <v>400975</v>
      </c>
      <c r="E864" s="181" t="s">
        <v>9124</v>
      </c>
      <c r="F864" s="97" t="s">
        <v>8527</v>
      </c>
      <c r="G864" s="139">
        <v>6</v>
      </c>
      <c r="H864" s="469" t="s">
        <v>8528</v>
      </c>
      <c r="I864" s="469" t="s">
        <v>8529</v>
      </c>
      <c r="J864" s="458">
        <v>0.33333333333333331</v>
      </c>
      <c r="K864" s="100" t="s">
        <v>713</v>
      </c>
      <c r="L864" s="97" t="s">
        <v>8530</v>
      </c>
      <c r="M864" s="97" t="s">
        <v>26</v>
      </c>
      <c r="N864" s="58" t="s">
        <v>38</v>
      </c>
      <c r="O864" s="462" t="s">
        <v>5076</v>
      </c>
      <c r="P864" s="206">
        <v>45383</v>
      </c>
      <c r="Q864" s="206">
        <v>45383</v>
      </c>
      <c r="R864" s="206">
        <v>46112</v>
      </c>
      <c r="S864" s="461">
        <v>46113</v>
      </c>
      <c r="T864" s="139">
        <v>2018</v>
      </c>
      <c r="U864" s="181" t="s">
        <v>230</v>
      </c>
      <c r="V864" s="139">
        <v>2022</v>
      </c>
      <c r="W864" s="97" t="s">
        <v>8531</v>
      </c>
      <c r="X864" s="181" t="s">
        <v>30</v>
      </c>
      <c r="Y864" s="58" t="s">
        <v>5066</v>
      </c>
      <c r="Z864" s="140" t="s">
        <v>8532</v>
      </c>
      <c r="AA864" s="470" t="s">
        <v>1886</v>
      </c>
      <c r="AB864" s="471">
        <v>44960</v>
      </c>
      <c r="AC864" s="471">
        <v>46785</v>
      </c>
      <c r="AD864" s="472">
        <v>7731852950</v>
      </c>
      <c r="AE864" s="473" t="s">
        <v>8533</v>
      </c>
      <c r="AF864" s="474" t="s">
        <v>1466</v>
      </c>
      <c r="AG864" s="475" t="s">
        <v>8534</v>
      </c>
      <c r="AH864" s="181" t="s">
        <v>8535</v>
      </c>
      <c r="AI864" s="139" t="s">
        <v>8536</v>
      </c>
      <c r="AJ864" s="476">
        <v>573652095207</v>
      </c>
      <c r="AK864" s="470"/>
      <c r="AL864" s="461">
        <v>45532</v>
      </c>
      <c r="AM864" s="477">
        <v>45472</v>
      </c>
      <c r="AN864" s="465" t="s">
        <v>1592</v>
      </c>
      <c r="AO864" s="140" t="s">
        <v>8537</v>
      </c>
      <c r="AP864" s="58"/>
      <c r="AQ864" s="140" t="s">
        <v>8537</v>
      </c>
      <c r="AR864" s="462"/>
      <c r="AS864" s="479">
        <v>0.375</v>
      </c>
      <c r="AT864" s="479">
        <v>0.70833333333333337</v>
      </c>
      <c r="AU864" s="480">
        <v>34988</v>
      </c>
      <c r="AV864" s="181" t="s">
        <v>1389</v>
      </c>
      <c r="AW864" s="31" t="s">
        <v>68</v>
      </c>
      <c r="AX864" s="139">
        <v>8</v>
      </c>
      <c r="AY864" s="58" t="s">
        <v>2262</v>
      </c>
      <c r="AZ864" s="58" t="s">
        <v>26</v>
      </c>
      <c r="BA864" s="58" t="s">
        <v>151</v>
      </c>
      <c r="BB864" s="58" t="s">
        <v>1407</v>
      </c>
      <c r="BC864" s="58"/>
    </row>
    <row r="865" spans="1:55" x14ac:dyDescent="0.25">
      <c r="A865" s="10">
        <f t="shared" si="36"/>
        <v>864</v>
      </c>
      <c r="B865" s="181" t="s">
        <v>8538</v>
      </c>
      <c r="C865" s="592" t="s">
        <v>1407</v>
      </c>
      <c r="D865" s="457">
        <v>400659</v>
      </c>
      <c r="E865" s="181" t="s">
        <v>9124</v>
      </c>
      <c r="F865" s="97" t="s">
        <v>8539</v>
      </c>
      <c r="G865" s="139">
        <v>6</v>
      </c>
      <c r="H865" s="458" t="s">
        <v>8540</v>
      </c>
      <c r="I865" s="458" t="s">
        <v>8541</v>
      </c>
      <c r="J865" s="458">
        <v>0.27083333333333331</v>
      </c>
      <c r="K865" s="100" t="s">
        <v>922</v>
      </c>
      <c r="L865" s="97"/>
      <c r="M865" s="97" t="s">
        <v>26</v>
      </c>
      <c r="N865" s="58" t="s">
        <v>38</v>
      </c>
      <c r="O865" s="58"/>
      <c r="P865" s="206">
        <v>45033</v>
      </c>
      <c r="Q865" s="460">
        <v>45033</v>
      </c>
      <c r="R865" s="460">
        <v>45763</v>
      </c>
      <c r="S865" s="461">
        <v>45764</v>
      </c>
      <c r="T865" s="139"/>
      <c r="U865" s="139" t="s">
        <v>8542</v>
      </c>
      <c r="V865" s="139"/>
      <c r="W865" s="139"/>
      <c r="X865" s="139"/>
      <c r="Y865" s="462"/>
      <c r="Z865" s="140" t="s">
        <v>8543</v>
      </c>
      <c r="AA865" s="140"/>
      <c r="AB865" s="460"/>
      <c r="AC865" s="460"/>
      <c r="AD865" s="488">
        <v>8903622301</v>
      </c>
      <c r="AE865" s="140" t="s">
        <v>8544</v>
      </c>
      <c r="AF865" s="139" t="s">
        <v>8545</v>
      </c>
      <c r="AG865" s="463" t="s">
        <v>8546</v>
      </c>
      <c r="AH865" s="139" t="s">
        <v>8547</v>
      </c>
      <c r="AI865" s="139" t="s">
        <v>8548</v>
      </c>
      <c r="AJ865" s="464"/>
      <c r="AK865" s="140"/>
      <c r="AL865" s="461">
        <v>45168</v>
      </c>
      <c r="AM865" s="477"/>
      <c r="AN865" s="465"/>
      <c r="AO865" s="140"/>
      <c r="AP865" s="139"/>
      <c r="AQ865" s="139"/>
      <c r="AR865" s="58"/>
      <c r="AS865" s="458"/>
      <c r="AT865" s="458"/>
      <c r="AU865" s="461"/>
      <c r="AV865" s="181" t="s">
        <v>1352</v>
      </c>
      <c r="AW865" s="31" t="s">
        <v>32</v>
      </c>
      <c r="AX865" s="139">
        <v>6.5</v>
      </c>
      <c r="AY865" s="58" t="s">
        <v>2053</v>
      </c>
      <c r="AZ865" s="58" t="s">
        <v>26</v>
      </c>
      <c r="BA865" s="58" t="s">
        <v>151</v>
      </c>
      <c r="BB865" s="58" t="s">
        <v>1407</v>
      </c>
      <c r="BC865" s="58"/>
    </row>
    <row r="866" spans="1:55" x14ac:dyDescent="0.25">
      <c r="A866" s="10">
        <f t="shared" si="36"/>
        <v>865</v>
      </c>
      <c r="B866" s="181" t="s">
        <v>8549</v>
      </c>
      <c r="C866" s="592" t="s">
        <v>1407</v>
      </c>
      <c r="D866" s="457">
        <v>400660</v>
      </c>
      <c r="E866" s="181" t="s">
        <v>36</v>
      </c>
      <c r="F866" s="97" t="s">
        <v>8550</v>
      </c>
      <c r="G866" s="139">
        <v>6</v>
      </c>
      <c r="H866" s="458">
        <v>0.66666666666666663</v>
      </c>
      <c r="I866" s="458">
        <v>0.83333333333333337</v>
      </c>
      <c r="J866" s="458">
        <f>I866-H866</f>
        <v>0.16666666666666674</v>
      </c>
      <c r="K866" s="143" t="s">
        <v>255</v>
      </c>
      <c r="L866" s="97" t="s">
        <v>440</v>
      </c>
      <c r="M866" s="97" t="s">
        <v>26</v>
      </c>
      <c r="N866" s="58" t="s">
        <v>38</v>
      </c>
      <c r="O866" s="58"/>
      <c r="P866" s="206">
        <v>45033</v>
      </c>
      <c r="Q866" s="460">
        <v>45033</v>
      </c>
      <c r="R866" s="460">
        <v>45763</v>
      </c>
      <c r="S866" s="461">
        <v>45764</v>
      </c>
      <c r="T866" s="139"/>
      <c r="U866" s="139" t="s">
        <v>8551</v>
      </c>
      <c r="V866" s="139"/>
      <c r="W866" s="139"/>
      <c r="X866" s="139"/>
      <c r="Y866" s="462"/>
      <c r="Z866" s="140" t="s">
        <v>8552</v>
      </c>
      <c r="AA866" s="140"/>
      <c r="AB866" s="460"/>
      <c r="AC866" s="460"/>
      <c r="AD866" s="488">
        <v>9632852627</v>
      </c>
      <c r="AE866" s="140" t="s">
        <v>8553</v>
      </c>
      <c r="AF866" s="139" t="s">
        <v>1805</v>
      </c>
      <c r="AG866" s="463" t="s">
        <v>8554</v>
      </c>
      <c r="AH866" s="139" t="s">
        <v>3669</v>
      </c>
      <c r="AI866" s="139" t="s">
        <v>8555</v>
      </c>
      <c r="AJ866" s="464"/>
      <c r="AK866" s="140"/>
      <c r="AL866" s="461">
        <v>45205</v>
      </c>
      <c r="AM866" s="477">
        <v>45205</v>
      </c>
      <c r="AN866" s="465"/>
      <c r="AO866" s="140"/>
      <c r="AP866" s="139"/>
      <c r="AQ866" s="139"/>
      <c r="AR866" s="58"/>
      <c r="AS866" s="458"/>
      <c r="AT866" s="458"/>
      <c r="AU866" s="461"/>
      <c r="AV866" s="181" t="s">
        <v>1389</v>
      </c>
      <c r="AW866" s="31" t="s">
        <v>32</v>
      </c>
      <c r="AX866" s="139">
        <v>4</v>
      </c>
      <c r="AY866" s="58" t="s">
        <v>2068</v>
      </c>
      <c r="AZ866" s="58" t="s">
        <v>26</v>
      </c>
      <c r="BA866" s="58" t="s">
        <v>151</v>
      </c>
      <c r="BB866" s="58" t="s">
        <v>1407</v>
      </c>
      <c r="BC866" s="58"/>
    </row>
    <row r="867" spans="1:55" x14ac:dyDescent="0.25">
      <c r="A867" s="10">
        <f t="shared" si="36"/>
        <v>866</v>
      </c>
      <c r="B867" s="181" t="s">
        <v>8556</v>
      </c>
      <c r="C867" s="592" t="s">
        <v>1407</v>
      </c>
      <c r="D867" s="457">
        <v>400662</v>
      </c>
      <c r="E867" s="181" t="s">
        <v>36</v>
      </c>
      <c r="F867" s="97" t="s">
        <v>8557</v>
      </c>
      <c r="G867" s="139">
        <v>6</v>
      </c>
      <c r="H867" s="458">
        <v>0.33333333333333331</v>
      </c>
      <c r="I867" s="458">
        <v>0.875</v>
      </c>
      <c r="J867" s="458">
        <v>0.33333333333333331</v>
      </c>
      <c r="K867" s="58" t="s">
        <v>147</v>
      </c>
      <c r="L867" s="97"/>
      <c r="M867" s="97" t="s">
        <v>1544</v>
      </c>
      <c r="N867" s="58" t="s">
        <v>1992</v>
      </c>
      <c r="O867" s="58"/>
      <c r="P867" s="206">
        <v>45049</v>
      </c>
      <c r="Q867" s="460">
        <v>45049</v>
      </c>
      <c r="R867" s="460">
        <v>45779</v>
      </c>
      <c r="S867" s="461">
        <v>45780</v>
      </c>
      <c r="T867" s="139"/>
      <c r="U867" s="139" t="s">
        <v>8558</v>
      </c>
      <c r="V867" s="139"/>
      <c r="W867" s="139"/>
      <c r="X867" s="139"/>
      <c r="Y867" s="462"/>
      <c r="Z867" s="140" t="s">
        <v>8559</v>
      </c>
      <c r="AA867" s="140"/>
      <c r="AB867" s="460"/>
      <c r="AC867" s="460"/>
      <c r="AD867" s="488">
        <v>7287881507</v>
      </c>
      <c r="AE867" s="140" t="s">
        <v>8560</v>
      </c>
      <c r="AF867" s="139" t="s">
        <v>5086</v>
      </c>
      <c r="AG867" s="463">
        <v>62235706132</v>
      </c>
      <c r="AH867" s="139" t="s">
        <v>1857</v>
      </c>
      <c r="AI867" s="139" t="s">
        <v>8561</v>
      </c>
      <c r="AJ867" s="464"/>
      <c r="AK867" s="140"/>
      <c r="AL867" s="206">
        <v>45213</v>
      </c>
      <c r="AM867" s="477">
        <v>45162</v>
      </c>
      <c r="AN867" s="465"/>
      <c r="AO867" s="140"/>
      <c r="AP867" s="139"/>
      <c r="AQ867" s="139"/>
      <c r="AR867" s="58"/>
      <c r="AS867" s="458"/>
      <c r="AT867" s="458"/>
      <c r="AU867" s="461"/>
      <c r="AV867" s="181" t="s">
        <v>1389</v>
      </c>
      <c r="AW867" s="31" t="s">
        <v>68</v>
      </c>
      <c r="AX867" s="139">
        <v>8</v>
      </c>
      <c r="AY867" s="58" t="s">
        <v>1849</v>
      </c>
      <c r="AZ867" s="58" t="s">
        <v>1373</v>
      </c>
      <c r="BA867" s="58" t="s">
        <v>151</v>
      </c>
      <c r="BB867" s="58" t="s">
        <v>1407</v>
      </c>
      <c r="BC867" s="58"/>
    </row>
    <row r="868" spans="1:55" x14ac:dyDescent="0.25">
      <c r="A868" s="10">
        <f t="shared" si="36"/>
        <v>867</v>
      </c>
      <c r="B868" s="181" t="s">
        <v>8562</v>
      </c>
      <c r="C868" s="592" t="s">
        <v>1407</v>
      </c>
      <c r="D868" s="457">
        <v>400663</v>
      </c>
      <c r="E868" s="181" t="s">
        <v>8354</v>
      </c>
      <c r="F868" s="97" t="s">
        <v>8563</v>
      </c>
      <c r="G868" s="139">
        <v>6</v>
      </c>
      <c r="H868" s="458">
        <v>0.33333333333333331</v>
      </c>
      <c r="I868" s="458">
        <v>0.66666666666666663</v>
      </c>
      <c r="J868" s="458">
        <f>I868-H868</f>
        <v>0.33333333333333331</v>
      </c>
      <c r="K868" s="143" t="s">
        <v>255</v>
      </c>
      <c r="L868" s="97"/>
      <c r="M868" s="97" t="s">
        <v>26</v>
      </c>
      <c r="N868" s="58" t="s">
        <v>38</v>
      </c>
      <c r="O868" s="58"/>
      <c r="P868" s="206">
        <v>45056</v>
      </c>
      <c r="Q868" s="460">
        <v>45056</v>
      </c>
      <c r="R868" s="460">
        <v>45786</v>
      </c>
      <c r="S868" s="461">
        <v>45787</v>
      </c>
      <c r="T868" s="139"/>
      <c r="U868" s="139" t="s">
        <v>8564</v>
      </c>
      <c r="V868" s="139"/>
      <c r="W868" s="139"/>
      <c r="X868" s="139"/>
      <c r="Y868" s="462"/>
      <c r="Z868" s="140" t="s">
        <v>8565</v>
      </c>
      <c r="AA868" s="140"/>
      <c r="AB868" s="460"/>
      <c r="AC868" s="460"/>
      <c r="AD868" s="488">
        <v>8105526875</v>
      </c>
      <c r="AE868" s="140" t="s">
        <v>8566</v>
      </c>
      <c r="AF868" s="139" t="s">
        <v>1430</v>
      </c>
      <c r="AG868" s="463">
        <v>50100164233232</v>
      </c>
      <c r="AH868" s="139" t="s">
        <v>8567</v>
      </c>
      <c r="AI868" s="139" t="s">
        <v>8568</v>
      </c>
      <c r="AJ868" s="464"/>
      <c r="AK868" s="140"/>
      <c r="AL868" s="461">
        <v>45199</v>
      </c>
      <c r="AM868" s="477"/>
      <c r="AN868" s="465"/>
      <c r="AO868" s="140"/>
      <c r="AP868" s="139"/>
      <c r="AQ868" s="139"/>
      <c r="AR868" s="58"/>
      <c r="AS868" s="458"/>
      <c r="AT868" s="458"/>
      <c r="AU868" s="461"/>
      <c r="AV868" s="181" t="s">
        <v>1389</v>
      </c>
      <c r="AW868" s="31" t="s">
        <v>68</v>
      </c>
      <c r="AX868" s="139">
        <v>8</v>
      </c>
      <c r="AY868" s="58" t="s">
        <v>2068</v>
      </c>
      <c r="AZ868" s="58" t="s">
        <v>26</v>
      </c>
      <c r="BA868" s="58" t="s">
        <v>151</v>
      </c>
      <c r="BB868" s="58" t="s">
        <v>1407</v>
      </c>
      <c r="BC868" s="58"/>
    </row>
    <row r="869" spans="1:55" x14ac:dyDescent="0.25">
      <c r="A869" s="10">
        <f t="shared" si="36"/>
        <v>868</v>
      </c>
      <c r="B869" s="181"/>
      <c r="C869" s="592" t="s">
        <v>1407</v>
      </c>
      <c r="D869" s="457">
        <v>400664</v>
      </c>
      <c r="E869" s="181" t="s">
        <v>8569</v>
      </c>
      <c r="F869" s="97" t="s">
        <v>8570</v>
      </c>
      <c r="G869" s="139"/>
      <c r="H869" s="458"/>
      <c r="I869" s="458"/>
      <c r="J869" s="458"/>
      <c r="K869" s="58"/>
      <c r="L869" s="97"/>
      <c r="M869" s="97" t="s">
        <v>30</v>
      </c>
      <c r="N869" s="58"/>
      <c r="O869" s="487"/>
      <c r="P869" s="206"/>
      <c r="Q869" s="460"/>
      <c r="R869" s="460"/>
      <c r="S869" s="461"/>
      <c r="T869" s="139"/>
      <c r="U869" s="139"/>
      <c r="V869" s="139"/>
      <c r="W869" s="139"/>
      <c r="X869" s="139"/>
      <c r="Y869" s="462"/>
      <c r="Z869" s="140"/>
      <c r="AA869" s="140"/>
      <c r="AB869" s="460"/>
      <c r="AC869" s="460"/>
      <c r="AD869" s="488"/>
      <c r="AE869" s="140"/>
      <c r="AF869" s="139"/>
      <c r="AG869" s="463"/>
      <c r="AH869" s="139"/>
      <c r="AI869" s="139"/>
      <c r="AJ869" s="464"/>
      <c r="AK869" s="140"/>
      <c r="AL869" s="206"/>
      <c r="AM869" s="477"/>
      <c r="AN869" s="465"/>
      <c r="AO869" s="140"/>
      <c r="AP869" s="139"/>
      <c r="AQ869" s="139"/>
      <c r="AR869" s="181"/>
      <c r="AS869" s="458"/>
      <c r="AT869" s="458"/>
      <c r="AU869" s="461"/>
      <c r="AV869" s="181" t="s">
        <v>1389</v>
      </c>
      <c r="AW869" s="181"/>
      <c r="AX869" s="139"/>
      <c r="AY869" s="58"/>
      <c r="AZ869" s="58"/>
      <c r="BA869" s="58" t="s">
        <v>151</v>
      </c>
      <c r="BB869" s="58" t="s">
        <v>1407</v>
      </c>
      <c r="BC869" s="58"/>
    </row>
    <row r="870" spans="1:55" x14ac:dyDescent="0.25">
      <c r="A870" s="10">
        <f t="shared" si="36"/>
        <v>869</v>
      </c>
      <c r="B870" s="181" t="s">
        <v>6781</v>
      </c>
      <c r="C870" s="592" t="s">
        <v>1407</v>
      </c>
      <c r="D870" s="457">
        <v>400670</v>
      </c>
      <c r="E870" s="181" t="s">
        <v>36</v>
      </c>
      <c r="F870" s="97" t="s">
        <v>6782</v>
      </c>
      <c r="G870" s="139">
        <v>6</v>
      </c>
      <c r="H870" s="469" t="s">
        <v>948</v>
      </c>
      <c r="I870" s="469" t="s">
        <v>978</v>
      </c>
      <c r="J870" s="458">
        <f t="shared" ref="J870:J879" si="37">I870-H870</f>
        <v>0.125</v>
      </c>
      <c r="K870" s="58" t="s">
        <v>446</v>
      </c>
      <c r="L870" s="97" t="s">
        <v>6783</v>
      </c>
      <c r="M870" s="97" t="s">
        <v>26</v>
      </c>
      <c r="N870" s="58" t="s">
        <v>38</v>
      </c>
      <c r="O870" s="58" t="s">
        <v>5063</v>
      </c>
      <c r="P870" s="206">
        <v>45069</v>
      </c>
      <c r="Q870" s="206">
        <v>45069</v>
      </c>
      <c r="R870" s="206">
        <v>45799</v>
      </c>
      <c r="S870" s="461">
        <v>45800</v>
      </c>
      <c r="T870" s="139">
        <v>2013</v>
      </c>
      <c r="U870" s="181" t="s">
        <v>6784</v>
      </c>
      <c r="V870" s="139">
        <v>2016</v>
      </c>
      <c r="W870" s="140" t="s">
        <v>7174</v>
      </c>
      <c r="X870" s="139" t="s">
        <v>1424</v>
      </c>
      <c r="Y870" s="58" t="s">
        <v>1611</v>
      </c>
      <c r="Z870" s="140" t="s">
        <v>6786</v>
      </c>
      <c r="AA870" s="97" t="s">
        <v>1841</v>
      </c>
      <c r="AB870" s="471">
        <v>44624</v>
      </c>
      <c r="AC870" s="471">
        <v>46449</v>
      </c>
      <c r="AD870" s="472">
        <v>7893761388</v>
      </c>
      <c r="AE870" s="473" t="s">
        <v>6787</v>
      </c>
      <c r="AF870" s="97" t="s">
        <v>1805</v>
      </c>
      <c r="AG870" s="482" t="s">
        <v>6788</v>
      </c>
      <c r="AH870" s="181" t="s">
        <v>6789</v>
      </c>
      <c r="AI870" s="139" t="s">
        <v>6790</v>
      </c>
      <c r="AJ870" s="464">
        <v>543913576906</v>
      </c>
      <c r="AK870" s="97" t="s">
        <v>6792</v>
      </c>
      <c r="AL870" s="461">
        <v>45412</v>
      </c>
      <c r="AM870" s="477"/>
      <c r="AN870" s="465" t="s">
        <v>8571</v>
      </c>
      <c r="AO870" s="97"/>
      <c r="AP870" s="58"/>
      <c r="AQ870" s="486"/>
      <c r="AR870" s="462"/>
      <c r="AS870" s="479">
        <v>0.75</v>
      </c>
      <c r="AT870" s="479">
        <v>0.875</v>
      </c>
      <c r="AU870" s="461">
        <v>37128</v>
      </c>
      <c r="AV870" s="181" t="s">
        <v>1352</v>
      </c>
      <c r="AW870" s="31" t="s">
        <v>32</v>
      </c>
      <c r="AX870" s="139">
        <v>3</v>
      </c>
      <c r="AY870" s="58" t="s">
        <v>1849</v>
      </c>
      <c r="AZ870" s="58" t="s">
        <v>26</v>
      </c>
      <c r="BA870" s="58" t="s">
        <v>151</v>
      </c>
      <c r="BB870" s="58" t="s">
        <v>1407</v>
      </c>
      <c r="BC870" s="58"/>
    </row>
    <row r="871" spans="1:55" x14ac:dyDescent="0.25">
      <c r="A871" s="10">
        <f t="shared" si="36"/>
        <v>870</v>
      </c>
      <c r="B871" s="181" t="s">
        <v>1257</v>
      </c>
      <c r="C871" s="592" t="s">
        <v>1407</v>
      </c>
      <c r="D871" s="457">
        <v>400810</v>
      </c>
      <c r="E871" s="181" t="s">
        <v>36</v>
      </c>
      <c r="F871" s="97" t="s">
        <v>8572</v>
      </c>
      <c r="G871" s="139">
        <v>6</v>
      </c>
      <c r="H871" s="469" t="s">
        <v>5491</v>
      </c>
      <c r="I871" s="469" t="s">
        <v>989</v>
      </c>
      <c r="J871" s="458">
        <f t="shared" si="37"/>
        <v>0.33333333333333337</v>
      </c>
      <c r="K871" s="462" t="s">
        <v>422</v>
      </c>
      <c r="L871" s="97" t="s">
        <v>8573</v>
      </c>
      <c r="M871" s="97" t="s">
        <v>26</v>
      </c>
      <c r="N871" s="58" t="s">
        <v>38</v>
      </c>
      <c r="O871" s="462" t="s">
        <v>5076</v>
      </c>
      <c r="P871" s="206">
        <v>45138</v>
      </c>
      <c r="Q871" s="206">
        <v>45138</v>
      </c>
      <c r="R871" s="206">
        <v>45868</v>
      </c>
      <c r="S871" s="461">
        <v>45869</v>
      </c>
      <c r="T871" s="139">
        <v>2014</v>
      </c>
      <c r="U871" s="181" t="s">
        <v>1260</v>
      </c>
      <c r="V871" s="139">
        <v>2023</v>
      </c>
      <c r="W871" s="140" t="s">
        <v>1261</v>
      </c>
      <c r="X871" s="139" t="s">
        <v>1424</v>
      </c>
      <c r="Y871" s="58" t="s">
        <v>1611</v>
      </c>
      <c r="Z871" s="140" t="s">
        <v>8574</v>
      </c>
      <c r="AA871" s="97" t="s">
        <v>1886</v>
      </c>
      <c r="AB871" s="471">
        <v>45194</v>
      </c>
      <c r="AC871" s="471">
        <v>47020</v>
      </c>
      <c r="AD871" s="472" t="s">
        <v>1262</v>
      </c>
      <c r="AE871" s="473" t="s">
        <v>1263</v>
      </c>
      <c r="AF871" s="97" t="s">
        <v>2840</v>
      </c>
      <c r="AG871" s="482">
        <v>10049725085</v>
      </c>
      <c r="AH871" s="181" t="s">
        <v>4072</v>
      </c>
      <c r="AI871" s="139" t="s">
        <v>8575</v>
      </c>
      <c r="AJ871" s="464">
        <v>767591869781</v>
      </c>
      <c r="AK871" s="97"/>
      <c r="AL871" s="461">
        <v>45534</v>
      </c>
      <c r="AM871" s="477">
        <v>45495</v>
      </c>
      <c r="AN871" s="465" t="s">
        <v>895</v>
      </c>
      <c r="AO871" s="140" t="s">
        <v>8576</v>
      </c>
      <c r="AP871" s="58"/>
      <c r="AQ871" s="483" t="s">
        <v>8576</v>
      </c>
      <c r="AR871" s="462"/>
      <c r="AS871" s="479"/>
      <c r="AT871" s="479"/>
      <c r="AU871" s="461">
        <v>33106</v>
      </c>
      <c r="AV871" s="181" t="s">
        <v>1352</v>
      </c>
      <c r="AW871" s="31" t="s">
        <v>68</v>
      </c>
      <c r="AX871" s="139">
        <v>8</v>
      </c>
      <c r="AY871" s="58" t="s">
        <v>2262</v>
      </c>
      <c r="AZ871" s="58" t="s">
        <v>26</v>
      </c>
      <c r="BA871" s="58" t="s">
        <v>151</v>
      </c>
      <c r="BB871" s="58" t="s">
        <v>1407</v>
      </c>
      <c r="BC871" s="58"/>
    </row>
    <row r="872" spans="1:55" x14ac:dyDescent="0.25">
      <c r="A872" s="10">
        <f t="shared" si="36"/>
        <v>871</v>
      </c>
      <c r="B872" s="181" t="s">
        <v>8577</v>
      </c>
      <c r="C872" s="592" t="s">
        <v>1407</v>
      </c>
      <c r="D872" s="457">
        <v>400620</v>
      </c>
      <c r="E872" s="181" t="s">
        <v>36</v>
      </c>
      <c r="F872" s="97" t="s">
        <v>8578</v>
      </c>
      <c r="G872" s="139">
        <v>6</v>
      </c>
      <c r="H872" s="469" t="s">
        <v>5491</v>
      </c>
      <c r="I872" s="469" t="s">
        <v>989</v>
      </c>
      <c r="J872" s="458">
        <f t="shared" si="37"/>
        <v>0.33333333333333337</v>
      </c>
      <c r="K872" s="58" t="s">
        <v>147</v>
      </c>
      <c r="L872" s="97" t="s">
        <v>1582</v>
      </c>
      <c r="M872" s="63" t="s">
        <v>1355</v>
      </c>
      <c r="N872" s="100" t="s">
        <v>1520</v>
      </c>
      <c r="O872" s="58" t="s">
        <v>6947</v>
      </c>
      <c r="P872" s="206">
        <v>44949</v>
      </c>
      <c r="Q872" s="206">
        <v>44949</v>
      </c>
      <c r="R872" s="206">
        <v>45679</v>
      </c>
      <c r="S872" s="461">
        <v>45680</v>
      </c>
      <c r="T872" s="139">
        <v>2008</v>
      </c>
      <c r="U872" s="181" t="s">
        <v>648</v>
      </c>
      <c r="V872" s="139">
        <v>2012</v>
      </c>
      <c r="W872" s="140" t="s">
        <v>8579</v>
      </c>
      <c r="X872" s="181" t="s">
        <v>30</v>
      </c>
      <c r="Y872" s="58" t="s">
        <v>5066</v>
      </c>
      <c r="Z872" s="140" t="s">
        <v>8580</v>
      </c>
      <c r="AA872" s="97" t="s">
        <v>8581</v>
      </c>
      <c r="AB872" s="471">
        <v>39597</v>
      </c>
      <c r="AC872" s="471">
        <v>41422</v>
      </c>
      <c r="AD872" s="472">
        <v>9966879788</v>
      </c>
      <c r="AE872" s="473" t="s">
        <v>8582</v>
      </c>
      <c r="AF872" s="97" t="s">
        <v>1430</v>
      </c>
      <c r="AG872" s="482" t="s">
        <v>8583</v>
      </c>
      <c r="AH872" s="181" t="s">
        <v>8584</v>
      </c>
      <c r="AI872" s="139" t="s">
        <v>8585</v>
      </c>
      <c r="AJ872" s="464">
        <v>649175186633</v>
      </c>
      <c r="AK872" s="97" t="s">
        <v>8586</v>
      </c>
      <c r="AL872" s="206">
        <v>45535</v>
      </c>
      <c r="AM872" s="477">
        <v>45504</v>
      </c>
      <c r="AN872" s="465" t="s">
        <v>6779</v>
      </c>
      <c r="AO872" s="97"/>
      <c r="AP872" s="58"/>
      <c r="AQ872" s="486"/>
      <c r="AR872" s="462"/>
      <c r="AS872" s="479">
        <v>0.375</v>
      </c>
      <c r="AT872" s="479">
        <v>0.70833333333333337</v>
      </c>
      <c r="AU872" s="461">
        <v>30895</v>
      </c>
      <c r="AV872" s="181" t="s">
        <v>1389</v>
      </c>
      <c r="AW872" s="31" t="s">
        <v>68</v>
      </c>
      <c r="AX872" s="139">
        <v>8</v>
      </c>
      <c r="AY872" s="58" t="s">
        <v>1849</v>
      </c>
      <c r="AZ872" s="58" t="s">
        <v>1373</v>
      </c>
      <c r="BA872" s="58" t="s">
        <v>151</v>
      </c>
      <c r="BB872" s="58" t="s">
        <v>1407</v>
      </c>
      <c r="BC872" s="58"/>
    </row>
    <row r="873" spans="1:55" x14ac:dyDescent="0.25">
      <c r="A873" s="10">
        <f t="shared" si="36"/>
        <v>872</v>
      </c>
      <c r="B873" s="181" t="s">
        <v>8383</v>
      </c>
      <c r="C873" s="592" t="s">
        <v>1407</v>
      </c>
      <c r="D873" s="457">
        <v>400774</v>
      </c>
      <c r="E873" s="181" t="s">
        <v>36</v>
      </c>
      <c r="F873" s="97" t="s">
        <v>8384</v>
      </c>
      <c r="G873" s="139">
        <v>6</v>
      </c>
      <c r="H873" s="458">
        <v>0.70833333333333337</v>
      </c>
      <c r="I873" s="458">
        <v>0.79166666666666663</v>
      </c>
      <c r="J873" s="458">
        <f t="shared" si="37"/>
        <v>8.3333333333333259E-2</v>
      </c>
      <c r="K873" s="58" t="s">
        <v>826</v>
      </c>
      <c r="L873" s="97"/>
      <c r="M873" s="97" t="s">
        <v>1544</v>
      </c>
      <c r="N873" s="58" t="s">
        <v>1992</v>
      </c>
      <c r="O873" s="58"/>
      <c r="P873" s="206">
        <v>45092</v>
      </c>
      <c r="Q873" s="460">
        <v>45092</v>
      </c>
      <c r="R873" s="460">
        <v>45822</v>
      </c>
      <c r="S873" s="461">
        <v>45823</v>
      </c>
      <c r="T873" s="139"/>
      <c r="U873" s="139" t="s">
        <v>8386</v>
      </c>
      <c r="V873" s="139"/>
      <c r="W873" s="139"/>
      <c r="X873" s="139"/>
      <c r="Y873" s="462"/>
      <c r="Z873" s="140" t="s">
        <v>8387</v>
      </c>
      <c r="AA873" s="140"/>
      <c r="AB873" s="460"/>
      <c r="AC873" s="460"/>
      <c r="AD873" s="488">
        <v>7506104551</v>
      </c>
      <c r="AE873" s="140" t="s">
        <v>8389</v>
      </c>
      <c r="AF873" s="139" t="s">
        <v>1430</v>
      </c>
      <c r="AG873" s="463" t="s">
        <v>8587</v>
      </c>
      <c r="AH873" s="139" t="s">
        <v>8588</v>
      </c>
      <c r="AI873" s="139" t="s">
        <v>8392</v>
      </c>
      <c r="AJ873" s="464">
        <v>311179696340</v>
      </c>
      <c r="AK873" s="140" t="s">
        <v>8393</v>
      </c>
      <c r="AL873" s="206">
        <v>45200</v>
      </c>
      <c r="AM873" s="477"/>
      <c r="AN873" s="465"/>
      <c r="AO873" s="140"/>
      <c r="AP873" s="139"/>
      <c r="AQ873" s="139"/>
      <c r="AR873" s="58"/>
      <c r="AS873" s="458"/>
      <c r="AT873" s="458"/>
      <c r="AU873" s="461"/>
      <c r="AV873" s="181" t="s">
        <v>1352</v>
      </c>
      <c r="AW873" s="31" t="s">
        <v>32</v>
      </c>
      <c r="AX873" s="139">
        <v>2</v>
      </c>
      <c r="AY873" s="58" t="s">
        <v>2251</v>
      </c>
      <c r="AZ873" s="58" t="s">
        <v>1373</v>
      </c>
      <c r="BA873" s="58" t="s">
        <v>151</v>
      </c>
      <c r="BB873" s="58" t="s">
        <v>1407</v>
      </c>
      <c r="BC873" s="58"/>
    </row>
    <row r="874" spans="1:55" x14ac:dyDescent="0.25">
      <c r="A874" s="10">
        <f t="shared" si="36"/>
        <v>873</v>
      </c>
      <c r="B874" s="181" t="s">
        <v>8589</v>
      </c>
      <c r="C874" s="592" t="s">
        <v>1407</v>
      </c>
      <c r="D874" s="457">
        <v>400777</v>
      </c>
      <c r="E874" s="181" t="s">
        <v>36</v>
      </c>
      <c r="F874" s="97" t="s">
        <v>8590</v>
      </c>
      <c r="G874" s="139">
        <v>6</v>
      </c>
      <c r="H874" s="458">
        <v>0.375</v>
      </c>
      <c r="I874" s="458">
        <v>0.45833333333333331</v>
      </c>
      <c r="J874" s="458">
        <f t="shared" si="37"/>
        <v>8.3333333333333315E-2</v>
      </c>
      <c r="K874" s="462" t="s">
        <v>809</v>
      </c>
      <c r="L874" s="97" t="s">
        <v>8591</v>
      </c>
      <c r="M874" s="97" t="s">
        <v>26</v>
      </c>
      <c r="N874" s="58" t="s">
        <v>38</v>
      </c>
      <c r="O874" s="58"/>
      <c r="P874" s="206">
        <v>45092</v>
      </c>
      <c r="Q874" s="460">
        <v>45092</v>
      </c>
      <c r="R874" s="460">
        <v>45822</v>
      </c>
      <c r="S874" s="461">
        <v>45823</v>
      </c>
      <c r="T874" s="139"/>
      <c r="U874" s="139" t="s">
        <v>741</v>
      </c>
      <c r="V874" s="139"/>
      <c r="W874" s="139"/>
      <c r="X874" s="139"/>
      <c r="Y874" s="462"/>
      <c r="Z874" s="140" t="s">
        <v>8592</v>
      </c>
      <c r="AA874" s="140"/>
      <c r="AB874" s="460"/>
      <c r="AC874" s="460"/>
      <c r="AD874" s="488" t="s">
        <v>8593</v>
      </c>
      <c r="AE874" s="140" t="s">
        <v>8594</v>
      </c>
      <c r="AF874" s="139" t="s">
        <v>1430</v>
      </c>
      <c r="AG874" s="463" t="s">
        <v>8595</v>
      </c>
      <c r="AH874" s="139" t="s">
        <v>6757</v>
      </c>
      <c r="AI874" s="139" t="s">
        <v>8596</v>
      </c>
      <c r="AJ874" s="464">
        <v>511422925700</v>
      </c>
      <c r="AK874" s="140" t="s">
        <v>8597</v>
      </c>
      <c r="AL874" s="461">
        <v>45184</v>
      </c>
      <c r="AM874" s="477"/>
      <c r="AN874" s="465"/>
      <c r="AO874" s="140"/>
      <c r="AP874" s="139"/>
      <c r="AQ874" s="139"/>
      <c r="AR874" s="58"/>
      <c r="AS874" s="458"/>
      <c r="AT874" s="458"/>
      <c r="AU874" s="461"/>
      <c r="AV874" s="181" t="s">
        <v>1389</v>
      </c>
      <c r="AW874" s="31" t="s">
        <v>32</v>
      </c>
      <c r="AX874" s="139">
        <v>2</v>
      </c>
      <c r="AY874" s="58" t="s">
        <v>1920</v>
      </c>
      <c r="AZ874" s="58" t="s">
        <v>26</v>
      </c>
      <c r="BA874" s="58" t="s">
        <v>151</v>
      </c>
      <c r="BB874" s="58" t="s">
        <v>1407</v>
      </c>
      <c r="BC874" s="58"/>
    </row>
    <row r="875" spans="1:55" x14ac:dyDescent="0.25">
      <c r="A875" s="10">
        <f t="shared" si="36"/>
        <v>874</v>
      </c>
      <c r="B875" s="181" t="s">
        <v>8598</v>
      </c>
      <c r="C875" s="592" t="s">
        <v>1407</v>
      </c>
      <c r="D875" s="457">
        <v>400779</v>
      </c>
      <c r="E875" s="181" t="s">
        <v>42</v>
      </c>
      <c r="F875" s="97" t="s">
        <v>8599</v>
      </c>
      <c r="G875" s="139">
        <v>6</v>
      </c>
      <c r="H875" s="458">
        <v>0.35416666666666669</v>
      </c>
      <c r="I875" s="458">
        <v>0.6875</v>
      </c>
      <c r="J875" s="458">
        <f t="shared" si="37"/>
        <v>0.33333333333333331</v>
      </c>
      <c r="K875" s="143" t="s">
        <v>513</v>
      </c>
      <c r="L875" s="97" t="s">
        <v>8600</v>
      </c>
      <c r="M875" s="97" t="s">
        <v>26</v>
      </c>
      <c r="N875" s="58" t="s">
        <v>38</v>
      </c>
      <c r="O875" s="58"/>
      <c r="P875" s="206">
        <v>45093</v>
      </c>
      <c r="Q875" s="460">
        <v>45093</v>
      </c>
      <c r="R875" s="460">
        <v>45092</v>
      </c>
      <c r="S875" s="461">
        <v>45093</v>
      </c>
      <c r="T875" s="139"/>
      <c r="U875" s="139" t="s">
        <v>8601</v>
      </c>
      <c r="V875" s="139"/>
      <c r="W875" s="139"/>
      <c r="X875" s="139"/>
      <c r="Y875" s="462"/>
      <c r="Z875" s="140">
        <v>57860</v>
      </c>
      <c r="AA875" s="140"/>
      <c r="AB875" s="460"/>
      <c r="AC875" s="460"/>
      <c r="AD875" s="139">
        <v>9493245213</v>
      </c>
      <c r="AE875" s="467" t="s">
        <v>8602</v>
      </c>
      <c r="AF875" s="139" t="s">
        <v>5086</v>
      </c>
      <c r="AG875" s="463" t="s">
        <v>8603</v>
      </c>
      <c r="AH875" s="139" t="s">
        <v>8604</v>
      </c>
      <c r="AI875" s="139" t="s">
        <v>8605</v>
      </c>
      <c r="AJ875" s="464"/>
      <c r="AK875" s="140"/>
      <c r="AL875" s="461">
        <v>45093</v>
      </c>
      <c r="AM875" s="477"/>
      <c r="AN875" s="465"/>
      <c r="AO875" s="140"/>
      <c r="AP875" s="139"/>
      <c r="AQ875" s="139"/>
      <c r="AR875" s="181"/>
      <c r="AS875" s="458"/>
      <c r="AT875" s="458"/>
      <c r="AU875" s="461"/>
      <c r="AV875" s="181" t="s">
        <v>1389</v>
      </c>
      <c r="AW875" s="31" t="s">
        <v>68</v>
      </c>
      <c r="AX875" s="139">
        <v>8</v>
      </c>
      <c r="AY875" s="58" t="s">
        <v>1959</v>
      </c>
      <c r="AZ875" s="58" t="s">
        <v>26</v>
      </c>
      <c r="BA875" s="58" t="s">
        <v>151</v>
      </c>
      <c r="BB875" s="58" t="s">
        <v>1407</v>
      </c>
      <c r="BC875" s="58"/>
    </row>
    <row r="876" spans="1:55" x14ac:dyDescent="0.25">
      <c r="A876" s="10">
        <f t="shared" si="36"/>
        <v>875</v>
      </c>
      <c r="B876" s="181" t="s">
        <v>7393</v>
      </c>
      <c r="C876" s="592" t="s">
        <v>1407</v>
      </c>
      <c r="D876" s="457">
        <v>400780</v>
      </c>
      <c r="E876" s="181" t="s">
        <v>36</v>
      </c>
      <c r="F876" s="97" t="s">
        <v>7394</v>
      </c>
      <c r="G876" s="139">
        <v>6</v>
      </c>
      <c r="H876" s="458" t="s">
        <v>5491</v>
      </c>
      <c r="I876" s="458" t="s">
        <v>7654</v>
      </c>
      <c r="J876" s="458">
        <f t="shared" si="37"/>
        <v>8.3333333333333315E-2</v>
      </c>
      <c r="K876" s="100" t="s">
        <v>669</v>
      </c>
      <c r="L876" s="97"/>
      <c r="M876" s="97" t="s">
        <v>1376</v>
      </c>
      <c r="N876" s="58" t="s">
        <v>1393</v>
      </c>
      <c r="O876" s="58"/>
      <c r="P876" s="206">
        <v>45093</v>
      </c>
      <c r="Q876" s="460">
        <v>45093</v>
      </c>
      <c r="R876" s="460">
        <v>45823</v>
      </c>
      <c r="S876" s="461">
        <v>45824</v>
      </c>
      <c r="T876" s="139"/>
      <c r="U876" s="139" t="s">
        <v>7395</v>
      </c>
      <c r="V876" s="139"/>
      <c r="W876" s="139"/>
      <c r="X876" s="139"/>
      <c r="Y876" s="462"/>
      <c r="Z876" s="140" t="s">
        <v>7396</v>
      </c>
      <c r="AA876" s="140"/>
      <c r="AB876" s="460"/>
      <c r="AC876" s="460"/>
      <c r="AD876" s="488">
        <v>9618627121</v>
      </c>
      <c r="AE876" s="140" t="s">
        <v>7397</v>
      </c>
      <c r="AF876" s="139" t="s">
        <v>1430</v>
      </c>
      <c r="AG876" s="463" t="s">
        <v>7398</v>
      </c>
      <c r="AH876" s="139" t="s">
        <v>7399</v>
      </c>
      <c r="AI876" s="139" t="s">
        <v>7400</v>
      </c>
      <c r="AJ876" s="464">
        <v>547030849796</v>
      </c>
      <c r="AK876" s="140" t="s">
        <v>8606</v>
      </c>
      <c r="AL876" s="206">
        <v>45291</v>
      </c>
      <c r="AM876" s="477">
        <v>45291</v>
      </c>
      <c r="AN876" s="140"/>
      <c r="AO876" s="140"/>
      <c r="AP876" s="139"/>
      <c r="AQ876" s="58"/>
      <c r="AR876" s="489"/>
      <c r="AS876" s="458">
        <v>0.375</v>
      </c>
      <c r="AT876" s="181">
        <v>0.45833333333333331</v>
      </c>
      <c r="AU876" s="461"/>
      <c r="AV876" s="181" t="s">
        <v>1389</v>
      </c>
      <c r="AW876" s="31" t="s">
        <v>32</v>
      </c>
      <c r="AX876" s="139">
        <v>2</v>
      </c>
      <c r="AY876" s="58" t="s">
        <v>2469</v>
      </c>
      <c r="AZ876" s="58" t="s">
        <v>1390</v>
      </c>
      <c r="BA876" s="58" t="s">
        <v>151</v>
      </c>
      <c r="BB876" s="58" t="s">
        <v>1407</v>
      </c>
      <c r="BC876" s="58"/>
    </row>
    <row r="877" spans="1:55" x14ac:dyDescent="0.25">
      <c r="A877" s="10">
        <f t="shared" si="36"/>
        <v>876</v>
      </c>
      <c r="B877" s="181" t="s">
        <v>8607</v>
      </c>
      <c r="C877" s="592" t="s">
        <v>1407</v>
      </c>
      <c r="D877" s="457">
        <v>400781</v>
      </c>
      <c r="E877" s="181" t="s">
        <v>36</v>
      </c>
      <c r="F877" s="97" t="s">
        <v>8608</v>
      </c>
      <c r="G877" s="139">
        <v>6</v>
      </c>
      <c r="H877" s="458" t="s">
        <v>4228</v>
      </c>
      <c r="I877" s="458" t="s">
        <v>5702</v>
      </c>
      <c r="J877" s="458">
        <f t="shared" si="37"/>
        <v>0.16666666666666674</v>
      </c>
      <c r="K877" s="58" t="s">
        <v>826</v>
      </c>
      <c r="L877" s="97" t="s">
        <v>1424</v>
      </c>
      <c r="M877" s="63" t="s">
        <v>1355</v>
      </c>
      <c r="N877" s="100" t="s">
        <v>1520</v>
      </c>
      <c r="O877" s="58" t="s">
        <v>5330</v>
      </c>
      <c r="P877" s="206">
        <v>45096</v>
      </c>
      <c r="Q877" s="460">
        <v>45096</v>
      </c>
      <c r="R877" s="460">
        <v>45826</v>
      </c>
      <c r="S877" s="461">
        <v>45827</v>
      </c>
      <c r="T877" s="139">
        <v>2013</v>
      </c>
      <c r="U877" s="139" t="s">
        <v>8609</v>
      </c>
      <c r="V877" s="139">
        <v>2017</v>
      </c>
      <c r="W877" s="139" t="s">
        <v>8610</v>
      </c>
      <c r="X877" s="139" t="s">
        <v>1424</v>
      </c>
      <c r="Y877" s="462" t="s">
        <v>1611</v>
      </c>
      <c r="Z877" s="140">
        <v>66732</v>
      </c>
      <c r="AA877" s="140" t="s">
        <v>2242</v>
      </c>
      <c r="AB877" s="460">
        <v>43493</v>
      </c>
      <c r="AC877" s="460">
        <v>45318</v>
      </c>
      <c r="AD877" s="488">
        <v>8373900094</v>
      </c>
      <c r="AE877" s="140" t="s">
        <v>8611</v>
      </c>
      <c r="AF877" s="139" t="s">
        <v>1805</v>
      </c>
      <c r="AG877" s="463" t="s">
        <v>8612</v>
      </c>
      <c r="AH877" s="139" t="s">
        <v>8613</v>
      </c>
      <c r="AI877" s="139" t="s">
        <v>8614</v>
      </c>
      <c r="AJ877" s="464">
        <v>330720607304</v>
      </c>
      <c r="AK877" s="140" t="s">
        <v>8615</v>
      </c>
      <c r="AL877" s="206">
        <v>45323</v>
      </c>
      <c r="AM877" s="477">
        <v>45323</v>
      </c>
      <c r="AN877" s="140"/>
      <c r="AO877" s="140"/>
      <c r="AP877" s="139"/>
      <c r="AQ877" s="58"/>
      <c r="AR877" s="489"/>
      <c r="AS877" s="458">
        <v>0.66666666666666663</v>
      </c>
      <c r="AT877" s="181">
        <v>0.83333333333333337</v>
      </c>
      <c r="AU877" s="461">
        <v>32179</v>
      </c>
      <c r="AV877" s="181" t="s">
        <v>1389</v>
      </c>
      <c r="AW877" s="31" t="s">
        <v>32</v>
      </c>
      <c r="AX877" s="139">
        <v>4</v>
      </c>
      <c r="AY877" s="58" t="s">
        <v>2251</v>
      </c>
      <c r="AZ877" s="58" t="s">
        <v>1373</v>
      </c>
      <c r="BA877" s="58" t="s">
        <v>151</v>
      </c>
      <c r="BB877" s="58" t="s">
        <v>1407</v>
      </c>
      <c r="BC877" s="58"/>
    </row>
    <row r="878" spans="1:55" x14ac:dyDescent="0.25">
      <c r="A878" s="10">
        <f t="shared" si="36"/>
        <v>877</v>
      </c>
      <c r="B878" s="181" t="s">
        <v>8616</v>
      </c>
      <c r="C878" s="592" t="s">
        <v>1407</v>
      </c>
      <c r="D878" s="457">
        <v>400782</v>
      </c>
      <c r="E878" s="181" t="s">
        <v>36</v>
      </c>
      <c r="F878" s="97" t="s">
        <v>8617</v>
      </c>
      <c r="G878" s="139">
        <v>6</v>
      </c>
      <c r="H878" s="469" t="s">
        <v>5491</v>
      </c>
      <c r="I878" s="469" t="s">
        <v>989</v>
      </c>
      <c r="J878" s="458">
        <f t="shared" si="37"/>
        <v>0.33333333333333337</v>
      </c>
      <c r="K878" s="100" t="s">
        <v>563</v>
      </c>
      <c r="L878" s="97" t="s">
        <v>1424</v>
      </c>
      <c r="M878" s="97" t="s">
        <v>2097</v>
      </c>
      <c r="N878" s="58" t="s">
        <v>2098</v>
      </c>
      <c r="O878" s="58" t="s">
        <v>5111</v>
      </c>
      <c r="P878" s="206">
        <v>45098</v>
      </c>
      <c r="Q878" s="206">
        <v>45098</v>
      </c>
      <c r="R878" s="206">
        <v>45828</v>
      </c>
      <c r="S878" s="461">
        <v>45829</v>
      </c>
      <c r="T878" s="139">
        <v>2011</v>
      </c>
      <c r="U878" s="181" t="s">
        <v>2592</v>
      </c>
      <c r="V878" s="139">
        <v>2021</v>
      </c>
      <c r="W878" s="140" t="s">
        <v>2592</v>
      </c>
      <c r="X878" s="181" t="s">
        <v>1424</v>
      </c>
      <c r="Y878" s="58" t="s">
        <v>1611</v>
      </c>
      <c r="Z878" s="140">
        <v>72091</v>
      </c>
      <c r="AA878" s="97" t="s">
        <v>1886</v>
      </c>
      <c r="AB878" s="471">
        <v>44468</v>
      </c>
      <c r="AC878" s="471">
        <v>46293</v>
      </c>
      <c r="AD878" s="472">
        <v>9951960055</v>
      </c>
      <c r="AE878" s="473" t="s">
        <v>8619</v>
      </c>
      <c r="AF878" s="97" t="s">
        <v>5086</v>
      </c>
      <c r="AG878" s="482" t="s">
        <v>8620</v>
      </c>
      <c r="AH878" s="181" t="s">
        <v>1996</v>
      </c>
      <c r="AI878" s="139" t="s">
        <v>8621</v>
      </c>
      <c r="AJ878" s="464">
        <v>517838065405</v>
      </c>
      <c r="AK878" s="97" t="s">
        <v>8622</v>
      </c>
      <c r="AL878" s="206"/>
      <c r="AM878" s="477"/>
      <c r="AN878" s="465"/>
      <c r="AO878" s="97"/>
      <c r="AP878" s="58"/>
      <c r="AQ878" s="486"/>
      <c r="AR878" s="462"/>
      <c r="AS878" s="479">
        <v>0.375</v>
      </c>
      <c r="AT878" s="479">
        <v>0.70833333333333337</v>
      </c>
      <c r="AU878" s="461">
        <v>31937</v>
      </c>
      <c r="AV878" s="181" t="s">
        <v>1389</v>
      </c>
      <c r="AW878" s="31" t="s">
        <v>68</v>
      </c>
      <c r="AX878" s="139">
        <v>8</v>
      </c>
      <c r="AY878" s="58" t="s">
        <v>1895</v>
      </c>
      <c r="AZ878" s="58" t="s">
        <v>1373</v>
      </c>
      <c r="BA878" s="58" t="s">
        <v>151</v>
      </c>
      <c r="BB878" s="58" t="s">
        <v>1407</v>
      </c>
      <c r="BC878" s="58"/>
    </row>
    <row r="879" spans="1:55" x14ac:dyDescent="0.25">
      <c r="A879" s="10">
        <f t="shared" si="36"/>
        <v>878</v>
      </c>
      <c r="B879" s="181"/>
      <c r="C879" s="592" t="s">
        <v>1407</v>
      </c>
      <c r="D879" s="457">
        <v>400783</v>
      </c>
      <c r="E879" s="181" t="s">
        <v>36</v>
      </c>
      <c r="F879" s="97" t="s">
        <v>8623</v>
      </c>
      <c r="G879" s="139">
        <v>6</v>
      </c>
      <c r="H879" s="458">
        <v>0.375</v>
      </c>
      <c r="I879" s="458">
        <v>0.54166666666666663</v>
      </c>
      <c r="J879" s="458">
        <f t="shared" si="37"/>
        <v>0.16666666666666663</v>
      </c>
      <c r="K879" s="462" t="s">
        <v>557</v>
      </c>
      <c r="L879" s="97" t="s">
        <v>8624</v>
      </c>
      <c r="M879" s="97" t="s">
        <v>26</v>
      </c>
      <c r="N879" s="58" t="s">
        <v>38</v>
      </c>
      <c r="O879" s="58"/>
      <c r="P879" s="206">
        <v>45114</v>
      </c>
      <c r="Q879" s="460">
        <v>45114</v>
      </c>
      <c r="R879" s="460">
        <v>45844</v>
      </c>
      <c r="S879" s="461">
        <v>45845</v>
      </c>
      <c r="T879" s="139"/>
      <c r="U879" s="139" t="s">
        <v>8625</v>
      </c>
      <c r="V879" s="139"/>
      <c r="W879" s="139"/>
      <c r="X879" s="139"/>
      <c r="Y879" s="462"/>
      <c r="Z879" s="140" t="s">
        <v>8626</v>
      </c>
      <c r="AA879" s="140" t="s">
        <v>1886</v>
      </c>
      <c r="AB879" s="460"/>
      <c r="AC879" s="460"/>
      <c r="AD879" s="488">
        <v>9949145145</v>
      </c>
      <c r="AE879" s="140" t="s">
        <v>8627</v>
      </c>
      <c r="AF879" s="139" t="s">
        <v>1430</v>
      </c>
      <c r="AG879" s="463" t="s">
        <v>8628</v>
      </c>
      <c r="AH879" s="139" t="s">
        <v>1971</v>
      </c>
      <c r="AI879" s="139" t="s">
        <v>8629</v>
      </c>
      <c r="AJ879" s="464" t="s">
        <v>8630</v>
      </c>
      <c r="AK879" s="140" t="s">
        <v>8631</v>
      </c>
      <c r="AL879" s="461">
        <v>45230</v>
      </c>
      <c r="AM879" s="477"/>
      <c r="AN879" s="465"/>
      <c r="AO879" s="140" t="s">
        <v>8632</v>
      </c>
      <c r="AP879" s="139"/>
      <c r="AQ879" s="140" t="s">
        <v>8632</v>
      </c>
      <c r="AR879" s="58"/>
      <c r="AS879" s="458"/>
      <c r="AT879" s="458"/>
      <c r="AU879" s="461"/>
      <c r="AV879" s="181" t="s">
        <v>1352</v>
      </c>
      <c r="AW879" s="31" t="s">
        <v>32</v>
      </c>
      <c r="AX879" s="139">
        <v>4</v>
      </c>
      <c r="AY879" s="58" t="s">
        <v>1959</v>
      </c>
      <c r="AZ879" s="58" t="s">
        <v>26</v>
      </c>
      <c r="BA879" s="58" t="s">
        <v>151</v>
      </c>
      <c r="BB879" s="58" t="s">
        <v>1407</v>
      </c>
      <c r="BC879" s="58"/>
    </row>
    <row r="880" spans="1:55" x14ac:dyDescent="0.25">
      <c r="A880" s="10">
        <f t="shared" si="36"/>
        <v>879</v>
      </c>
      <c r="B880" s="181" t="s">
        <v>8633</v>
      </c>
      <c r="C880" s="592" t="s">
        <v>1407</v>
      </c>
      <c r="D880" s="457">
        <v>400784</v>
      </c>
      <c r="E880" s="181" t="s">
        <v>36</v>
      </c>
      <c r="F880" s="97" t="s">
        <v>8634</v>
      </c>
      <c r="G880" s="139">
        <v>6</v>
      </c>
      <c r="H880" s="469" t="s">
        <v>5491</v>
      </c>
      <c r="I880" s="469" t="s">
        <v>5118</v>
      </c>
      <c r="J880" s="458">
        <v>4.1666666666666664E-2</v>
      </c>
      <c r="K880" s="100" t="s">
        <v>860</v>
      </c>
      <c r="L880" s="97" t="s">
        <v>1424</v>
      </c>
      <c r="M880" s="97" t="s">
        <v>1376</v>
      </c>
      <c r="N880" s="58" t="s">
        <v>1393</v>
      </c>
      <c r="O880" s="58" t="s">
        <v>1424</v>
      </c>
      <c r="P880" s="206">
        <v>45100</v>
      </c>
      <c r="Q880" s="206">
        <v>45100</v>
      </c>
      <c r="R880" s="206">
        <v>45830</v>
      </c>
      <c r="S880" s="461">
        <v>45831</v>
      </c>
      <c r="T880" s="139">
        <v>2021</v>
      </c>
      <c r="U880" s="181" t="s">
        <v>282</v>
      </c>
      <c r="V880" s="139" t="s">
        <v>1424</v>
      </c>
      <c r="W880" s="140" t="s">
        <v>1424</v>
      </c>
      <c r="X880" s="139" t="s">
        <v>1424</v>
      </c>
      <c r="Y880" s="58" t="s">
        <v>226</v>
      </c>
      <c r="Z880" s="140" t="s">
        <v>8635</v>
      </c>
      <c r="AA880" s="97" t="s">
        <v>1841</v>
      </c>
      <c r="AB880" s="471">
        <v>44534</v>
      </c>
      <c r="AC880" s="471">
        <v>46359</v>
      </c>
      <c r="AD880" s="472">
        <v>8106199807</v>
      </c>
      <c r="AE880" s="473" t="s">
        <v>8636</v>
      </c>
      <c r="AF880" s="97" t="s">
        <v>5086</v>
      </c>
      <c r="AG880" s="482" t="s">
        <v>8637</v>
      </c>
      <c r="AH880" s="181" t="s">
        <v>8638</v>
      </c>
      <c r="AI880" s="139" t="s">
        <v>8639</v>
      </c>
      <c r="AJ880" s="464">
        <v>926466894893</v>
      </c>
      <c r="AK880" s="97" t="s">
        <v>8640</v>
      </c>
      <c r="AL880" s="206">
        <v>45418</v>
      </c>
      <c r="AM880" s="477"/>
      <c r="AN880" s="465"/>
      <c r="AO880" s="97"/>
      <c r="AP880" s="58"/>
      <c r="AQ880" s="486"/>
      <c r="AR880" s="462"/>
      <c r="AS880" s="479">
        <v>0.375</v>
      </c>
      <c r="AT880" s="479">
        <v>0.41666666666666669</v>
      </c>
      <c r="AU880" s="461">
        <v>35524</v>
      </c>
      <c r="AV880" s="181" t="s">
        <v>1352</v>
      </c>
      <c r="AW880" s="31" t="s">
        <v>32</v>
      </c>
      <c r="AX880" s="139">
        <v>1</v>
      </c>
      <c r="AY880" s="58" t="s">
        <v>2469</v>
      </c>
      <c r="AZ880" s="58" t="s">
        <v>1390</v>
      </c>
      <c r="BA880" s="58" t="s">
        <v>151</v>
      </c>
      <c r="BB880" s="58" t="s">
        <v>1407</v>
      </c>
      <c r="BC880" s="58"/>
    </row>
    <row r="881" spans="1:55" x14ac:dyDescent="0.25">
      <c r="A881" s="10">
        <f t="shared" si="36"/>
        <v>880</v>
      </c>
      <c r="B881" s="181" t="s">
        <v>8641</v>
      </c>
      <c r="C881" s="592" t="s">
        <v>1407</v>
      </c>
      <c r="D881" s="457">
        <v>400786</v>
      </c>
      <c r="E881" s="181" t="s">
        <v>36</v>
      </c>
      <c r="F881" s="97" t="s">
        <v>8642</v>
      </c>
      <c r="G881" s="139">
        <v>6</v>
      </c>
      <c r="H881" s="469" t="s">
        <v>5491</v>
      </c>
      <c r="I881" s="469" t="s">
        <v>5118</v>
      </c>
      <c r="J881" s="458">
        <v>4.1666666666666664E-2</v>
      </c>
      <c r="K881" s="100" t="s">
        <v>680</v>
      </c>
      <c r="L881" s="97" t="s">
        <v>1424</v>
      </c>
      <c r="M881" s="97" t="s">
        <v>1376</v>
      </c>
      <c r="N881" s="58" t="s">
        <v>1393</v>
      </c>
      <c r="O881" s="58" t="s">
        <v>1424</v>
      </c>
      <c r="P881" s="206">
        <v>45104</v>
      </c>
      <c r="Q881" s="206">
        <v>45104</v>
      </c>
      <c r="R881" s="206">
        <v>45834</v>
      </c>
      <c r="S881" s="461">
        <v>45835</v>
      </c>
      <c r="T881" s="139">
        <v>2021</v>
      </c>
      <c r="U881" s="181" t="s">
        <v>8643</v>
      </c>
      <c r="V881" s="139" t="s">
        <v>1424</v>
      </c>
      <c r="W881" s="140" t="s">
        <v>1424</v>
      </c>
      <c r="X881" s="139" t="s">
        <v>1424</v>
      </c>
      <c r="Y881" s="58" t="s">
        <v>226</v>
      </c>
      <c r="Z881" s="140" t="s">
        <v>8644</v>
      </c>
      <c r="AA881" s="97" t="s">
        <v>1841</v>
      </c>
      <c r="AB881" s="471">
        <v>44886</v>
      </c>
      <c r="AC881" s="471">
        <v>46711</v>
      </c>
      <c r="AD881" s="472">
        <v>7093510460</v>
      </c>
      <c r="AE881" s="473" t="s">
        <v>8645</v>
      </c>
      <c r="AF881" s="97" t="s">
        <v>5086</v>
      </c>
      <c r="AG881" s="482" t="s">
        <v>8646</v>
      </c>
      <c r="AH881" s="181" t="s">
        <v>8647</v>
      </c>
      <c r="AI881" s="139" t="s">
        <v>8648</v>
      </c>
      <c r="AJ881" s="464">
        <v>475801426770</v>
      </c>
      <c r="AK881" s="97"/>
      <c r="AL881" s="206">
        <v>45441</v>
      </c>
      <c r="AM881" s="477"/>
      <c r="AN881" s="465" t="s">
        <v>8649</v>
      </c>
      <c r="AO881" s="97"/>
      <c r="AP881" s="58"/>
      <c r="AQ881" s="486"/>
      <c r="AR881" s="462"/>
      <c r="AS881" s="479">
        <v>0.375</v>
      </c>
      <c r="AT881" s="479">
        <v>0.41666666666666669</v>
      </c>
      <c r="AU881" s="461">
        <v>36049</v>
      </c>
      <c r="AV881" s="181" t="s">
        <v>1389</v>
      </c>
      <c r="AW881" s="31" t="s">
        <v>32</v>
      </c>
      <c r="AX881" s="139">
        <v>1</v>
      </c>
      <c r="AY881" s="58" t="s">
        <v>2189</v>
      </c>
      <c r="AZ881" s="58" t="s">
        <v>1390</v>
      </c>
      <c r="BA881" s="58" t="s">
        <v>151</v>
      </c>
      <c r="BB881" s="58" t="s">
        <v>1407</v>
      </c>
      <c r="BC881" s="58"/>
    </row>
    <row r="882" spans="1:55" x14ac:dyDescent="0.25">
      <c r="A882" s="10">
        <f t="shared" si="36"/>
        <v>881</v>
      </c>
      <c r="B882" s="181" t="s">
        <v>8650</v>
      </c>
      <c r="C882" s="592" t="s">
        <v>1407</v>
      </c>
      <c r="D882" s="457">
        <v>400787</v>
      </c>
      <c r="E882" s="181" t="s">
        <v>36</v>
      </c>
      <c r="F882" s="97" t="s">
        <v>8651</v>
      </c>
      <c r="G882" s="139">
        <v>6</v>
      </c>
      <c r="H882" s="458">
        <v>0.375</v>
      </c>
      <c r="I882" s="458">
        <v>0.45833333333333331</v>
      </c>
      <c r="J882" s="458">
        <f>I882-H882</f>
        <v>8.3333333333333315E-2</v>
      </c>
      <c r="K882" s="143" t="s">
        <v>187</v>
      </c>
      <c r="L882" s="97"/>
      <c r="M882" s="97" t="s">
        <v>1376</v>
      </c>
      <c r="N882" s="58" t="s">
        <v>1393</v>
      </c>
      <c r="O882" s="58"/>
      <c r="P882" s="206">
        <v>45104</v>
      </c>
      <c r="Q882" s="460">
        <v>45104</v>
      </c>
      <c r="R882" s="460">
        <v>45834</v>
      </c>
      <c r="S882" s="461">
        <v>45835</v>
      </c>
      <c r="T882" s="139"/>
      <c r="U882" s="139" t="s">
        <v>8652</v>
      </c>
      <c r="V882" s="139"/>
      <c r="W882" s="139"/>
      <c r="X882" s="139"/>
      <c r="Y882" s="462"/>
      <c r="Z882" s="140" t="s">
        <v>8653</v>
      </c>
      <c r="AA882" s="140"/>
      <c r="AB882" s="460"/>
      <c r="AC882" s="460"/>
      <c r="AD882" s="488">
        <v>9100623120</v>
      </c>
      <c r="AE882" s="140" t="s">
        <v>8654</v>
      </c>
      <c r="AF882" s="139" t="s">
        <v>5086</v>
      </c>
      <c r="AG882" s="463" t="s">
        <v>8655</v>
      </c>
      <c r="AH882" s="139" t="s">
        <v>8656</v>
      </c>
      <c r="AI882" s="139" t="s">
        <v>8657</v>
      </c>
      <c r="AJ882" s="464">
        <v>734583393073</v>
      </c>
      <c r="AK882" s="140"/>
      <c r="AL882" s="206">
        <v>45215</v>
      </c>
      <c r="AM882" s="477">
        <v>45154</v>
      </c>
      <c r="AN882" s="465"/>
      <c r="AO882" s="140"/>
      <c r="AP882" s="139"/>
      <c r="AQ882" s="139"/>
      <c r="AR882" s="58"/>
      <c r="AS882" s="458"/>
      <c r="AT882" s="458"/>
      <c r="AU882" s="461"/>
      <c r="AV882" s="181" t="s">
        <v>1389</v>
      </c>
      <c r="AW882" s="31" t="s">
        <v>32</v>
      </c>
      <c r="AX882" s="139">
        <v>2</v>
      </c>
      <c r="AY882" s="58" t="s">
        <v>1959</v>
      </c>
      <c r="AZ882" s="58" t="s">
        <v>1390</v>
      </c>
      <c r="BA882" s="58" t="s">
        <v>151</v>
      </c>
      <c r="BB882" s="58" t="s">
        <v>1407</v>
      </c>
      <c r="BC882" s="58"/>
    </row>
    <row r="883" spans="1:55" x14ac:dyDescent="0.25">
      <c r="A883" s="10">
        <f t="shared" si="36"/>
        <v>882</v>
      </c>
      <c r="B883" s="181" t="s">
        <v>2672</v>
      </c>
      <c r="C883" s="592" t="s">
        <v>1407</v>
      </c>
      <c r="D883" s="457">
        <v>400788</v>
      </c>
      <c r="E883" s="181" t="s">
        <v>36</v>
      </c>
      <c r="F883" s="97" t="s">
        <v>2673</v>
      </c>
      <c r="G883" s="139">
        <v>6</v>
      </c>
      <c r="H883" s="469" t="s">
        <v>5491</v>
      </c>
      <c r="I883" s="469" t="s">
        <v>236</v>
      </c>
      <c r="J883" s="458">
        <f>I883-H883</f>
        <v>0.25</v>
      </c>
      <c r="K883" s="100" t="s">
        <v>713</v>
      </c>
      <c r="L883" s="97" t="s">
        <v>1424</v>
      </c>
      <c r="M883" s="63" t="s">
        <v>1355</v>
      </c>
      <c r="N883" s="100" t="s">
        <v>1520</v>
      </c>
      <c r="O883" s="58" t="s">
        <v>5330</v>
      </c>
      <c r="P883" s="206">
        <v>45105</v>
      </c>
      <c r="Q883" s="206">
        <v>45105</v>
      </c>
      <c r="R883" s="206">
        <v>45835</v>
      </c>
      <c r="S883" s="461">
        <v>45836</v>
      </c>
      <c r="T883" s="139">
        <v>2016</v>
      </c>
      <c r="U883" s="181" t="s">
        <v>515</v>
      </c>
      <c r="V883" s="139">
        <v>2021</v>
      </c>
      <c r="W883" s="140" t="s">
        <v>589</v>
      </c>
      <c r="X883" s="139" t="s">
        <v>1424</v>
      </c>
      <c r="Y883" s="58" t="s">
        <v>1611</v>
      </c>
      <c r="Z883" s="140" t="s">
        <v>2675</v>
      </c>
      <c r="AA883" s="97" t="s">
        <v>1886</v>
      </c>
      <c r="AB883" s="471">
        <v>44468</v>
      </c>
      <c r="AC883" s="471">
        <v>46293</v>
      </c>
      <c r="AD883" s="472">
        <v>9652135826</v>
      </c>
      <c r="AE883" s="473" t="s">
        <v>2676</v>
      </c>
      <c r="AF883" s="97" t="s">
        <v>1400</v>
      </c>
      <c r="AG883" s="482" t="s">
        <v>2677</v>
      </c>
      <c r="AH883" s="181" t="s">
        <v>2678</v>
      </c>
      <c r="AI883" s="139" t="s">
        <v>2679</v>
      </c>
      <c r="AJ883" s="464">
        <v>333299445377</v>
      </c>
      <c r="AK883" s="97"/>
      <c r="AL883" s="206">
        <v>45413</v>
      </c>
      <c r="AM883" s="477">
        <v>45413</v>
      </c>
      <c r="AN883" s="465" t="s">
        <v>8618</v>
      </c>
      <c r="AO883" s="97"/>
      <c r="AP883" s="58"/>
      <c r="AQ883" s="486"/>
      <c r="AR883" s="462"/>
      <c r="AS883" s="479">
        <v>0.375</v>
      </c>
      <c r="AT883" s="479">
        <v>0.625</v>
      </c>
      <c r="AU883" s="461">
        <v>34564</v>
      </c>
      <c r="AV883" s="181" t="s">
        <v>1389</v>
      </c>
      <c r="AW883" s="31" t="s">
        <v>32</v>
      </c>
      <c r="AX883" s="139">
        <v>6</v>
      </c>
      <c r="AY883" s="58" t="s">
        <v>2262</v>
      </c>
      <c r="AZ883" s="58" t="s">
        <v>1373</v>
      </c>
      <c r="BA883" s="58" t="s">
        <v>151</v>
      </c>
      <c r="BB883" s="58" t="s">
        <v>1407</v>
      </c>
      <c r="BC883" s="58"/>
    </row>
    <row r="884" spans="1:55" x14ac:dyDescent="0.25">
      <c r="A884" s="10">
        <f t="shared" si="36"/>
        <v>883</v>
      </c>
      <c r="B884" s="181" t="s">
        <v>8658</v>
      </c>
      <c r="C884" s="592" t="s">
        <v>1407</v>
      </c>
      <c r="D884" s="457">
        <v>400789</v>
      </c>
      <c r="E884" s="181" t="s">
        <v>36</v>
      </c>
      <c r="F884" s="97" t="s">
        <v>8659</v>
      </c>
      <c r="G884" s="139">
        <v>6</v>
      </c>
      <c r="H884" s="458">
        <v>0.41666666666666669</v>
      </c>
      <c r="I884" s="458">
        <v>0.5</v>
      </c>
      <c r="J884" s="458">
        <f>I884-H884</f>
        <v>8.3333333333333315E-2</v>
      </c>
      <c r="K884" s="58" t="s">
        <v>446</v>
      </c>
      <c r="L884" s="97"/>
      <c r="M884" s="97" t="s">
        <v>1376</v>
      </c>
      <c r="N884" s="58" t="s">
        <v>1393</v>
      </c>
      <c r="O884" s="58"/>
      <c r="P884" s="206">
        <v>45106</v>
      </c>
      <c r="Q884" s="460">
        <v>45106</v>
      </c>
      <c r="R884" s="460">
        <v>45836</v>
      </c>
      <c r="S884" s="461">
        <v>45837</v>
      </c>
      <c r="T884" s="139"/>
      <c r="U884" s="139" t="s">
        <v>8660</v>
      </c>
      <c r="V884" s="139"/>
      <c r="W884" s="139"/>
      <c r="X884" s="139"/>
      <c r="Y884" s="462"/>
      <c r="Z884" s="140" t="s">
        <v>8661</v>
      </c>
      <c r="AA884" s="140"/>
      <c r="AB884" s="460"/>
      <c r="AC884" s="460"/>
      <c r="AD884" s="488">
        <v>8179822762</v>
      </c>
      <c r="AE884" s="140" t="s">
        <v>8662</v>
      </c>
      <c r="AF884" s="139" t="s">
        <v>1805</v>
      </c>
      <c r="AG884" s="463" t="s">
        <v>8663</v>
      </c>
      <c r="AH884" s="139" t="s">
        <v>8664</v>
      </c>
      <c r="AI884" s="139" t="s">
        <v>8665</v>
      </c>
      <c r="AJ884" s="464">
        <v>556514898746</v>
      </c>
      <c r="AK884" s="140"/>
      <c r="AL884" s="206">
        <v>45251</v>
      </c>
      <c r="AM884" s="477"/>
      <c r="AN884" s="465"/>
      <c r="AO884" s="140"/>
      <c r="AP884" s="139"/>
      <c r="AQ884" s="139"/>
      <c r="AR884" s="58"/>
      <c r="AS884" s="458" t="e">
        <v>#N/A</v>
      </c>
      <c r="AT884" s="458"/>
      <c r="AU884" s="461"/>
      <c r="AV884" s="181" t="s">
        <v>1352</v>
      </c>
      <c r="AW884" s="31" t="s">
        <v>32</v>
      </c>
      <c r="AX884" s="139">
        <v>2</v>
      </c>
      <c r="AY884" s="58" t="s">
        <v>1849</v>
      </c>
      <c r="AZ884" s="58" t="s">
        <v>1390</v>
      </c>
      <c r="BA884" s="58" t="s">
        <v>151</v>
      </c>
      <c r="BB884" s="58" t="s">
        <v>1407</v>
      </c>
      <c r="BC884" s="58"/>
    </row>
    <row r="885" spans="1:55" x14ac:dyDescent="0.25">
      <c r="A885" s="10">
        <f t="shared" si="36"/>
        <v>884</v>
      </c>
      <c r="B885" s="181" t="s">
        <v>8666</v>
      </c>
      <c r="C885" s="592" t="s">
        <v>1407</v>
      </c>
      <c r="D885" s="457">
        <v>400790</v>
      </c>
      <c r="E885" s="181" t="s">
        <v>36</v>
      </c>
      <c r="F885" s="97" t="s">
        <v>8667</v>
      </c>
      <c r="G885" s="139">
        <v>6</v>
      </c>
      <c r="H885" s="458" t="s">
        <v>235</v>
      </c>
      <c r="I885" s="458" t="s">
        <v>978</v>
      </c>
      <c r="J885" s="458">
        <v>0.33333333333333331</v>
      </c>
      <c r="K885" s="58" t="s">
        <v>147</v>
      </c>
      <c r="L885" s="97"/>
      <c r="M885" s="63" t="s">
        <v>1355</v>
      </c>
      <c r="N885" s="100" t="s">
        <v>1520</v>
      </c>
      <c r="O885" s="58"/>
      <c r="P885" s="206">
        <v>45108</v>
      </c>
      <c r="Q885" s="460">
        <v>45108</v>
      </c>
      <c r="R885" s="460">
        <v>45838</v>
      </c>
      <c r="S885" s="461">
        <v>45839</v>
      </c>
      <c r="T885" s="139"/>
      <c r="U885" s="139" t="s">
        <v>8668</v>
      </c>
      <c r="V885" s="139"/>
      <c r="W885" s="139"/>
      <c r="X885" s="139"/>
      <c r="Y885" s="462"/>
      <c r="Z885" s="140" t="s">
        <v>8669</v>
      </c>
      <c r="AA885" s="140"/>
      <c r="AB885" s="460"/>
      <c r="AC885" s="460"/>
      <c r="AD885" s="488">
        <v>9408969463</v>
      </c>
      <c r="AE885" s="140" t="s">
        <v>8670</v>
      </c>
      <c r="AF885" s="139" t="s">
        <v>5086</v>
      </c>
      <c r="AG885" s="463">
        <v>20162189311</v>
      </c>
      <c r="AH885" s="139" t="s">
        <v>8671</v>
      </c>
      <c r="AI885" s="139" t="s">
        <v>8672</v>
      </c>
      <c r="AJ885" s="464">
        <v>411574770540</v>
      </c>
      <c r="AK885" s="140"/>
      <c r="AL885" s="206">
        <v>45320</v>
      </c>
      <c r="AM885" s="477">
        <v>45259</v>
      </c>
      <c r="AN885" s="465"/>
      <c r="AO885" s="140"/>
      <c r="AP885" s="139"/>
      <c r="AQ885" s="139"/>
      <c r="AR885" s="58"/>
      <c r="AS885" s="458"/>
      <c r="AT885" s="458">
        <v>0.33333333333333331</v>
      </c>
      <c r="AU885" s="461"/>
      <c r="AV885" s="181" t="s">
        <v>1389</v>
      </c>
      <c r="AW885" s="31" t="s">
        <v>68</v>
      </c>
      <c r="AX885" s="139">
        <v>8</v>
      </c>
      <c r="AY885" s="58" t="s">
        <v>1849</v>
      </c>
      <c r="AZ885" s="58" t="s">
        <v>1373</v>
      </c>
      <c r="BA885" s="58" t="s">
        <v>151</v>
      </c>
      <c r="BB885" s="58" t="s">
        <v>1407</v>
      </c>
      <c r="BC885" s="58"/>
    </row>
    <row r="886" spans="1:55" x14ac:dyDescent="0.25">
      <c r="A886" s="10">
        <f t="shared" si="36"/>
        <v>885</v>
      </c>
      <c r="B886" s="181" t="s">
        <v>8673</v>
      </c>
      <c r="C886" s="592" t="s">
        <v>1407</v>
      </c>
      <c r="D886" s="457">
        <v>400791</v>
      </c>
      <c r="E886" s="181" t="s">
        <v>42</v>
      </c>
      <c r="F886" s="97" t="s">
        <v>8674</v>
      </c>
      <c r="G886" s="139">
        <v>6</v>
      </c>
      <c r="H886" s="458">
        <v>0.5</v>
      </c>
      <c r="I886" s="458">
        <v>0.83333333333333337</v>
      </c>
      <c r="J886" s="458">
        <f>I886-H886</f>
        <v>0.33333333333333337</v>
      </c>
      <c r="K886" s="462" t="s">
        <v>154</v>
      </c>
      <c r="L886" s="97"/>
      <c r="M886" s="97" t="s">
        <v>26</v>
      </c>
      <c r="N886" s="58" t="s">
        <v>38</v>
      </c>
      <c r="O886" s="58"/>
      <c r="P886" s="206">
        <v>45108</v>
      </c>
      <c r="Q886" s="460">
        <f>P886</f>
        <v>45108</v>
      </c>
      <c r="R886" s="460">
        <v>45838</v>
      </c>
      <c r="S886" s="461">
        <f>R886+1</f>
        <v>45839</v>
      </c>
      <c r="T886" s="139"/>
      <c r="U886" s="139" t="s">
        <v>642</v>
      </c>
      <c r="V886" s="139"/>
      <c r="W886" s="139"/>
      <c r="X886" s="139"/>
      <c r="Y886" s="462"/>
      <c r="Z886" s="140" t="s">
        <v>8675</v>
      </c>
      <c r="AA886" s="140"/>
      <c r="AB886" s="460"/>
      <c r="AC886" s="460"/>
      <c r="AD886" s="139">
        <v>7680972978</v>
      </c>
      <c r="AE886" s="467" t="s">
        <v>8676</v>
      </c>
      <c r="AF886" s="139"/>
      <c r="AG886" s="463"/>
      <c r="AH886" s="139"/>
      <c r="AI886" s="139" t="s">
        <v>8677</v>
      </c>
      <c r="AJ886" s="464">
        <v>400745629353</v>
      </c>
      <c r="AK886" s="140"/>
      <c r="AL886" s="461">
        <v>45108</v>
      </c>
      <c r="AM886" s="477"/>
      <c r="AN886" s="465"/>
      <c r="AO886" s="140"/>
      <c r="AP886" s="139"/>
      <c r="AQ886" s="139"/>
      <c r="AR886" s="181"/>
      <c r="AS886" s="458"/>
      <c r="AT886" s="458"/>
      <c r="AU886" s="461"/>
      <c r="AV886" s="181" t="s">
        <v>1352</v>
      </c>
      <c r="AW886" s="31" t="s">
        <v>68</v>
      </c>
      <c r="AX886" s="139">
        <v>8</v>
      </c>
      <c r="AY886" s="58" t="s">
        <v>1904</v>
      </c>
      <c r="AZ886" s="58" t="s">
        <v>26</v>
      </c>
      <c r="BA886" s="58" t="s">
        <v>151</v>
      </c>
      <c r="BB886" s="58" t="s">
        <v>1407</v>
      </c>
      <c r="BC886" s="58"/>
    </row>
    <row r="887" spans="1:55" x14ac:dyDescent="0.25">
      <c r="A887" s="10">
        <f t="shared" si="36"/>
        <v>886</v>
      </c>
      <c r="B887" s="181"/>
      <c r="C887" s="592" t="s">
        <v>1407</v>
      </c>
      <c r="D887" s="457">
        <v>400793</v>
      </c>
      <c r="E887" s="181" t="s">
        <v>9124</v>
      </c>
      <c r="F887" s="97" t="s">
        <v>8678</v>
      </c>
      <c r="G887" s="139">
        <v>6</v>
      </c>
      <c r="H887" s="458" t="s">
        <v>8679</v>
      </c>
      <c r="I887" s="458" t="s">
        <v>8680</v>
      </c>
      <c r="J887" s="458">
        <v>0.33333333333333331</v>
      </c>
      <c r="K887" s="58" t="s">
        <v>693</v>
      </c>
      <c r="L887" s="97"/>
      <c r="M887" s="97" t="s">
        <v>26</v>
      </c>
      <c r="N887" s="58" t="s">
        <v>38</v>
      </c>
      <c r="O887" s="58"/>
      <c r="P887" s="206">
        <v>45111</v>
      </c>
      <c r="Q887" s="460">
        <f>P887</f>
        <v>45111</v>
      </c>
      <c r="R887" s="460">
        <v>45841</v>
      </c>
      <c r="S887" s="461">
        <f>R887+1</f>
        <v>45842</v>
      </c>
      <c r="T887" s="139"/>
      <c r="U887" s="139" t="s">
        <v>8681</v>
      </c>
      <c r="V887" s="139"/>
      <c r="W887" s="139"/>
      <c r="X887" s="139"/>
      <c r="Y887" s="462"/>
      <c r="Z887" s="140">
        <v>68775</v>
      </c>
      <c r="AA887" s="140"/>
      <c r="AB887" s="460"/>
      <c r="AC887" s="460"/>
      <c r="AD887" s="139">
        <v>9885636907</v>
      </c>
      <c r="AE887" s="467" t="s">
        <v>7594</v>
      </c>
      <c r="AF887" s="139" t="s">
        <v>8682</v>
      </c>
      <c r="AG887" s="463" t="s">
        <v>8682</v>
      </c>
      <c r="AH887" s="139" t="s">
        <v>8682</v>
      </c>
      <c r="AI887" s="139" t="s">
        <v>8682</v>
      </c>
      <c r="AJ887" s="464">
        <v>370893550996</v>
      </c>
      <c r="AK887" s="140"/>
      <c r="AL887" s="461">
        <v>45111</v>
      </c>
      <c r="AM887" s="477"/>
      <c r="AN887" s="465"/>
      <c r="AO887" s="140"/>
      <c r="AP887" s="139"/>
      <c r="AQ887" s="139"/>
      <c r="AR887" s="181"/>
      <c r="AS887" s="458"/>
      <c r="AT887" s="458"/>
      <c r="AU887" s="461"/>
      <c r="AV887" s="181" t="s">
        <v>1352</v>
      </c>
      <c r="AW887" s="31" t="s">
        <v>68</v>
      </c>
      <c r="AX887" s="139">
        <v>8</v>
      </c>
      <c r="AY887" s="58" t="s">
        <v>2469</v>
      </c>
      <c r="AZ887" s="58" t="s">
        <v>26</v>
      </c>
      <c r="BA887" s="58" t="s">
        <v>151</v>
      </c>
      <c r="BB887" s="58" t="s">
        <v>1407</v>
      </c>
      <c r="BC887" s="58"/>
    </row>
    <row r="888" spans="1:55" x14ac:dyDescent="0.25">
      <c r="A888" s="10">
        <f t="shared" si="36"/>
        <v>887</v>
      </c>
      <c r="B888" s="181" t="s">
        <v>8683</v>
      </c>
      <c r="C888" s="592" t="s">
        <v>1407</v>
      </c>
      <c r="D888" s="457">
        <v>400885</v>
      </c>
      <c r="E888" s="181" t="s">
        <v>36</v>
      </c>
      <c r="F888" s="97" t="s">
        <v>8684</v>
      </c>
      <c r="G888" s="139">
        <v>6</v>
      </c>
      <c r="H888" s="469" t="s">
        <v>989</v>
      </c>
      <c r="I888" s="469" t="s">
        <v>5702</v>
      </c>
      <c r="J888" s="458">
        <f>I888-H888</f>
        <v>0.125</v>
      </c>
      <c r="K888" s="462" t="s">
        <v>532</v>
      </c>
      <c r="L888" s="97" t="s">
        <v>5119</v>
      </c>
      <c r="M888" s="97" t="s">
        <v>26</v>
      </c>
      <c r="N888" s="58" t="s">
        <v>38</v>
      </c>
      <c r="O888" s="462" t="s">
        <v>5076</v>
      </c>
      <c r="P888" s="206">
        <v>45254</v>
      </c>
      <c r="Q888" s="206">
        <v>45254</v>
      </c>
      <c r="R888" s="206">
        <v>45984</v>
      </c>
      <c r="S888" s="461">
        <v>45985</v>
      </c>
      <c r="T888" s="139">
        <v>2018</v>
      </c>
      <c r="U888" s="181" t="s">
        <v>8685</v>
      </c>
      <c r="V888" s="139">
        <v>2023</v>
      </c>
      <c r="W888" s="140" t="s">
        <v>8686</v>
      </c>
      <c r="X888" s="181" t="s">
        <v>30</v>
      </c>
      <c r="Y888" s="58" t="s">
        <v>5066</v>
      </c>
      <c r="Z888" s="140" t="s">
        <v>8687</v>
      </c>
      <c r="AA888" s="470" t="s">
        <v>1841</v>
      </c>
      <c r="AB888" s="471">
        <v>45188</v>
      </c>
      <c r="AC888" s="471">
        <v>47014</v>
      </c>
      <c r="AD888" s="472">
        <v>8144545967</v>
      </c>
      <c r="AE888" s="473" t="s">
        <v>8688</v>
      </c>
      <c r="AF888" s="474" t="s">
        <v>1430</v>
      </c>
      <c r="AG888" s="475">
        <v>50100641698832</v>
      </c>
      <c r="AH888" s="181" t="s">
        <v>5029</v>
      </c>
      <c r="AI888" s="139" t="s">
        <v>8689</v>
      </c>
      <c r="AJ888" s="476">
        <v>557215683618</v>
      </c>
      <c r="AK888" s="470"/>
      <c r="AL888" s="461">
        <v>45535</v>
      </c>
      <c r="AM888" s="477" t="s">
        <v>30</v>
      </c>
      <c r="AN888" s="465" t="s">
        <v>1592</v>
      </c>
      <c r="AO888" s="140" t="s">
        <v>8690</v>
      </c>
      <c r="AP888" s="58"/>
      <c r="AQ888" s="97" t="s">
        <v>8690</v>
      </c>
      <c r="AR888" s="462"/>
      <c r="AS888" s="479">
        <v>0.70833333333333337</v>
      </c>
      <c r="AT888" s="479">
        <v>0.83333333333333337</v>
      </c>
      <c r="AU888" s="480">
        <v>35238</v>
      </c>
      <c r="AV888" s="181" t="s">
        <v>1352</v>
      </c>
      <c r="AW888" s="31" t="s">
        <v>32</v>
      </c>
      <c r="AX888" s="139">
        <v>3</v>
      </c>
      <c r="AY888" s="58" t="s">
        <v>1849</v>
      </c>
      <c r="AZ888" s="58" t="s">
        <v>26</v>
      </c>
      <c r="BA888" s="58" t="s">
        <v>151</v>
      </c>
      <c r="BB888" s="58" t="s">
        <v>1407</v>
      </c>
      <c r="BC888" s="58"/>
    </row>
    <row r="889" spans="1:55" x14ac:dyDescent="0.25">
      <c r="A889" s="10">
        <f t="shared" si="36"/>
        <v>888</v>
      </c>
      <c r="B889" s="181" t="s">
        <v>8691</v>
      </c>
      <c r="C889" s="592" t="s">
        <v>1407</v>
      </c>
      <c r="D889" s="457">
        <v>400797</v>
      </c>
      <c r="E889" s="181" t="s">
        <v>36</v>
      </c>
      <c r="F889" s="97" t="s">
        <v>8692</v>
      </c>
      <c r="G889" s="139">
        <v>6</v>
      </c>
      <c r="H889" s="458">
        <v>0.35416666666666669</v>
      </c>
      <c r="I889" s="458">
        <v>0.6875</v>
      </c>
      <c r="J889" s="458">
        <f>I889-H889</f>
        <v>0.33333333333333331</v>
      </c>
      <c r="K889" s="100" t="s">
        <v>961</v>
      </c>
      <c r="L889" s="97" t="s">
        <v>8693</v>
      </c>
      <c r="M889" s="97" t="s">
        <v>26</v>
      </c>
      <c r="N889" s="58" t="s">
        <v>38</v>
      </c>
      <c r="O889" s="58"/>
      <c r="P889" s="206">
        <v>45117</v>
      </c>
      <c r="Q889" s="460">
        <v>45117</v>
      </c>
      <c r="R889" s="460">
        <v>45847</v>
      </c>
      <c r="S889" s="461">
        <v>45848</v>
      </c>
      <c r="T889" s="139"/>
      <c r="U889" s="139" t="s">
        <v>8694</v>
      </c>
      <c r="V889" s="139"/>
      <c r="W889" s="139"/>
      <c r="X889" s="139"/>
      <c r="Y889" s="462"/>
      <c r="Z889" s="140">
        <v>64399</v>
      </c>
      <c r="AA889" s="140"/>
      <c r="AB889" s="460"/>
      <c r="AC889" s="460"/>
      <c r="AD889" s="488">
        <v>9703029999</v>
      </c>
      <c r="AE889" s="140" t="s">
        <v>8695</v>
      </c>
      <c r="AF889" s="139" t="s">
        <v>1430</v>
      </c>
      <c r="AG889" s="463" t="s">
        <v>8696</v>
      </c>
      <c r="AH889" s="139" t="s">
        <v>2027</v>
      </c>
      <c r="AI889" s="139" t="s">
        <v>8697</v>
      </c>
      <c r="AJ889" s="464">
        <v>936804384130</v>
      </c>
      <c r="AK889" s="140"/>
      <c r="AL889" s="461">
        <v>45260</v>
      </c>
      <c r="AM889" s="477"/>
      <c r="AN889" s="465"/>
      <c r="AO889" s="140"/>
      <c r="AP889" s="139"/>
      <c r="AQ889" s="139"/>
      <c r="AR889" s="58"/>
      <c r="AS889" s="458" t="e">
        <v>#N/A</v>
      </c>
      <c r="AT889" s="458"/>
      <c r="AU889" s="461"/>
      <c r="AV889" s="181" t="s">
        <v>1352</v>
      </c>
      <c r="AW889" s="31" t="s">
        <v>68</v>
      </c>
      <c r="AX889" s="139">
        <v>8</v>
      </c>
      <c r="AY889" s="58" t="s">
        <v>1849</v>
      </c>
      <c r="AZ889" s="58" t="s">
        <v>26</v>
      </c>
      <c r="BA889" s="58" t="s">
        <v>151</v>
      </c>
      <c r="BB889" s="58" t="s">
        <v>1407</v>
      </c>
      <c r="BC889" s="58"/>
    </row>
    <row r="890" spans="1:55" x14ac:dyDescent="0.25">
      <c r="A890" s="10">
        <f t="shared" si="36"/>
        <v>889</v>
      </c>
      <c r="B890" s="181" t="s">
        <v>8698</v>
      </c>
      <c r="C890" s="592" t="s">
        <v>1407</v>
      </c>
      <c r="D890" s="457">
        <v>400959</v>
      </c>
      <c r="E890" s="181" t="s">
        <v>36</v>
      </c>
      <c r="F890" s="97" t="s">
        <v>8699</v>
      </c>
      <c r="G890" s="139">
        <v>6</v>
      </c>
      <c r="H890" s="469">
        <v>0.33333333333333331</v>
      </c>
      <c r="I890" s="469">
        <v>0.66666666666666663</v>
      </c>
      <c r="J890" s="458">
        <f>I890-H890</f>
        <v>0.33333333333333331</v>
      </c>
      <c r="K890" s="143" t="s">
        <v>255</v>
      </c>
      <c r="L890" s="97" t="s">
        <v>8700</v>
      </c>
      <c r="M890" s="97" t="s">
        <v>26</v>
      </c>
      <c r="N890" s="58" t="s">
        <v>38</v>
      </c>
      <c r="O890" s="462" t="s">
        <v>5076</v>
      </c>
      <c r="P890" s="206">
        <v>45352</v>
      </c>
      <c r="Q890" s="206">
        <v>45352</v>
      </c>
      <c r="R890" s="206">
        <v>46081</v>
      </c>
      <c r="S890" s="461">
        <v>46082</v>
      </c>
      <c r="T890" s="139">
        <v>2020</v>
      </c>
      <c r="U890" s="181" t="s">
        <v>435</v>
      </c>
      <c r="V890" s="139">
        <v>2023</v>
      </c>
      <c r="W890" s="97" t="s">
        <v>251</v>
      </c>
      <c r="X890" s="181" t="s">
        <v>30</v>
      </c>
      <c r="Y890" s="58" t="s">
        <v>5066</v>
      </c>
      <c r="Z890" s="140" t="s">
        <v>8701</v>
      </c>
      <c r="AA890" s="470" t="s">
        <v>1841</v>
      </c>
      <c r="AB890" s="471">
        <v>45348</v>
      </c>
      <c r="AC890" s="471">
        <v>47174</v>
      </c>
      <c r="AD890" s="472">
        <v>9901428547</v>
      </c>
      <c r="AE890" s="473" t="s">
        <v>8702</v>
      </c>
      <c r="AF890" s="474" t="s">
        <v>5086</v>
      </c>
      <c r="AG890" s="475" t="s">
        <v>8703</v>
      </c>
      <c r="AH890" s="181" t="s">
        <v>6590</v>
      </c>
      <c r="AI890" s="139" t="s">
        <v>8704</v>
      </c>
      <c r="AJ890" s="476">
        <v>649972654207</v>
      </c>
      <c r="AK890" s="470"/>
      <c r="AL890" s="461">
        <v>45535</v>
      </c>
      <c r="AM890" s="477" t="s">
        <v>30</v>
      </c>
      <c r="AN890" s="465" t="s">
        <v>8705</v>
      </c>
      <c r="AO890" s="140" t="s">
        <v>8706</v>
      </c>
      <c r="AP890" s="58"/>
      <c r="AQ890" s="97" t="s">
        <v>8706</v>
      </c>
      <c r="AR890" s="462"/>
      <c r="AS890" s="479">
        <v>0.33333333333333331</v>
      </c>
      <c r="AT890" s="479">
        <v>0.66666666666666663</v>
      </c>
      <c r="AU890" s="480">
        <v>35467</v>
      </c>
      <c r="AV890" s="181" t="s">
        <v>1389</v>
      </c>
      <c r="AW890" s="31" t="s">
        <v>68</v>
      </c>
      <c r="AX890" s="139">
        <v>8</v>
      </c>
      <c r="AY890" s="58" t="s">
        <v>2068</v>
      </c>
      <c r="AZ890" s="58" t="s">
        <v>26</v>
      </c>
      <c r="BA890" s="58" t="s">
        <v>151</v>
      </c>
      <c r="BB890" s="58" t="s">
        <v>1407</v>
      </c>
      <c r="BC890" s="58"/>
    </row>
    <row r="891" spans="1:55" x14ac:dyDescent="0.25">
      <c r="A891" s="10">
        <f t="shared" si="36"/>
        <v>890</v>
      </c>
      <c r="B891" s="181"/>
      <c r="C891" s="592" t="s">
        <v>1407</v>
      </c>
      <c r="D891" s="457">
        <v>400802</v>
      </c>
      <c r="E891" s="181" t="s">
        <v>36</v>
      </c>
      <c r="F891" s="97" t="s">
        <v>8707</v>
      </c>
      <c r="G891" s="139">
        <v>6</v>
      </c>
      <c r="H891" s="458">
        <v>0.70833333333333337</v>
      </c>
      <c r="I891" s="458">
        <v>0.83333333333333337</v>
      </c>
      <c r="J891" s="458">
        <f>I891-H891</f>
        <v>0.125</v>
      </c>
      <c r="K891" s="143" t="s">
        <v>538</v>
      </c>
      <c r="L891" s="97" t="s">
        <v>467</v>
      </c>
      <c r="M891" s="97" t="s">
        <v>26</v>
      </c>
      <c r="N891" s="58" t="s">
        <v>38</v>
      </c>
      <c r="O891" s="58"/>
      <c r="P891" s="206">
        <v>45131</v>
      </c>
      <c r="Q891" s="460">
        <f>P891</f>
        <v>45131</v>
      </c>
      <c r="R891" s="460">
        <v>45861</v>
      </c>
      <c r="S891" s="461">
        <f>R891+1</f>
        <v>45862</v>
      </c>
      <c r="T891" s="139"/>
      <c r="U891" s="139" t="s">
        <v>8708</v>
      </c>
      <c r="V891" s="139"/>
      <c r="W891" s="139"/>
      <c r="X891" s="139"/>
      <c r="Y891" s="462"/>
      <c r="Z891" s="140" t="s">
        <v>8709</v>
      </c>
      <c r="AA891" s="140"/>
      <c r="AB891" s="460"/>
      <c r="AC891" s="460"/>
      <c r="AD891" s="139" t="s">
        <v>8710</v>
      </c>
      <c r="AE891" s="467" t="s">
        <v>8711</v>
      </c>
      <c r="AF891" s="139"/>
      <c r="AG891" s="463"/>
      <c r="AH891" s="139"/>
      <c r="AI891" s="139" t="s">
        <v>8712</v>
      </c>
      <c r="AJ891" s="464">
        <v>581457744840</v>
      </c>
      <c r="AK891" s="140"/>
      <c r="AL891" s="461">
        <v>45131</v>
      </c>
      <c r="AM891" s="477"/>
      <c r="AN891" s="465"/>
      <c r="AO891" s="140"/>
      <c r="AP891" s="139"/>
      <c r="AQ891" s="139"/>
      <c r="AR891" s="181"/>
      <c r="AS891" s="458"/>
      <c r="AT891" s="458"/>
      <c r="AU891" s="461"/>
      <c r="AV891" s="181" t="s">
        <v>1389</v>
      </c>
      <c r="AW891" s="31" t="s">
        <v>32</v>
      </c>
      <c r="AX891" s="139">
        <v>3</v>
      </c>
      <c r="AY891" s="58" t="s">
        <v>1904</v>
      </c>
      <c r="AZ891" s="58" t="s">
        <v>26</v>
      </c>
      <c r="BA891" s="58" t="s">
        <v>151</v>
      </c>
      <c r="BB891" s="58" t="s">
        <v>1407</v>
      </c>
      <c r="BC891" s="58"/>
    </row>
    <row r="892" spans="1:55" x14ac:dyDescent="0.25">
      <c r="A892" s="10">
        <f t="shared" si="36"/>
        <v>891</v>
      </c>
      <c r="B892" s="181" t="s">
        <v>8713</v>
      </c>
      <c r="C892" s="592" t="s">
        <v>1407</v>
      </c>
      <c r="D892" s="457">
        <v>400805</v>
      </c>
      <c r="E892" s="181" t="s">
        <v>8354</v>
      </c>
      <c r="F892" s="97" t="s">
        <v>8714</v>
      </c>
      <c r="G892" s="139">
        <v>3</v>
      </c>
      <c r="H892" s="458" t="s">
        <v>8715</v>
      </c>
      <c r="I892" s="458" t="s">
        <v>6636</v>
      </c>
      <c r="J892" s="458">
        <f>I892-H892</f>
        <v>8.3333333333333259E-2</v>
      </c>
      <c r="K892" s="143" t="s">
        <v>466</v>
      </c>
      <c r="L892" s="97" t="s">
        <v>8716</v>
      </c>
      <c r="M892" s="97" t="s">
        <v>26</v>
      </c>
      <c r="N892" s="58" t="s">
        <v>38</v>
      </c>
      <c r="O892" s="58" t="s">
        <v>5063</v>
      </c>
      <c r="P892" s="206">
        <v>45231</v>
      </c>
      <c r="Q892" s="460">
        <v>45231</v>
      </c>
      <c r="R892" s="460">
        <v>45961</v>
      </c>
      <c r="S892" s="461">
        <v>45962</v>
      </c>
      <c r="T892" s="139"/>
      <c r="U892" s="139" t="s">
        <v>8717</v>
      </c>
      <c r="V892" s="139"/>
      <c r="W892" s="139"/>
      <c r="X892" s="139" t="s">
        <v>1424</v>
      </c>
      <c r="Y892" s="462"/>
      <c r="Z892" s="140">
        <v>59679</v>
      </c>
      <c r="AA892" s="140"/>
      <c r="AB892" s="460"/>
      <c r="AC892" s="460"/>
      <c r="AD892" s="488" t="s">
        <v>8718</v>
      </c>
      <c r="AE892" s="140" t="s">
        <v>8719</v>
      </c>
      <c r="AF892" s="139" t="s">
        <v>1430</v>
      </c>
      <c r="AG892" s="463" t="s">
        <v>8720</v>
      </c>
      <c r="AH892" s="139" t="s">
        <v>4581</v>
      </c>
      <c r="AI892" s="139" t="s">
        <v>8721</v>
      </c>
      <c r="AJ892" s="464">
        <v>598212944647</v>
      </c>
      <c r="AK892" s="140"/>
      <c r="AL892" s="461">
        <v>45254</v>
      </c>
      <c r="AM892" s="477">
        <v>45254</v>
      </c>
      <c r="AN892" s="140"/>
      <c r="AO892" s="140"/>
      <c r="AP892" s="139"/>
      <c r="AQ892" s="58"/>
      <c r="AR892" s="489"/>
      <c r="AS892" s="458">
        <v>0.72916666666666663</v>
      </c>
      <c r="AT892" s="181">
        <v>0.8125</v>
      </c>
      <c r="AU892" s="461"/>
      <c r="AV892" s="181" t="s">
        <v>1352</v>
      </c>
      <c r="AW892" s="31" t="s">
        <v>32</v>
      </c>
      <c r="AX892" s="139">
        <v>2</v>
      </c>
      <c r="AY892" s="58" t="s">
        <v>2703</v>
      </c>
      <c r="AZ892" s="58" t="s">
        <v>26</v>
      </c>
      <c r="BA892" s="58" t="s">
        <v>151</v>
      </c>
      <c r="BB892" s="58" t="s">
        <v>1407</v>
      </c>
      <c r="BC892" s="58"/>
    </row>
    <row r="893" spans="1:55" x14ac:dyDescent="0.25">
      <c r="A893" s="10">
        <f t="shared" si="36"/>
        <v>892</v>
      </c>
      <c r="B893" s="61" t="s">
        <v>8722</v>
      </c>
      <c r="C893" s="592" t="s">
        <v>1407</v>
      </c>
      <c r="D893" s="96">
        <v>400806</v>
      </c>
      <c r="E893" s="62" t="s">
        <v>268</v>
      </c>
      <c r="F893" s="97" t="s">
        <v>8723</v>
      </c>
      <c r="G893" s="10">
        <v>2</v>
      </c>
      <c r="H893" s="141">
        <v>0.66666666666666663</v>
      </c>
      <c r="I893" s="141">
        <v>0.75</v>
      </c>
      <c r="J893" s="141">
        <v>8.3333333333333329E-2</v>
      </c>
      <c r="K893" s="143" t="s">
        <v>466</v>
      </c>
      <c r="L893" s="63" t="s">
        <v>8724</v>
      </c>
      <c r="M893" s="63" t="s">
        <v>26</v>
      </c>
      <c r="N893" s="100" t="s">
        <v>38</v>
      </c>
      <c r="O893" s="143" t="s">
        <v>1492</v>
      </c>
      <c r="P893" s="446">
        <v>45232</v>
      </c>
      <c r="Q893" s="446">
        <v>45232</v>
      </c>
      <c r="R893" s="446">
        <v>45962</v>
      </c>
      <c r="S893" s="338">
        <v>45963</v>
      </c>
      <c r="T893" s="61">
        <v>2003</v>
      </c>
      <c r="U893" s="63" t="s">
        <v>8725</v>
      </c>
      <c r="V893" s="61">
        <v>2015</v>
      </c>
      <c r="W893" s="99" t="s">
        <v>2694</v>
      </c>
      <c r="X893" s="61" t="s">
        <v>1424</v>
      </c>
      <c r="Y893" s="100" t="s">
        <v>49</v>
      </c>
      <c r="Z893" s="99">
        <v>59234</v>
      </c>
      <c r="AA893" s="63" t="s">
        <v>2695</v>
      </c>
      <c r="AB893" s="451">
        <v>44561</v>
      </c>
      <c r="AC893" s="451">
        <v>46387</v>
      </c>
      <c r="AD893" s="220" t="s">
        <v>8726</v>
      </c>
      <c r="AE893" s="336" t="s">
        <v>8727</v>
      </c>
      <c r="AF893" s="63" t="s">
        <v>5086</v>
      </c>
      <c r="AG893" s="337" t="s">
        <v>8728</v>
      </c>
      <c r="AH893" s="62" t="s">
        <v>8729</v>
      </c>
      <c r="AI893" s="62" t="s">
        <v>8730</v>
      </c>
      <c r="AJ893" s="337" t="s">
        <v>8731</v>
      </c>
      <c r="AK893" s="63"/>
      <c r="AL893" s="338"/>
      <c r="AM893" s="477"/>
      <c r="AN893" s="63"/>
      <c r="AO893" s="63" t="s">
        <v>8732</v>
      </c>
      <c r="AP893" s="61">
        <v>47</v>
      </c>
      <c r="AQ893" s="100"/>
      <c r="AR893" s="143"/>
      <c r="AS893" s="338"/>
      <c r="AT893" s="338"/>
      <c r="AU893" s="453">
        <v>28464</v>
      </c>
      <c r="AV893" s="62" t="s">
        <v>1352</v>
      </c>
      <c r="AW893" s="31" t="s">
        <v>32</v>
      </c>
      <c r="AX893" s="139">
        <v>2</v>
      </c>
      <c r="AY893" s="58" t="s">
        <v>2703</v>
      </c>
      <c r="AZ893" s="58" t="s">
        <v>26</v>
      </c>
      <c r="BA893" s="58" t="s">
        <v>151</v>
      </c>
      <c r="BB893" s="58" t="s">
        <v>1407</v>
      </c>
      <c r="BC893" s="58"/>
    </row>
    <row r="894" spans="1:55" x14ac:dyDescent="0.25">
      <c r="A894" s="10">
        <f t="shared" si="36"/>
        <v>893</v>
      </c>
      <c r="B894" s="181"/>
      <c r="C894" s="592" t="s">
        <v>1407</v>
      </c>
      <c r="D894" s="457">
        <v>400807</v>
      </c>
      <c r="E894" s="181" t="s">
        <v>42</v>
      </c>
      <c r="F894" s="97" t="s">
        <v>8733</v>
      </c>
      <c r="G894" s="139">
        <v>1</v>
      </c>
      <c r="H894" s="458">
        <v>0.70833333333333337</v>
      </c>
      <c r="I894" s="458">
        <v>0.79166666666666663</v>
      </c>
      <c r="J894" s="458">
        <f>I894-H894</f>
        <v>8.3333333333333259E-2</v>
      </c>
      <c r="K894" s="143" t="s">
        <v>466</v>
      </c>
      <c r="L894" s="97" t="s">
        <v>8734</v>
      </c>
      <c r="M894" s="97" t="s">
        <v>26</v>
      </c>
      <c r="N894" s="58" t="s">
        <v>38</v>
      </c>
      <c r="O894" s="58"/>
      <c r="P894" s="206">
        <v>45145</v>
      </c>
      <c r="Q894" s="460">
        <v>45145</v>
      </c>
      <c r="R894" s="460">
        <v>45875</v>
      </c>
      <c r="S894" s="461">
        <v>45876</v>
      </c>
      <c r="T894" s="139"/>
      <c r="U894" s="139" t="s">
        <v>8735</v>
      </c>
      <c r="V894" s="139"/>
      <c r="W894" s="139"/>
      <c r="X894" s="139"/>
      <c r="Y894" s="462"/>
      <c r="Z894" s="140">
        <v>66832</v>
      </c>
      <c r="AA894" s="140"/>
      <c r="AB894" s="460"/>
      <c r="AC894" s="460"/>
      <c r="AD894" s="488">
        <v>9674333055</v>
      </c>
      <c r="AE894" s="140" t="s">
        <v>8736</v>
      </c>
      <c r="AF894" s="139" t="s">
        <v>1364</v>
      </c>
      <c r="AG894" s="463" t="s">
        <v>8737</v>
      </c>
      <c r="AH894" s="139" t="s">
        <v>8738</v>
      </c>
      <c r="AI894" s="139" t="s">
        <v>8739</v>
      </c>
      <c r="AJ894" s="464">
        <v>932181817156</v>
      </c>
      <c r="AK894" s="140"/>
      <c r="AL894" s="461">
        <v>45145</v>
      </c>
      <c r="AM894" s="477"/>
      <c r="AN894" s="465"/>
      <c r="AO894" s="140"/>
      <c r="AP894" s="139"/>
      <c r="AQ894" s="139"/>
      <c r="AR894" s="58"/>
      <c r="AS894" s="458"/>
      <c r="AT894" s="458"/>
      <c r="AU894" s="461"/>
      <c r="AV894" s="181" t="s">
        <v>1352</v>
      </c>
      <c r="AW894" s="31" t="s">
        <v>32</v>
      </c>
      <c r="AX894" s="139">
        <v>2</v>
      </c>
      <c r="AY894" s="58" t="s">
        <v>2703</v>
      </c>
      <c r="AZ894" s="58" t="s">
        <v>26</v>
      </c>
      <c r="BA894" s="58" t="s">
        <v>151</v>
      </c>
      <c r="BB894" s="58" t="s">
        <v>1407</v>
      </c>
      <c r="BC894" s="58"/>
    </row>
    <row r="895" spans="1:55" x14ac:dyDescent="0.25">
      <c r="A895" s="10">
        <f t="shared" si="36"/>
        <v>894</v>
      </c>
      <c r="B895" s="181" t="s">
        <v>8740</v>
      </c>
      <c r="C895" s="592" t="s">
        <v>1407</v>
      </c>
      <c r="D895" s="457">
        <v>400078</v>
      </c>
      <c r="E895" s="181" t="s">
        <v>36</v>
      </c>
      <c r="F895" s="97" t="s">
        <v>8741</v>
      </c>
      <c r="G895" s="139">
        <v>6</v>
      </c>
      <c r="H895" s="469" t="s">
        <v>235</v>
      </c>
      <c r="I895" s="469" t="s">
        <v>978</v>
      </c>
      <c r="J895" s="458">
        <v>0.33333333333333331</v>
      </c>
      <c r="K895" s="143" t="s">
        <v>513</v>
      </c>
      <c r="L895" s="97" t="s">
        <v>2015</v>
      </c>
      <c r="M895" s="63" t="s">
        <v>1355</v>
      </c>
      <c r="N895" s="100" t="s">
        <v>1520</v>
      </c>
      <c r="O895" s="58" t="s">
        <v>6947</v>
      </c>
      <c r="P895" s="206">
        <v>43389</v>
      </c>
      <c r="Q895" s="206">
        <v>45204</v>
      </c>
      <c r="R895" s="206">
        <v>45203</v>
      </c>
      <c r="S895" s="461">
        <v>45935</v>
      </c>
      <c r="T895" s="139">
        <v>2011</v>
      </c>
      <c r="U895" s="181" t="s">
        <v>499</v>
      </c>
      <c r="V895" s="139">
        <v>2017</v>
      </c>
      <c r="W895" s="140" t="s">
        <v>8742</v>
      </c>
      <c r="X895" s="181" t="s">
        <v>30</v>
      </c>
      <c r="Y895" s="58" t="s">
        <v>5214</v>
      </c>
      <c r="Z895" s="140" t="s">
        <v>8743</v>
      </c>
      <c r="AA895" s="97" t="s">
        <v>1841</v>
      </c>
      <c r="AB895" s="471">
        <v>43353</v>
      </c>
      <c r="AC895" s="471">
        <v>45178</v>
      </c>
      <c r="AD895" s="472">
        <v>9948715070</v>
      </c>
      <c r="AE895" s="473" t="s">
        <v>8744</v>
      </c>
      <c r="AF895" s="97" t="s">
        <v>2284</v>
      </c>
      <c r="AG895" s="482" t="s">
        <v>8745</v>
      </c>
      <c r="AH895" s="181" t="s">
        <v>8746</v>
      </c>
      <c r="AI895" s="139" t="s">
        <v>8747</v>
      </c>
      <c r="AJ895" s="464">
        <v>526469074569</v>
      </c>
      <c r="AK895" s="97" t="s">
        <v>8748</v>
      </c>
      <c r="AL895" s="206">
        <v>45541</v>
      </c>
      <c r="AM895" s="477">
        <v>45478</v>
      </c>
      <c r="AN895" s="465" t="s">
        <v>8749</v>
      </c>
      <c r="AO895" s="97"/>
      <c r="AP895" s="58"/>
      <c r="AQ895" s="486" t="s">
        <v>8750</v>
      </c>
      <c r="AR895" s="462"/>
      <c r="AS895" s="479">
        <v>0.33333333333333331</v>
      </c>
      <c r="AT895" s="479">
        <v>0.58333333333333337</v>
      </c>
      <c r="AU895" s="461">
        <v>32062</v>
      </c>
      <c r="AV895" s="181" t="s">
        <v>1389</v>
      </c>
      <c r="AW895" s="31" t="s">
        <v>68</v>
      </c>
      <c r="AX895" s="139">
        <v>8</v>
      </c>
      <c r="AY895" s="466" t="s">
        <v>1959</v>
      </c>
      <c r="AZ895" s="58" t="s">
        <v>1373</v>
      </c>
      <c r="BA895" s="58" t="s">
        <v>151</v>
      </c>
      <c r="BB895" s="58" t="s">
        <v>1407</v>
      </c>
      <c r="BC895" s="58"/>
    </row>
    <row r="896" spans="1:55" x14ac:dyDescent="0.25">
      <c r="A896" s="10">
        <f t="shared" si="36"/>
        <v>895</v>
      </c>
      <c r="B896" s="181" t="s">
        <v>8751</v>
      </c>
      <c r="C896" s="592" t="s">
        <v>1407</v>
      </c>
      <c r="D896" s="457">
        <v>400809</v>
      </c>
      <c r="E896" s="181" t="s">
        <v>36</v>
      </c>
      <c r="F896" s="97" t="s">
        <v>8752</v>
      </c>
      <c r="G896" s="139">
        <v>6</v>
      </c>
      <c r="H896" s="458">
        <v>0.35416666666666669</v>
      </c>
      <c r="I896" s="458">
        <v>0.39583333333333331</v>
      </c>
      <c r="J896" s="458">
        <v>4.1666666666666664E-2</v>
      </c>
      <c r="K896" s="100" t="s">
        <v>287</v>
      </c>
      <c r="L896" s="97"/>
      <c r="M896" s="97" t="s">
        <v>1376</v>
      </c>
      <c r="N896" s="58" t="s">
        <v>1393</v>
      </c>
      <c r="O896" s="58"/>
      <c r="P896" s="206">
        <v>45139</v>
      </c>
      <c r="Q896" s="460">
        <v>45139</v>
      </c>
      <c r="R896" s="460">
        <v>45869</v>
      </c>
      <c r="S896" s="461">
        <v>45870</v>
      </c>
      <c r="T896" s="139"/>
      <c r="U896" s="139" t="s">
        <v>756</v>
      </c>
      <c r="V896" s="139"/>
      <c r="W896" s="139"/>
      <c r="X896" s="139"/>
      <c r="Y896" s="462"/>
      <c r="Z896" s="140" t="s">
        <v>8753</v>
      </c>
      <c r="AA896" s="140" t="s">
        <v>1841</v>
      </c>
      <c r="AB896" s="460"/>
      <c r="AC896" s="460"/>
      <c r="AD896" s="488">
        <v>8179952136</v>
      </c>
      <c r="AE896" s="140" t="s">
        <v>8754</v>
      </c>
      <c r="AF896" s="139" t="s">
        <v>5086</v>
      </c>
      <c r="AG896" s="463">
        <v>62508327474</v>
      </c>
      <c r="AH896" s="139" t="s">
        <v>3069</v>
      </c>
      <c r="AI896" s="139" t="s">
        <v>8755</v>
      </c>
      <c r="AJ896" s="464">
        <v>811778253415</v>
      </c>
      <c r="AK896" s="140"/>
      <c r="AL896" s="206">
        <v>45220</v>
      </c>
      <c r="AM896" s="477"/>
      <c r="AN896" s="465"/>
      <c r="AO896" s="140" t="s">
        <v>8756</v>
      </c>
      <c r="AP896" s="139"/>
      <c r="AQ896" s="140" t="s">
        <v>8756</v>
      </c>
      <c r="AR896" s="58"/>
      <c r="AS896" s="458"/>
      <c r="AT896" s="458"/>
      <c r="AU896" s="461"/>
      <c r="AV896" s="181" t="s">
        <v>1389</v>
      </c>
      <c r="AW896" s="31" t="s">
        <v>32</v>
      </c>
      <c r="AX896" s="139">
        <v>1</v>
      </c>
      <c r="AY896" s="58" t="s">
        <v>1881</v>
      </c>
      <c r="AZ896" s="58" t="s">
        <v>1390</v>
      </c>
      <c r="BA896" s="58" t="s">
        <v>151</v>
      </c>
      <c r="BB896" s="58" t="s">
        <v>1407</v>
      </c>
      <c r="BC896" s="58"/>
    </row>
    <row r="897" spans="1:55" x14ac:dyDescent="0.25">
      <c r="A897" s="10">
        <f t="shared" si="36"/>
        <v>896</v>
      </c>
      <c r="B897" s="181" t="s">
        <v>8757</v>
      </c>
      <c r="C897" s="592" t="s">
        <v>1407</v>
      </c>
      <c r="D897" s="457">
        <v>400672</v>
      </c>
      <c r="E897" s="181" t="s">
        <v>36</v>
      </c>
      <c r="F897" s="97" t="s">
        <v>8758</v>
      </c>
      <c r="G897" s="139">
        <v>6</v>
      </c>
      <c r="H897" s="469" t="s">
        <v>235</v>
      </c>
      <c r="I897" s="469" t="s">
        <v>978</v>
      </c>
      <c r="J897" s="458">
        <v>0.33333333333333331</v>
      </c>
      <c r="K897" s="143" t="s">
        <v>513</v>
      </c>
      <c r="L897" s="97" t="s">
        <v>1424</v>
      </c>
      <c r="M897" s="63" t="s">
        <v>1355</v>
      </c>
      <c r="N897" s="100" t="s">
        <v>1520</v>
      </c>
      <c r="O897" s="58" t="s">
        <v>6947</v>
      </c>
      <c r="P897" s="206">
        <v>45082</v>
      </c>
      <c r="Q897" s="206">
        <v>45082</v>
      </c>
      <c r="R897" s="206">
        <v>45081</v>
      </c>
      <c r="S897" s="461">
        <v>45813</v>
      </c>
      <c r="T897" s="139">
        <v>2010</v>
      </c>
      <c r="U897" s="181" t="s">
        <v>8759</v>
      </c>
      <c r="V897" s="139">
        <v>2022</v>
      </c>
      <c r="W897" s="140" t="s">
        <v>2564</v>
      </c>
      <c r="X897" s="139" t="s">
        <v>1424</v>
      </c>
      <c r="Y897" s="58" t="s">
        <v>1611</v>
      </c>
      <c r="Z897" s="140">
        <v>73778</v>
      </c>
      <c r="AA897" s="97" t="s">
        <v>1841</v>
      </c>
      <c r="AB897" s="471">
        <v>44923</v>
      </c>
      <c r="AC897" s="471">
        <v>46748</v>
      </c>
      <c r="AD897" s="472">
        <v>9441501412</v>
      </c>
      <c r="AE897" s="473" t="s">
        <v>8760</v>
      </c>
      <c r="AF897" s="97" t="s">
        <v>1430</v>
      </c>
      <c r="AG897" s="482" t="s">
        <v>8761</v>
      </c>
      <c r="AH897" s="181" t="s">
        <v>7297</v>
      </c>
      <c r="AI897" s="139" t="s">
        <v>8762</v>
      </c>
      <c r="AJ897" s="464">
        <v>364195038884</v>
      </c>
      <c r="AK897" s="97" t="s">
        <v>8763</v>
      </c>
      <c r="AL897" s="206">
        <v>45541</v>
      </c>
      <c r="AM897" s="477">
        <v>45478</v>
      </c>
      <c r="AN897" s="465" t="s">
        <v>1592</v>
      </c>
      <c r="AO897" s="97"/>
      <c r="AP897" s="58"/>
      <c r="AQ897" s="486"/>
      <c r="AR897" s="462"/>
      <c r="AS897" s="479">
        <v>0.33333333333333331</v>
      </c>
      <c r="AT897" s="479">
        <v>0.66666666666666663</v>
      </c>
      <c r="AU897" s="461">
        <v>30243</v>
      </c>
      <c r="AV897" s="181" t="s">
        <v>1389</v>
      </c>
      <c r="AW897" s="31" t="s">
        <v>68</v>
      </c>
      <c r="AX897" s="139">
        <v>8</v>
      </c>
      <c r="AY897" s="58" t="s">
        <v>1959</v>
      </c>
      <c r="AZ897" s="58" t="s">
        <v>1373</v>
      </c>
      <c r="BA897" s="58" t="s">
        <v>151</v>
      </c>
      <c r="BB897" s="58" t="s">
        <v>1407</v>
      </c>
      <c r="BC897" s="58"/>
    </row>
    <row r="898" spans="1:55" x14ac:dyDescent="0.25">
      <c r="A898" s="10">
        <f t="shared" si="36"/>
        <v>897</v>
      </c>
      <c r="B898" s="181" t="s">
        <v>8764</v>
      </c>
      <c r="C898" s="592" t="s">
        <v>1407</v>
      </c>
      <c r="D898" s="457">
        <v>400973</v>
      </c>
      <c r="E898" s="181" t="s">
        <v>36</v>
      </c>
      <c r="F898" s="97" t="s">
        <v>8765</v>
      </c>
      <c r="G898" s="139">
        <v>6</v>
      </c>
      <c r="H898" s="469">
        <v>0.375</v>
      </c>
      <c r="I898" s="469">
        <v>0.54166666666666663</v>
      </c>
      <c r="J898" s="458">
        <f>I898-H898</f>
        <v>0.16666666666666663</v>
      </c>
      <c r="K898" s="462" t="s">
        <v>1271</v>
      </c>
      <c r="L898" s="97" t="s">
        <v>8766</v>
      </c>
      <c r="M898" s="97" t="s">
        <v>26</v>
      </c>
      <c r="N898" s="58" t="s">
        <v>38</v>
      </c>
      <c r="O898" s="462" t="s">
        <v>5076</v>
      </c>
      <c r="P898" s="206">
        <v>45383</v>
      </c>
      <c r="Q898" s="206">
        <v>45383</v>
      </c>
      <c r="R898" s="206">
        <v>46112</v>
      </c>
      <c r="S898" s="461">
        <v>46113</v>
      </c>
      <c r="T898" s="139">
        <v>2019</v>
      </c>
      <c r="U898" s="181" t="s">
        <v>642</v>
      </c>
      <c r="V898" s="139">
        <v>2023</v>
      </c>
      <c r="W898" s="97" t="s">
        <v>528</v>
      </c>
      <c r="X898" s="181" t="s">
        <v>30</v>
      </c>
      <c r="Y898" s="58" t="s">
        <v>5066</v>
      </c>
      <c r="Z898" s="140" t="s">
        <v>8767</v>
      </c>
      <c r="AA898" s="470" t="s">
        <v>1841</v>
      </c>
      <c r="AB898" s="471">
        <v>45378</v>
      </c>
      <c r="AC898" s="471">
        <v>47203</v>
      </c>
      <c r="AD898" s="472">
        <v>9989083944</v>
      </c>
      <c r="AE898" s="473" t="s">
        <v>1285</v>
      </c>
      <c r="AF898" s="474" t="s">
        <v>5183</v>
      </c>
      <c r="AG898" s="475" t="s">
        <v>8768</v>
      </c>
      <c r="AH898" s="181" t="s">
        <v>8769</v>
      </c>
      <c r="AI898" s="139" t="s">
        <v>8770</v>
      </c>
      <c r="AJ898" s="476">
        <v>257932869006</v>
      </c>
      <c r="AK898" s="470"/>
      <c r="AL898" s="461">
        <v>45544</v>
      </c>
      <c r="AM898" s="477" t="s">
        <v>30</v>
      </c>
      <c r="AN898" s="465" t="s">
        <v>1592</v>
      </c>
      <c r="AO898" s="97" t="s">
        <v>8771</v>
      </c>
      <c r="AP898" s="58"/>
      <c r="AQ898" s="462"/>
      <c r="AR898" s="462"/>
      <c r="AS898" s="479">
        <v>0.375</v>
      </c>
      <c r="AT898" s="479">
        <v>0.54166666666666663</v>
      </c>
      <c r="AU898" s="480">
        <v>34877</v>
      </c>
      <c r="AV898" s="181" t="s">
        <v>1389</v>
      </c>
      <c r="AW898" s="31" t="s">
        <v>32</v>
      </c>
      <c r="AX898" s="139">
        <v>4</v>
      </c>
      <c r="AY898" s="58" t="s">
        <v>1968</v>
      </c>
      <c r="AZ898" s="58" t="s">
        <v>26</v>
      </c>
      <c r="BA898" s="58" t="s">
        <v>151</v>
      </c>
      <c r="BB898" s="58" t="s">
        <v>1407</v>
      </c>
      <c r="BC898" s="58"/>
    </row>
    <row r="899" spans="1:55" x14ac:dyDescent="0.25">
      <c r="A899" s="10">
        <f t="shared" si="36"/>
        <v>898</v>
      </c>
      <c r="B899" s="181"/>
      <c r="C899" s="592" t="s">
        <v>1407</v>
      </c>
      <c r="D899" s="457">
        <v>400812</v>
      </c>
      <c r="E899" s="181" t="s">
        <v>42</v>
      </c>
      <c r="F899" s="97" t="s">
        <v>8772</v>
      </c>
      <c r="G899" s="139">
        <v>6</v>
      </c>
      <c r="H899" s="458">
        <v>0.375</v>
      </c>
      <c r="I899" s="458">
        <v>0.70833333333333337</v>
      </c>
      <c r="J899" s="458">
        <f>I899-H899</f>
        <v>0.33333333333333337</v>
      </c>
      <c r="K899" s="58" t="s">
        <v>1081</v>
      </c>
      <c r="L899" s="97" t="s">
        <v>7919</v>
      </c>
      <c r="M899" s="97" t="s">
        <v>26</v>
      </c>
      <c r="N899" s="58" t="s">
        <v>38</v>
      </c>
      <c r="O899" s="58"/>
      <c r="P899" s="206">
        <v>45139</v>
      </c>
      <c r="Q899" s="460">
        <v>45139</v>
      </c>
      <c r="R899" s="460">
        <v>45869</v>
      </c>
      <c r="S899" s="461">
        <v>45870</v>
      </c>
      <c r="T899" s="139"/>
      <c r="U899" s="139" t="s">
        <v>424</v>
      </c>
      <c r="V899" s="139"/>
      <c r="W899" s="139"/>
      <c r="X899" s="139"/>
      <c r="Y899" s="462"/>
      <c r="Z899" s="140" t="s">
        <v>8773</v>
      </c>
      <c r="AA899" s="140" t="s">
        <v>1841</v>
      </c>
      <c r="AB899" s="460"/>
      <c r="AC899" s="460"/>
      <c r="AD899" s="488">
        <v>9493410869</v>
      </c>
      <c r="AE899" s="140" t="s">
        <v>8774</v>
      </c>
      <c r="AF899" s="139"/>
      <c r="AG899" s="463"/>
      <c r="AH899" s="139"/>
      <c r="AI899" s="139" t="s">
        <v>8775</v>
      </c>
      <c r="AJ899" s="464">
        <v>263874203720</v>
      </c>
      <c r="AK899" s="140"/>
      <c r="AL899" s="461">
        <v>45139</v>
      </c>
      <c r="AM899" s="477"/>
      <c r="AN899" s="465"/>
      <c r="AO899" s="140" t="s">
        <v>8776</v>
      </c>
      <c r="AP899" s="139"/>
      <c r="AQ899" s="140" t="s">
        <v>8776</v>
      </c>
      <c r="AR899" s="58"/>
      <c r="AS899" s="458"/>
      <c r="AT899" s="458"/>
      <c r="AU899" s="461"/>
      <c r="AV899" s="181" t="s">
        <v>1389</v>
      </c>
      <c r="AW899" s="31" t="s">
        <v>68</v>
      </c>
      <c r="AX899" s="139">
        <v>8</v>
      </c>
      <c r="AY899" s="58" t="s">
        <v>1881</v>
      </c>
      <c r="AZ899" s="58" t="s">
        <v>26</v>
      </c>
      <c r="BA899" s="58" t="s">
        <v>151</v>
      </c>
      <c r="BB899" s="58" t="s">
        <v>1407</v>
      </c>
      <c r="BC899" s="58"/>
    </row>
    <row r="900" spans="1:55" x14ac:dyDescent="0.25">
      <c r="A900" s="10">
        <f t="shared" ref="A900:A963" si="38">A899+1</f>
        <v>899</v>
      </c>
      <c r="B900" s="181" t="s">
        <v>8777</v>
      </c>
      <c r="C900" s="592" t="s">
        <v>1407</v>
      </c>
      <c r="D900" s="457">
        <v>400558</v>
      </c>
      <c r="E900" s="181" t="s">
        <v>36</v>
      </c>
      <c r="F900" s="97" t="s">
        <v>8778</v>
      </c>
      <c r="G900" s="139">
        <v>6</v>
      </c>
      <c r="H900" s="469" t="s">
        <v>989</v>
      </c>
      <c r="I900" s="469" t="s">
        <v>5702</v>
      </c>
      <c r="J900" s="458">
        <f>I900-H900</f>
        <v>0.125</v>
      </c>
      <c r="K900" s="100" t="s">
        <v>194</v>
      </c>
      <c r="L900" s="97" t="s">
        <v>6877</v>
      </c>
      <c r="M900" s="63" t="s">
        <v>1355</v>
      </c>
      <c r="N900" s="100" t="s">
        <v>1520</v>
      </c>
      <c r="O900" s="58" t="s">
        <v>6947</v>
      </c>
      <c r="P900" s="206">
        <v>44819</v>
      </c>
      <c r="Q900" s="206">
        <v>44819</v>
      </c>
      <c r="R900" s="206">
        <v>45549</v>
      </c>
      <c r="S900" s="461">
        <v>45550</v>
      </c>
      <c r="T900" s="139">
        <v>2012</v>
      </c>
      <c r="U900" s="181" t="s">
        <v>8779</v>
      </c>
      <c r="V900" s="139">
        <v>2022</v>
      </c>
      <c r="W900" s="140" t="s">
        <v>8780</v>
      </c>
      <c r="X900" s="181" t="s">
        <v>30</v>
      </c>
      <c r="Y900" s="58" t="s">
        <v>1360</v>
      </c>
      <c r="Z900" s="140" t="s">
        <v>8781</v>
      </c>
      <c r="AA900" s="97" t="s">
        <v>1841</v>
      </c>
      <c r="AB900" s="471">
        <v>43612</v>
      </c>
      <c r="AC900" s="471">
        <v>45438</v>
      </c>
      <c r="AD900" s="472">
        <v>9030690979</v>
      </c>
      <c r="AE900" s="473" t="s">
        <v>8782</v>
      </c>
      <c r="AF900" s="97" t="s">
        <v>1430</v>
      </c>
      <c r="AG900" s="482" t="s">
        <v>8783</v>
      </c>
      <c r="AH900" s="181" t="s">
        <v>6921</v>
      </c>
      <c r="AI900" s="139" t="s">
        <v>8784</v>
      </c>
      <c r="AJ900" s="464">
        <v>387992231894</v>
      </c>
      <c r="AK900" s="97" t="s">
        <v>8785</v>
      </c>
      <c r="AL900" s="206">
        <v>45549</v>
      </c>
      <c r="AM900" s="477" t="s">
        <v>30</v>
      </c>
      <c r="AN900" s="465" t="s">
        <v>8786</v>
      </c>
      <c r="AO900" s="97"/>
      <c r="AP900" s="58"/>
      <c r="AQ900" s="486"/>
      <c r="AR900" s="462"/>
      <c r="AS900" s="479">
        <v>0.70833333333333337</v>
      </c>
      <c r="AT900" s="479">
        <v>0.79166666666666663</v>
      </c>
      <c r="AU900" s="461">
        <v>32448</v>
      </c>
      <c r="AV900" s="181" t="s">
        <v>1389</v>
      </c>
      <c r="AW900" s="31" t="s">
        <v>32</v>
      </c>
      <c r="AX900" s="139">
        <v>3</v>
      </c>
      <c r="AY900" s="58" t="s">
        <v>1968</v>
      </c>
      <c r="AZ900" s="58" t="s">
        <v>1373</v>
      </c>
      <c r="BA900" s="58" t="s">
        <v>151</v>
      </c>
      <c r="BB900" s="58" t="s">
        <v>1407</v>
      </c>
      <c r="BC900" s="58"/>
    </row>
    <row r="901" spans="1:55" x14ac:dyDescent="0.25">
      <c r="A901" s="10">
        <f t="shared" si="38"/>
        <v>900</v>
      </c>
      <c r="B901" s="181" t="s">
        <v>8787</v>
      </c>
      <c r="C901" s="592" t="s">
        <v>1407</v>
      </c>
      <c r="D901" s="457">
        <v>400814</v>
      </c>
      <c r="E901" s="181" t="s">
        <v>36</v>
      </c>
      <c r="F901" s="97" t="s">
        <v>8788</v>
      </c>
      <c r="G901" s="139">
        <v>6</v>
      </c>
      <c r="H901" s="458">
        <v>0.35416666666666669</v>
      </c>
      <c r="I901" s="458">
        <v>0.6875</v>
      </c>
      <c r="J901" s="458">
        <f>I901-H901</f>
        <v>0.33333333333333331</v>
      </c>
      <c r="K901" s="143" t="s">
        <v>513</v>
      </c>
      <c r="L901" s="97" t="s">
        <v>8789</v>
      </c>
      <c r="M901" s="97" t="s">
        <v>26</v>
      </c>
      <c r="N901" s="58" t="s">
        <v>38</v>
      </c>
      <c r="O901" s="58"/>
      <c r="P901" s="206">
        <v>45139</v>
      </c>
      <c r="Q901" s="460">
        <v>45139</v>
      </c>
      <c r="R901" s="460">
        <v>45869</v>
      </c>
      <c r="S901" s="461">
        <v>45870</v>
      </c>
      <c r="T901" s="139"/>
      <c r="U901" s="139" t="s">
        <v>8790</v>
      </c>
      <c r="V901" s="139"/>
      <c r="W901" s="139"/>
      <c r="X901" s="139"/>
      <c r="Y901" s="462"/>
      <c r="Z901" s="140" t="s">
        <v>8791</v>
      </c>
      <c r="AA901" s="140" t="s">
        <v>1841</v>
      </c>
      <c r="AB901" s="460"/>
      <c r="AC901" s="460"/>
      <c r="AD901" s="488">
        <v>7702672744</v>
      </c>
      <c r="AE901" s="140" t="s">
        <v>8792</v>
      </c>
      <c r="AF901" s="139" t="s">
        <v>5086</v>
      </c>
      <c r="AG901" s="463">
        <v>62279150559</v>
      </c>
      <c r="AH901" s="139" t="s">
        <v>8793</v>
      </c>
      <c r="AI901" s="139" t="s">
        <v>8794</v>
      </c>
      <c r="AJ901" s="464">
        <v>977584790421</v>
      </c>
      <c r="AK901" s="140"/>
      <c r="AL901" s="461">
        <v>45169</v>
      </c>
      <c r="AM901" s="477"/>
      <c r="AN901" s="465"/>
      <c r="AO901" s="140" t="s">
        <v>8795</v>
      </c>
      <c r="AP901" s="139"/>
      <c r="AQ901" s="140" t="s">
        <v>8795</v>
      </c>
      <c r="AR901" s="58"/>
      <c r="AS901" s="458"/>
      <c r="AT901" s="458"/>
      <c r="AU901" s="461"/>
      <c r="AV901" s="181" t="s">
        <v>1389</v>
      </c>
      <c r="AW901" s="31" t="s">
        <v>68</v>
      </c>
      <c r="AX901" s="139">
        <v>8</v>
      </c>
      <c r="AY901" s="58" t="s">
        <v>1959</v>
      </c>
      <c r="AZ901" s="58" t="s">
        <v>26</v>
      </c>
      <c r="BA901" s="58" t="s">
        <v>151</v>
      </c>
      <c r="BB901" s="58" t="s">
        <v>1407</v>
      </c>
      <c r="BC901" s="58"/>
    </row>
    <row r="902" spans="1:55" x14ac:dyDescent="0.25">
      <c r="A902" s="10">
        <f t="shared" si="38"/>
        <v>901</v>
      </c>
      <c r="B902" s="181" t="s">
        <v>8796</v>
      </c>
      <c r="C902" s="592" t="s">
        <v>1407</v>
      </c>
      <c r="D902" s="457">
        <v>400586</v>
      </c>
      <c r="E902" s="181" t="s">
        <v>36</v>
      </c>
      <c r="F902" s="97" t="s">
        <v>8797</v>
      </c>
      <c r="G902" s="139">
        <v>6</v>
      </c>
      <c r="H902" s="469" t="s">
        <v>235</v>
      </c>
      <c r="I902" s="469" t="s">
        <v>978</v>
      </c>
      <c r="J902" s="458">
        <v>0.33333333333333331</v>
      </c>
      <c r="K902" s="462" t="s">
        <v>593</v>
      </c>
      <c r="L902" s="97" t="s">
        <v>2097</v>
      </c>
      <c r="M902" s="97" t="s">
        <v>2097</v>
      </c>
      <c r="N902" s="58" t="s">
        <v>2098</v>
      </c>
      <c r="O902" s="58" t="s">
        <v>6947</v>
      </c>
      <c r="P902" s="206">
        <v>44866</v>
      </c>
      <c r="Q902" s="206">
        <v>44866</v>
      </c>
      <c r="R902" s="206">
        <v>45596</v>
      </c>
      <c r="S902" s="461">
        <v>45597</v>
      </c>
      <c r="T902" s="139">
        <v>2009</v>
      </c>
      <c r="U902" s="181" t="s">
        <v>367</v>
      </c>
      <c r="V902" s="139">
        <v>2010</v>
      </c>
      <c r="W902" s="140" t="s">
        <v>8798</v>
      </c>
      <c r="X902" s="181" t="s">
        <v>30</v>
      </c>
      <c r="Y902" s="58" t="s">
        <v>1611</v>
      </c>
      <c r="Z902" s="140">
        <v>42788</v>
      </c>
      <c r="AA902" s="97" t="s">
        <v>1886</v>
      </c>
      <c r="AB902" s="471">
        <v>43885</v>
      </c>
      <c r="AC902" s="471">
        <v>45711</v>
      </c>
      <c r="AD902" s="472">
        <v>9866119748</v>
      </c>
      <c r="AE902" s="473" t="s">
        <v>8799</v>
      </c>
      <c r="AF902" s="97" t="s">
        <v>5086</v>
      </c>
      <c r="AG902" s="482">
        <v>31882949690</v>
      </c>
      <c r="AH902" s="181" t="s">
        <v>8800</v>
      </c>
      <c r="AI902" s="139" t="s">
        <v>8801</v>
      </c>
      <c r="AJ902" s="464">
        <v>616938294066</v>
      </c>
      <c r="AK902" s="97" t="s">
        <v>8802</v>
      </c>
      <c r="AL902" s="206">
        <v>45549</v>
      </c>
      <c r="AM902" s="477" t="s">
        <v>30</v>
      </c>
      <c r="AN902" s="465" t="s">
        <v>1765</v>
      </c>
      <c r="AO902" s="97"/>
      <c r="AP902" s="58"/>
      <c r="AQ902" s="486"/>
      <c r="AR902" s="462"/>
      <c r="AS902" s="479">
        <v>0.33333333333333331</v>
      </c>
      <c r="AT902" s="479">
        <v>0.66666666666666663</v>
      </c>
      <c r="AU902" s="461">
        <v>26853</v>
      </c>
      <c r="AV902" s="181" t="s">
        <v>1352</v>
      </c>
      <c r="AW902" s="31" t="s">
        <v>68</v>
      </c>
      <c r="AX902" s="139">
        <v>8</v>
      </c>
      <c r="AY902" s="58" t="s">
        <v>1920</v>
      </c>
      <c r="AZ902" s="58" t="s">
        <v>1373</v>
      </c>
      <c r="BA902" s="58" t="s">
        <v>151</v>
      </c>
      <c r="BB902" s="58" t="s">
        <v>1407</v>
      </c>
      <c r="BC902" s="58"/>
    </row>
    <row r="903" spans="1:55" x14ac:dyDescent="0.25">
      <c r="A903" s="10">
        <f t="shared" si="38"/>
        <v>902</v>
      </c>
      <c r="B903" s="181" t="s">
        <v>8803</v>
      </c>
      <c r="C903" s="592" t="s">
        <v>1407</v>
      </c>
      <c r="D903" s="457">
        <v>400816</v>
      </c>
      <c r="E903" s="181" t="s">
        <v>36</v>
      </c>
      <c r="F903" s="97" t="s">
        <v>8804</v>
      </c>
      <c r="G903" s="139">
        <v>6</v>
      </c>
      <c r="H903" s="458" t="s">
        <v>6635</v>
      </c>
      <c r="I903" s="458" t="s">
        <v>4213</v>
      </c>
      <c r="J903" s="458">
        <f t="shared" ref="J903:J908" si="39">I903-H903</f>
        <v>0.20833333333333331</v>
      </c>
      <c r="K903" s="58" t="s">
        <v>826</v>
      </c>
      <c r="L903" s="97" t="s">
        <v>8805</v>
      </c>
      <c r="M903" s="97" t="s">
        <v>26</v>
      </c>
      <c r="N903" s="58" t="s">
        <v>38</v>
      </c>
      <c r="O903" s="58"/>
      <c r="P903" s="206">
        <v>45139</v>
      </c>
      <c r="Q903" s="460">
        <v>45139</v>
      </c>
      <c r="R903" s="460">
        <v>45869</v>
      </c>
      <c r="S903" s="461">
        <v>45870</v>
      </c>
      <c r="T903" s="139"/>
      <c r="U903" s="139" t="s">
        <v>8806</v>
      </c>
      <c r="V903" s="139"/>
      <c r="W903" s="139"/>
      <c r="X903" s="139"/>
      <c r="Y903" s="462"/>
      <c r="Z903" s="140">
        <v>61205</v>
      </c>
      <c r="AA903" s="140" t="s">
        <v>2242</v>
      </c>
      <c r="AB903" s="460"/>
      <c r="AC903" s="460"/>
      <c r="AD903" s="488">
        <v>8595403290</v>
      </c>
      <c r="AE903" s="140" t="s">
        <v>8807</v>
      </c>
      <c r="AF903" s="139" t="s">
        <v>5086</v>
      </c>
      <c r="AG903" s="463">
        <v>10311411028</v>
      </c>
      <c r="AH903" s="139" t="s">
        <v>8808</v>
      </c>
      <c r="AI903" s="139" t="s">
        <v>8809</v>
      </c>
      <c r="AJ903" s="464"/>
      <c r="AK903" s="140"/>
      <c r="AL903" s="461">
        <v>45322</v>
      </c>
      <c r="AM903" s="477">
        <v>45293</v>
      </c>
      <c r="AN903" s="465"/>
      <c r="AO903" s="58" t="s">
        <v>8810</v>
      </c>
      <c r="AP903" s="139"/>
      <c r="AQ903" s="139"/>
      <c r="AR903" s="58"/>
      <c r="AS903" s="458">
        <v>46</v>
      </c>
      <c r="AT903" s="458">
        <v>0.39583333333333331</v>
      </c>
      <c r="AU903" s="461"/>
      <c r="AV903" s="181" t="s">
        <v>1352</v>
      </c>
      <c r="AW903" s="31" t="s">
        <v>32</v>
      </c>
      <c r="AX903" s="139">
        <v>5</v>
      </c>
      <c r="AY903" s="58" t="s">
        <v>2251</v>
      </c>
      <c r="AZ903" s="58" t="s">
        <v>26</v>
      </c>
      <c r="BA903" s="58" t="s">
        <v>151</v>
      </c>
      <c r="BB903" s="58" t="s">
        <v>1407</v>
      </c>
      <c r="BC903" s="58"/>
    </row>
    <row r="904" spans="1:55" x14ac:dyDescent="0.25">
      <c r="A904" s="10">
        <f t="shared" si="38"/>
        <v>903</v>
      </c>
      <c r="B904" s="181" t="s">
        <v>8811</v>
      </c>
      <c r="C904" s="592" t="s">
        <v>1407</v>
      </c>
      <c r="D904" s="457">
        <v>400920</v>
      </c>
      <c r="E904" s="181" t="s">
        <v>36</v>
      </c>
      <c r="F904" s="97" t="s">
        <v>8812</v>
      </c>
      <c r="G904" s="139">
        <v>6</v>
      </c>
      <c r="H904" s="469" t="s">
        <v>5491</v>
      </c>
      <c r="I904" s="469" t="s">
        <v>236</v>
      </c>
      <c r="J904" s="458">
        <f t="shared" si="39"/>
        <v>0.25</v>
      </c>
      <c r="K904" s="58" t="s">
        <v>826</v>
      </c>
      <c r="L904" s="97" t="s">
        <v>8813</v>
      </c>
      <c r="M904" s="97" t="s">
        <v>26</v>
      </c>
      <c r="N904" s="58" t="s">
        <v>38</v>
      </c>
      <c r="O904" s="462" t="s">
        <v>5076</v>
      </c>
      <c r="P904" s="206">
        <v>45306</v>
      </c>
      <c r="Q904" s="206">
        <v>45306</v>
      </c>
      <c r="R904" s="206">
        <v>46036</v>
      </c>
      <c r="S904" s="461">
        <v>46037</v>
      </c>
      <c r="T904" s="139">
        <v>2013</v>
      </c>
      <c r="U904" s="181" t="s">
        <v>8814</v>
      </c>
      <c r="V904" s="139">
        <v>2018</v>
      </c>
      <c r="W904" s="97" t="s">
        <v>8814</v>
      </c>
      <c r="X904" s="181" t="s">
        <v>30</v>
      </c>
      <c r="Y904" s="58" t="s">
        <v>5066</v>
      </c>
      <c r="Z904" s="140" t="s">
        <v>8815</v>
      </c>
      <c r="AA904" s="470" t="s">
        <v>2910</v>
      </c>
      <c r="AB904" s="471">
        <v>41835</v>
      </c>
      <c r="AC904" s="471">
        <v>46510</v>
      </c>
      <c r="AD904" s="472">
        <v>8683999701</v>
      </c>
      <c r="AE904" s="473" t="s">
        <v>8816</v>
      </c>
      <c r="AF904" s="474" t="s">
        <v>5183</v>
      </c>
      <c r="AG904" s="475" t="s">
        <v>8817</v>
      </c>
      <c r="AH904" s="181" t="s">
        <v>2879</v>
      </c>
      <c r="AI904" s="139" t="s">
        <v>8818</v>
      </c>
      <c r="AJ904" s="476">
        <v>718440842479</v>
      </c>
      <c r="AK904" s="470"/>
      <c r="AL904" s="461">
        <v>45549</v>
      </c>
      <c r="AM904" s="477">
        <v>45489</v>
      </c>
      <c r="AN904" s="465" t="s">
        <v>1592</v>
      </c>
      <c r="AO904" s="140" t="s">
        <v>8819</v>
      </c>
      <c r="AP904" s="58"/>
      <c r="AQ904" s="97" t="s">
        <v>8819</v>
      </c>
      <c r="AR904" s="462"/>
      <c r="AS904" s="479">
        <v>0.375</v>
      </c>
      <c r="AT904" s="479">
        <v>0.5</v>
      </c>
      <c r="AU904" s="480">
        <v>32831</v>
      </c>
      <c r="AV904" s="181" t="s">
        <v>1389</v>
      </c>
      <c r="AW904" s="31" t="s">
        <v>32</v>
      </c>
      <c r="AX904" s="139">
        <v>6</v>
      </c>
      <c r="AY904" s="58" t="s">
        <v>2251</v>
      </c>
      <c r="AZ904" s="58" t="s">
        <v>26</v>
      </c>
      <c r="BA904" s="58" t="s">
        <v>151</v>
      </c>
      <c r="BB904" s="58" t="s">
        <v>1407</v>
      </c>
      <c r="BC904" s="58"/>
    </row>
    <row r="905" spans="1:55" x14ac:dyDescent="0.25">
      <c r="A905" s="10">
        <f t="shared" si="38"/>
        <v>904</v>
      </c>
      <c r="B905" s="181" t="s">
        <v>8820</v>
      </c>
      <c r="C905" s="592" t="s">
        <v>1407</v>
      </c>
      <c r="D905" s="457">
        <v>400325</v>
      </c>
      <c r="E905" s="181" t="s">
        <v>36</v>
      </c>
      <c r="F905" s="97" t="s">
        <v>8821</v>
      </c>
      <c r="G905" s="139">
        <v>6</v>
      </c>
      <c r="H905" s="469" t="s">
        <v>235</v>
      </c>
      <c r="I905" s="469" t="s">
        <v>4228</v>
      </c>
      <c r="J905" s="458">
        <f t="shared" si="39"/>
        <v>0.33333333333333331</v>
      </c>
      <c r="K905" s="58" t="s">
        <v>147</v>
      </c>
      <c r="L905" s="97" t="s">
        <v>1582</v>
      </c>
      <c r="M905" s="63" t="s">
        <v>1355</v>
      </c>
      <c r="N905" s="100" t="s">
        <v>1520</v>
      </c>
      <c r="O905" s="58" t="s">
        <v>6947</v>
      </c>
      <c r="P905" s="206">
        <v>44277</v>
      </c>
      <c r="Q905" s="206">
        <v>45007</v>
      </c>
      <c r="R905" s="206">
        <v>45737</v>
      </c>
      <c r="S905" s="461">
        <v>45738</v>
      </c>
      <c r="T905" s="139">
        <v>2005</v>
      </c>
      <c r="U905" s="181" t="s">
        <v>8822</v>
      </c>
      <c r="V905" s="139">
        <v>2009</v>
      </c>
      <c r="W905" s="140" t="s">
        <v>8822</v>
      </c>
      <c r="X905" s="181" t="s">
        <v>30</v>
      </c>
      <c r="Y905" s="58" t="s">
        <v>5214</v>
      </c>
      <c r="Z905" s="140" t="s">
        <v>8823</v>
      </c>
      <c r="AA905" s="97" t="s">
        <v>1841</v>
      </c>
      <c r="AB905" s="471">
        <v>45345</v>
      </c>
      <c r="AC905" s="471">
        <v>47171</v>
      </c>
      <c r="AD905" s="472">
        <v>9885551817</v>
      </c>
      <c r="AE905" s="473" t="s">
        <v>8824</v>
      </c>
      <c r="AF905" s="97" t="s">
        <v>5086</v>
      </c>
      <c r="AG905" s="482" t="s">
        <v>8825</v>
      </c>
      <c r="AH905" s="181" t="s">
        <v>8826</v>
      </c>
      <c r="AI905" s="139" t="s">
        <v>8827</v>
      </c>
      <c r="AJ905" s="464" t="s">
        <v>8828</v>
      </c>
      <c r="AK905" s="97" t="s">
        <v>8829</v>
      </c>
      <c r="AL905" s="206">
        <v>45555</v>
      </c>
      <c r="AM905" s="477">
        <v>45498</v>
      </c>
      <c r="AN905" s="465" t="s">
        <v>1592</v>
      </c>
      <c r="AO905" s="97"/>
      <c r="AP905" s="58"/>
      <c r="AQ905" s="486"/>
      <c r="AR905" s="462"/>
      <c r="AS905" s="479">
        <v>0.33333333333333331</v>
      </c>
      <c r="AT905" s="479">
        <v>0.66666666666666663</v>
      </c>
      <c r="AU905" s="461">
        <v>30060</v>
      </c>
      <c r="AV905" s="181" t="s">
        <v>1389</v>
      </c>
      <c r="AW905" s="31" t="s">
        <v>68</v>
      </c>
      <c r="AX905" s="139">
        <v>8</v>
      </c>
      <c r="AY905" s="466" t="s">
        <v>1849</v>
      </c>
      <c r="AZ905" s="58" t="s">
        <v>1373</v>
      </c>
      <c r="BA905" s="58" t="s">
        <v>151</v>
      </c>
      <c r="BB905" s="58" t="s">
        <v>1407</v>
      </c>
      <c r="BC905" s="58"/>
    </row>
    <row r="906" spans="1:55" x14ac:dyDescent="0.25">
      <c r="A906" s="10">
        <f t="shared" si="38"/>
        <v>905</v>
      </c>
      <c r="B906" s="181" t="s">
        <v>8830</v>
      </c>
      <c r="C906" s="592" t="s">
        <v>1407</v>
      </c>
      <c r="D906" s="457">
        <v>400821</v>
      </c>
      <c r="E906" s="181" t="s">
        <v>36</v>
      </c>
      <c r="F906" s="97" t="s">
        <v>8831</v>
      </c>
      <c r="G906" s="139">
        <v>6</v>
      </c>
      <c r="H906" s="458" t="s">
        <v>989</v>
      </c>
      <c r="I906" s="458" t="s">
        <v>978</v>
      </c>
      <c r="J906" s="458">
        <f t="shared" si="39"/>
        <v>0.16666666666666663</v>
      </c>
      <c r="K906" s="100" t="s">
        <v>194</v>
      </c>
      <c r="L906" s="97" t="s">
        <v>8832</v>
      </c>
      <c r="M906" s="97" t="s">
        <v>26</v>
      </c>
      <c r="N906" s="58" t="s">
        <v>38</v>
      </c>
      <c r="O906" s="58"/>
      <c r="P906" s="206">
        <v>45147</v>
      </c>
      <c r="Q906" s="460">
        <v>45147</v>
      </c>
      <c r="R906" s="460">
        <v>45877</v>
      </c>
      <c r="S906" s="461">
        <v>45878</v>
      </c>
      <c r="T906" s="139"/>
      <c r="U906" s="139" t="s">
        <v>8833</v>
      </c>
      <c r="V906" s="139"/>
      <c r="W906" s="139" t="s">
        <v>8834</v>
      </c>
      <c r="X906" s="139"/>
      <c r="Y906" s="462"/>
      <c r="Z906" s="140" t="s">
        <v>8835</v>
      </c>
      <c r="AA906" s="140" t="s">
        <v>1841</v>
      </c>
      <c r="AB906" s="460"/>
      <c r="AC906" s="460"/>
      <c r="AD906" s="488">
        <v>9866115005</v>
      </c>
      <c r="AE906" s="140" t="s">
        <v>8836</v>
      </c>
      <c r="AF906" s="139" t="s">
        <v>1690</v>
      </c>
      <c r="AG906" s="463">
        <v>5648249224</v>
      </c>
      <c r="AH906" s="139" t="s">
        <v>8837</v>
      </c>
      <c r="AI906" s="139" t="s">
        <v>8838</v>
      </c>
      <c r="AJ906" s="464">
        <v>762802343217</v>
      </c>
      <c r="AK906" s="140"/>
      <c r="AL906" s="461">
        <v>45322</v>
      </c>
      <c r="AM906" s="477">
        <v>45308</v>
      </c>
      <c r="AN906" s="465"/>
      <c r="AO906" s="511" t="s">
        <v>8839</v>
      </c>
      <c r="AP906" s="139"/>
      <c r="AQ906" s="139"/>
      <c r="AR906" s="58"/>
      <c r="AS906" s="458">
        <v>29</v>
      </c>
      <c r="AT906" s="458">
        <v>0.70833333333333337</v>
      </c>
      <c r="AU906" s="461"/>
      <c r="AV906" s="181" t="s">
        <v>1389</v>
      </c>
      <c r="AW906" s="31" t="s">
        <v>32</v>
      </c>
      <c r="AX906" s="139">
        <v>4</v>
      </c>
      <c r="AY906" s="58" t="s">
        <v>1968</v>
      </c>
      <c r="AZ906" s="58" t="s">
        <v>26</v>
      </c>
      <c r="BA906" s="58" t="s">
        <v>151</v>
      </c>
      <c r="BB906" s="58" t="s">
        <v>1407</v>
      </c>
      <c r="BC906" s="58"/>
    </row>
    <row r="907" spans="1:55" x14ac:dyDescent="0.25">
      <c r="A907" s="10">
        <f t="shared" si="38"/>
        <v>906</v>
      </c>
      <c r="B907" s="181" t="s">
        <v>8840</v>
      </c>
      <c r="C907" s="592" t="s">
        <v>1407</v>
      </c>
      <c r="D907" s="457">
        <v>400822</v>
      </c>
      <c r="E907" s="181" t="s">
        <v>36</v>
      </c>
      <c r="F907" s="97" t="s">
        <v>8841</v>
      </c>
      <c r="G907" s="139">
        <v>6</v>
      </c>
      <c r="H907" s="458">
        <v>0.41666666666666669</v>
      </c>
      <c r="I907" s="458">
        <v>0.66666666666666663</v>
      </c>
      <c r="J907" s="458">
        <f t="shared" si="39"/>
        <v>0.24999999999999994</v>
      </c>
      <c r="K907" s="100" t="s">
        <v>563</v>
      </c>
      <c r="L907" s="97"/>
      <c r="M907" s="63" t="s">
        <v>1355</v>
      </c>
      <c r="N907" s="100" t="s">
        <v>1520</v>
      </c>
      <c r="O907" s="58"/>
      <c r="P907" s="206">
        <v>45148</v>
      </c>
      <c r="Q907" s="460">
        <v>45148</v>
      </c>
      <c r="R907" s="460">
        <v>45878</v>
      </c>
      <c r="S907" s="461">
        <v>45879</v>
      </c>
      <c r="T907" s="139"/>
      <c r="U907" s="139" t="s">
        <v>5120</v>
      </c>
      <c r="V907" s="139"/>
      <c r="W907" s="139" t="s">
        <v>169</v>
      </c>
      <c r="X907" s="139"/>
      <c r="Y907" s="462"/>
      <c r="Z907" s="140">
        <v>57635</v>
      </c>
      <c r="AA907" s="140" t="s">
        <v>1886</v>
      </c>
      <c r="AB907" s="460"/>
      <c r="AC907" s="460"/>
      <c r="AD907" s="488" t="s">
        <v>8842</v>
      </c>
      <c r="AE907" s="140" t="s">
        <v>8843</v>
      </c>
      <c r="AF907" s="139" t="s">
        <v>5086</v>
      </c>
      <c r="AG907" s="463" t="s">
        <v>8844</v>
      </c>
      <c r="AH907" s="139" t="s">
        <v>3001</v>
      </c>
      <c r="AI907" s="139" t="s">
        <v>8845</v>
      </c>
      <c r="AJ907" s="464">
        <v>232909720686</v>
      </c>
      <c r="AK907" s="140"/>
      <c r="AL907" s="206">
        <v>45239</v>
      </c>
      <c r="AM907" s="477"/>
      <c r="AN907" s="465"/>
      <c r="AO907" s="140" t="s">
        <v>8846</v>
      </c>
      <c r="AP907" s="139"/>
      <c r="AQ907" s="140" t="s">
        <v>8846</v>
      </c>
      <c r="AR907" s="58"/>
      <c r="AS907" s="458" t="e">
        <v>#N/A</v>
      </c>
      <c r="AT907" s="458"/>
      <c r="AU907" s="461"/>
      <c r="AV907" s="181" t="s">
        <v>1389</v>
      </c>
      <c r="AW907" s="31" t="s">
        <v>32</v>
      </c>
      <c r="AX907" s="139">
        <v>6</v>
      </c>
      <c r="AY907" s="58" t="s">
        <v>1895</v>
      </c>
      <c r="AZ907" s="58" t="s">
        <v>1373</v>
      </c>
      <c r="BA907" s="58" t="s">
        <v>151</v>
      </c>
      <c r="BB907" s="58" t="s">
        <v>1407</v>
      </c>
      <c r="BC907" s="58"/>
    </row>
    <row r="908" spans="1:55" x14ac:dyDescent="0.25">
      <c r="A908" s="10">
        <f t="shared" si="38"/>
        <v>907</v>
      </c>
      <c r="B908" s="181" t="s">
        <v>8847</v>
      </c>
      <c r="C908" s="592" t="s">
        <v>1407</v>
      </c>
      <c r="D908" s="457">
        <v>400650</v>
      </c>
      <c r="E908" s="181" t="s">
        <v>36</v>
      </c>
      <c r="F908" s="97" t="s">
        <v>8848</v>
      </c>
      <c r="G908" s="139">
        <v>6</v>
      </c>
      <c r="H908" s="469" t="s">
        <v>5118</v>
      </c>
      <c r="I908" s="469" t="s">
        <v>948</v>
      </c>
      <c r="J908" s="458">
        <f t="shared" si="39"/>
        <v>0.33333333333333331</v>
      </c>
      <c r="K908" s="100" t="s">
        <v>713</v>
      </c>
      <c r="L908" s="97" t="s">
        <v>8849</v>
      </c>
      <c r="M908" s="97" t="s">
        <v>26</v>
      </c>
      <c r="N908" s="58" t="s">
        <v>38</v>
      </c>
      <c r="O908" s="462" t="s">
        <v>5076</v>
      </c>
      <c r="P908" s="206">
        <v>44998</v>
      </c>
      <c r="Q908" s="206">
        <v>45108</v>
      </c>
      <c r="R908" s="206">
        <v>45838</v>
      </c>
      <c r="S908" s="461">
        <v>45839</v>
      </c>
      <c r="T908" s="139">
        <v>2004</v>
      </c>
      <c r="U908" s="181" t="s">
        <v>8850</v>
      </c>
      <c r="V908" s="139">
        <v>2011</v>
      </c>
      <c r="W908" s="140" t="s">
        <v>8851</v>
      </c>
      <c r="X908" s="181" t="s">
        <v>30</v>
      </c>
      <c r="Y908" s="58" t="s">
        <v>7156</v>
      </c>
      <c r="Z908" s="140">
        <v>53562</v>
      </c>
      <c r="AA908" s="97" t="s">
        <v>1886</v>
      </c>
      <c r="AB908" s="471">
        <v>45392</v>
      </c>
      <c r="AC908" s="471">
        <v>47217</v>
      </c>
      <c r="AD908" s="472">
        <v>9486045559</v>
      </c>
      <c r="AE908" s="473" t="s">
        <v>8852</v>
      </c>
      <c r="AF908" s="97" t="s">
        <v>5086</v>
      </c>
      <c r="AG908" s="482">
        <v>20076067275</v>
      </c>
      <c r="AH908" s="181" t="s">
        <v>8853</v>
      </c>
      <c r="AI908" s="139" t="s">
        <v>8854</v>
      </c>
      <c r="AJ908" s="464" t="s">
        <v>8855</v>
      </c>
      <c r="AK908" s="97" t="s">
        <v>8856</v>
      </c>
      <c r="AL908" s="461">
        <v>45556</v>
      </c>
      <c r="AM908" s="477">
        <v>45476</v>
      </c>
      <c r="AN908" s="465" t="s">
        <v>8857</v>
      </c>
      <c r="AO908" s="97"/>
      <c r="AP908" s="58"/>
      <c r="AQ908" s="486"/>
      <c r="AR908" s="462"/>
      <c r="AS908" s="479">
        <v>0.54166666666666663</v>
      </c>
      <c r="AT908" s="479">
        <v>0.875</v>
      </c>
      <c r="AU908" s="461">
        <v>29381</v>
      </c>
      <c r="AV908" s="181" t="s">
        <v>1352</v>
      </c>
      <c r="AW908" s="31" t="s">
        <v>68</v>
      </c>
      <c r="AX908" s="139">
        <v>8</v>
      </c>
      <c r="AY908" s="58" t="s">
        <v>2262</v>
      </c>
      <c r="AZ908" s="58" t="s">
        <v>26</v>
      </c>
      <c r="BA908" s="58" t="s">
        <v>151</v>
      </c>
      <c r="BB908" s="58" t="s">
        <v>1407</v>
      </c>
      <c r="BC908" s="58"/>
    </row>
    <row r="909" spans="1:55" x14ac:dyDescent="0.25">
      <c r="A909" s="10">
        <f t="shared" si="38"/>
        <v>908</v>
      </c>
      <c r="B909" s="181" t="s">
        <v>7523</v>
      </c>
      <c r="C909" s="592" t="s">
        <v>1407</v>
      </c>
      <c r="D909" s="457">
        <v>401082</v>
      </c>
      <c r="E909" s="181" t="s">
        <v>36</v>
      </c>
      <c r="F909" s="97" t="s">
        <v>7524</v>
      </c>
      <c r="G909" s="139">
        <v>6</v>
      </c>
      <c r="H909" s="458">
        <v>0.375</v>
      </c>
      <c r="I909" s="458">
        <v>0.41666666666666669</v>
      </c>
      <c r="J909" s="458">
        <v>4.1666666666666664E-2</v>
      </c>
      <c r="K909" s="100" t="s">
        <v>961</v>
      </c>
      <c r="L909" s="97" t="s">
        <v>30</v>
      </c>
      <c r="M909" s="97" t="s">
        <v>1376</v>
      </c>
      <c r="N909" s="58" t="s">
        <v>1393</v>
      </c>
      <c r="O909" s="58" t="s">
        <v>30</v>
      </c>
      <c r="P909" s="424">
        <v>45558</v>
      </c>
      <c r="Q909" s="424">
        <v>45558</v>
      </c>
      <c r="R909" s="424">
        <v>46288</v>
      </c>
      <c r="S909" s="424">
        <v>46287</v>
      </c>
      <c r="T909" s="139">
        <v>2014</v>
      </c>
      <c r="U909" s="140" t="s">
        <v>326</v>
      </c>
      <c r="V909" s="139" t="s">
        <v>30</v>
      </c>
      <c r="W909" s="462" t="s">
        <v>30</v>
      </c>
      <c r="X909" s="139" t="s">
        <v>30</v>
      </c>
      <c r="Y909" s="58" t="s">
        <v>226</v>
      </c>
      <c r="Z909" s="140" t="s">
        <v>7526</v>
      </c>
      <c r="AA909" s="97" t="s">
        <v>1841</v>
      </c>
      <c r="AB909" s="471">
        <v>44832</v>
      </c>
      <c r="AC909" s="471">
        <v>46657</v>
      </c>
      <c r="AD909" s="472">
        <v>9663210666</v>
      </c>
      <c r="AE909" s="473" t="s">
        <v>7527</v>
      </c>
      <c r="AF909" s="58"/>
      <c r="AG909" s="464"/>
      <c r="AH909" s="181"/>
      <c r="AI909" s="139" t="s">
        <v>7529</v>
      </c>
      <c r="AJ909" s="464">
        <v>748081861277</v>
      </c>
      <c r="AK909" s="97" t="s">
        <v>7530</v>
      </c>
      <c r="AL909" s="206">
        <v>45558</v>
      </c>
      <c r="AM909" s="206" t="s">
        <v>30</v>
      </c>
      <c r="AN909" s="97" t="s">
        <v>1516</v>
      </c>
      <c r="AO909" s="140" t="s">
        <v>8858</v>
      </c>
      <c r="AP909" s="486"/>
      <c r="AQ909" s="462">
        <f ca="1">ROUNDDOWN((TODAY() - AU909)/365.25,0)</f>
        <v>33</v>
      </c>
      <c r="AR909" s="512"/>
      <c r="AS909" s="513"/>
      <c r="AT909" s="479"/>
      <c r="AU909" s="461">
        <v>33569</v>
      </c>
      <c r="AV909" s="181" t="s">
        <v>1352</v>
      </c>
      <c r="AW909" s="31" t="s">
        <v>32</v>
      </c>
      <c r="AX909" s="139">
        <v>1</v>
      </c>
      <c r="AY909" s="58" t="s">
        <v>1849</v>
      </c>
      <c r="AZ909" s="58" t="s">
        <v>1390</v>
      </c>
      <c r="BA909" s="58" t="s">
        <v>151</v>
      </c>
      <c r="BB909" s="58" t="s">
        <v>1407</v>
      </c>
      <c r="BC909" s="58"/>
    </row>
    <row r="910" spans="1:55" x14ac:dyDescent="0.25">
      <c r="A910" s="10">
        <f t="shared" si="38"/>
        <v>909</v>
      </c>
      <c r="B910" s="181" t="s">
        <v>5961</v>
      </c>
      <c r="C910" s="592" t="s">
        <v>1407</v>
      </c>
      <c r="D910" s="457">
        <v>400818</v>
      </c>
      <c r="E910" s="181" t="s">
        <v>36</v>
      </c>
      <c r="F910" s="97" t="s">
        <v>8859</v>
      </c>
      <c r="G910" s="139">
        <v>6</v>
      </c>
      <c r="H910" s="469" t="s">
        <v>5089</v>
      </c>
      <c r="I910" s="469" t="s">
        <v>4213</v>
      </c>
      <c r="J910" s="458">
        <f>I910-H910</f>
        <v>0.24999999999999994</v>
      </c>
      <c r="K910" s="100" t="s">
        <v>669</v>
      </c>
      <c r="L910" s="97" t="s">
        <v>7919</v>
      </c>
      <c r="M910" s="97" t="s">
        <v>26</v>
      </c>
      <c r="N910" s="58" t="s">
        <v>38</v>
      </c>
      <c r="O910" s="462" t="s">
        <v>5076</v>
      </c>
      <c r="P910" s="206">
        <v>45141</v>
      </c>
      <c r="Q910" s="206">
        <v>45141</v>
      </c>
      <c r="R910" s="206">
        <v>45871</v>
      </c>
      <c r="S910" s="461">
        <v>45872</v>
      </c>
      <c r="T910" s="139">
        <v>2012</v>
      </c>
      <c r="U910" s="181" t="s">
        <v>8860</v>
      </c>
      <c r="V910" s="139">
        <v>2019</v>
      </c>
      <c r="W910" s="140" t="s">
        <v>8861</v>
      </c>
      <c r="X910" s="139" t="s">
        <v>1424</v>
      </c>
      <c r="Y910" s="58" t="s">
        <v>1611</v>
      </c>
      <c r="Z910" s="140" t="s">
        <v>5965</v>
      </c>
      <c r="AA910" s="97" t="s">
        <v>1841</v>
      </c>
      <c r="AB910" s="471">
        <v>43668</v>
      </c>
      <c r="AC910" s="471">
        <v>45494</v>
      </c>
      <c r="AD910" s="472">
        <v>7801051929</v>
      </c>
      <c r="AE910" s="473" t="s">
        <v>5966</v>
      </c>
      <c r="AF910" s="97" t="s">
        <v>1430</v>
      </c>
      <c r="AG910" s="482">
        <v>50100374384590</v>
      </c>
      <c r="AH910" s="181" t="s">
        <v>3307</v>
      </c>
      <c r="AI910" s="139" t="s">
        <v>5968</v>
      </c>
      <c r="AJ910" s="464">
        <v>466751741323</v>
      </c>
      <c r="AK910" s="97"/>
      <c r="AL910" s="461">
        <v>45563</v>
      </c>
      <c r="AM910" s="477" t="s">
        <v>30</v>
      </c>
      <c r="AN910" s="97" t="s">
        <v>1516</v>
      </c>
      <c r="AO910" s="97" t="s">
        <v>8862</v>
      </c>
      <c r="AP910" s="58"/>
      <c r="AQ910" s="486"/>
      <c r="AR910" s="462"/>
      <c r="AS910" s="479">
        <v>0.35416666666666669</v>
      </c>
      <c r="AT910" s="479">
        <v>0.60416666666666663</v>
      </c>
      <c r="AU910" s="461">
        <v>32183</v>
      </c>
      <c r="AV910" s="181" t="s">
        <v>1389</v>
      </c>
      <c r="AW910" s="31" t="s">
        <v>32</v>
      </c>
      <c r="AX910" s="139">
        <v>6</v>
      </c>
      <c r="AY910" s="58" t="s">
        <v>2469</v>
      </c>
      <c r="AZ910" s="58" t="s">
        <v>26</v>
      </c>
      <c r="BA910" s="58" t="s">
        <v>151</v>
      </c>
      <c r="BB910" s="58" t="s">
        <v>1407</v>
      </c>
      <c r="BC910" s="58"/>
    </row>
    <row r="911" spans="1:55" x14ac:dyDescent="0.25">
      <c r="A911" s="10">
        <f t="shared" si="38"/>
        <v>910</v>
      </c>
      <c r="B911" s="181" t="s">
        <v>8863</v>
      </c>
      <c r="C911" s="592" t="s">
        <v>1407</v>
      </c>
      <c r="D911" s="457">
        <v>400826</v>
      </c>
      <c r="E911" s="181" t="s">
        <v>36</v>
      </c>
      <c r="F911" s="97" t="s">
        <v>8864</v>
      </c>
      <c r="G911" s="139">
        <v>6</v>
      </c>
      <c r="H911" s="458">
        <v>0.66666666666666663</v>
      </c>
      <c r="I911" s="458">
        <v>0.75</v>
      </c>
      <c r="J911" s="458">
        <f>I911-H911</f>
        <v>8.333333333333337E-2</v>
      </c>
      <c r="K911" s="143" t="s">
        <v>802</v>
      </c>
      <c r="L911" s="97"/>
      <c r="M911" s="63" t="s">
        <v>1355</v>
      </c>
      <c r="N911" s="100" t="s">
        <v>1520</v>
      </c>
      <c r="O911" s="58"/>
      <c r="P911" s="206">
        <v>45154</v>
      </c>
      <c r="Q911" s="460">
        <v>45154</v>
      </c>
      <c r="R911" s="460">
        <v>45884</v>
      </c>
      <c r="S911" s="461">
        <v>45885</v>
      </c>
      <c r="T911" s="139"/>
      <c r="U911" s="139" t="s">
        <v>906</v>
      </c>
      <c r="V911" s="139"/>
      <c r="W911" s="139" t="s">
        <v>209</v>
      </c>
      <c r="X911" s="139"/>
      <c r="Y911" s="462"/>
      <c r="Z911" s="140">
        <v>72959</v>
      </c>
      <c r="AA911" s="140" t="s">
        <v>1841</v>
      </c>
      <c r="AB911" s="460"/>
      <c r="AC911" s="460"/>
      <c r="AD911" s="488">
        <v>7702439556</v>
      </c>
      <c r="AE911" s="140" t="s">
        <v>8865</v>
      </c>
      <c r="AF911" s="139" t="s">
        <v>5183</v>
      </c>
      <c r="AG911" s="463" t="s">
        <v>8866</v>
      </c>
      <c r="AH911" s="139" t="s">
        <v>8867</v>
      </c>
      <c r="AI911" s="139" t="s">
        <v>8868</v>
      </c>
      <c r="AJ911" s="464">
        <v>875209074957</v>
      </c>
      <c r="AK911" s="140"/>
      <c r="AL911" s="206">
        <v>45154</v>
      </c>
      <c r="AM911" s="477"/>
      <c r="AN911" s="465"/>
      <c r="AO911" s="140" t="s">
        <v>8869</v>
      </c>
      <c r="AP911" s="139"/>
      <c r="AQ911" s="140" t="s">
        <v>8869</v>
      </c>
      <c r="AR911" s="58"/>
      <c r="AS911" s="458"/>
      <c r="AT911" s="458"/>
      <c r="AU911" s="461"/>
      <c r="AV911" s="181" t="s">
        <v>1389</v>
      </c>
      <c r="AW911" s="31" t="s">
        <v>32</v>
      </c>
      <c r="AX911" s="139">
        <v>2</v>
      </c>
      <c r="AY911" s="58" t="s">
        <v>2469</v>
      </c>
      <c r="AZ911" s="58" t="s">
        <v>1373</v>
      </c>
      <c r="BA911" s="58" t="s">
        <v>151</v>
      </c>
      <c r="BB911" s="58" t="s">
        <v>1407</v>
      </c>
      <c r="BC911" s="58"/>
    </row>
    <row r="912" spans="1:55" x14ac:dyDescent="0.25">
      <c r="A912" s="10">
        <f t="shared" si="38"/>
        <v>911</v>
      </c>
      <c r="B912" s="181" t="s">
        <v>4942</v>
      </c>
      <c r="C912" s="592" t="s">
        <v>1407</v>
      </c>
      <c r="D912" s="457">
        <v>400827</v>
      </c>
      <c r="E912" s="181" t="s">
        <v>36</v>
      </c>
      <c r="F912" s="97" t="s">
        <v>8870</v>
      </c>
      <c r="G912" s="139">
        <v>6</v>
      </c>
      <c r="H912" s="458">
        <v>0.33333333333333331</v>
      </c>
      <c r="I912" s="458">
        <v>0.41666666666666669</v>
      </c>
      <c r="J912" s="458">
        <f>I912-H912</f>
        <v>8.333333333333337E-2</v>
      </c>
      <c r="K912" s="100" t="s">
        <v>819</v>
      </c>
      <c r="L912" s="97" t="s">
        <v>8871</v>
      </c>
      <c r="M912" s="97" t="s">
        <v>26</v>
      </c>
      <c r="N912" s="58" t="s">
        <v>38</v>
      </c>
      <c r="O912" s="58" t="s">
        <v>5076</v>
      </c>
      <c r="P912" s="206">
        <v>45154</v>
      </c>
      <c r="Q912" s="460">
        <v>45154</v>
      </c>
      <c r="R912" s="460">
        <v>45884</v>
      </c>
      <c r="S912" s="461">
        <v>45885</v>
      </c>
      <c r="T912" s="139"/>
      <c r="U912" s="139" t="s">
        <v>8872</v>
      </c>
      <c r="V912" s="139"/>
      <c r="W912" s="139" t="s">
        <v>4946</v>
      </c>
      <c r="X912" s="139"/>
      <c r="Y912" s="462"/>
      <c r="Z912" s="140" t="s">
        <v>4947</v>
      </c>
      <c r="AA912" s="140" t="s">
        <v>1841</v>
      </c>
      <c r="AB912" s="460"/>
      <c r="AC912" s="460"/>
      <c r="AD912" s="488">
        <v>8008416988</v>
      </c>
      <c r="AE912" s="140" t="s">
        <v>4948</v>
      </c>
      <c r="AF912" s="139" t="s">
        <v>8873</v>
      </c>
      <c r="AG912" s="463" t="s">
        <v>4949</v>
      </c>
      <c r="AH912" s="139" t="s">
        <v>4950</v>
      </c>
      <c r="AI912" s="139" t="s">
        <v>4951</v>
      </c>
      <c r="AJ912" s="464">
        <v>282698079382</v>
      </c>
      <c r="AK912" s="140"/>
      <c r="AL912" s="461">
        <v>45251</v>
      </c>
      <c r="AM912" s="477"/>
      <c r="AN912" s="465"/>
      <c r="AO912" s="140" t="s">
        <v>8874</v>
      </c>
      <c r="AP912" s="139"/>
      <c r="AQ912" s="140" t="s">
        <v>8874</v>
      </c>
      <c r="AR912" s="58"/>
      <c r="AS912" s="458" t="e">
        <v>#N/A</v>
      </c>
      <c r="AT912" s="458"/>
      <c r="AU912" s="461"/>
      <c r="AV912" s="181" t="s">
        <v>1352</v>
      </c>
      <c r="AW912" s="31" t="s">
        <v>32</v>
      </c>
      <c r="AX912" s="139">
        <v>2</v>
      </c>
      <c r="AY912" s="58" t="s">
        <v>2189</v>
      </c>
      <c r="AZ912" s="58" t="s">
        <v>26</v>
      </c>
      <c r="BA912" s="58" t="s">
        <v>151</v>
      </c>
      <c r="BB912" s="58" t="s">
        <v>1407</v>
      </c>
      <c r="BC912" s="58"/>
    </row>
    <row r="913" spans="1:55" x14ac:dyDescent="0.25">
      <c r="A913" s="10">
        <f t="shared" si="38"/>
        <v>912</v>
      </c>
      <c r="B913" s="181" t="s">
        <v>8673</v>
      </c>
      <c r="C913" s="592" t="s">
        <v>1407</v>
      </c>
      <c r="D913" s="457">
        <v>400828</v>
      </c>
      <c r="E913" s="181" t="s">
        <v>42</v>
      </c>
      <c r="F913" s="97" t="s">
        <v>8875</v>
      </c>
      <c r="G913" s="139">
        <v>6</v>
      </c>
      <c r="H913" s="458">
        <v>0.35416666666666669</v>
      </c>
      <c r="I913" s="458">
        <v>0.5</v>
      </c>
      <c r="J913" s="458">
        <f>I913-H913</f>
        <v>0.14583333333333331</v>
      </c>
      <c r="K913" s="143" t="s">
        <v>538</v>
      </c>
      <c r="L913" s="97" t="s">
        <v>8871</v>
      </c>
      <c r="M913" s="97" t="s">
        <v>26</v>
      </c>
      <c r="N913" s="58" t="s">
        <v>38</v>
      </c>
      <c r="O913" s="58" t="s">
        <v>5076</v>
      </c>
      <c r="P913" s="206">
        <v>45154</v>
      </c>
      <c r="Q913" s="460">
        <v>45154</v>
      </c>
      <c r="R913" s="460">
        <v>45884</v>
      </c>
      <c r="S913" s="461">
        <v>45885</v>
      </c>
      <c r="T913" s="139"/>
      <c r="U913" s="139" t="s">
        <v>8876</v>
      </c>
      <c r="V913" s="139"/>
      <c r="W913" s="139" t="s">
        <v>8876</v>
      </c>
      <c r="X913" s="139"/>
      <c r="Y913" s="462"/>
      <c r="Z913" s="140" t="s">
        <v>8675</v>
      </c>
      <c r="AA913" s="140" t="s">
        <v>1841</v>
      </c>
      <c r="AB913" s="460"/>
      <c r="AC913" s="460"/>
      <c r="AD913" s="488">
        <v>7680972978</v>
      </c>
      <c r="AE913" s="140" t="s">
        <v>8676</v>
      </c>
      <c r="AF913" s="139" t="s">
        <v>5183</v>
      </c>
      <c r="AG913" s="463" t="s">
        <v>8877</v>
      </c>
      <c r="AH913" s="139" t="s">
        <v>8878</v>
      </c>
      <c r="AI913" s="139" t="s">
        <v>8677</v>
      </c>
      <c r="AJ913" s="464">
        <v>400745629353</v>
      </c>
      <c r="AK913" s="140"/>
      <c r="AL913" s="461">
        <v>45260</v>
      </c>
      <c r="AM913" s="477"/>
      <c r="AN913" s="465"/>
      <c r="AO913" s="140" t="s">
        <v>8879</v>
      </c>
      <c r="AP913" s="139"/>
      <c r="AQ913" s="140" t="s">
        <v>8879</v>
      </c>
      <c r="AR913" s="58"/>
      <c r="AS913" s="458" t="e">
        <v>#N/A</v>
      </c>
      <c r="AT913" s="458"/>
      <c r="AU913" s="461"/>
      <c r="AV913" s="181" t="s">
        <v>1352</v>
      </c>
      <c r="AW913" s="31" t="s">
        <v>32</v>
      </c>
      <c r="AX913" s="139">
        <v>3.5</v>
      </c>
      <c r="AY913" s="58" t="s">
        <v>1904</v>
      </c>
      <c r="AZ913" s="58" t="s">
        <v>26</v>
      </c>
      <c r="BA913" s="58" t="s">
        <v>151</v>
      </c>
      <c r="BB913" s="58" t="s">
        <v>1407</v>
      </c>
      <c r="BC913" s="58"/>
    </row>
    <row r="914" spans="1:55" x14ac:dyDescent="0.25">
      <c r="A914" s="10">
        <f t="shared" si="38"/>
        <v>913</v>
      </c>
      <c r="B914" s="181" t="s">
        <v>8880</v>
      </c>
      <c r="C914" s="592" t="s">
        <v>1407</v>
      </c>
      <c r="D914" s="457">
        <v>400382</v>
      </c>
      <c r="E914" s="139" t="s">
        <v>8354</v>
      </c>
      <c r="F914" s="97" t="s">
        <v>8881</v>
      </c>
      <c r="G914" s="139">
        <v>6</v>
      </c>
      <c r="H914" s="458" t="s">
        <v>5118</v>
      </c>
      <c r="I914" s="458" t="s">
        <v>4228</v>
      </c>
      <c r="J914" s="458">
        <f>I914-H914</f>
        <v>0.24999999999999994</v>
      </c>
      <c r="K914" s="100" t="s">
        <v>680</v>
      </c>
      <c r="L914" s="140" t="s">
        <v>8882</v>
      </c>
      <c r="M914" s="140" t="s">
        <v>26</v>
      </c>
      <c r="N914" s="462" t="s">
        <v>38</v>
      </c>
      <c r="O914" s="462" t="s">
        <v>5076</v>
      </c>
      <c r="P914" s="461">
        <v>44477</v>
      </c>
      <c r="Q914" s="461">
        <v>45200</v>
      </c>
      <c r="R914" s="461">
        <v>45539</v>
      </c>
      <c r="S914" s="461">
        <v>45540</v>
      </c>
      <c r="T914" s="139">
        <v>2011</v>
      </c>
      <c r="U914" s="139" t="s">
        <v>209</v>
      </c>
      <c r="V914" s="139">
        <v>2019</v>
      </c>
      <c r="W914" s="140" t="s">
        <v>5779</v>
      </c>
      <c r="X914" s="139" t="s">
        <v>30</v>
      </c>
      <c r="Y914" s="462" t="s">
        <v>1236</v>
      </c>
      <c r="Z914" s="140">
        <v>72801</v>
      </c>
      <c r="AA914" s="140" t="s">
        <v>1841</v>
      </c>
      <c r="AB914" s="461">
        <v>43696</v>
      </c>
      <c r="AC914" s="461">
        <v>45522</v>
      </c>
      <c r="AD914" s="139">
        <v>9000528484</v>
      </c>
      <c r="AE914" s="140" t="s">
        <v>8883</v>
      </c>
      <c r="AF914" s="140" t="s">
        <v>1430</v>
      </c>
      <c r="AG914" s="139" t="s">
        <v>8884</v>
      </c>
      <c r="AH914" s="139" t="s">
        <v>4248</v>
      </c>
      <c r="AI914" s="139" t="s">
        <v>8885</v>
      </c>
      <c r="AJ914" s="139" t="s">
        <v>8886</v>
      </c>
      <c r="AK914" s="140" t="s">
        <v>8887</v>
      </c>
      <c r="AL914" s="461">
        <v>45565</v>
      </c>
      <c r="AM914" s="477">
        <v>45505</v>
      </c>
      <c r="AN914" s="97" t="s">
        <v>1516</v>
      </c>
      <c r="AO914" s="140"/>
      <c r="AP914" s="140"/>
      <c r="AQ914" s="140"/>
      <c r="AR914" s="462"/>
      <c r="AS914" s="139">
        <v>0.41666666666666669</v>
      </c>
      <c r="AT914" s="139">
        <v>0.66666666666666663</v>
      </c>
      <c r="AU914" s="461">
        <v>31463</v>
      </c>
      <c r="AV914" s="139" t="s">
        <v>1389</v>
      </c>
      <c r="AW914" s="31" t="s">
        <v>68</v>
      </c>
      <c r="AX914" s="139">
        <v>6</v>
      </c>
      <c r="AY914" s="58" t="s">
        <v>2189</v>
      </c>
      <c r="AZ914" s="58" t="s">
        <v>26</v>
      </c>
      <c r="BA914" s="58" t="s">
        <v>151</v>
      </c>
      <c r="BB914" s="58" t="s">
        <v>1407</v>
      </c>
      <c r="BC914" s="58"/>
    </row>
    <row r="915" spans="1:55" x14ac:dyDescent="0.25">
      <c r="A915" s="10">
        <f t="shared" si="38"/>
        <v>914</v>
      </c>
      <c r="B915" s="181"/>
      <c r="C915" s="592" t="s">
        <v>1407</v>
      </c>
      <c r="D915" s="457">
        <v>400830</v>
      </c>
      <c r="E915" s="181" t="s">
        <v>9124</v>
      </c>
      <c r="F915" s="97" t="s">
        <v>8888</v>
      </c>
      <c r="G915" s="139">
        <v>6</v>
      </c>
      <c r="H915" s="458" t="s">
        <v>4931</v>
      </c>
      <c r="I915" s="458" t="s">
        <v>8889</v>
      </c>
      <c r="J915" s="458">
        <v>0.33333333333333331</v>
      </c>
      <c r="K915" s="58" t="s">
        <v>1151</v>
      </c>
      <c r="L915" s="97" t="s">
        <v>467</v>
      </c>
      <c r="M915" s="97" t="s">
        <v>26</v>
      </c>
      <c r="N915" s="58" t="s">
        <v>38</v>
      </c>
      <c r="O915" s="58" t="s">
        <v>5076</v>
      </c>
      <c r="P915" s="206">
        <v>45159</v>
      </c>
      <c r="Q915" s="460">
        <v>45159</v>
      </c>
      <c r="R915" s="460">
        <v>45889</v>
      </c>
      <c r="S915" s="461">
        <v>45890</v>
      </c>
      <c r="T915" s="139"/>
      <c r="U915" s="139" t="s">
        <v>8890</v>
      </c>
      <c r="V915" s="139"/>
      <c r="W915" s="139" t="s">
        <v>8891</v>
      </c>
      <c r="X915" s="139"/>
      <c r="Y915" s="462"/>
      <c r="Z915" s="140">
        <v>51336</v>
      </c>
      <c r="AA915" s="140" t="s">
        <v>1886</v>
      </c>
      <c r="AB915" s="460"/>
      <c r="AC915" s="460"/>
      <c r="AD915" s="488">
        <v>9573673767</v>
      </c>
      <c r="AE915" s="140" t="s">
        <v>8892</v>
      </c>
      <c r="AF915" s="139" t="s">
        <v>5086</v>
      </c>
      <c r="AG915" s="463">
        <v>32600170393</v>
      </c>
      <c r="AH915" s="139" t="s">
        <v>8893</v>
      </c>
      <c r="AI915" s="139" t="s">
        <v>8894</v>
      </c>
      <c r="AJ915" s="464">
        <v>545215836548</v>
      </c>
      <c r="AK915" s="140"/>
      <c r="AL915" s="461">
        <v>45159</v>
      </c>
      <c r="AM915" s="477"/>
      <c r="AN915" s="465"/>
      <c r="AO915" s="140" t="s">
        <v>8895</v>
      </c>
      <c r="AP915" s="139"/>
      <c r="AQ915" s="140" t="s">
        <v>8895</v>
      </c>
      <c r="AR915" s="58"/>
      <c r="AS915" s="458"/>
      <c r="AT915" s="458"/>
      <c r="AU915" s="461"/>
      <c r="AV915" s="181" t="s">
        <v>1352</v>
      </c>
      <c r="AW915" s="31" t="s">
        <v>68</v>
      </c>
      <c r="AX915" s="139">
        <v>8</v>
      </c>
      <c r="AY915" s="58" t="s">
        <v>1895</v>
      </c>
      <c r="AZ915" s="58" t="s">
        <v>26</v>
      </c>
      <c r="BA915" s="58" t="s">
        <v>151</v>
      </c>
      <c r="BB915" s="58" t="s">
        <v>1407</v>
      </c>
      <c r="BC915" s="58"/>
    </row>
    <row r="916" spans="1:55" x14ac:dyDescent="0.25">
      <c r="A916" s="10">
        <f t="shared" si="38"/>
        <v>915</v>
      </c>
      <c r="B916" s="181" t="s">
        <v>8896</v>
      </c>
      <c r="C916" s="592" t="s">
        <v>1407</v>
      </c>
      <c r="D916" s="457">
        <v>400831</v>
      </c>
      <c r="E916" s="181" t="s">
        <v>36</v>
      </c>
      <c r="F916" s="97" t="s">
        <v>8897</v>
      </c>
      <c r="G916" s="139">
        <v>6</v>
      </c>
      <c r="H916" s="458">
        <v>0.6875</v>
      </c>
      <c r="I916" s="458">
        <v>0.72916666666666663</v>
      </c>
      <c r="J916" s="458">
        <v>4.1666666666666664E-2</v>
      </c>
      <c r="K916" s="143" t="s">
        <v>207</v>
      </c>
      <c r="L916" s="97"/>
      <c r="M916" s="97" t="s">
        <v>1376</v>
      </c>
      <c r="N916" s="58" t="s">
        <v>1393</v>
      </c>
      <c r="O916" s="58"/>
      <c r="P916" s="206">
        <v>45159</v>
      </c>
      <c r="Q916" s="460">
        <v>45159</v>
      </c>
      <c r="R916" s="460">
        <v>45889</v>
      </c>
      <c r="S916" s="461">
        <v>45890</v>
      </c>
      <c r="T916" s="139"/>
      <c r="U916" s="139" t="s">
        <v>230</v>
      </c>
      <c r="V916" s="139"/>
      <c r="W916" s="139" t="s">
        <v>230</v>
      </c>
      <c r="X916" s="139"/>
      <c r="Y916" s="462"/>
      <c r="Z916" s="140" t="s">
        <v>8898</v>
      </c>
      <c r="AA916" s="140" t="s">
        <v>1886</v>
      </c>
      <c r="AB916" s="460"/>
      <c r="AC916" s="460"/>
      <c r="AD916" s="488">
        <v>7675090297</v>
      </c>
      <c r="AE916" s="140" t="s">
        <v>8899</v>
      </c>
      <c r="AF916" s="139" t="s">
        <v>1805</v>
      </c>
      <c r="AG916" s="463">
        <v>103010100052675</v>
      </c>
      <c r="AH916" s="139" t="s">
        <v>3174</v>
      </c>
      <c r="AI916" s="139" t="s">
        <v>8900</v>
      </c>
      <c r="AJ916" s="464">
        <v>758300700093</v>
      </c>
      <c r="AK916" s="140"/>
      <c r="AL916" s="206">
        <v>45159</v>
      </c>
      <c r="AM916" s="477"/>
      <c r="AN916" s="465"/>
      <c r="AO916" s="140" t="s">
        <v>8901</v>
      </c>
      <c r="AP916" s="139"/>
      <c r="AQ916" s="140" t="s">
        <v>8901</v>
      </c>
      <c r="AR916" s="58"/>
      <c r="AS916" s="458"/>
      <c r="AT916" s="458"/>
      <c r="AU916" s="461"/>
      <c r="AV916" s="181" t="s">
        <v>1389</v>
      </c>
      <c r="AW916" s="31" t="s">
        <v>32</v>
      </c>
      <c r="AX916" s="139">
        <v>1</v>
      </c>
      <c r="AY916" s="58" t="s">
        <v>1920</v>
      </c>
      <c r="AZ916" s="58" t="s">
        <v>1390</v>
      </c>
      <c r="BA916" s="58" t="s">
        <v>151</v>
      </c>
      <c r="BB916" s="58" t="s">
        <v>1407</v>
      </c>
      <c r="BC916" s="58"/>
    </row>
    <row r="917" spans="1:55" x14ac:dyDescent="0.25">
      <c r="A917" s="10">
        <f t="shared" si="38"/>
        <v>916</v>
      </c>
      <c r="B917" s="181" t="s">
        <v>8902</v>
      </c>
      <c r="C917" s="592" t="s">
        <v>1407</v>
      </c>
      <c r="D917" s="457">
        <v>400833</v>
      </c>
      <c r="E917" s="181" t="s">
        <v>8354</v>
      </c>
      <c r="F917" s="97" t="s">
        <v>8903</v>
      </c>
      <c r="G917" s="139">
        <v>6</v>
      </c>
      <c r="H917" s="469" t="s">
        <v>5491</v>
      </c>
      <c r="I917" s="469" t="s">
        <v>989</v>
      </c>
      <c r="J917" s="458">
        <f>I917-H917</f>
        <v>0.33333333333333337</v>
      </c>
      <c r="K917" s="58" t="s">
        <v>693</v>
      </c>
      <c r="L917" s="97" t="s">
        <v>8904</v>
      </c>
      <c r="M917" s="97" t="s">
        <v>26</v>
      </c>
      <c r="N917" s="58" t="s">
        <v>38</v>
      </c>
      <c r="O917" s="58" t="s">
        <v>5063</v>
      </c>
      <c r="P917" s="206">
        <v>45161</v>
      </c>
      <c r="Q917" s="206">
        <v>45161</v>
      </c>
      <c r="R917" s="206">
        <v>45891</v>
      </c>
      <c r="S917" s="461">
        <v>45892</v>
      </c>
      <c r="T917" s="139">
        <v>2016</v>
      </c>
      <c r="U917" s="181" t="s">
        <v>8905</v>
      </c>
      <c r="V917" s="139">
        <v>2022</v>
      </c>
      <c r="W917" s="140" t="s">
        <v>8905</v>
      </c>
      <c r="X917" s="181" t="s">
        <v>30</v>
      </c>
      <c r="Y917" s="58" t="s">
        <v>5066</v>
      </c>
      <c r="Z917" s="140" t="s">
        <v>8906</v>
      </c>
      <c r="AA917" s="97" t="s">
        <v>1841</v>
      </c>
      <c r="AB917" s="471">
        <v>45126</v>
      </c>
      <c r="AC917" s="471">
        <v>46952</v>
      </c>
      <c r="AD917" s="472">
        <v>8897266109</v>
      </c>
      <c r="AE917" s="473" t="s">
        <v>8907</v>
      </c>
      <c r="AF917" s="97" t="s">
        <v>1430</v>
      </c>
      <c r="AG917" s="482">
        <v>50100188313896</v>
      </c>
      <c r="AH917" s="181" t="s">
        <v>8908</v>
      </c>
      <c r="AI917" s="139" t="s">
        <v>8909</v>
      </c>
      <c r="AJ917" s="464">
        <v>687545678276</v>
      </c>
      <c r="AK917" s="97"/>
      <c r="AL917" s="461">
        <v>45363</v>
      </c>
      <c r="AM917" s="477">
        <v>45303</v>
      </c>
      <c r="AN917" s="465"/>
      <c r="AO917" s="140" t="s">
        <v>8910</v>
      </c>
      <c r="AP917" s="58"/>
      <c r="AQ917" s="483" t="s">
        <v>8910</v>
      </c>
      <c r="AR917" s="462"/>
      <c r="AS917" s="479">
        <v>0.375</v>
      </c>
      <c r="AT917" s="479">
        <v>0.70833333333333337</v>
      </c>
      <c r="AU917" s="461">
        <v>33962</v>
      </c>
      <c r="AV917" s="181" t="s">
        <v>1389</v>
      </c>
      <c r="AW917" s="31" t="s">
        <v>68</v>
      </c>
      <c r="AX917" s="139">
        <v>8</v>
      </c>
      <c r="AY917" s="58" t="s">
        <v>2469</v>
      </c>
      <c r="AZ917" s="58" t="s">
        <v>26</v>
      </c>
      <c r="BA917" s="58" t="s">
        <v>151</v>
      </c>
      <c r="BB917" s="58" t="s">
        <v>1407</v>
      </c>
      <c r="BC917" s="58"/>
    </row>
    <row r="918" spans="1:55" x14ac:dyDescent="0.25">
      <c r="A918" s="10">
        <f t="shared" si="38"/>
        <v>917</v>
      </c>
      <c r="B918" s="181" t="s">
        <v>8911</v>
      </c>
      <c r="C918" s="592" t="s">
        <v>1407</v>
      </c>
      <c r="D918" s="457">
        <v>400533</v>
      </c>
      <c r="E918" s="181" t="s">
        <v>36</v>
      </c>
      <c r="F918" s="97" t="s">
        <v>8912</v>
      </c>
      <c r="G918" s="139">
        <v>6</v>
      </c>
      <c r="H918" s="469" t="s">
        <v>235</v>
      </c>
      <c r="I918" s="469" t="s">
        <v>978</v>
      </c>
      <c r="J918" s="458">
        <v>0.33333333333333331</v>
      </c>
      <c r="K918" s="100" t="s">
        <v>287</v>
      </c>
      <c r="L918" s="97" t="s">
        <v>2097</v>
      </c>
      <c r="M918" s="97" t="s">
        <v>2097</v>
      </c>
      <c r="N918" s="58" t="s">
        <v>2098</v>
      </c>
      <c r="O918" s="58" t="s">
        <v>6947</v>
      </c>
      <c r="P918" s="206">
        <v>44777</v>
      </c>
      <c r="Q918" s="206">
        <v>44777</v>
      </c>
      <c r="R918" s="206">
        <v>45507</v>
      </c>
      <c r="S918" s="461">
        <v>45508</v>
      </c>
      <c r="T918" s="139">
        <v>1994</v>
      </c>
      <c r="U918" s="181" t="s">
        <v>8913</v>
      </c>
      <c r="V918" s="139">
        <v>2013</v>
      </c>
      <c r="W918" s="140" t="s">
        <v>8914</v>
      </c>
      <c r="X918" s="181" t="s">
        <v>30</v>
      </c>
      <c r="Y918" s="58" t="s">
        <v>1611</v>
      </c>
      <c r="Z918" s="140">
        <v>39915</v>
      </c>
      <c r="AA918" s="97" t="s">
        <v>1841</v>
      </c>
      <c r="AB918" s="471">
        <v>44671</v>
      </c>
      <c r="AC918" s="471">
        <v>46496</v>
      </c>
      <c r="AD918" s="472">
        <v>9908875380</v>
      </c>
      <c r="AE918" s="473" t="s">
        <v>8915</v>
      </c>
      <c r="AF918" s="97" t="s">
        <v>1430</v>
      </c>
      <c r="AG918" s="482" t="s">
        <v>8916</v>
      </c>
      <c r="AH918" s="181" t="s">
        <v>3191</v>
      </c>
      <c r="AI918" s="139" t="s">
        <v>8917</v>
      </c>
      <c r="AJ918" s="464">
        <v>339695349332</v>
      </c>
      <c r="AK918" s="97" t="s">
        <v>8918</v>
      </c>
      <c r="AL918" s="206">
        <v>45565</v>
      </c>
      <c r="AM918" s="477">
        <v>45510</v>
      </c>
      <c r="AN918" s="465" t="s">
        <v>1499</v>
      </c>
      <c r="AO918" s="97"/>
      <c r="AP918" s="58"/>
      <c r="AQ918" s="486"/>
      <c r="AR918" s="462"/>
      <c r="AS918" s="479">
        <v>0.33333333333333331</v>
      </c>
      <c r="AT918" s="479">
        <v>0.66666666666666663</v>
      </c>
      <c r="AU918" s="461">
        <v>25227</v>
      </c>
      <c r="AV918" s="181" t="s">
        <v>1389</v>
      </c>
      <c r="AW918" s="31" t="s">
        <v>68</v>
      </c>
      <c r="AX918" s="139">
        <v>8</v>
      </c>
      <c r="AY918" s="58" t="s">
        <v>1881</v>
      </c>
      <c r="AZ918" s="58" t="s">
        <v>1373</v>
      </c>
      <c r="BA918" s="58" t="s">
        <v>151</v>
      </c>
      <c r="BB918" s="58" t="s">
        <v>1407</v>
      </c>
      <c r="BC918" s="58"/>
    </row>
    <row r="919" spans="1:55" x14ac:dyDescent="0.25">
      <c r="A919" s="10">
        <f t="shared" si="38"/>
        <v>918</v>
      </c>
      <c r="B919" s="181" t="s">
        <v>8919</v>
      </c>
      <c r="C919" s="592" t="s">
        <v>1407</v>
      </c>
      <c r="D919" s="457">
        <v>400850</v>
      </c>
      <c r="E919" s="181" t="s">
        <v>36</v>
      </c>
      <c r="F919" s="97" t="s">
        <v>8920</v>
      </c>
      <c r="G919" s="139">
        <v>6</v>
      </c>
      <c r="H919" s="469" t="s">
        <v>5089</v>
      </c>
      <c r="I919" s="469" t="s">
        <v>8921</v>
      </c>
      <c r="J919" s="458">
        <f>I919-H919</f>
        <v>0.125</v>
      </c>
      <c r="K919" s="462" t="s">
        <v>3609</v>
      </c>
      <c r="L919" s="97" t="s">
        <v>8922</v>
      </c>
      <c r="M919" s="97" t="s">
        <v>26</v>
      </c>
      <c r="N919" s="58" t="s">
        <v>38</v>
      </c>
      <c r="O919" s="462" t="s">
        <v>5076</v>
      </c>
      <c r="P919" s="206">
        <v>45202</v>
      </c>
      <c r="Q919" s="206">
        <v>45202</v>
      </c>
      <c r="R919" s="206">
        <v>45932</v>
      </c>
      <c r="S919" s="461">
        <v>45933</v>
      </c>
      <c r="T919" s="139">
        <v>2014</v>
      </c>
      <c r="U919" s="181" t="s">
        <v>7974</v>
      </c>
      <c r="V919" s="139">
        <v>2022</v>
      </c>
      <c r="W919" s="140" t="s">
        <v>8923</v>
      </c>
      <c r="X919" s="181" t="s">
        <v>30</v>
      </c>
      <c r="Y919" s="58" t="s">
        <v>5066</v>
      </c>
      <c r="Z919" s="140" t="s">
        <v>8924</v>
      </c>
      <c r="AA919" s="97" t="s">
        <v>1841</v>
      </c>
      <c r="AB919" s="471">
        <v>44907</v>
      </c>
      <c r="AC919" s="471">
        <v>46732</v>
      </c>
      <c r="AD919" s="472">
        <v>7702199779</v>
      </c>
      <c r="AE919" s="473" t="s">
        <v>8925</v>
      </c>
      <c r="AF919" s="97" t="s">
        <v>1430</v>
      </c>
      <c r="AG919" s="482" t="s">
        <v>8926</v>
      </c>
      <c r="AH919" s="181" t="s">
        <v>2027</v>
      </c>
      <c r="AI919" s="139" t="s">
        <v>8927</v>
      </c>
      <c r="AJ919" s="464">
        <v>723711409254</v>
      </c>
      <c r="AK919" s="97"/>
      <c r="AL919" s="461">
        <v>45565</v>
      </c>
      <c r="AM919" s="477">
        <v>45536</v>
      </c>
      <c r="AN919" s="465" t="s">
        <v>895</v>
      </c>
      <c r="AO919" s="140" t="s">
        <v>8928</v>
      </c>
      <c r="AP919" s="58"/>
      <c r="AQ919" s="483" t="s">
        <v>8928</v>
      </c>
      <c r="AR919" s="462"/>
      <c r="AS919" s="479">
        <v>0.35416666666666669</v>
      </c>
      <c r="AT919" s="479">
        <v>0.47916666666666669</v>
      </c>
      <c r="AU919" s="461">
        <v>32973</v>
      </c>
      <c r="AV919" s="181" t="s">
        <v>1352</v>
      </c>
      <c r="AW919" s="31" t="s">
        <v>32</v>
      </c>
      <c r="AX919" s="139">
        <v>3</v>
      </c>
      <c r="AY919" s="58" t="s">
        <v>1959</v>
      </c>
      <c r="AZ919" s="58" t="s">
        <v>26</v>
      </c>
      <c r="BA919" s="58" t="s">
        <v>151</v>
      </c>
      <c r="BB919" s="58" t="s">
        <v>1407</v>
      </c>
      <c r="BC919" s="58"/>
    </row>
    <row r="920" spans="1:55" x14ac:dyDescent="0.25">
      <c r="A920" s="10">
        <f t="shared" si="38"/>
        <v>919</v>
      </c>
      <c r="B920" s="181" t="s">
        <v>8929</v>
      </c>
      <c r="C920" s="592" t="s">
        <v>1407</v>
      </c>
      <c r="D920" s="457">
        <v>400867</v>
      </c>
      <c r="E920" s="181" t="s">
        <v>36</v>
      </c>
      <c r="F920" s="97" t="s">
        <v>8930</v>
      </c>
      <c r="G920" s="139">
        <v>6</v>
      </c>
      <c r="H920" s="469" t="s">
        <v>1009</v>
      </c>
      <c r="I920" s="469" t="s">
        <v>4228</v>
      </c>
      <c r="J920" s="458">
        <f>I920-H920</f>
        <v>8.3333333333333259E-2</v>
      </c>
      <c r="K920" s="58" t="s">
        <v>911</v>
      </c>
      <c r="L920" s="97" t="s">
        <v>5119</v>
      </c>
      <c r="M920" s="97" t="s">
        <v>26</v>
      </c>
      <c r="N920" s="58" t="s">
        <v>38</v>
      </c>
      <c r="O920" s="462" t="s">
        <v>5076</v>
      </c>
      <c r="P920" s="206">
        <v>45231</v>
      </c>
      <c r="Q920" s="206">
        <v>45231</v>
      </c>
      <c r="R920" s="206">
        <v>45961</v>
      </c>
      <c r="S920" s="461">
        <v>45962</v>
      </c>
      <c r="T920" s="139">
        <v>2018</v>
      </c>
      <c r="U920" s="181" t="s">
        <v>350</v>
      </c>
      <c r="V920" s="139">
        <v>2023</v>
      </c>
      <c r="W920" s="140" t="s">
        <v>4861</v>
      </c>
      <c r="X920" s="181" t="s">
        <v>30</v>
      </c>
      <c r="Y920" s="58" t="s">
        <v>5066</v>
      </c>
      <c r="Z920" s="140" t="s">
        <v>8931</v>
      </c>
      <c r="AA920" s="470" t="s">
        <v>1841</v>
      </c>
      <c r="AB920" s="471">
        <v>45215</v>
      </c>
      <c r="AC920" s="471">
        <v>47041</v>
      </c>
      <c r="AD920" s="472" t="s">
        <v>8932</v>
      </c>
      <c r="AE920" s="473" t="s">
        <v>8933</v>
      </c>
      <c r="AF920" s="474" t="s">
        <v>5086</v>
      </c>
      <c r="AG920" s="481" t="s">
        <v>8934</v>
      </c>
      <c r="AH920" s="181" t="s">
        <v>6745</v>
      </c>
      <c r="AI920" s="139" t="s">
        <v>8935</v>
      </c>
      <c r="AJ920" s="476">
        <v>856561281815</v>
      </c>
      <c r="AK920" s="470"/>
      <c r="AL920" s="461">
        <v>45565</v>
      </c>
      <c r="AM920" s="477">
        <v>45502</v>
      </c>
      <c r="AN920" s="465" t="s">
        <v>8936</v>
      </c>
      <c r="AO920" s="140" t="s">
        <v>8937</v>
      </c>
      <c r="AP920" s="58"/>
      <c r="AQ920" s="474" t="s">
        <v>8937</v>
      </c>
      <c r="AR920" s="462"/>
      <c r="AS920" s="479">
        <v>0.58333333333333337</v>
      </c>
      <c r="AT920" s="479">
        <v>0.66666666666666663</v>
      </c>
      <c r="AU920" s="480">
        <v>34383</v>
      </c>
      <c r="AV920" s="181" t="s">
        <v>1389</v>
      </c>
      <c r="AW920" s="31" t="s">
        <v>32</v>
      </c>
      <c r="AX920" s="139">
        <v>2</v>
      </c>
      <c r="AY920" s="58" t="s">
        <v>2469</v>
      </c>
      <c r="AZ920" s="58" t="s">
        <v>26</v>
      </c>
      <c r="BA920" s="58" t="s">
        <v>151</v>
      </c>
      <c r="BB920" s="58" t="s">
        <v>1407</v>
      </c>
      <c r="BC920" s="58"/>
    </row>
    <row r="921" spans="1:55" x14ac:dyDescent="0.25">
      <c r="A921" s="10">
        <f t="shared" si="38"/>
        <v>920</v>
      </c>
      <c r="B921" s="181" t="s">
        <v>8519</v>
      </c>
      <c r="C921" s="592" t="s">
        <v>1407</v>
      </c>
      <c r="D921" s="457">
        <v>400837</v>
      </c>
      <c r="E921" s="181" t="s">
        <v>36</v>
      </c>
      <c r="F921" s="97" t="s">
        <v>8520</v>
      </c>
      <c r="G921" s="139">
        <v>6</v>
      </c>
      <c r="H921" s="458" t="s">
        <v>5089</v>
      </c>
      <c r="I921" s="458" t="s">
        <v>146</v>
      </c>
      <c r="J921" s="458">
        <f>I921-H921</f>
        <v>0.33333333333333331</v>
      </c>
      <c r="K921" s="143" t="s">
        <v>255</v>
      </c>
      <c r="L921" s="97" t="s">
        <v>8938</v>
      </c>
      <c r="M921" s="97" t="s">
        <v>26</v>
      </c>
      <c r="N921" s="58" t="s">
        <v>38</v>
      </c>
      <c r="O921" s="58" t="s">
        <v>5063</v>
      </c>
      <c r="P921" s="206">
        <v>45170</v>
      </c>
      <c r="Q921" s="460">
        <v>45170</v>
      </c>
      <c r="R921" s="460">
        <v>45900</v>
      </c>
      <c r="S921" s="461">
        <v>45901</v>
      </c>
      <c r="T921" s="139">
        <v>2013</v>
      </c>
      <c r="U921" s="139" t="s">
        <v>8521</v>
      </c>
      <c r="V921" s="139">
        <v>2016</v>
      </c>
      <c r="W921" s="139" t="s">
        <v>8939</v>
      </c>
      <c r="X921" s="139" t="s">
        <v>30</v>
      </c>
      <c r="Y921" s="462" t="s">
        <v>5066</v>
      </c>
      <c r="Z921" s="140" t="s">
        <v>8940</v>
      </c>
      <c r="AA921" s="140" t="s">
        <v>1841</v>
      </c>
      <c r="AB921" s="460">
        <v>43451</v>
      </c>
      <c r="AC921" s="460">
        <v>45276</v>
      </c>
      <c r="AD921" s="488">
        <v>7661924775</v>
      </c>
      <c r="AE921" s="140" t="s">
        <v>8522</v>
      </c>
      <c r="AF921" s="139" t="s">
        <v>1430</v>
      </c>
      <c r="AG921" s="463">
        <v>62310885398</v>
      </c>
      <c r="AH921" s="139" t="s">
        <v>8523</v>
      </c>
      <c r="AI921" s="139" t="s">
        <v>8524</v>
      </c>
      <c r="AJ921" s="464">
        <v>908316470307</v>
      </c>
      <c r="AK921" s="140"/>
      <c r="AL921" s="461">
        <v>45342</v>
      </c>
      <c r="AM921" s="477">
        <v>45295</v>
      </c>
      <c r="AN921" s="140"/>
      <c r="AO921" s="140" t="s">
        <v>8941</v>
      </c>
      <c r="AP921" s="139"/>
      <c r="AQ921" s="97" t="s">
        <v>8941</v>
      </c>
      <c r="AR921" s="489"/>
      <c r="AS921" s="458">
        <v>0.35416666666666669</v>
      </c>
      <c r="AT921" s="181">
        <v>0.6875</v>
      </c>
      <c r="AU921" s="461">
        <v>32950</v>
      </c>
      <c r="AV921" s="181" t="s">
        <v>1352</v>
      </c>
      <c r="AW921" s="31" t="s">
        <v>68</v>
      </c>
      <c r="AX921" s="139">
        <v>8</v>
      </c>
      <c r="AY921" s="58" t="s">
        <v>2068</v>
      </c>
      <c r="AZ921" s="58" t="s">
        <v>26</v>
      </c>
      <c r="BA921" s="58" t="s">
        <v>151</v>
      </c>
      <c r="BB921" s="58" t="s">
        <v>1407</v>
      </c>
      <c r="BC921" s="58"/>
    </row>
    <row r="922" spans="1:55" x14ac:dyDescent="0.25">
      <c r="A922" s="10">
        <f t="shared" si="38"/>
        <v>921</v>
      </c>
      <c r="B922" s="181" t="s">
        <v>8942</v>
      </c>
      <c r="C922" s="592" t="s">
        <v>1407</v>
      </c>
      <c r="D922" s="457">
        <v>400838</v>
      </c>
      <c r="E922" s="181" t="s">
        <v>36</v>
      </c>
      <c r="F922" s="97" t="s">
        <v>8943</v>
      </c>
      <c r="G922" s="139">
        <v>6</v>
      </c>
      <c r="H922" s="469" t="s">
        <v>235</v>
      </c>
      <c r="I922" s="469" t="s">
        <v>978</v>
      </c>
      <c r="J922" s="458">
        <v>0.33333333333333331</v>
      </c>
      <c r="K922" s="58" t="s">
        <v>147</v>
      </c>
      <c r="L922" s="97" t="s">
        <v>1424</v>
      </c>
      <c r="M922" s="63" t="s">
        <v>1355</v>
      </c>
      <c r="N922" s="100" t="s">
        <v>1520</v>
      </c>
      <c r="O922" s="58" t="s">
        <v>5330</v>
      </c>
      <c r="P922" s="206">
        <v>45170</v>
      </c>
      <c r="Q922" s="206">
        <v>45170</v>
      </c>
      <c r="R922" s="206">
        <v>45900</v>
      </c>
      <c r="S922" s="461">
        <v>45901</v>
      </c>
      <c r="T922" s="139">
        <v>2017</v>
      </c>
      <c r="U922" s="181" t="s">
        <v>8944</v>
      </c>
      <c r="V922" s="139">
        <v>2022</v>
      </c>
      <c r="W922" s="140" t="s">
        <v>8945</v>
      </c>
      <c r="X922" s="181" t="s">
        <v>30</v>
      </c>
      <c r="Y922" s="58" t="s">
        <v>5066</v>
      </c>
      <c r="Z922" s="140" t="s">
        <v>8946</v>
      </c>
      <c r="AA922" s="97" t="s">
        <v>1841</v>
      </c>
      <c r="AB922" s="471">
        <v>44884</v>
      </c>
      <c r="AC922" s="471">
        <v>46709</v>
      </c>
      <c r="AD922" s="472">
        <v>7331158459</v>
      </c>
      <c r="AE922" s="473" t="s">
        <v>8947</v>
      </c>
      <c r="AF922" s="97" t="s">
        <v>1364</v>
      </c>
      <c r="AG922" s="482">
        <v>389201500649</v>
      </c>
      <c r="AH922" s="181" t="s">
        <v>8948</v>
      </c>
      <c r="AI922" s="139" t="s">
        <v>8949</v>
      </c>
      <c r="AJ922" s="464">
        <v>200156012621</v>
      </c>
      <c r="AK922" s="97"/>
      <c r="AL922" s="206">
        <v>45401</v>
      </c>
      <c r="AM922" s="477">
        <v>45342</v>
      </c>
      <c r="AN922" s="465" t="s">
        <v>5098</v>
      </c>
      <c r="AO922" s="140" t="s">
        <v>8950</v>
      </c>
      <c r="AP922" s="58"/>
      <c r="AQ922" s="483" t="s">
        <v>8950</v>
      </c>
      <c r="AR922" s="462"/>
      <c r="AS922" s="479">
        <v>0.33333333333333331</v>
      </c>
      <c r="AT922" s="479">
        <v>0.66666666666666663</v>
      </c>
      <c r="AU922" s="461">
        <v>34550</v>
      </c>
      <c r="AV922" s="181" t="s">
        <v>1389</v>
      </c>
      <c r="AW922" s="31" t="s">
        <v>68</v>
      </c>
      <c r="AX922" s="139">
        <v>8</v>
      </c>
      <c r="AY922" s="58" t="s">
        <v>1849</v>
      </c>
      <c r="AZ922" s="58" t="s">
        <v>1373</v>
      </c>
      <c r="BA922" s="58" t="s">
        <v>151</v>
      </c>
      <c r="BB922" s="58" t="s">
        <v>1407</v>
      </c>
      <c r="BC922" s="58"/>
    </row>
    <row r="923" spans="1:55" x14ac:dyDescent="0.25">
      <c r="A923" s="10">
        <f t="shared" si="38"/>
        <v>922</v>
      </c>
      <c r="B923" s="181" t="s">
        <v>8951</v>
      </c>
      <c r="C923" s="592" t="s">
        <v>1407</v>
      </c>
      <c r="D923" s="457">
        <v>400868</v>
      </c>
      <c r="E923" s="181" t="s">
        <v>36</v>
      </c>
      <c r="F923" s="97" t="s">
        <v>8952</v>
      </c>
      <c r="G923" s="139">
        <v>6</v>
      </c>
      <c r="H923" s="469" t="s">
        <v>989</v>
      </c>
      <c r="I923" s="469" t="s">
        <v>7655</v>
      </c>
      <c r="J923" s="458">
        <f>I923-H923</f>
        <v>8.3333333333333259E-2</v>
      </c>
      <c r="K923" s="271" t="s">
        <v>5084</v>
      </c>
      <c r="L923" s="97" t="s">
        <v>8953</v>
      </c>
      <c r="M923" s="97" t="s">
        <v>26</v>
      </c>
      <c r="N923" s="58" t="s">
        <v>38</v>
      </c>
      <c r="O923" s="462" t="s">
        <v>5076</v>
      </c>
      <c r="P923" s="206">
        <v>45231</v>
      </c>
      <c r="Q923" s="206">
        <v>45231</v>
      </c>
      <c r="R923" s="206">
        <v>45961</v>
      </c>
      <c r="S923" s="461">
        <v>45962</v>
      </c>
      <c r="T923" s="139">
        <v>2019</v>
      </c>
      <c r="U923" s="181" t="s">
        <v>3198</v>
      </c>
      <c r="V923" s="139">
        <v>2023</v>
      </c>
      <c r="W923" s="140" t="s">
        <v>196</v>
      </c>
      <c r="X923" s="181" t="s">
        <v>30</v>
      </c>
      <c r="Y923" s="58" t="s">
        <v>5066</v>
      </c>
      <c r="Z923" s="140" t="s">
        <v>8954</v>
      </c>
      <c r="AA923" s="470" t="s">
        <v>1841</v>
      </c>
      <c r="AB923" s="471">
        <v>45188</v>
      </c>
      <c r="AC923" s="471">
        <v>47014</v>
      </c>
      <c r="AD923" s="472" t="s">
        <v>8955</v>
      </c>
      <c r="AE923" s="473" t="s">
        <v>8956</v>
      </c>
      <c r="AF923" s="474" t="s">
        <v>1430</v>
      </c>
      <c r="AG923" s="475">
        <v>50100656072765</v>
      </c>
      <c r="AH923" s="181" t="s">
        <v>8957</v>
      </c>
      <c r="AI923" s="139" t="s">
        <v>8958</v>
      </c>
      <c r="AJ923" s="476">
        <v>482273580096</v>
      </c>
      <c r="AK923" s="470"/>
      <c r="AL923" s="461">
        <v>45565</v>
      </c>
      <c r="AM923" s="477">
        <v>45505</v>
      </c>
      <c r="AN923" s="465" t="s">
        <v>1592</v>
      </c>
      <c r="AO923" s="140" t="s">
        <v>8959</v>
      </c>
      <c r="AP923" s="58"/>
      <c r="AQ923" s="97" t="s">
        <v>8959</v>
      </c>
      <c r="AR923" s="462"/>
      <c r="AS923" s="479">
        <v>0.70833333333333337</v>
      </c>
      <c r="AT923" s="479">
        <v>0.79166666666666663</v>
      </c>
      <c r="AU923" s="480">
        <v>34847</v>
      </c>
      <c r="AV923" s="181" t="s">
        <v>1389</v>
      </c>
      <c r="AW923" s="31" t="s">
        <v>32</v>
      </c>
      <c r="AX923" s="139">
        <v>2</v>
      </c>
      <c r="AY923" s="58" t="s">
        <v>1849</v>
      </c>
      <c r="AZ923" s="58" t="s">
        <v>26</v>
      </c>
      <c r="BA923" s="58" t="s">
        <v>151</v>
      </c>
      <c r="BB923" s="58" t="s">
        <v>1407</v>
      </c>
      <c r="BC923" s="58"/>
    </row>
    <row r="924" spans="1:55" x14ac:dyDescent="0.25">
      <c r="A924" s="10">
        <f t="shared" si="38"/>
        <v>923</v>
      </c>
      <c r="B924" s="181" t="s">
        <v>8960</v>
      </c>
      <c r="C924" s="592" t="s">
        <v>1407</v>
      </c>
      <c r="D924" s="457">
        <v>400874</v>
      </c>
      <c r="E924" s="181" t="s">
        <v>36</v>
      </c>
      <c r="F924" s="97" t="s">
        <v>8961</v>
      </c>
      <c r="G924" s="139">
        <v>6</v>
      </c>
      <c r="H924" s="469" t="s">
        <v>5118</v>
      </c>
      <c r="I924" s="469" t="s">
        <v>948</v>
      </c>
      <c r="J924" s="458">
        <f>I924-H924</f>
        <v>0.33333333333333331</v>
      </c>
      <c r="K924" s="58" t="s">
        <v>693</v>
      </c>
      <c r="L924" s="97" t="s">
        <v>8724</v>
      </c>
      <c r="M924" s="97" t="s">
        <v>26</v>
      </c>
      <c r="N924" s="58" t="s">
        <v>38</v>
      </c>
      <c r="O924" s="462" t="s">
        <v>5076</v>
      </c>
      <c r="P924" s="206">
        <v>45245</v>
      </c>
      <c r="Q924" s="206">
        <v>45245</v>
      </c>
      <c r="R924" s="206">
        <v>45975</v>
      </c>
      <c r="S924" s="461">
        <v>45976</v>
      </c>
      <c r="T924" s="139">
        <v>2017</v>
      </c>
      <c r="U924" s="181" t="s">
        <v>8962</v>
      </c>
      <c r="V924" s="139">
        <v>2021</v>
      </c>
      <c r="W924" s="140" t="s">
        <v>8963</v>
      </c>
      <c r="X924" s="181" t="s">
        <v>30</v>
      </c>
      <c r="Y924" s="58" t="s">
        <v>5066</v>
      </c>
      <c r="Z924" s="140" t="s">
        <v>8964</v>
      </c>
      <c r="AA924" s="470" t="s">
        <v>1841</v>
      </c>
      <c r="AB924" s="471">
        <v>45237</v>
      </c>
      <c r="AC924" s="471">
        <v>47063</v>
      </c>
      <c r="AD924" s="472">
        <v>8511339757</v>
      </c>
      <c r="AE924" s="473" t="s">
        <v>8965</v>
      </c>
      <c r="AF924" s="474" t="s">
        <v>7648</v>
      </c>
      <c r="AG924" s="481" t="s">
        <v>8966</v>
      </c>
      <c r="AH924" s="181" t="s">
        <v>8967</v>
      </c>
      <c r="AI924" s="139" t="s">
        <v>8968</v>
      </c>
      <c r="AJ924" s="476">
        <v>662339287537</v>
      </c>
      <c r="AK924" s="470"/>
      <c r="AL924" s="461">
        <v>45565</v>
      </c>
      <c r="AM924" s="477">
        <v>45503</v>
      </c>
      <c r="AN924" s="465" t="s">
        <v>1592</v>
      </c>
      <c r="AO924" s="140" t="s">
        <v>8969</v>
      </c>
      <c r="AP924" s="58"/>
      <c r="AQ924" s="97" t="s">
        <v>8969</v>
      </c>
      <c r="AR924" s="462"/>
      <c r="AS924" s="479">
        <v>0.41666666666666669</v>
      </c>
      <c r="AT924" s="479">
        <v>0.75</v>
      </c>
      <c r="AU924" s="480">
        <v>34771</v>
      </c>
      <c r="AV924" s="181" t="s">
        <v>1389</v>
      </c>
      <c r="AW924" s="31" t="s">
        <v>68</v>
      </c>
      <c r="AX924" s="139">
        <v>8</v>
      </c>
      <c r="AY924" s="58" t="s">
        <v>2469</v>
      </c>
      <c r="AZ924" s="58" t="s">
        <v>26</v>
      </c>
      <c r="BA924" s="58" t="s">
        <v>151</v>
      </c>
      <c r="BB924" s="58" t="s">
        <v>1407</v>
      </c>
      <c r="BC924" s="58"/>
    </row>
    <row r="925" spans="1:55" x14ac:dyDescent="0.25">
      <c r="A925" s="10">
        <f t="shared" si="38"/>
        <v>924</v>
      </c>
      <c r="B925" s="181" t="s">
        <v>8970</v>
      </c>
      <c r="C925" s="592" t="s">
        <v>1407</v>
      </c>
      <c r="D925" s="457">
        <v>400967</v>
      </c>
      <c r="E925" s="181" t="s">
        <v>36</v>
      </c>
      <c r="F925" s="97" t="s">
        <v>8971</v>
      </c>
      <c r="G925" s="139">
        <v>6</v>
      </c>
      <c r="H925" s="469">
        <v>0.41666666666666669</v>
      </c>
      <c r="I925" s="469">
        <v>0.5</v>
      </c>
      <c r="J925" s="458">
        <f>I925-H925</f>
        <v>8.3333333333333315E-2</v>
      </c>
      <c r="K925" s="100" t="s">
        <v>194</v>
      </c>
      <c r="L925" s="97" t="s">
        <v>1424</v>
      </c>
      <c r="M925" s="97" t="s">
        <v>1376</v>
      </c>
      <c r="N925" s="58" t="s">
        <v>1393</v>
      </c>
      <c r="O925" s="58" t="s">
        <v>1424</v>
      </c>
      <c r="P925" s="206">
        <v>45367</v>
      </c>
      <c r="Q925" s="206">
        <v>45367</v>
      </c>
      <c r="R925" s="206">
        <v>46096</v>
      </c>
      <c r="S925" s="461">
        <v>46097</v>
      </c>
      <c r="T925" s="139">
        <v>2022</v>
      </c>
      <c r="U925" s="181" t="s">
        <v>8972</v>
      </c>
      <c r="V925" s="139" t="s">
        <v>1424</v>
      </c>
      <c r="W925" s="140" t="s">
        <v>1424</v>
      </c>
      <c r="X925" s="181" t="s">
        <v>30</v>
      </c>
      <c r="Y925" s="58" t="s">
        <v>226</v>
      </c>
      <c r="Z925" s="140" t="s">
        <v>8973</v>
      </c>
      <c r="AA925" s="470" t="s">
        <v>1886</v>
      </c>
      <c r="AB925" s="471">
        <v>45204</v>
      </c>
      <c r="AC925" s="471">
        <v>47030</v>
      </c>
      <c r="AD925" s="472">
        <v>8897833892</v>
      </c>
      <c r="AE925" s="473" t="s">
        <v>8974</v>
      </c>
      <c r="AF925" s="474" t="s">
        <v>1805</v>
      </c>
      <c r="AG925" s="475" t="s">
        <v>8975</v>
      </c>
      <c r="AH925" s="181" t="s">
        <v>8976</v>
      </c>
      <c r="AI925" s="139" t="s">
        <v>8977</v>
      </c>
      <c r="AJ925" s="476">
        <v>897312547591</v>
      </c>
      <c r="AK925" s="470"/>
      <c r="AL925" s="206">
        <v>45565</v>
      </c>
      <c r="AM925" s="477" t="s">
        <v>30</v>
      </c>
      <c r="AN925" s="465" t="s">
        <v>1592</v>
      </c>
      <c r="AO925" s="140" t="s">
        <v>8978</v>
      </c>
      <c r="AP925" s="58"/>
      <c r="AQ925" s="97" t="s">
        <v>8978</v>
      </c>
      <c r="AR925" s="462"/>
      <c r="AS925" s="479">
        <v>0.41666666666666669</v>
      </c>
      <c r="AT925" s="479">
        <v>0.5</v>
      </c>
      <c r="AU925" s="480">
        <v>36318</v>
      </c>
      <c r="AV925" s="181" t="s">
        <v>1389</v>
      </c>
      <c r="AW925" s="31" t="s">
        <v>32</v>
      </c>
      <c r="AX925" s="139">
        <v>2</v>
      </c>
      <c r="AY925" s="58" t="s">
        <v>1968</v>
      </c>
      <c r="AZ925" s="58" t="s">
        <v>1390</v>
      </c>
      <c r="BA925" s="58" t="s">
        <v>151</v>
      </c>
      <c r="BB925" s="58" t="s">
        <v>1407</v>
      </c>
      <c r="BC925" s="58"/>
    </row>
    <row r="926" spans="1:55" x14ac:dyDescent="0.25">
      <c r="A926" s="10">
        <f t="shared" si="38"/>
        <v>925</v>
      </c>
      <c r="B926" s="181"/>
      <c r="C926" s="592" t="s">
        <v>1407</v>
      </c>
      <c r="D926" s="457">
        <v>400841</v>
      </c>
      <c r="E926" s="181" t="s">
        <v>9124</v>
      </c>
      <c r="F926" s="97" t="s">
        <v>8979</v>
      </c>
      <c r="G926" s="139">
        <v>6</v>
      </c>
      <c r="H926" s="458" t="s">
        <v>8980</v>
      </c>
      <c r="I926" s="458" t="s">
        <v>8981</v>
      </c>
      <c r="J926" s="458">
        <v>0.16666666666666666</v>
      </c>
      <c r="K926" s="100" t="s">
        <v>680</v>
      </c>
      <c r="L926" s="97"/>
      <c r="M926" s="63" t="s">
        <v>1355</v>
      </c>
      <c r="N926" s="100" t="s">
        <v>1520</v>
      </c>
      <c r="O926" s="58"/>
      <c r="P926" s="206">
        <v>45183</v>
      </c>
      <c r="Q926" s="460">
        <v>45183</v>
      </c>
      <c r="R926" s="460">
        <v>45913</v>
      </c>
      <c r="S926" s="461">
        <v>45914</v>
      </c>
      <c r="T926" s="139"/>
      <c r="U926" s="139" t="s">
        <v>7338</v>
      </c>
      <c r="V926" s="139"/>
      <c r="W926" s="139" t="s">
        <v>7338</v>
      </c>
      <c r="X926" s="139"/>
      <c r="Y926" s="462"/>
      <c r="Z926" s="140">
        <v>62004</v>
      </c>
      <c r="AA926" s="140" t="s">
        <v>1841</v>
      </c>
      <c r="AB926" s="460">
        <v>44305</v>
      </c>
      <c r="AC926" s="460">
        <v>46130</v>
      </c>
      <c r="AD926" s="488">
        <v>9885072361</v>
      </c>
      <c r="AE926" s="140" t="s">
        <v>8982</v>
      </c>
      <c r="AF926" s="139"/>
      <c r="AG926" s="463"/>
      <c r="AH926" s="139"/>
      <c r="AI926" s="139" t="s">
        <v>8983</v>
      </c>
      <c r="AJ926" s="464">
        <v>618730670958</v>
      </c>
      <c r="AK926" s="140"/>
      <c r="AL926" s="206">
        <v>45183</v>
      </c>
      <c r="AM926" s="477"/>
      <c r="AN926" s="465"/>
      <c r="AO926" s="140" t="s">
        <v>8984</v>
      </c>
      <c r="AP926" s="139"/>
      <c r="AQ926" s="140" t="s">
        <v>8984</v>
      </c>
      <c r="AR926" s="58"/>
      <c r="AS926" s="458"/>
      <c r="AT926" s="458"/>
      <c r="AU926" s="461"/>
      <c r="AV926" s="181" t="s">
        <v>1389</v>
      </c>
      <c r="AW926" s="31" t="s">
        <v>32</v>
      </c>
      <c r="AX926" s="139">
        <v>4</v>
      </c>
      <c r="AY926" s="58" t="s">
        <v>2189</v>
      </c>
      <c r="AZ926" s="58" t="s">
        <v>1373</v>
      </c>
      <c r="BA926" s="58" t="s">
        <v>151</v>
      </c>
      <c r="BB926" s="58" t="s">
        <v>1407</v>
      </c>
      <c r="BC926" s="58"/>
    </row>
    <row r="927" spans="1:55" x14ac:dyDescent="0.25">
      <c r="A927" s="10">
        <f t="shared" si="38"/>
        <v>926</v>
      </c>
      <c r="B927" s="181"/>
      <c r="C927" s="592" t="s">
        <v>1407</v>
      </c>
      <c r="D927" s="457">
        <v>400842</v>
      </c>
      <c r="E927" s="181" t="s">
        <v>36</v>
      </c>
      <c r="F927" s="97" t="s">
        <v>8985</v>
      </c>
      <c r="G927" s="139">
        <v>6</v>
      </c>
      <c r="H927" s="458">
        <v>0.70833333333333337</v>
      </c>
      <c r="I927" s="458">
        <v>0.79166666666666663</v>
      </c>
      <c r="J927" s="458">
        <f t="shared" ref="J927:J932" si="40">I927-H927</f>
        <v>8.3333333333333259E-2</v>
      </c>
      <c r="K927" s="143" t="s">
        <v>207</v>
      </c>
      <c r="L927" s="97"/>
      <c r="M927" s="97" t="s">
        <v>1376</v>
      </c>
      <c r="N927" s="58" t="s">
        <v>1393</v>
      </c>
      <c r="O927" s="58"/>
      <c r="P927" s="206">
        <v>45183</v>
      </c>
      <c r="Q927" s="460">
        <v>45183</v>
      </c>
      <c r="R927" s="460">
        <v>45913</v>
      </c>
      <c r="S927" s="461">
        <v>45914</v>
      </c>
      <c r="T927" s="139"/>
      <c r="U927" s="139" t="s">
        <v>7974</v>
      </c>
      <c r="V927" s="139"/>
      <c r="W927" s="139" t="s">
        <v>7974</v>
      </c>
      <c r="X927" s="139"/>
      <c r="Y927" s="462"/>
      <c r="Z927" s="140" t="s">
        <v>8986</v>
      </c>
      <c r="AA927" s="140" t="s">
        <v>1886</v>
      </c>
      <c r="AB927" s="460">
        <v>44855</v>
      </c>
      <c r="AC927" s="460">
        <v>46680</v>
      </c>
      <c r="AD927" s="488">
        <v>9652673169</v>
      </c>
      <c r="AE927" s="140" t="s">
        <v>8987</v>
      </c>
      <c r="AF927" s="139"/>
      <c r="AG927" s="463"/>
      <c r="AH927" s="139"/>
      <c r="AI927" s="139" t="s">
        <v>8988</v>
      </c>
      <c r="AJ927" s="464">
        <v>270561825415</v>
      </c>
      <c r="AK927" s="140"/>
      <c r="AL927" s="206">
        <v>45183</v>
      </c>
      <c r="AM927" s="477"/>
      <c r="AN927" s="465"/>
      <c r="AO927" s="140" t="s">
        <v>8989</v>
      </c>
      <c r="AP927" s="139"/>
      <c r="AQ927" s="140" t="s">
        <v>8989</v>
      </c>
      <c r="AR927" s="58"/>
      <c r="AS927" s="458"/>
      <c r="AT927" s="458"/>
      <c r="AU927" s="461"/>
      <c r="AV927" s="181" t="s">
        <v>1389</v>
      </c>
      <c r="AW927" s="31" t="s">
        <v>32</v>
      </c>
      <c r="AX927" s="139">
        <v>2</v>
      </c>
      <c r="AY927" s="58" t="s">
        <v>1920</v>
      </c>
      <c r="AZ927" s="58" t="s">
        <v>1390</v>
      </c>
      <c r="BA927" s="58" t="s">
        <v>151</v>
      </c>
      <c r="BB927" s="58" t="s">
        <v>1407</v>
      </c>
      <c r="BC927" s="58"/>
    </row>
    <row r="928" spans="1:55" x14ac:dyDescent="0.25">
      <c r="A928" s="10">
        <f t="shared" si="38"/>
        <v>927</v>
      </c>
      <c r="B928" s="181" t="s">
        <v>8990</v>
      </c>
      <c r="C928" s="592" t="s">
        <v>1407</v>
      </c>
      <c r="D928" s="457">
        <v>400843</v>
      </c>
      <c r="E928" s="181" t="s">
        <v>36</v>
      </c>
      <c r="F928" s="97" t="s">
        <v>8991</v>
      </c>
      <c r="G928" s="139">
        <v>6</v>
      </c>
      <c r="H928" s="458" t="s">
        <v>5118</v>
      </c>
      <c r="I928" s="458" t="s">
        <v>948</v>
      </c>
      <c r="J928" s="458">
        <f t="shared" si="40"/>
        <v>0.33333333333333331</v>
      </c>
      <c r="K928" s="58" t="s">
        <v>446</v>
      </c>
      <c r="L928" s="97" t="s">
        <v>8922</v>
      </c>
      <c r="M928" s="97" t="s">
        <v>26</v>
      </c>
      <c r="N928" s="58" t="s">
        <v>38</v>
      </c>
      <c r="O928" s="58" t="s">
        <v>5076</v>
      </c>
      <c r="P928" s="206">
        <v>45185</v>
      </c>
      <c r="Q928" s="460">
        <v>45185</v>
      </c>
      <c r="R928" s="460">
        <v>45915</v>
      </c>
      <c r="S928" s="461">
        <v>45916</v>
      </c>
      <c r="T928" s="139"/>
      <c r="U928" s="139" t="s">
        <v>688</v>
      </c>
      <c r="V928" s="139"/>
      <c r="W928" s="139" t="s">
        <v>8992</v>
      </c>
      <c r="X928" s="139"/>
      <c r="Y928" s="462"/>
      <c r="Z928" s="140" t="s">
        <v>8993</v>
      </c>
      <c r="AA928" s="140" t="s">
        <v>1841</v>
      </c>
      <c r="AB928" s="460">
        <v>45170</v>
      </c>
      <c r="AC928" s="460">
        <v>46996</v>
      </c>
      <c r="AD928" s="488">
        <v>9705354642</v>
      </c>
      <c r="AE928" s="140" t="s">
        <v>8994</v>
      </c>
      <c r="AF928" s="139" t="s">
        <v>1805</v>
      </c>
      <c r="AG928" s="463" t="s">
        <v>8995</v>
      </c>
      <c r="AH928" s="139" t="s">
        <v>8996</v>
      </c>
      <c r="AI928" s="139" t="s">
        <v>8997</v>
      </c>
      <c r="AJ928" s="464">
        <v>983096883888</v>
      </c>
      <c r="AK928" s="140"/>
      <c r="AL928" s="461">
        <v>45336</v>
      </c>
      <c r="AM928" s="477">
        <v>45278</v>
      </c>
      <c r="AN928" s="465"/>
      <c r="AO928" s="511" t="s">
        <v>8998</v>
      </c>
      <c r="AP928" s="139"/>
      <c r="AQ928" s="139"/>
      <c r="AR928" s="58"/>
      <c r="AS928" s="458">
        <v>28</v>
      </c>
      <c r="AT928" s="458">
        <v>0.41666666666666669</v>
      </c>
      <c r="AU928" s="461"/>
      <c r="AV928" s="181" t="s">
        <v>1352</v>
      </c>
      <c r="AW928" s="31" t="s">
        <v>68</v>
      </c>
      <c r="AX928" s="139">
        <v>8</v>
      </c>
      <c r="AY928" s="58" t="s">
        <v>1849</v>
      </c>
      <c r="AZ928" s="58" t="s">
        <v>26</v>
      </c>
      <c r="BA928" s="58" t="s">
        <v>151</v>
      </c>
      <c r="BB928" s="58" t="s">
        <v>1407</v>
      </c>
      <c r="BC928" s="58"/>
    </row>
    <row r="929" spans="1:55" x14ac:dyDescent="0.25">
      <c r="A929" s="10">
        <f t="shared" si="38"/>
        <v>928</v>
      </c>
      <c r="B929" s="181" t="s">
        <v>1190</v>
      </c>
      <c r="C929" s="592" t="s">
        <v>1407</v>
      </c>
      <c r="D929" s="457">
        <v>400844</v>
      </c>
      <c r="E929" s="181" t="s">
        <v>36</v>
      </c>
      <c r="F929" s="97" t="s">
        <v>1191</v>
      </c>
      <c r="G929" s="139">
        <v>6</v>
      </c>
      <c r="H929" s="458">
        <v>0.375</v>
      </c>
      <c r="I929" s="458">
        <v>0.70833333333333337</v>
      </c>
      <c r="J929" s="458">
        <f t="shared" si="40"/>
        <v>0.33333333333333337</v>
      </c>
      <c r="K929" s="100" t="s">
        <v>866</v>
      </c>
      <c r="L929" s="97" t="s">
        <v>8922</v>
      </c>
      <c r="M929" s="97" t="s">
        <v>26</v>
      </c>
      <c r="N929" s="58" t="s">
        <v>38</v>
      </c>
      <c r="O929" s="58" t="s">
        <v>5076</v>
      </c>
      <c r="P929" s="206">
        <v>45189</v>
      </c>
      <c r="Q929" s="460">
        <v>45189</v>
      </c>
      <c r="R929" s="460">
        <v>45919</v>
      </c>
      <c r="S929" s="461">
        <v>45920</v>
      </c>
      <c r="T929" s="139"/>
      <c r="U929" s="139" t="s">
        <v>7405</v>
      </c>
      <c r="V929" s="139"/>
      <c r="W929" s="139" t="s">
        <v>142</v>
      </c>
      <c r="X929" s="139"/>
      <c r="Y929" s="462"/>
      <c r="Z929" s="140" t="s">
        <v>4561</v>
      </c>
      <c r="AA929" s="140" t="s">
        <v>1841</v>
      </c>
      <c r="AB929" s="460">
        <v>45164</v>
      </c>
      <c r="AC929" s="460">
        <v>46990</v>
      </c>
      <c r="AD929" s="488">
        <v>9640876746</v>
      </c>
      <c r="AE929" s="140" t="s">
        <v>1195</v>
      </c>
      <c r="AF929" s="139"/>
      <c r="AG929" s="463"/>
      <c r="AH929" s="139"/>
      <c r="AI929" s="139" t="s">
        <v>4564</v>
      </c>
      <c r="AJ929" s="464">
        <v>454804282255</v>
      </c>
      <c r="AK929" s="140"/>
      <c r="AL929" s="461">
        <v>45189</v>
      </c>
      <c r="AM929" s="477"/>
      <c r="AN929" s="465"/>
      <c r="AO929" s="140" t="s">
        <v>8999</v>
      </c>
      <c r="AP929" s="139"/>
      <c r="AQ929" s="140" t="s">
        <v>8999</v>
      </c>
      <c r="AR929" s="58"/>
      <c r="AS929" s="458"/>
      <c r="AT929" s="458"/>
      <c r="AU929" s="461"/>
      <c r="AV929" s="181" t="s">
        <v>1389</v>
      </c>
      <c r="AW929" s="31" t="s">
        <v>68</v>
      </c>
      <c r="AX929" s="139">
        <v>8</v>
      </c>
      <c r="AY929" s="58" t="s">
        <v>2189</v>
      </c>
      <c r="AZ929" s="58" t="s">
        <v>26</v>
      </c>
      <c r="BA929" s="58" t="s">
        <v>151</v>
      </c>
      <c r="BB929" s="58" t="s">
        <v>1407</v>
      </c>
      <c r="BC929" s="58"/>
    </row>
    <row r="930" spans="1:55" x14ac:dyDescent="0.25">
      <c r="A930" s="10">
        <f t="shared" si="38"/>
        <v>929</v>
      </c>
      <c r="B930" s="181" t="s">
        <v>9000</v>
      </c>
      <c r="C930" s="592" t="s">
        <v>1407</v>
      </c>
      <c r="D930" s="457">
        <v>400845</v>
      </c>
      <c r="E930" s="181" t="s">
        <v>36</v>
      </c>
      <c r="F930" s="97" t="s">
        <v>9001</v>
      </c>
      <c r="G930" s="139">
        <v>6</v>
      </c>
      <c r="H930" s="469" t="s">
        <v>4228</v>
      </c>
      <c r="I930" s="469" t="s">
        <v>5702</v>
      </c>
      <c r="J930" s="458">
        <f t="shared" si="40"/>
        <v>0.16666666666666674</v>
      </c>
      <c r="K930" s="100" t="s">
        <v>287</v>
      </c>
      <c r="L930" s="97" t="s">
        <v>1424</v>
      </c>
      <c r="M930" s="97" t="s">
        <v>2097</v>
      </c>
      <c r="N930" s="58" t="s">
        <v>2098</v>
      </c>
      <c r="O930" s="58" t="s">
        <v>5111</v>
      </c>
      <c r="P930" s="206">
        <v>45189</v>
      </c>
      <c r="Q930" s="206">
        <v>45189</v>
      </c>
      <c r="R930" s="206">
        <v>45919</v>
      </c>
      <c r="S930" s="461">
        <v>45920</v>
      </c>
      <c r="T930" s="139">
        <v>2014</v>
      </c>
      <c r="U930" s="181" t="s">
        <v>380</v>
      </c>
      <c r="V930" s="139">
        <v>2020</v>
      </c>
      <c r="W930" s="140" t="s">
        <v>209</v>
      </c>
      <c r="X930" s="181" t="s">
        <v>30</v>
      </c>
      <c r="Y930" s="58" t="s">
        <v>5066</v>
      </c>
      <c r="Z930" s="140" t="s">
        <v>9002</v>
      </c>
      <c r="AA930" s="97" t="s">
        <v>1841</v>
      </c>
      <c r="AB930" s="471">
        <v>44396</v>
      </c>
      <c r="AC930" s="471">
        <v>46221</v>
      </c>
      <c r="AD930" s="472">
        <v>9642848496</v>
      </c>
      <c r="AE930" s="473" t="s">
        <v>9003</v>
      </c>
      <c r="AF930" s="97" t="s">
        <v>1364</v>
      </c>
      <c r="AG930" s="503" t="s">
        <v>9004</v>
      </c>
      <c r="AH930" s="181" t="s">
        <v>9005</v>
      </c>
      <c r="AI930" s="139" t="s">
        <v>9006</v>
      </c>
      <c r="AJ930" s="464">
        <v>347757840862</v>
      </c>
      <c r="AK930" s="97"/>
      <c r="AL930" s="206">
        <v>45381</v>
      </c>
      <c r="AM930" s="477">
        <v>45292</v>
      </c>
      <c r="AN930" s="465" t="s">
        <v>5098</v>
      </c>
      <c r="AO930" s="140" t="s">
        <v>9007</v>
      </c>
      <c r="AP930" s="58"/>
      <c r="AQ930" s="483" t="s">
        <v>9007</v>
      </c>
      <c r="AR930" s="462"/>
      <c r="AS930" s="479">
        <v>0.66666666666666663</v>
      </c>
      <c r="AT930" s="479">
        <v>0.83333333333333337</v>
      </c>
      <c r="AU930" s="461">
        <v>32615</v>
      </c>
      <c r="AV930" s="181" t="s">
        <v>1389</v>
      </c>
      <c r="AW930" s="31" t="s">
        <v>32</v>
      </c>
      <c r="AX930" s="139">
        <v>4</v>
      </c>
      <c r="AY930" s="58" t="s">
        <v>1881</v>
      </c>
      <c r="AZ930" s="58" t="s">
        <v>1373</v>
      </c>
      <c r="BA930" s="58" t="s">
        <v>151</v>
      </c>
      <c r="BB930" s="58" t="s">
        <v>1407</v>
      </c>
      <c r="BC930" s="58"/>
    </row>
    <row r="931" spans="1:55" x14ac:dyDescent="0.25">
      <c r="A931" s="10">
        <f t="shared" si="38"/>
        <v>930</v>
      </c>
      <c r="B931" s="181" t="s">
        <v>9008</v>
      </c>
      <c r="C931" s="592" t="s">
        <v>1407</v>
      </c>
      <c r="D931" s="457">
        <v>400655</v>
      </c>
      <c r="E931" s="181" t="s">
        <v>36</v>
      </c>
      <c r="F931" s="97" t="s">
        <v>9009</v>
      </c>
      <c r="G931" s="139">
        <v>6</v>
      </c>
      <c r="H931" s="469" t="s">
        <v>4228</v>
      </c>
      <c r="I931" s="469" t="s">
        <v>978</v>
      </c>
      <c r="J931" s="458">
        <f t="shared" si="40"/>
        <v>0.20833333333333337</v>
      </c>
      <c r="K931" s="58" t="s">
        <v>147</v>
      </c>
      <c r="L931" s="97" t="s">
        <v>1424</v>
      </c>
      <c r="M931" s="63" t="s">
        <v>1355</v>
      </c>
      <c r="N931" s="100" t="s">
        <v>1520</v>
      </c>
      <c r="O931" s="58" t="s">
        <v>6947</v>
      </c>
      <c r="P931" s="206">
        <v>45019</v>
      </c>
      <c r="Q931" s="206">
        <v>45019</v>
      </c>
      <c r="R931" s="206">
        <v>45749</v>
      </c>
      <c r="S931" s="461">
        <v>45750</v>
      </c>
      <c r="T931" s="139">
        <v>2016</v>
      </c>
      <c r="U931" s="181" t="s">
        <v>9010</v>
      </c>
      <c r="V931" s="139">
        <v>2021</v>
      </c>
      <c r="W931" s="140" t="s">
        <v>2564</v>
      </c>
      <c r="X931" s="181" t="s">
        <v>30</v>
      </c>
      <c r="Y931" s="58" t="s">
        <v>1611</v>
      </c>
      <c r="Z931" s="140" t="s">
        <v>9011</v>
      </c>
      <c r="AA931" s="97" t="s">
        <v>1841</v>
      </c>
      <c r="AB931" s="471">
        <v>44875</v>
      </c>
      <c r="AC931" s="471">
        <v>46700</v>
      </c>
      <c r="AD931" s="472">
        <v>7799471620</v>
      </c>
      <c r="AE931" s="473" t="s">
        <v>9012</v>
      </c>
      <c r="AF931" s="97" t="s">
        <v>2284</v>
      </c>
      <c r="AG931" s="482" t="s">
        <v>9013</v>
      </c>
      <c r="AH931" s="181" t="s">
        <v>9014</v>
      </c>
      <c r="AI931" s="139" t="s">
        <v>9015</v>
      </c>
      <c r="AJ931" s="464">
        <v>402184339974</v>
      </c>
      <c r="AK931" s="97"/>
      <c r="AL931" s="206">
        <v>45569</v>
      </c>
      <c r="AM931" s="477">
        <v>45874</v>
      </c>
      <c r="AN931" s="465" t="s">
        <v>1592</v>
      </c>
      <c r="AO931" s="97"/>
      <c r="AP931" s="58"/>
      <c r="AQ931" s="486"/>
      <c r="AR931" s="462"/>
      <c r="AS931" s="479">
        <v>0.66666666666666663</v>
      </c>
      <c r="AT931" s="479">
        <v>0.875</v>
      </c>
      <c r="AU931" s="461" t="s">
        <v>9016</v>
      </c>
      <c r="AV931" s="181" t="s">
        <v>1389</v>
      </c>
      <c r="AW931" s="31" t="s">
        <v>32</v>
      </c>
      <c r="AX931" s="139">
        <v>5</v>
      </c>
      <c r="AY931" s="58" t="s">
        <v>1849</v>
      </c>
      <c r="AZ931" s="58" t="s">
        <v>1373</v>
      </c>
      <c r="BA931" s="58" t="s">
        <v>151</v>
      </c>
      <c r="BB931" s="58" t="s">
        <v>1407</v>
      </c>
      <c r="BC931" s="58"/>
    </row>
    <row r="932" spans="1:55" x14ac:dyDescent="0.25">
      <c r="A932" s="10">
        <f t="shared" si="38"/>
        <v>931</v>
      </c>
      <c r="B932" s="181" t="s">
        <v>8990</v>
      </c>
      <c r="C932" s="592" t="s">
        <v>1407</v>
      </c>
      <c r="D932" s="457">
        <v>400847</v>
      </c>
      <c r="E932" s="181" t="s">
        <v>36</v>
      </c>
      <c r="F932" s="97" t="s">
        <v>8991</v>
      </c>
      <c r="G932" s="139">
        <v>6</v>
      </c>
      <c r="H932" s="458">
        <v>0.77083333333333337</v>
      </c>
      <c r="I932" s="458">
        <v>0.85416666666666663</v>
      </c>
      <c r="J932" s="458">
        <f t="shared" si="40"/>
        <v>8.3333333333333259E-2</v>
      </c>
      <c r="K932" s="462" t="s">
        <v>532</v>
      </c>
      <c r="L932" s="97" t="s">
        <v>8922</v>
      </c>
      <c r="M932" s="97" t="s">
        <v>26</v>
      </c>
      <c r="N932" s="58" t="s">
        <v>38</v>
      </c>
      <c r="O932" s="58" t="s">
        <v>5076</v>
      </c>
      <c r="P932" s="206">
        <v>45194</v>
      </c>
      <c r="Q932" s="460">
        <v>45194</v>
      </c>
      <c r="R932" s="460">
        <v>45924</v>
      </c>
      <c r="S932" s="461">
        <v>45925</v>
      </c>
      <c r="T932" s="139"/>
      <c r="U932" s="139" t="s">
        <v>688</v>
      </c>
      <c r="V932" s="139"/>
      <c r="W932" s="139" t="s">
        <v>8992</v>
      </c>
      <c r="X932" s="139"/>
      <c r="Y932" s="462"/>
      <c r="Z932" s="140" t="s">
        <v>8993</v>
      </c>
      <c r="AA932" s="140" t="s">
        <v>1841</v>
      </c>
      <c r="AB932" s="460">
        <v>45170</v>
      </c>
      <c r="AC932" s="460">
        <v>46996</v>
      </c>
      <c r="AD932" s="488">
        <v>9705354642</v>
      </c>
      <c r="AE932" s="140" t="s">
        <v>8994</v>
      </c>
      <c r="AF932" s="139" t="s">
        <v>1805</v>
      </c>
      <c r="AG932" s="463" t="s">
        <v>8995</v>
      </c>
      <c r="AH932" s="139" t="s">
        <v>8996</v>
      </c>
      <c r="AI932" s="139" t="s">
        <v>8997</v>
      </c>
      <c r="AJ932" s="464">
        <v>983096883888</v>
      </c>
      <c r="AK932" s="140"/>
      <c r="AL932" s="461">
        <v>45253</v>
      </c>
      <c r="AM932" s="477"/>
      <c r="AN932" s="465"/>
      <c r="AO932" s="140" t="s">
        <v>8998</v>
      </c>
      <c r="AP932" s="139"/>
      <c r="AQ932" s="140" t="s">
        <v>8998</v>
      </c>
      <c r="AR932" s="58"/>
      <c r="AS932" s="458" t="e">
        <v>#N/A</v>
      </c>
      <c r="AT932" s="458"/>
      <c r="AU932" s="461"/>
      <c r="AV932" s="181" t="s">
        <v>1352</v>
      </c>
      <c r="AW932" s="31" t="s">
        <v>68</v>
      </c>
      <c r="AX932" s="139">
        <v>2</v>
      </c>
      <c r="AY932" s="58" t="s">
        <v>1849</v>
      </c>
      <c r="AZ932" s="58" t="s">
        <v>26</v>
      </c>
      <c r="BA932" s="58" t="s">
        <v>151</v>
      </c>
      <c r="BB932" s="58" t="s">
        <v>1407</v>
      </c>
      <c r="BC932" s="58"/>
    </row>
    <row r="933" spans="1:55" x14ac:dyDescent="0.25">
      <c r="A933" s="10">
        <f t="shared" si="38"/>
        <v>932</v>
      </c>
      <c r="B933" s="181" t="s">
        <v>9017</v>
      </c>
      <c r="C933" s="592" t="s">
        <v>1407</v>
      </c>
      <c r="D933" s="457">
        <v>401036</v>
      </c>
      <c r="E933" s="181" t="s">
        <v>36</v>
      </c>
      <c r="F933" s="97" t="s">
        <v>9018</v>
      </c>
      <c r="G933" s="121">
        <v>6</v>
      </c>
      <c r="H933" s="458">
        <v>0.375</v>
      </c>
      <c r="I933" s="458">
        <v>0.41666666666666669</v>
      </c>
      <c r="J933" s="458">
        <v>4.1666666666666664E-2</v>
      </c>
      <c r="K933" s="58" t="s">
        <v>693</v>
      </c>
      <c r="L933" s="97" t="s">
        <v>30</v>
      </c>
      <c r="M933" s="97" t="s">
        <v>1376</v>
      </c>
      <c r="N933" s="58" t="s">
        <v>1393</v>
      </c>
      <c r="O933" s="58" t="s">
        <v>1424</v>
      </c>
      <c r="P933" s="424">
        <v>45502</v>
      </c>
      <c r="Q933" s="424">
        <v>45502</v>
      </c>
      <c r="R933" s="424">
        <v>46231</v>
      </c>
      <c r="S933" s="424">
        <v>46232</v>
      </c>
      <c r="T933" s="139">
        <v>2022</v>
      </c>
      <c r="U933" s="97" t="s">
        <v>9019</v>
      </c>
      <c r="V933" s="139" t="s">
        <v>30</v>
      </c>
      <c r="W933" s="462" t="s">
        <v>30</v>
      </c>
      <c r="X933" s="181" t="s">
        <v>30</v>
      </c>
      <c r="Y933" s="58" t="s">
        <v>226</v>
      </c>
      <c r="Z933" s="63" t="s">
        <v>9020</v>
      </c>
      <c r="AA933" s="470" t="s">
        <v>1841</v>
      </c>
      <c r="AB933" s="471">
        <v>45245</v>
      </c>
      <c r="AC933" s="471">
        <v>47071</v>
      </c>
      <c r="AD933" s="464" t="s">
        <v>9021</v>
      </c>
      <c r="AE933" s="336" t="s">
        <v>9022</v>
      </c>
      <c r="AF933" s="58" t="s">
        <v>2284</v>
      </c>
      <c r="AG933" s="475" t="s">
        <v>9023</v>
      </c>
      <c r="AH933" s="181" t="s">
        <v>9024</v>
      </c>
      <c r="AI933" s="139" t="s">
        <v>9025</v>
      </c>
      <c r="AJ933" s="464">
        <v>266290468785</v>
      </c>
      <c r="AK933" s="97" t="s">
        <v>9026</v>
      </c>
      <c r="AL933" s="206">
        <v>45572</v>
      </c>
      <c r="AM933" s="206" t="s">
        <v>30</v>
      </c>
      <c r="AN933" s="97" t="s">
        <v>9027</v>
      </c>
      <c r="AO933" s="140" t="s">
        <v>9028</v>
      </c>
      <c r="AP933" s="486"/>
      <c r="AQ933" s="462">
        <f ca="1">ROUNDDOWN((TODAY() - AU933)/365.25,0)</f>
        <v>26</v>
      </c>
      <c r="AR933" s="512"/>
      <c r="AS933" s="513"/>
      <c r="AT933" s="479"/>
      <c r="AU933" s="461">
        <v>36277</v>
      </c>
      <c r="AV933" s="181" t="s">
        <v>1389</v>
      </c>
      <c r="AW933" s="31" t="s">
        <v>32</v>
      </c>
      <c r="AX933" s="139">
        <v>1</v>
      </c>
      <c r="AY933" s="58" t="s">
        <v>2469</v>
      </c>
      <c r="AZ933" s="58" t="s">
        <v>1390</v>
      </c>
      <c r="BA933" s="58" t="s">
        <v>151</v>
      </c>
      <c r="BB933" s="58" t="s">
        <v>1407</v>
      </c>
      <c r="BC933" s="58"/>
    </row>
    <row r="934" spans="1:55" x14ac:dyDescent="0.25">
      <c r="A934" s="10">
        <f t="shared" si="38"/>
        <v>933</v>
      </c>
      <c r="B934" s="181" t="s">
        <v>9029</v>
      </c>
      <c r="C934" s="592" t="s">
        <v>1407</v>
      </c>
      <c r="D934" s="457">
        <v>400849</v>
      </c>
      <c r="E934" s="181" t="s">
        <v>36</v>
      </c>
      <c r="F934" s="97" t="s">
        <v>9030</v>
      </c>
      <c r="G934" s="139">
        <v>6</v>
      </c>
      <c r="H934" s="469" t="s">
        <v>1084</v>
      </c>
      <c r="I934" s="469" t="s">
        <v>978</v>
      </c>
      <c r="J934" s="458">
        <f>I934-H934</f>
        <v>0.33333333333333337</v>
      </c>
      <c r="K934" s="100" t="s">
        <v>713</v>
      </c>
      <c r="L934" s="97" t="s">
        <v>8734</v>
      </c>
      <c r="M934" s="97" t="s">
        <v>26</v>
      </c>
      <c r="N934" s="58" t="s">
        <v>38</v>
      </c>
      <c r="O934" s="58" t="s">
        <v>5063</v>
      </c>
      <c r="P934" s="206">
        <v>45196</v>
      </c>
      <c r="Q934" s="206">
        <v>45196</v>
      </c>
      <c r="R934" s="206">
        <v>45926</v>
      </c>
      <c r="S934" s="461">
        <v>45927</v>
      </c>
      <c r="T934" s="139">
        <v>2018</v>
      </c>
      <c r="U934" s="181" t="s">
        <v>2339</v>
      </c>
      <c r="V934" s="139">
        <v>2023</v>
      </c>
      <c r="W934" s="140" t="s">
        <v>2340</v>
      </c>
      <c r="X934" s="181" t="s">
        <v>30</v>
      </c>
      <c r="Y934" s="58" t="s">
        <v>5066</v>
      </c>
      <c r="Z934" s="140" t="s">
        <v>9031</v>
      </c>
      <c r="AA934" s="97" t="s">
        <v>1886</v>
      </c>
      <c r="AB934" s="471">
        <v>45189</v>
      </c>
      <c r="AC934" s="471">
        <v>47015</v>
      </c>
      <c r="AD934" s="472">
        <v>7702134701</v>
      </c>
      <c r="AE934" s="473" t="s">
        <v>9032</v>
      </c>
      <c r="AF934" s="97" t="s">
        <v>1364</v>
      </c>
      <c r="AG934" s="482" t="s">
        <v>9033</v>
      </c>
      <c r="AH934" s="181" t="s">
        <v>9034</v>
      </c>
      <c r="AI934" s="139" t="s">
        <v>9035</v>
      </c>
      <c r="AJ934" s="464">
        <v>443649318935</v>
      </c>
      <c r="AK934" s="97"/>
      <c r="AL934" s="461">
        <v>45397</v>
      </c>
      <c r="AM934" s="477">
        <v>45365</v>
      </c>
      <c r="AN934" s="465" t="s">
        <v>9036</v>
      </c>
      <c r="AO934" s="140" t="s">
        <v>9037</v>
      </c>
      <c r="AP934" s="58"/>
      <c r="AQ934" s="483" t="s">
        <v>9037</v>
      </c>
      <c r="AR934" s="462"/>
      <c r="AS934" s="479">
        <v>0.54166666666666663</v>
      </c>
      <c r="AT934" s="479">
        <v>0.875</v>
      </c>
      <c r="AU934" s="461">
        <v>34559</v>
      </c>
      <c r="AV934" s="181" t="s">
        <v>1389</v>
      </c>
      <c r="AW934" s="31" t="s">
        <v>68</v>
      </c>
      <c r="AX934" s="139">
        <v>8</v>
      </c>
      <c r="AY934" s="58" t="s">
        <v>2262</v>
      </c>
      <c r="AZ934" s="58" t="s">
        <v>26</v>
      </c>
      <c r="BA934" s="58" t="s">
        <v>151</v>
      </c>
      <c r="BB934" s="58" t="s">
        <v>1407</v>
      </c>
      <c r="BC934" s="58"/>
    </row>
    <row r="935" spans="1:55" x14ac:dyDescent="0.25">
      <c r="A935" s="10">
        <f t="shared" si="38"/>
        <v>934</v>
      </c>
      <c r="B935" s="181"/>
      <c r="C935" s="592" t="s">
        <v>1407</v>
      </c>
      <c r="D935" s="457">
        <v>401090</v>
      </c>
      <c r="E935" s="181" t="s">
        <v>36</v>
      </c>
      <c r="F935" s="97" t="s">
        <v>9038</v>
      </c>
      <c r="G935" s="139">
        <v>6</v>
      </c>
      <c r="H935" s="458">
        <v>0.33333333333333331</v>
      </c>
      <c r="I935" s="458">
        <v>0.875</v>
      </c>
      <c r="J935" s="458">
        <v>0.33333333333333331</v>
      </c>
      <c r="K935" s="462" t="s">
        <v>154</v>
      </c>
      <c r="L935" s="97" t="s">
        <v>30</v>
      </c>
      <c r="M935" s="63" t="s">
        <v>1355</v>
      </c>
      <c r="N935" s="100" t="s">
        <v>1520</v>
      </c>
      <c r="O935" s="58" t="s">
        <v>6947</v>
      </c>
      <c r="P935" s="424">
        <v>45566</v>
      </c>
      <c r="Q935" s="424">
        <v>45566</v>
      </c>
      <c r="R935" s="424">
        <v>45565</v>
      </c>
      <c r="S935" s="424">
        <v>46296</v>
      </c>
      <c r="T935" s="139">
        <v>2018</v>
      </c>
      <c r="U935" s="140" t="s">
        <v>3416</v>
      </c>
      <c r="V935" s="139">
        <v>2023</v>
      </c>
      <c r="W935" s="462" t="s">
        <v>3814</v>
      </c>
      <c r="X935" s="139" t="s">
        <v>30</v>
      </c>
      <c r="Y935" s="58" t="s">
        <v>1360</v>
      </c>
      <c r="Z935" s="140" t="s">
        <v>9039</v>
      </c>
      <c r="AA935" s="140" t="s">
        <v>1841</v>
      </c>
      <c r="AB935" s="471">
        <v>45173</v>
      </c>
      <c r="AC935" s="471">
        <v>46999</v>
      </c>
      <c r="AD935" s="139">
        <v>9951464988</v>
      </c>
      <c r="AE935" s="467" t="s">
        <v>9040</v>
      </c>
      <c r="AF935" s="58"/>
      <c r="AG935" s="464"/>
      <c r="AH935" s="181"/>
      <c r="AI935" s="139" t="s">
        <v>9041</v>
      </c>
      <c r="AJ935" s="464">
        <v>434516056653</v>
      </c>
      <c r="AK935" s="97" t="s">
        <v>9042</v>
      </c>
      <c r="AL935" s="206">
        <v>45572</v>
      </c>
      <c r="AM935" s="206" t="s">
        <v>30</v>
      </c>
      <c r="AN935" s="97" t="s">
        <v>1404</v>
      </c>
      <c r="AO935" s="140" t="s">
        <v>9043</v>
      </c>
      <c r="AP935" s="486"/>
      <c r="AQ935" s="462">
        <f ca="1">ROUNDDOWN((TODAY() - AU935)/365.25,0)</f>
        <v>32</v>
      </c>
      <c r="AR935" s="512"/>
      <c r="AS935" s="513"/>
      <c r="AT935" s="479"/>
      <c r="AU935" s="461">
        <v>34054</v>
      </c>
      <c r="AV935" s="181" t="s">
        <v>1389</v>
      </c>
      <c r="AW935" s="31" t="s">
        <v>68</v>
      </c>
      <c r="AX935" s="139">
        <v>8</v>
      </c>
      <c r="AY935" s="58" t="s">
        <v>1904</v>
      </c>
      <c r="AZ935" s="58" t="s">
        <v>1373</v>
      </c>
      <c r="BA935" s="58" t="s">
        <v>151</v>
      </c>
      <c r="BB935" s="58" t="s">
        <v>1407</v>
      </c>
      <c r="BC935" s="58"/>
    </row>
    <row r="936" spans="1:55" x14ac:dyDescent="0.25">
      <c r="A936" s="10">
        <f t="shared" si="38"/>
        <v>935</v>
      </c>
      <c r="B936" s="181" t="s">
        <v>9044</v>
      </c>
      <c r="C936" s="592" t="s">
        <v>1407</v>
      </c>
      <c r="D936" s="457">
        <v>400851</v>
      </c>
      <c r="E936" s="181" t="s">
        <v>36</v>
      </c>
      <c r="F936" s="97" t="s">
        <v>9045</v>
      </c>
      <c r="G936" s="139">
        <v>6</v>
      </c>
      <c r="H936" s="458" t="s">
        <v>1864</v>
      </c>
      <c r="I936" s="458" t="s">
        <v>1003</v>
      </c>
      <c r="J936" s="458">
        <f>I936-H936</f>
        <v>0.33333333333333337</v>
      </c>
      <c r="K936" s="143" t="s">
        <v>207</v>
      </c>
      <c r="L936" s="97" t="s">
        <v>5119</v>
      </c>
      <c r="M936" s="97" t="s">
        <v>26</v>
      </c>
      <c r="N936" s="58" t="s">
        <v>38</v>
      </c>
      <c r="O936" s="58" t="s">
        <v>5076</v>
      </c>
      <c r="P936" s="206">
        <v>45203</v>
      </c>
      <c r="Q936" s="460">
        <v>45203</v>
      </c>
      <c r="R936" s="460">
        <v>45933</v>
      </c>
      <c r="S936" s="461">
        <v>45934</v>
      </c>
      <c r="T936" s="139"/>
      <c r="U936" s="139" t="s">
        <v>367</v>
      </c>
      <c r="V936" s="139"/>
      <c r="W936" s="139" t="s">
        <v>9046</v>
      </c>
      <c r="X936" s="139"/>
      <c r="Y936" s="462"/>
      <c r="Z936" s="140" t="s">
        <v>9047</v>
      </c>
      <c r="AA936" s="140" t="s">
        <v>1886</v>
      </c>
      <c r="AB936" s="460">
        <v>44875</v>
      </c>
      <c r="AC936" s="460">
        <v>46700</v>
      </c>
      <c r="AD936" s="488">
        <v>9885883837</v>
      </c>
      <c r="AE936" s="140" t="s">
        <v>9048</v>
      </c>
      <c r="AF936" s="139" t="s">
        <v>1430</v>
      </c>
      <c r="AG936" s="463" t="s">
        <v>9049</v>
      </c>
      <c r="AH936" s="139" t="s">
        <v>9050</v>
      </c>
      <c r="AI936" s="139" t="s">
        <v>9051</v>
      </c>
      <c r="AJ936" s="464">
        <v>742710668899</v>
      </c>
      <c r="AK936" s="140"/>
      <c r="AL936" s="461">
        <v>45306</v>
      </c>
      <c r="AM936" s="477">
        <v>45306</v>
      </c>
      <c r="AN936" s="465"/>
      <c r="AO936" s="511" t="s">
        <v>9052</v>
      </c>
      <c r="AP936" s="139"/>
      <c r="AQ936" s="139"/>
      <c r="AR936" s="58"/>
      <c r="AS936" s="458">
        <v>31</v>
      </c>
      <c r="AT936" s="458">
        <v>0.4375</v>
      </c>
      <c r="AU936" s="461"/>
      <c r="AV936" s="181" t="s">
        <v>1352</v>
      </c>
      <c r="AW936" s="31" t="s">
        <v>68</v>
      </c>
      <c r="AX936" s="139">
        <v>8</v>
      </c>
      <c r="AY936" s="58" t="s">
        <v>1920</v>
      </c>
      <c r="AZ936" s="58" t="s">
        <v>26</v>
      </c>
      <c r="BA936" s="58" t="s">
        <v>151</v>
      </c>
      <c r="BB936" s="58" t="s">
        <v>1407</v>
      </c>
      <c r="BC936" s="58"/>
    </row>
    <row r="937" spans="1:55" x14ac:dyDescent="0.25">
      <c r="A937" s="10">
        <f t="shared" si="38"/>
        <v>936</v>
      </c>
      <c r="B937" s="181" t="s">
        <v>9053</v>
      </c>
      <c r="C937" s="592" t="s">
        <v>1407</v>
      </c>
      <c r="D937" s="457">
        <v>400852</v>
      </c>
      <c r="E937" s="181" t="s">
        <v>42</v>
      </c>
      <c r="F937" s="97" t="s">
        <v>9054</v>
      </c>
      <c r="G937" s="139">
        <v>6</v>
      </c>
      <c r="H937" s="458">
        <v>0.35416666666666669</v>
      </c>
      <c r="I937" s="458">
        <v>0.6875</v>
      </c>
      <c r="J937" s="458">
        <f>I937-H937</f>
        <v>0.33333333333333331</v>
      </c>
      <c r="K937" s="143" t="s">
        <v>513</v>
      </c>
      <c r="L937" s="97" t="s">
        <v>9055</v>
      </c>
      <c r="M937" s="97" t="s">
        <v>26</v>
      </c>
      <c r="N937" s="58" t="s">
        <v>38</v>
      </c>
      <c r="O937" s="58" t="s">
        <v>5076</v>
      </c>
      <c r="P937" s="206">
        <v>45210</v>
      </c>
      <c r="Q937" s="460">
        <v>45210</v>
      </c>
      <c r="R937" s="460">
        <v>45940</v>
      </c>
      <c r="S937" s="461">
        <v>45941</v>
      </c>
      <c r="T937" s="139"/>
      <c r="U937" s="139" t="s">
        <v>9056</v>
      </c>
      <c r="V937" s="139"/>
      <c r="W937" s="139" t="s">
        <v>6784</v>
      </c>
      <c r="X937" s="139"/>
      <c r="Y937" s="462"/>
      <c r="Z937" s="140" t="s">
        <v>9057</v>
      </c>
      <c r="AA937" s="140" t="s">
        <v>1886</v>
      </c>
      <c r="AB937" s="460"/>
      <c r="AC937" s="460"/>
      <c r="AD937" s="488">
        <v>8499998433</v>
      </c>
      <c r="AE937" s="140" t="s">
        <v>9058</v>
      </c>
      <c r="AF937" s="139" t="s">
        <v>1430</v>
      </c>
      <c r="AG937" s="463">
        <v>50100422642335</v>
      </c>
      <c r="AH937" s="139" t="s">
        <v>9059</v>
      </c>
      <c r="AI937" s="139" t="s">
        <v>9060</v>
      </c>
      <c r="AJ937" s="464">
        <v>390245254415</v>
      </c>
      <c r="AK937" s="140"/>
      <c r="AL937" s="461">
        <v>45230</v>
      </c>
      <c r="AM937" s="477"/>
      <c r="AN937" s="465"/>
      <c r="AO937" s="140" t="s">
        <v>9061</v>
      </c>
      <c r="AP937" s="139"/>
      <c r="AQ937" s="140" t="s">
        <v>9061</v>
      </c>
      <c r="AR937" s="58"/>
      <c r="AS937" s="458"/>
      <c r="AT937" s="458"/>
      <c r="AU937" s="461"/>
      <c r="AV937" s="181" t="s">
        <v>1389</v>
      </c>
      <c r="AW937" s="31" t="s">
        <v>68</v>
      </c>
      <c r="AX937" s="139">
        <v>8</v>
      </c>
      <c r="AY937" s="58" t="s">
        <v>1959</v>
      </c>
      <c r="AZ937" s="58" t="s">
        <v>26</v>
      </c>
      <c r="BA937" s="58" t="s">
        <v>151</v>
      </c>
      <c r="BB937" s="58" t="s">
        <v>1407</v>
      </c>
      <c r="BC937" s="58"/>
    </row>
    <row r="938" spans="1:55" x14ac:dyDescent="0.25">
      <c r="A938" s="10">
        <f t="shared" si="38"/>
        <v>937</v>
      </c>
      <c r="B938" s="181" t="s">
        <v>9062</v>
      </c>
      <c r="C938" s="592" t="s">
        <v>1407</v>
      </c>
      <c r="D938" s="457">
        <v>400853</v>
      </c>
      <c r="E938" s="181" t="s">
        <v>36</v>
      </c>
      <c r="F938" s="97" t="s">
        <v>9063</v>
      </c>
      <c r="G938" s="139">
        <v>6</v>
      </c>
      <c r="H938" s="469" t="s">
        <v>5089</v>
      </c>
      <c r="I938" s="469" t="s">
        <v>4213</v>
      </c>
      <c r="J938" s="458">
        <f>I938-H938</f>
        <v>0.24999999999999994</v>
      </c>
      <c r="K938" s="58" t="s">
        <v>791</v>
      </c>
      <c r="L938" s="97" t="s">
        <v>485</v>
      </c>
      <c r="M938" s="97" t="s">
        <v>26</v>
      </c>
      <c r="N938" s="58" t="s">
        <v>38</v>
      </c>
      <c r="O938" s="58" t="s">
        <v>5063</v>
      </c>
      <c r="P938" s="206">
        <v>45206</v>
      </c>
      <c r="Q938" s="206">
        <v>45206</v>
      </c>
      <c r="R938" s="206">
        <v>45936</v>
      </c>
      <c r="S938" s="461">
        <v>45937</v>
      </c>
      <c r="T938" s="139">
        <v>2019</v>
      </c>
      <c r="U938" s="181" t="s">
        <v>9064</v>
      </c>
      <c r="V938" s="139">
        <v>2023</v>
      </c>
      <c r="W938" s="140" t="s">
        <v>9065</v>
      </c>
      <c r="X938" s="181" t="s">
        <v>30</v>
      </c>
      <c r="Y938" s="58" t="s">
        <v>5066</v>
      </c>
      <c r="Z938" s="140" t="s">
        <v>9066</v>
      </c>
      <c r="AA938" s="97" t="s">
        <v>1841</v>
      </c>
      <c r="AB938" s="471">
        <v>45191</v>
      </c>
      <c r="AC938" s="471">
        <v>47017</v>
      </c>
      <c r="AD938" s="472">
        <v>7019448191</v>
      </c>
      <c r="AE938" s="473" t="s">
        <v>9067</v>
      </c>
      <c r="AF938" s="97" t="s">
        <v>5086</v>
      </c>
      <c r="AG938" s="482" t="s">
        <v>9068</v>
      </c>
      <c r="AH938" s="181" t="s">
        <v>9069</v>
      </c>
      <c r="AI938" s="139" t="s">
        <v>9070</v>
      </c>
      <c r="AJ938" s="464">
        <v>760064783166</v>
      </c>
      <c r="AK938" s="97" t="s">
        <v>9071</v>
      </c>
      <c r="AL938" s="461">
        <v>45366</v>
      </c>
      <c r="AM938" s="477">
        <v>45335</v>
      </c>
      <c r="AN938" s="465" t="s">
        <v>9072</v>
      </c>
      <c r="AO938" s="140" t="s">
        <v>9073</v>
      </c>
      <c r="AP938" s="58"/>
      <c r="AQ938" s="483" t="s">
        <v>9073</v>
      </c>
      <c r="AR938" s="462"/>
      <c r="AS938" s="479">
        <v>0.35416666666666669</v>
      </c>
      <c r="AT938" s="479">
        <v>0.60416666666666663</v>
      </c>
      <c r="AU938" s="461">
        <v>34660</v>
      </c>
      <c r="AV938" s="181" t="s">
        <v>1352</v>
      </c>
      <c r="AW938" s="31" t="s">
        <v>68</v>
      </c>
      <c r="AX938" s="139">
        <v>6</v>
      </c>
      <c r="AY938" s="58" t="s">
        <v>1959</v>
      </c>
      <c r="AZ938" s="58" t="s">
        <v>26</v>
      </c>
      <c r="BA938" s="58" t="s">
        <v>151</v>
      </c>
      <c r="BB938" s="58" t="s">
        <v>1407</v>
      </c>
      <c r="BC938" s="58"/>
    </row>
    <row r="939" spans="1:55" x14ac:dyDescent="0.25">
      <c r="A939" s="10">
        <f t="shared" si="38"/>
        <v>938</v>
      </c>
      <c r="B939" s="61" t="s">
        <v>9062</v>
      </c>
      <c r="C939" s="592" t="s">
        <v>1407</v>
      </c>
      <c r="D939" s="96">
        <v>400853</v>
      </c>
      <c r="E939" s="62" t="s">
        <v>192</v>
      </c>
      <c r="F939" s="97" t="s">
        <v>9063</v>
      </c>
      <c r="G939" s="98"/>
      <c r="H939" s="141"/>
      <c r="I939" s="141"/>
      <c r="J939" s="141"/>
      <c r="K939" s="21" t="s">
        <v>334</v>
      </c>
      <c r="L939" s="63" t="s">
        <v>485</v>
      </c>
      <c r="M939" s="63" t="s">
        <v>26</v>
      </c>
      <c r="N939" s="100" t="s">
        <v>38</v>
      </c>
      <c r="O939" s="143" t="s">
        <v>1492</v>
      </c>
      <c r="P939" s="273">
        <v>45608</v>
      </c>
      <c r="Q939" s="338">
        <v>45608</v>
      </c>
      <c r="R939" s="338">
        <v>46337</v>
      </c>
      <c r="S939" s="338">
        <v>46338</v>
      </c>
      <c r="T939" s="61">
        <v>2019</v>
      </c>
      <c r="U939" s="63" t="s">
        <v>9064</v>
      </c>
      <c r="V939" s="61">
        <v>2023</v>
      </c>
      <c r="W939" s="143" t="s">
        <v>9065</v>
      </c>
      <c r="X939" s="62" t="s">
        <v>30</v>
      </c>
      <c r="Y939" s="100" t="s">
        <v>49</v>
      </c>
      <c r="Z939" s="99" t="s">
        <v>9066</v>
      </c>
      <c r="AA939" s="63" t="s">
        <v>1841</v>
      </c>
      <c r="AB939" s="451">
        <v>45191</v>
      </c>
      <c r="AC939" s="451">
        <v>47017</v>
      </c>
      <c r="AD939" s="220">
        <v>7019448191</v>
      </c>
      <c r="AE939" s="510" t="s">
        <v>9067</v>
      </c>
      <c r="AF939" s="100" t="s">
        <v>5086</v>
      </c>
      <c r="AG939" s="337" t="s">
        <v>9068</v>
      </c>
      <c r="AH939" s="62" t="s">
        <v>9069</v>
      </c>
      <c r="AI939" s="62" t="s">
        <v>9070</v>
      </c>
      <c r="AJ939" s="337" t="s">
        <v>9074</v>
      </c>
      <c r="AK939" s="63" t="s">
        <v>9071</v>
      </c>
      <c r="AL939" s="338" t="s">
        <v>5711</v>
      </c>
      <c r="AM939" s="477" t="s">
        <v>30</v>
      </c>
      <c r="AN939" s="100" t="s">
        <v>5712</v>
      </c>
      <c r="AO939" s="63" t="s">
        <v>9075</v>
      </c>
      <c r="AP939" s="61">
        <v>30</v>
      </c>
      <c r="AQ939" s="100"/>
      <c r="AR939" s="143"/>
      <c r="AS939" s="338"/>
      <c r="AT939" s="338"/>
      <c r="AU939" s="453">
        <v>34660</v>
      </c>
      <c r="AV939" s="62" t="s">
        <v>1352</v>
      </c>
      <c r="AW939" s="62" t="s">
        <v>32</v>
      </c>
      <c r="AX939" s="139"/>
      <c r="AY939" s="58"/>
      <c r="AZ939" s="58" t="s">
        <v>26</v>
      </c>
      <c r="BA939" s="58" t="s">
        <v>151</v>
      </c>
      <c r="BB939" s="58" t="s">
        <v>1407</v>
      </c>
      <c r="BC939" s="58"/>
    </row>
    <row r="940" spans="1:55" x14ac:dyDescent="0.25">
      <c r="A940" s="10">
        <f t="shared" si="38"/>
        <v>939</v>
      </c>
      <c r="B940" s="181" t="s">
        <v>9076</v>
      </c>
      <c r="C940" s="592" t="s">
        <v>1407</v>
      </c>
      <c r="D940" s="457">
        <v>401061</v>
      </c>
      <c r="E940" s="181" t="s">
        <v>36</v>
      </c>
      <c r="F940" s="97" t="s">
        <v>9077</v>
      </c>
      <c r="G940" s="139">
        <v>6</v>
      </c>
      <c r="H940" s="458">
        <v>0.375</v>
      </c>
      <c r="I940" s="458">
        <v>0.70833333333333337</v>
      </c>
      <c r="J940" s="458">
        <f>I940-H940</f>
        <v>0.33333333333333337</v>
      </c>
      <c r="K940" s="143" t="s">
        <v>1266</v>
      </c>
      <c r="L940" s="63" t="s">
        <v>9078</v>
      </c>
      <c r="M940" s="97" t="s">
        <v>26</v>
      </c>
      <c r="N940" s="58" t="s">
        <v>38</v>
      </c>
      <c r="O940" s="58" t="s">
        <v>5076</v>
      </c>
      <c r="P940" s="424">
        <v>45539</v>
      </c>
      <c r="Q940" s="424">
        <v>45539</v>
      </c>
      <c r="R940" s="424">
        <v>46268</v>
      </c>
      <c r="S940" s="424">
        <v>46269</v>
      </c>
      <c r="T940" s="126">
        <v>2005</v>
      </c>
      <c r="U940" s="140" t="s">
        <v>343</v>
      </c>
      <c r="V940" s="139">
        <v>2017</v>
      </c>
      <c r="W940" s="462" t="s">
        <v>306</v>
      </c>
      <c r="X940" s="181" t="s">
        <v>30</v>
      </c>
      <c r="Y940" s="58" t="s">
        <v>97</v>
      </c>
      <c r="Z940" s="140">
        <v>56080</v>
      </c>
      <c r="AA940" s="97" t="s">
        <v>1841</v>
      </c>
      <c r="AB940" s="471">
        <v>44426</v>
      </c>
      <c r="AC940" s="471">
        <v>46251</v>
      </c>
      <c r="AD940" s="472">
        <v>9000993590</v>
      </c>
      <c r="AE940" s="473" t="s">
        <v>9079</v>
      </c>
      <c r="AF940" s="58" t="s">
        <v>1833</v>
      </c>
      <c r="AG940" s="475" t="s">
        <v>9080</v>
      </c>
      <c r="AH940" s="181" t="s">
        <v>9081</v>
      </c>
      <c r="AI940" s="139" t="s">
        <v>9082</v>
      </c>
      <c r="AJ940" s="464">
        <v>532824093532</v>
      </c>
      <c r="AK940" s="97" t="s">
        <v>9083</v>
      </c>
      <c r="AL940" s="461">
        <v>45573</v>
      </c>
      <c r="AM940" s="206" t="s">
        <v>30</v>
      </c>
      <c r="AN940" s="97" t="s">
        <v>5072</v>
      </c>
      <c r="AO940" s="140" t="s">
        <v>9084</v>
      </c>
      <c r="AP940" s="486"/>
      <c r="AQ940" s="462">
        <f ca="1">ROUNDDOWN((TODAY() - AU940)/365.25,0)</f>
        <v>45</v>
      </c>
      <c r="AR940" s="512"/>
      <c r="AS940" s="513"/>
      <c r="AT940" s="479"/>
      <c r="AU940" s="460">
        <v>29310</v>
      </c>
      <c r="AV940" s="181" t="s">
        <v>1389</v>
      </c>
      <c r="AW940" s="31" t="s">
        <v>68</v>
      </c>
      <c r="AX940" s="139">
        <v>8</v>
      </c>
      <c r="AY940" s="58" t="s">
        <v>1904</v>
      </c>
      <c r="AZ940" s="58" t="s">
        <v>26</v>
      </c>
      <c r="BA940" s="58" t="s">
        <v>151</v>
      </c>
      <c r="BB940" s="58" t="s">
        <v>1407</v>
      </c>
      <c r="BC940" s="58"/>
    </row>
    <row r="941" spans="1:55" x14ac:dyDescent="0.25">
      <c r="A941" s="10">
        <f t="shared" si="38"/>
        <v>940</v>
      </c>
      <c r="B941" s="181" t="s">
        <v>9085</v>
      </c>
      <c r="C941" s="592" t="s">
        <v>1407</v>
      </c>
      <c r="D941" s="457">
        <v>400855</v>
      </c>
      <c r="E941" s="181" t="s">
        <v>36</v>
      </c>
      <c r="F941" s="97" t="s">
        <v>9086</v>
      </c>
      <c r="G941" s="139">
        <v>6</v>
      </c>
      <c r="H941" s="469" t="s">
        <v>5089</v>
      </c>
      <c r="I941" s="469" t="s">
        <v>5090</v>
      </c>
      <c r="J941" s="458">
        <f>I941-H941</f>
        <v>0.16666666666666669</v>
      </c>
      <c r="K941" s="58" t="s">
        <v>1089</v>
      </c>
      <c r="L941" s="97" t="s">
        <v>9087</v>
      </c>
      <c r="M941" s="97" t="s">
        <v>26</v>
      </c>
      <c r="N941" s="58" t="s">
        <v>38</v>
      </c>
      <c r="O941" s="58" t="s">
        <v>5063</v>
      </c>
      <c r="P941" s="206">
        <v>45208</v>
      </c>
      <c r="Q941" s="206">
        <v>45208</v>
      </c>
      <c r="R941" s="206">
        <v>45938</v>
      </c>
      <c r="S941" s="461">
        <v>45939</v>
      </c>
      <c r="T941" s="139">
        <v>2018</v>
      </c>
      <c r="U941" s="181" t="s">
        <v>209</v>
      </c>
      <c r="V941" s="139">
        <v>2022</v>
      </c>
      <c r="W941" s="140" t="s">
        <v>141</v>
      </c>
      <c r="X941" s="181" t="s">
        <v>30</v>
      </c>
      <c r="Y941" s="58" t="s">
        <v>5066</v>
      </c>
      <c r="Z941" s="140" t="s">
        <v>9088</v>
      </c>
      <c r="AA941" s="97" t="s">
        <v>1841</v>
      </c>
      <c r="AB941" s="471">
        <v>45052</v>
      </c>
      <c r="AC941" s="471">
        <v>46878</v>
      </c>
      <c r="AD941" s="472">
        <v>9391363796</v>
      </c>
      <c r="AE941" s="473" t="s">
        <v>9089</v>
      </c>
      <c r="AF941" s="97" t="s">
        <v>5086</v>
      </c>
      <c r="AG941" s="482" t="s">
        <v>9090</v>
      </c>
      <c r="AH941" s="181" t="s">
        <v>9091</v>
      </c>
      <c r="AI941" s="139" t="s">
        <v>9092</v>
      </c>
      <c r="AJ941" s="464">
        <v>729027755175</v>
      </c>
      <c r="AK941" s="97"/>
      <c r="AL941" s="461">
        <v>45443</v>
      </c>
      <c r="AM941" s="477">
        <v>45373</v>
      </c>
      <c r="AN941" s="465" t="s">
        <v>9093</v>
      </c>
      <c r="AO941" s="140" t="s">
        <v>9094</v>
      </c>
      <c r="AP941" s="58"/>
      <c r="AQ941" s="483" t="s">
        <v>9094</v>
      </c>
      <c r="AR941" s="462"/>
      <c r="AS941" s="479">
        <v>0.35416666666666669</v>
      </c>
      <c r="AT941" s="479">
        <v>0.52083333333333337</v>
      </c>
      <c r="AU941" s="461">
        <v>34585</v>
      </c>
      <c r="AV941" s="181" t="s">
        <v>1389</v>
      </c>
      <c r="AW941" s="31" t="s">
        <v>32</v>
      </c>
      <c r="AX941" s="139">
        <v>4</v>
      </c>
      <c r="AY941" s="58" t="s">
        <v>2189</v>
      </c>
      <c r="AZ941" s="58" t="s">
        <v>26</v>
      </c>
      <c r="BA941" s="58" t="s">
        <v>151</v>
      </c>
      <c r="BB941" s="58" t="s">
        <v>1407</v>
      </c>
      <c r="BC941" s="58"/>
    </row>
    <row r="942" spans="1:55" x14ac:dyDescent="0.25">
      <c r="A942" s="10">
        <f t="shared" si="38"/>
        <v>941</v>
      </c>
      <c r="B942" s="181" t="s">
        <v>3879</v>
      </c>
      <c r="C942" s="592" t="s">
        <v>1407</v>
      </c>
      <c r="D942" s="457">
        <v>401063</v>
      </c>
      <c r="E942" s="181" t="s">
        <v>9095</v>
      </c>
      <c r="F942" s="97" t="s">
        <v>3880</v>
      </c>
      <c r="G942" s="139">
        <v>6</v>
      </c>
      <c r="H942" s="458">
        <v>0.375</v>
      </c>
      <c r="I942" s="458">
        <v>0.70833333333333337</v>
      </c>
      <c r="J942" s="458">
        <f>I942-H942</f>
        <v>0.33333333333333337</v>
      </c>
      <c r="K942" s="143" t="s">
        <v>255</v>
      </c>
      <c r="L942" s="63" t="s">
        <v>30</v>
      </c>
      <c r="M942" s="97" t="s">
        <v>1908</v>
      </c>
      <c r="N942" s="58" t="s">
        <v>1909</v>
      </c>
      <c r="O942" s="58" t="s">
        <v>8464</v>
      </c>
      <c r="P942" s="424">
        <v>45533</v>
      </c>
      <c r="Q942" s="424">
        <v>45533</v>
      </c>
      <c r="R942" s="424">
        <v>46262</v>
      </c>
      <c r="S942" s="424">
        <v>46263</v>
      </c>
      <c r="T942" s="126">
        <v>2018</v>
      </c>
      <c r="U942" s="140" t="s">
        <v>141</v>
      </c>
      <c r="V942" s="139">
        <v>2023</v>
      </c>
      <c r="W942" s="462" t="s">
        <v>3881</v>
      </c>
      <c r="X942" s="181" t="s">
        <v>30</v>
      </c>
      <c r="Y942" s="58" t="s">
        <v>9096</v>
      </c>
      <c r="Z942" s="140" t="s">
        <v>3882</v>
      </c>
      <c r="AA942" s="97" t="s">
        <v>1841</v>
      </c>
      <c r="AB942" s="471">
        <v>45518</v>
      </c>
      <c r="AC942" s="471">
        <v>47343</v>
      </c>
      <c r="AD942" s="472">
        <v>8074607091</v>
      </c>
      <c r="AE942" s="473" t="s">
        <v>3883</v>
      </c>
      <c r="AF942" s="58" t="s">
        <v>1833</v>
      </c>
      <c r="AG942" s="475" t="s">
        <v>3884</v>
      </c>
      <c r="AH942" s="181" t="s">
        <v>3885</v>
      </c>
      <c r="AI942" s="139" t="s">
        <v>3886</v>
      </c>
      <c r="AJ942" s="464">
        <v>544436229005</v>
      </c>
      <c r="AK942" s="97" t="s">
        <v>3888</v>
      </c>
      <c r="AL942" s="206">
        <v>45573</v>
      </c>
      <c r="AM942" s="206" t="s">
        <v>30</v>
      </c>
      <c r="AN942" s="58" t="s">
        <v>4954</v>
      </c>
      <c r="AO942" s="140" t="s">
        <v>3889</v>
      </c>
      <c r="AP942" s="486"/>
      <c r="AQ942" s="462">
        <f ca="1">ROUNDDOWN((TODAY() - AU942)/365.25,0)</f>
        <v>29</v>
      </c>
      <c r="AR942" s="58"/>
      <c r="AS942" s="181"/>
      <c r="AT942" s="181"/>
      <c r="AU942" s="460">
        <v>35274</v>
      </c>
      <c r="AV942" s="181" t="s">
        <v>1352</v>
      </c>
      <c r="AW942" s="31" t="s">
        <v>68</v>
      </c>
      <c r="AX942" s="139">
        <v>8</v>
      </c>
      <c r="AY942" s="58" t="s">
        <v>2068</v>
      </c>
      <c r="AZ942" s="484" t="s">
        <v>1908</v>
      </c>
      <c r="BA942" s="58" t="s">
        <v>151</v>
      </c>
      <c r="BB942" s="58" t="s">
        <v>1407</v>
      </c>
      <c r="BC942" s="58"/>
    </row>
    <row r="943" spans="1:55" x14ac:dyDescent="0.25">
      <c r="A943" s="10">
        <f t="shared" si="38"/>
        <v>942</v>
      </c>
      <c r="B943" s="181" t="s">
        <v>8633</v>
      </c>
      <c r="C943" s="592" t="s">
        <v>1407</v>
      </c>
      <c r="D943" s="457">
        <v>400857</v>
      </c>
      <c r="E943" s="181" t="s">
        <v>36</v>
      </c>
      <c r="F943" s="97" t="s">
        <v>8634</v>
      </c>
      <c r="G943" s="139">
        <v>6</v>
      </c>
      <c r="H943" s="469" t="s">
        <v>1864</v>
      </c>
      <c r="I943" s="469" t="s">
        <v>8921</v>
      </c>
      <c r="J943" s="458">
        <v>4.1666666666666664E-2</v>
      </c>
      <c r="K943" s="58" t="s">
        <v>693</v>
      </c>
      <c r="L943" s="97" t="s">
        <v>1424</v>
      </c>
      <c r="M943" s="97" t="s">
        <v>1376</v>
      </c>
      <c r="N943" s="58" t="s">
        <v>1393</v>
      </c>
      <c r="O943" s="58" t="s">
        <v>1424</v>
      </c>
      <c r="P943" s="206">
        <v>45208</v>
      </c>
      <c r="Q943" s="206">
        <v>45208</v>
      </c>
      <c r="R943" s="206">
        <v>45938</v>
      </c>
      <c r="S943" s="461">
        <v>45939</v>
      </c>
      <c r="T943" s="139">
        <v>2021</v>
      </c>
      <c r="U943" s="181" t="s">
        <v>282</v>
      </c>
      <c r="V943" s="139" t="s">
        <v>1424</v>
      </c>
      <c r="W943" s="140" t="s">
        <v>1424</v>
      </c>
      <c r="X943" s="181" t="s">
        <v>30</v>
      </c>
      <c r="Y943" s="58" t="s">
        <v>226</v>
      </c>
      <c r="Z943" s="140" t="s">
        <v>8635</v>
      </c>
      <c r="AA943" s="97" t="s">
        <v>1841</v>
      </c>
      <c r="AB943" s="471">
        <v>44534</v>
      </c>
      <c r="AC943" s="471">
        <v>46359</v>
      </c>
      <c r="AD943" s="472">
        <v>8106199807</v>
      </c>
      <c r="AE943" s="473" t="s">
        <v>8636</v>
      </c>
      <c r="AF943" s="97" t="s">
        <v>5086</v>
      </c>
      <c r="AG943" s="482" t="s">
        <v>8637</v>
      </c>
      <c r="AH943" s="181" t="s">
        <v>8638</v>
      </c>
      <c r="AI943" s="139" t="s">
        <v>8639</v>
      </c>
      <c r="AJ943" s="464">
        <v>926466894893</v>
      </c>
      <c r="AK943" s="97" t="s">
        <v>8640</v>
      </c>
      <c r="AL943" s="206">
        <v>45418</v>
      </c>
      <c r="AM943" s="206" t="s">
        <v>30</v>
      </c>
      <c r="AN943" s="465"/>
      <c r="AO943" s="140" t="s">
        <v>9097</v>
      </c>
      <c r="AP943" s="58"/>
      <c r="AQ943" s="483" t="s">
        <v>9097</v>
      </c>
      <c r="AR943" s="462"/>
      <c r="AS943" s="479">
        <v>0.4375</v>
      </c>
      <c r="AT943" s="479">
        <v>0.47916666666666669</v>
      </c>
      <c r="AU943" s="461">
        <v>35524</v>
      </c>
      <c r="AV943" s="181" t="s">
        <v>1352</v>
      </c>
      <c r="AW943" s="31" t="s">
        <v>32</v>
      </c>
      <c r="AX943" s="139">
        <v>1</v>
      </c>
      <c r="AY943" s="58" t="s">
        <v>2469</v>
      </c>
      <c r="AZ943" s="58" t="s">
        <v>1390</v>
      </c>
      <c r="BA943" s="58" t="s">
        <v>151</v>
      </c>
      <c r="BB943" s="58" t="s">
        <v>1407</v>
      </c>
      <c r="BC943" s="58"/>
    </row>
    <row r="944" spans="1:55" x14ac:dyDescent="0.25">
      <c r="A944" s="10">
        <f t="shared" si="38"/>
        <v>943</v>
      </c>
      <c r="B944" s="181"/>
      <c r="C944" s="592" t="s">
        <v>1407</v>
      </c>
      <c r="D944" s="457">
        <v>400858</v>
      </c>
      <c r="E944" s="181" t="s">
        <v>36</v>
      </c>
      <c r="F944" s="97" t="s">
        <v>9098</v>
      </c>
      <c r="G944" s="139">
        <v>6</v>
      </c>
      <c r="H944" s="458">
        <v>0.58333333333333337</v>
      </c>
      <c r="I944" s="458">
        <v>0.66666666666666663</v>
      </c>
      <c r="J944" s="458">
        <f>I944-H944</f>
        <v>8.3333333333333259E-2</v>
      </c>
      <c r="K944" s="143" t="s">
        <v>802</v>
      </c>
      <c r="L944" s="97"/>
      <c r="M944" s="63" t="s">
        <v>1355</v>
      </c>
      <c r="N944" s="100" t="s">
        <v>1520</v>
      </c>
      <c r="O944" s="58"/>
      <c r="P944" s="206">
        <v>45208</v>
      </c>
      <c r="Q944" s="460">
        <v>45208</v>
      </c>
      <c r="R944" s="460">
        <v>45938</v>
      </c>
      <c r="S944" s="461">
        <v>45939</v>
      </c>
      <c r="T944" s="139"/>
      <c r="U944" s="139" t="s">
        <v>9099</v>
      </c>
      <c r="V944" s="139"/>
      <c r="W944" s="139" t="s">
        <v>209</v>
      </c>
      <c r="X944" s="139"/>
      <c r="Y944" s="462"/>
      <c r="Z944" s="140" t="s">
        <v>9100</v>
      </c>
      <c r="AA944" s="140" t="s">
        <v>1841</v>
      </c>
      <c r="AB944" s="460">
        <v>44937</v>
      </c>
      <c r="AC944" s="460">
        <v>46762</v>
      </c>
      <c r="AD944" s="488">
        <v>7013786920</v>
      </c>
      <c r="AE944" s="140" t="s">
        <v>9101</v>
      </c>
      <c r="AF944" s="139" t="s">
        <v>5086</v>
      </c>
      <c r="AG944" s="463">
        <v>32043469044</v>
      </c>
      <c r="AH944" s="139" t="s">
        <v>9102</v>
      </c>
      <c r="AI944" s="139" t="s">
        <v>9103</v>
      </c>
      <c r="AJ944" s="464">
        <v>432396987570</v>
      </c>
      <c r="AK944" s="140"/>
      <c r="AL944" s="206">
        <v>45208</v>
      </c>
      <c r="AM944" s="206" t="s">
        <v>30</v>
      </c>
      <c r="AN944" s="465"/>
      <c r="AO944" s="140" t="s">
        <v>9104</v>
      </c>
      <c r="AP944" s="139"/>
      <c r="AQ944" s="140" t="s">
        <v>9104</v>
      </c>
      <c r="AR944" s="58"/>
      <c r="AS944" s="458"/>
      <c r="AT944" s="458"/>
      <c r="AU944" s="461"/>
      <c r="AV944" s="181" t="s">
        <v>1389</v>
      </c>
      <c r="AW944" s="31" t="s">
        <v>32</v>
      </c>
      <c r="AX944" s="139">
        <v>2</v>
      </c>
      <c r="AY944" s="58" t="s">
        <v>2469</v>
      </c>
      <c r="AZ944" s="58" t="s">
        <v>1373</v>
      </c>
      <c r="BA944" s="58" t="s">
        <v>151</v>
      </c>
      <c r="BB944" s="58" t="s">
        <v>1407</v>
      </c>
      <c r="BC944" s="58"/>
    </row>
    <row r="945" spans="1:55" x14ac:dyDescent="0.25">
      <c r="A945" s="10">
        <f t="shared" si="38"/>
        <v>944</v>
      </c>
      <c r="B945" s="181" t="s">
        <v>9105</v>
      </c>
      <c r="C945" s="592" t="s">
        <v>1407</v>
      </c>
      <c r="D945" s="457">
        <v>401026</v>
      </c>
      <c r="E945" s="181" t="s">
        <v>36</v>
      </c>
      <c r="F945" s="97" t="s">
        <v>9106</v>
      </c>
      <c r="G945" s="139">
        <v>6</v>
      </c>
      <c r="H945" s="458">
        <v>0.375</v>
      </c>
      <c r="I945" s="458">
        <v>0.41666666666666669</v>
      </c>
      <c r="J945" s="458">
        <v>4.1666666666666664E-2</v>
      </c>
      <c r="K945" s="143" t="s">
        <v>220</v>
      </c>
      <c r="L945" s="97" t="s">
        <v>30</v>
      </c>
      <c r="M945" s="97" t="s">
        <v>1376</v>
      </c>
      <c r="N945" s="58" t="s">
        <v>1393</v>
      </c>
      <c r="O945" s="58" t="s">
        <v>1424</v>
      </c>
      <c r="P945" s="461">
        <v>45476</v>
      </c>
      <c r="Q945" s="461">
        <v>45476</v>
      </c>
      <c r="R945" s="461">
        <v>46205</v>
      </c>
      <c r="S945" s="461">
        <v>46206</v>
      </c>
      <c r="T945" s="139">
        <v>2019</v>
      </c>
      <c r="U945" s="97" t="s">
        <v>534</v>
      </c>
      <c r="V945" s="139">
        <v>2019</v>
      </c>
      <c r="W945" s="462" t="s">
        <v>1424</v>
      </c>
      <c r="X945" s="181" t="s">
        <v>30</v>
      </c>
      <c r="Y945" s="58" t="s">
        <v>226</v>
      </c>
      <c r="Z945" s="140" t="s">
        <v>9107</v>
      </c>
      <c r="AA945" s="97" t="s">
        <v>1886</v>
      </c>
      <c r="AB945" s="471">
        <v>44112</v>
      </c>
      <c r="AC945" s="471">
        <v>45937</v>
      </c>
      <c r="AD945" s="472">
        <v>9652607712</v>
      </c>
      <c r="AE945" s="97" t="s">
        <v>9108</v>
      </c>
      <c r="AF945" s="58" t="s">
        <v>1495</v>
      </c>
      <c r="AG945" s="464" t="s">
        <v>9109</v>
      </c>
      <c r="AH945" s="181" t="s">
        <v>9110</v>
      </c>
      <c r="AI945" s="139" t="s">
        <v>9111</v>
      </c>
      <c r="AJ945" s="464">
        <v>747146569999</v>
      </c>
      <c r="AK945" s="97" t="s">
        <v>9112</v>
      </c>
      <c r="AL945" s="206">
        <v>45574</v>
      </c>
      <c r="AM945" s="206" t="s">
        <v>30</v>
      </c>
      <c r="AN945" s="97" t="s">
        <v>9113</v>
      </c>
      <c r="AO945" s="97"/>
      <c r="AP945" s="486"/>
      <c r="AQ945" s="462">
        <f ca="1">ROUNDDOWN((TODAY() - AU945)/365.25,0)</f>
        <v>28</v>
      </c>
      <c r="AR945" s="512"/>
      <c r="AS945" s="513"/>
      <c r="AT945" s="479"/>
      <c r="AU945" s="460">
        <v>35565</v>
      </c>
      <c r="AV945" s="181" t="s">
        <v>1389</v>
      </c>
      <c r="AW945" s="31" t="s">
        <v>32</v>
      </c>
      <c r="AX945" s="139">
        <v>1</v>
      </c>
      <c r="AY945" s="58" t="s">
        <v>2006</v>
      </c>
      <c r="AZ945" s="58" t="s">
        <v>1390</v>
      </c>
      <c r="BA945" s="58" t="s">
        <v>151</v>
      </c>
      <c r="BB945" s="58" t="s">
        <v>1407</v>
      </c>
      <c r="BC945" s="58"/>
    </row>
    <row r="946" spans="1:55" x14ac:dyDescent="0.25">
      <c r="A946" s="10">
        <f t="shared" si="38"/>
        <v>945</v>
      </c>
      <c r="B946" s="181" t="s">
        <v>9062</v>
      </c>
      <c r="C946" s="592" t="s">
        <v>1407</v>
      </c>
      <c r="D946" s="457">
        <v>400860</v>
      </c>
      <c r="E946" s="181" t="s">
        <v>36</v>
      </c>
      <c r="F946" s="97" t="s">
        <v>9063</v>
      </c>
      <c r="G946" s="139">
        <v>6</v>
      </c>
      <c r="H946" s="469" t="s">
        <v>948</v>
      </c>
      <c r="I946" s="469" t="s">
        <v>5702</v>
      </c>
      <c r="J946" s="458">
        <f>I946-H946</f>
        <v>8.333333333333337E-2</v>
      </c>
      <c r="K946" s="143" t="s">
        <v>187</v>
      </c>
      <c r="L946" s="97" t="s">
        <v>485</v>
      </c>
      <c r="M946" s="97" t="s">
        <v>26</v>
      </c>
      <c r="N946" s="58" t="s">
        <v>38</v>
      </c>
      <c r="O946" s="58" t="s">
        <v>5063</v>
      </c>
      <c r="P946" s="206">
        <v>45211</v>
      </c>
      <c r="Q946" s="206">
        <v>45211</v>
      </c>
      <c r="R946" s="206">
        <v>45941</v>
      </c>
      <c r="S946" s="461">
        <v>45942</v>
      </c>
      <c r="T946" s="139">
        <v>2019</v>
      </c>
      <c r="U946" s="181" t="s">
        <v>9064</v>
      </c>
      <c r="V946" s="139">
        <v>2023</v>
      </c>
      <c r="W946" s="140" t="s">
        <v>9065</v>
      </c>
      <c r="X946" s="181" t="s">
        <v>30</v>
      </c>
      <c r="Y946" s="58" t="s">
        <v>5066</v>
      </c>
      <c r="Z946" s="140" t="s">
        <v>9066</v>
      </c>
      <c r="AA946" s="470" t="s">
        <v>1841</v>
      </c>
      <c r="AB946" s="471">
        <v>45191</v>
      </c>
      <c r="AC946" s="471">
        <v>47017</v>
      </c>
      <c r="AD946" s="472">
        <v>7019448191</v>
      </c>
      <c r="AE946" s="473" t="s">
        <v>9067</v>
      </c>
      <c r="AF946" s="474" t="s">
        <v>5086</v>
      </c>
      <c r="AG946" s="481" t="s">
        <v>9068</v>
      </c>
      <c r="AH946" s="181" t="s">
        <v>9069</v>
      </c>
      <c r="AI946" s="139" t="s">
        <v>9070</v>
      </c>
      <c r="AJ946" s="476">
        <v>760064783166</v>
      </c>
      <c r="AK946" s="470"/>
      <c r="AL946" s="461">
        <v>45366</v>
      </c>
      <c r="AM946" s="477">
        <v>45335</v>
      </c>
      <c r="AN946" s="465" t="s">
        <v>9072</v>
      </c>
      <c r="AO946" s="140" t="s">
        <v>9073</v>
      </c>
      <c r="AP946" s="58"/>
      <c r="AQ946" s="97" t="s">
        <v>9073</v>
      </c>
      <c r="AR946" s="462"/>
      <c r="AS946" s="479">
        <v>0.75</v>
      </c>
      <c r="AT946" s="479">
        <v>0.83333333333333337</v>
      </c>
      <c r="AU946" s="480">
        <v>34660</v>
      </c>
      <c r="AV946" s="181" t="s">
        <v>1352</v>
      </c>
      <c r="AW946" s="31" t="s">
        <v>68</v>
      </c>
      <c r="AX946" s="139">
        <v>2</v>
      </c>
      <c r="AY946" s="58" t="s">
        <v>1959</v>
      </c>
      <c r="AZ946" s="58" t="s">
        <v>26</v>
      </c>
      <c r="BA946" s="58" t="s">
        <v>151</v>
      </c>
      <c r="BB946" s="58" t="s">
        <v>1407</v>
      </c>
      <c r="BC946" s="58"/>
    </row>
    <row r="947" spans="1:55" x14ac:dyDescent="0.25">
      <c r="A947" s="10">
        <f t="shared" si="38"/>
        <v>946</v>
      </c>
      <c r="B947" s="181" t="s">
        <v>9114</v>
      </c>
      <c r="C947" s="592" t="s">
        <v>1407</v>
      </c>
      <c r="D947" s="457">
        <v>401060</v>
      </c>
      <c r="E947" s="181" t="s">
        <v>36</v>
      </c>
      <c r="F947" s="97" t="s">
        <v>9115</v>
      </c>
      <c r="G947" s="139">
        <v>6</v>
      </c>
      <c r="H947" s="458">
        <v>0.70833333333333337</v>
      </c>
      <c r="I947" s="458">
        <v>0.79166666666666663</v>
      </c>
      <c r="J947" s="458">
        <f>I947-H947</f>
        <v>8.3333333333333259E-2</v>
      </c>
      <c r="K947" s="100" t="s">
        <v>1187</v>
      </c>
      <c r="L947" s="63" t="s">
        <v>30</v>
      </c>
      <c r="M947" s="97" t="s">
        <v>1376</v>
      </c>
      <c r="N947" s="58" t="s">
        <v>1393</v>
      </c>
      <c r="O947" s="58" t="s">
        <v>30</v>
      </c>
      <c r="P947" s="424">
        <v>45531</v>
      </c>
      <c r="Q947" s="424">
        <v>45531</v>
      </c>
      <c r="R947" s="424">
        <v>46260</v>
      </c>
      <c r="S947" s="424">
        <v>46261</v>
      </c>
      <c r="T947" s="126">
        <v>2023</v>
      </c>
      <c r="U947" s="140" t="s">
        <v>653</v>
      </c>
      <c r="V947" s="139" t="s">
        <v>30</v>
      </c>
      <c r="W947" s="462" t="s">
        <v>30</v>
      </c>
      <c r="X947" s="139" t="s">
        <v>30</v>
      </c>
      <c r="Y947" s="58" t="s">
        <v>226</v>
      </c>
      <c r="Z947" s="140" t="s">
        <v>9116</v>
      </c>
      <c r="AA947" s="97" t="s">
        <v>1841</v>
      </c>
      <c r="AB947" s="471">
        <v>45243</v>
      </c>
      <c r="AC947" s="471">
        <v>47014</v>
      </c>
      <c r="AD947" s="472">
        <v>9741860735</v>
      </c>
      <c r="AE947" s="473" t="s">
        <v>9117</v>
      </c>
      <c r="AF947" s="58" t="s">
        <v>1833</v>
      </c>
      <c r="AG947" s="475" t="s">
        <v>9118</v>
      </c>
      <c r="AH947" s="181" t="s">
        <v>9119</v>
      </c>
      <c r="AI947" s="139" t="s">
        <v>9120</v>
      </c>
      <c r="AJ947" s="464">
        <v>234667975855</v>
      </c>
      <c r="AK947" s="97" t="s">
        <v>9121</v>
      </c>
      <c r="AL947" s="206">
        <v>45575</v>
      </c>
      <c r="AM947" s="206" t="s">
        <v>30</v>
      </c>
      <c r="AN947" s="97" t="s">
        <v>1592</v>
      </c>
      <c r="AO947" s="140" t="s">
        <v>9122</v>
      </c>
      <c r="AP947" s="486"/>
      <c r="AQ947" s="462">
        <f ca="1">ROUNDDOWN((TODAY() - AU947)/365.25,0)</f>
        <v>33</v>
      </c>
      <c r="AR947" s="512"/>
      <c r="AS947" s="513"/>
      <c r="AT947" s="479"/>
      <c r="AU947" s="460">
        <v>33916</v>
      </c>
      <c r="AV947" s="181" t="s">
        <v>1352</v>
      </c>
      <c r="AW947" s="31" t="s">
        <v>32</v>
      </c>
      <c r="AX947" s="139">
        <v>2</v>
      </c>
      <c r="AY947" s="58" t="s">
        <v>2006</v>
      </c>
      <c r="AZ947" s="58" t="s">
        <v>1390</v>
      </c>
      <c r="BA947" s="58" t="s">
        <v>151</v>
      </c>
      <c r="BB947" s="58" t="s">
        <v>1407</v>
      </c>
      <c r="BC947" s="58"/>
    </row>
    <row r="948" spans="1:55" x14ac:dyDescent="0.25">
      <c r="A948" s="10">
        <f t="shared" si="38"/>
        <v>947</v>
      </c>
      <c r="B948" s="181" t="s">
        <v>9123</v>
      </c>
      <c r="C948" s="592" t="s">
        <v>1407</v>
      </c>
      <c r="D948" s="457">
        <v>400836</v>
      </c>
      <c r="E948" s="181" t="s">
        <v>9124</v>
      </c>
      <c r="F948" s="97" t="s">
        <v>9125</v>
      </c>
      <c r="G948" s="139">
        <v>6</v>
      </c>
      <c r="H948" s="458" t="s">
        <v>9126</v>
      </c>
      <c r="I948" s="458" t="s">
        <v>581</v>
      </c>
      <c r="J948" s="458">
        <v>0.16666666666666666</v>
      </c>
      <c r="K948" s="462" t="s">
        <v>700</v>
      </c>
      <c r="L948" s="97" t="s">
        <v>9127</v>
      </c>
      <c r="M948" s="97" t="s">
        <v>26</v>
      </c>
      <c r="N948" s="58" t="s">
        <v>38</v>
      </c>
      <c r="O948" s="462" t="s">
        <v>5076</v>
      </c>
      <c r="P948" s="206">
        <v>45170</v>
      </c>
      <c r="Q948" s="206">
        <v>45170</v>
      </c>
      <c r="R948" s="206">
        <v>45900</v>
      </c>
      <c r="S948" s="461">
        <v>45901</v>
      </c>
      <c r="T948" s="139">
        <v>2020</v>
      </c>
      <c r="U948" s="181" t="s">
        <v>9128</v>
      </c>
      <c r="V948" s="139">
        <v>2023</v>
      </c>
      <c r="W948" s="140" t="s">
        <v>5065</v>
      </c>
      <c r="X948" s="181" t="s">
        <v>30</v>
      </c>
      <c r="Y948" s="58" t="s">
        <v>5066</v>
      </c>
      <c r="Z948" s="140" t="s">
        <v>9129</v>
      </c>
      <c r="AA948" s="97" t="s">
        <v>1841</v>
      </c>
      <c r="AB948" s="471">
        <v>45162</v>
      </c>
      <c r="AC948" s="471">
        <v>46988</v>
      </c>
      <c r="AD948" s="472">
        <v>9848744904</v>
      </c>
      <c r="AE948" s="473" t="s">
        <v>9130</v>
      </c>
      <c r="AF948" s="97" t="s">
        <v>2284</v>
      </c>
      <c r="AG948" s="482">
        <v>1894000050</v>
      </c>
      <c r="AH948" s="181" t="s">
        <v>9131</v>
      </c>
      <c r="AI948" s="139" t="s">
        <v>9132</v>
      </c>
      <c r="AJ948" s="464">
        <v>543606891985</v>
      </c>
      <c r="AK948" s="97"/>
      <c r="AL948" s="461">
        <v>45577</v>
      </c>
      <c r="AM948" s="477" t="s">
        <v>30</v>
      </c>
      <c r="AN948" s="465" t="s">
        <v>1765</v>
      </c>
      <c r="AO948" s="140" t="s">
        <v>9133</v>
      </c>
      <c r="AP948" s="58"/>
      <c r="AQ948" s="483" t="s">
        <v>9133</v>
      </c>
      <c r="AR948" s="462"/>
      <c r="AS948" s="479">
        <v>0.35416666666666669</v>
      </c>
      <c r="AT948" s="479">
        <v>0.52083333333333337</v>
      </c>
      <c r="AU948" s="461">
        <v>35100</v>
      </c>
      <c r="AV948" s="181" t="s">
        <v>1389</v>
      </c>
      <c r="AW948" s="31" t="s">
        <v>32</v>
      </c>
      <c r="AX948" s="139">
        <v>4</v>
      </c>
      <c r="AY948" s="58" t="s">
        <v>2469</v>
      </c>
      <c r="AZ948" s="58" t="s">
        <v>26</v>
      </c>
      <c r="BA948" s="58" t="s">
        <v>151</v>
      </c>
      <c r="BB948" s="58" t="s">
        <v>1407</v>
      </c>
      <c r="BC948" s="58"/>
    </row>
    <row r="949" spans="1:55" x14ac:dyDescent="0.25">
      <c r="A949" s="10">
        <f t="shared" si="38"/>
        <v>948</v>
      </c>
      <c r="B949" s="181"/>
      <c r="C949" s="592" t="s">
        <v>1407</v>
      </c>
      <c r="D949" s="457">
        <v>401098</v>
      </c>
      <c r="E949" s="181" t="s">
        <v>36</v>
      </c>
      <c r="F949" s="97" t="s">
        <v>9134</v>
      </c>
      <c r="G949" s="139">
        <v>6</v>
      </c>
      <c r="H949" s="458">
        <v>0.375</v>
      </c>
      <c r="I949" s="458">
        <v>0.41666666666666669</v>
      </c>
      <c r="J949" s="458">
        <v>4.1666666666666664E-2</v>
      </c>
      <c r="K949" s="100" t="s">
        <v>961</v>
      </c>
      <c r="L949" s="140" t="s">
        <v>30</v>
      </c>
      <c r="M949" s="97" t="s">
        <v>1376</v>
      </c>
      <c r="N949" s="58" t="s">
        <v>1393</v>
      </c>
      <c r="O949" s="58" t="s">
        <v>30</v>
      </c>
      <c r="P949" s="424">
        <v>45579</v>
      </c>
      <c r="Q949" s="424">
        <v>45579</v>
      </c>
      <c r="R949" s="424">
        <v>46308</v>
      </c>
      <c r="S949" s="424">
        <v>46309</v>
      </c>
      <c r="T949" s="139">
        <v>2018</v>
      </c>
      <c r="U949" s="140" t="s">
        <v>924</v>
      </c>
      <c r="V949" s="139" t="s">
        <v>30</v>
      </c>
      <c r="W949" s="462" t="s">
        <v>30</v>
      </c>
      <c r="X949" s="139" t="s">
        <v>30</v>
      </c>
      <c r="Y949" s="58" t="s">
        <v>226</v>
      </c>
      <c r="Z949" s="140" t="s">
        <v>9135</v>
      </c>
      <c r="AA949" s="140" t="s">
        <v>1841</v>
      </c>
      <c r="AB949" s="471">
        <v>44792</v>
      </c>
      <c r="AC949" s="471">
        <v>46617</v>
      </c>
      <c r="AD949" s="139">
        <v>8106638635</v>
      </c>
      <c r="AE949" s="467" t="s">
        <v>9136</v>
      </c>
      <c r="AF949" s="58"/>
      <c r="AG949" s="464"/>
      <c r="AH949" s="181"/>
      <c r="AI949" s="139" t="s">
        <v>9137</v>
      </c>
      <c r="AJ949" s="464">
        <v>857462407403</v>
      </c>
      <c r="AK949" s="97" t="s">
        <v>9138</v>
      </c>
      <c r="AL949" s="206">
        <v>45581</v>
      </c>
      <c r="AM949" s="206" t="s">
        <v>30</v>
      </c>
      <c r="AN949" s="97" t="s">
        <v>5072</v>
      </c>
      <c r="AO949" s="140" t="s">
        <v>9139</v>
      </c>
      <c r="AP949" s="486"/>
      <c r="AQ949" s="462">
        <f ca="1">ROUNDDOWN((TODAY() - AU949)/365.25,0)</f>
        <v>30</v>
      </c>
      <c r="AR949" s="512"/>
      <c r="AS949" s="513"/>
      <c r="AT949" s="479"/>
      <c r="AU949" s="461">
        <v>34872</v>
      </c>
      <c r="AV949" s="181" t="s">
        <v>1389</v>
      </c>
      <c r="AW949" s="31" t="s">
        <v>32</v>
      </c>
      <c r="AX949" s="139">
        <v>1</v>
      </c>
      <c r="AY949" s="58" t="s">
        <v>1849</v>
      </c>
      <c r="AZ949" s="58" t="s">
        <v>1390</v>
      </c>
      <c r="BA949" s="58" t="s">
        <v>151</v>
      </c>
      <c r="BB949" s="58" t="s">
        <v>1407</v>
      </c>
      <c r="BC949" s="58"/>
    </row>
    <row r="950" spans="1:55" x14ac:dyDescent="0.25">
      <c r="A950" s="10">
        <f t="shared" si="38"/>
        <v>949</v>
      </c>
      <c r="B950" s="181" t="s">
        <v>9140</v>
      </c>
      <c r="C950" s="592" t="s">
        <v>1407</v>
      </c>
      <c r="D950" s="457">
        <v>400811</v>
      </c>
      <c r="E950" s="181" t="s">
        <v>36</v>
      </c>
      <c r="F950" s="97" t="s">
        <v>9141</v>
      </c>
      <c r="G950" s="139">
        <v>6</v>
      </c>
      <c r="H950" s="469" t="s">
        <v>236</v>
      </c>
      <c r="I950" s="469" t="s">
        <v>948</v>
      </c>
      <c r="J950" s="458">
        <f>I950-H950</f>
        <v>0.125</v>
      </c>
      <c r="K950" s="143" t="s">
        <v>802</v>
      </c>
      <c r="L950" s="97" t="s">
        <v>8953</v>
      </c>
      <c r="M950" s="97" t="s">
        <v>26</v>
      </c>
      <c r="N950" s="58" t="s">
        <v>38</v>
      </c>
      <c r="O950" s="462" t="s">
        <v>5076</v>
      </c>
      <c r="P950" s="206">
        <v>45139</v>
      </c>
      <c r="Q950" s="206">
        <v>45139</v>
      </c>
      <c r="R950" s="206">
        <v>45869</v>
      </c>
      <c r="S950" s="461">
        <v>45870</v>
      </c>
      <c r="T950" s="139"/>
      <c r="U950" s="181" t="s">
        <v>424</v>
      </c>
      <c r="V950" s="139"/>
      <c r="W950" s="140"/>
      <c r="X950" s="139" t="s">
        <v>1424</v>
      </c>
      <c r="Y950" s="58" t="s">
        <v>1611</v>
      </c>
      <c r="Z950" s="140">
        <v>50125</v>
      </c>
      <c r="AA950" s="97" t="s">
        <v>1841</v>
      </c>
      <c r="AB950" s="471"/>
      <c r="AC950" s="471"/>
      <c r="AD950" s="472">
        <v>9182660864</v>
      </c>
      <c r="AE950" s="473" t="s">
        <v>9142</v>
      </c>
      <c r="AF950" s="97" t="s">
        <v>5086</v>
      </c>
      <c r="AG950" s="482">
        <v>20148129198</v>
      </c>
      <c r="AH950" s="181" t="s">
        <v>5274</v>
      </c>
      <c r="AI950" s="139" t="s">
        <v>9143</v>
      </c>
      <c r="AJ950" s="464">
        <v>749265497005</v>
      </c>
      <c r="AK950" s="97"/>
      <c r="AL950" s="461">
        <v>45582</v>
      </c>
      <c r="AM950" s="477" t="s">
        <v>30</v>
      </c>
      <c r="AN950" s="97" t="s">
        <v>9144</v>
      </c>
      <c r="AO950" s="140" t="s">
        <v>9145</v>
      </c>
      <c r="AP950" s="486"/>
      <c r="AQ950" s="462" t="e">
        <f ca="1">ROUNDDOWN((TODAY() -#REF!)/365.25,0)</f>
        <v>#REF!</v>
      </c>
      <c r="AR950" s="479"/>
      <c r="AS950" s="479">
        <v>0.75</v>
      </c>
      <c r="AT950" s="61">
        <v>3</v>
      </c>
      <c r="AU950" s="461">
        <v>401028</v>
      </c>
      <c r="AV950" s="181" t="s">
        <v>1389</v>
      </c>
      <c r="AW950" s="31" t="s">
        <v>32</v>
      </c>
      <c r="AX950" s="139">
        <v>3</v>
      </c>
      <c r="AY950" s="58" t="s">
        <v>2469</v>
      </c>
      <c r="AZ950" s="58" t="s">
        <v>26</v>
      </c>
      <c r="BA950" s="58" t="s">
        <v>151</v>
      </c>
      <c r="BB950" s="58" t="s">
        <v>1407</v>
      </c>
      <c r="BC950" s="58"/>
    </row>
    <row r="951" spans="1:55" x14ac:dyDescent="0.25">
      <c r="A951" s="10">
        <f t="shared" si="38"/>
        <v>950</v>
      </c>
      <c r="B951" s="181" t="s">
        <v>9146</v>
      </c>
      <c r="C951" s="592" t="s">
        <v>1407</v>
      </c>
      <c r="D951" s="457">
        <v>400974</v>
      </c>
      <c r="E951" s="181" t="s">
        <v>36</v>
      </c>
      <c r="F951" s="97" t="s">
        <v>9147</v>
      </c>
      <c r="G951" s="139">
        <v>6</v>
      </c>
      <c r="H951" s="469">
        <v>0.70833333333333337</v>
      </c>
      <c r="I951" s="469">
        <v>0.875</v>
      </c>
      <c r="J951" s="458">
        <f>I951-H951</f>
        <v>0.16666666666666663</v>
      </c>
      <c r="K951" s="143" t="s">
        <v>538</v>
      </c>
      <c r="L951" s="97" t="s">
        <v>9148</v>
      </c>
      <c r="M951" s="97" t="s">
        <v>26</v>
      </c>
      <c r="N951" s="58" t="s">
        <v>38</v>
      </c>
      <c r="O951" s="462" t="s">
        <v>5076</v>
      </c>
      <c r="P951" s="206">
        <v>45383</v>
      </c>
      <c r="Q951" s="206">
        <v>45383</v>
      </c>
      <c r="R951" s="206">
        <v>46112</v>
      </c>
      <c r="S951" s="461">
        <v>46113</v>
      </c>
      <c r="T951" s="139">
        <v>2012</v>
      </c>
      <c r="U951" s="181" t="s">
        <v>957</v>
      </c>
      <c r="V951" s="139">
        <v>2023</v>
      </c>
      <c r="W951" s="97" t="s">
        <v>9149</v>
      </c>
      <c r="X951" s="181" t="s">
        <v>30</v>
      </c>
      <c r="Y951" s="58" t="s">
        <v>5066</v>
      </c>
      <c r="Z951" s="140" t="s">
        <v>9150</v>
      </c>
      <c r="AA951" s="470" t="s">
        <v>1841</v>
      </c>
      <c r="AB951" s="471">
        <v>45153</v>
      </c>
      <c r="AC951" s="471">
        <v>46979</v>
      </c>
      <c r="AD951" s="472">
        <v>9866786867</v>
      </c>
      <c r="AE951" s="473" t="s">
        <v>9151</v>
      </c>
      <c r="AF951" s="474" t="s">
        <v>3050</v>
      </c>
      <c r="AG951" s="475" t="s">
        <v>9152</v>
      </c>
      <c r="AH951" s="181" t="s">
        <v>9153</v>
      </c>
      <c r="AI951" s="139" t="s">
        <v>9154</v>
      </c>
      <c r="AJ951" s="476">
        <v>976608939800</v>
      </c>
      <c r="AK951" s="470"/>
      <c r="AL951" s="461">
        <v>45584</v>
      </c>
      <c r="AM951" s="477" t="s">
        <v>30</v>
      </c>
      <c r="AN951" s="478" t="s">
        <v>9155</v>
      </c>
      <c r="AO951" s="140" t="s">
        <v>9156</v>
      </c>
      <c r="AP951" s="58"/>
      <c r="AQ951" s="140" t="s">
        <v>9156</v>
      </c>
      <c r="AR951" s="462"/>
      <c r="AS951" s="479">
        <v>0.70833333333333337</v>
      </c>
      <c r="AT951" s="479">
        <v>0.875</v>
      </c>
      <c r="AU951" s="480">
        <v>34676</v>
      </c>
      <c r="AV951" s="181" t="s">
        <v>1389</v>
      </c>
      <c r="AW951" s="31" t="s">
        <v>32</v>
      </c>
      <c r="AX951" s="139">
        <v>4</v>
      </c>
      <c r="AY951" s="58" t="s">
        <v>1904</v>
      </c>
      <c r="AZ951" s="58" t="s">
        <v>26</v>
      </c>
      <c r="BA951" s="58" t="s">
        <v>151</v>
      </c>
      <c r="BB951" s="58" t="s">
        <v>1407</v>
      </c>
      <c r="BC951" s="58"/>
    </row>
    <row r="952" spans="1:55" x14ac:dyDescent="0.25">
      <c r="A952" s="10">
        <f t="shared" si="38"/>
        <v>951</v>
      </c>
      <c r="B952" s="181" t="s">
        <v>9157</v>
      </c>
      <c r="C952" s="592" t="s">
        <v>1407</v>
      </c>
      <c r="D952" s="457">
        <v>400555</v>
      </c>
      <c r="E952" s="181" t="s">
        <v>36</v>
      </c>
      <c r="F952" s="97" t="s">
        <v>9158</v>
      </c>
      <c r="G952" s="139">
        <v>6</v>
      </c>
      <c r="H952" s="469" t="s">
        <v>948</v>
      </c>
      <c r="I952" s="469" t="s">
        <v>5702</v>
      </c>
      <c r="J952" s="458">
        <f>I952-H952</f>
        <v>8.333333333333337E-2</v>
      </c>
      <c r="K952" s="462" t="s">
        <v>557</v>
      </c>
      <c r="L952" s="97" t="s">
        <v>9159</v>
      </c>
      <c r="M952" s="97" t="s">
        <v>26</v>
      </c>
      <c r="N952" s="58" t="s">
        <v>38</v>
      </c>
      <c r="O952" s="462" t="s">
        <v>5076</v>
      </c>
      <c r="P952" s="206">
        <v>44812</v>
      </c>
      <c r="Q952" s="206">
        <v>44812</v>
      </c>
      <c r="R952" s="206">
        <v>45542</v>
      </c>
      <c r="S952" s="461">
        <v>45543</v>
      </c>
      <c r="T952" s="139">
        <v>1994</v>
      </c>
      <c r="U952" s="181" t="s">
        <v>9160</v>
      </c>
      <c r="V952" s="139">
        <v>2014</v>
      </c>
      <c r="W952" s="140" t="s">
        <v>2451</v>
      </c>
      <c r="X952" s="181" t="s">
        <v>30</v>
      </c>
      <c r="Y952" s="58" t="s">
        <v>1611</v>
      </c>
      <c r="Z952" s="140">
        <v>36629</v>
      </c>
      <c r="AA952" s="97" t="s">
        <v>1841</v>
      </c>
      <c r="AB952" s="471">
        <v>44673</v>
      </c>
      <c r="AC952" s="471">
        <v>46498</v>
      </c>
      <c r="AD952" s="472">
        <v>9849050780</v>
      </c>
      <c r="AE952" s="473" t="s">
        <v>9161</v>
      </c>
      <c r="AF952" s="97" t="s">
        <v>1430</v>
      </c>
      <c r="AG952" s="503" t="s">
        <v>9162</v>
      </c>
      <c r="AH952" s="181" t="s">
        <v>9163</v>
      </c>
      <c r="AI952" s="139" t="s">
        <v>9164</v>
      </c>
      <c r="AJ952" s="464">
        <v>425769622166</v>
      </c>
      <c r="AK952" s="97" t="s">
        <v>9165</v>
      </c>
      <c r="AL952" s="461">
        <v>45586</v>
      </c>
      <c r="AM952" s="477" t="s">
        <v>30</v>
      </c>
      <c r="AN952" s="465" t="s">
        <v>1592</v>
      </c>
      <c r="AO952" s="140" t="s">
        <v>9166</v>
      </c>
      <c r="AP952" s="58"/>
      <c r="AQ952" s="483" t="s">
        <v>9166</v>
      </c>
      <c r="AR952" s="462"/>
      <c r="AS952" s="479">
        <v>0.75</v>
      </c>
      <c r="AT952" s="479">
        <v>0.83333333333333337</v>
      </c>
      <c r="AU952" s="461">
        <v>25122</v>
      </c>
      <c r="AV952" s="181" t="s">
        <v>1389</v>
      </c>
      <c r="AW952" s="31" t="s">
        <v>32</v>
      </c>
      <c r="AX952" s="139">
        <v>2</v>
      </c>
      <c r="AY952" s="58" t="s">
        <v>1959</v>
      </c>
      <c r="AZ952" s="58" t="s">
        <v>26</v>
      </c>
      <c r="BA952" s="58" t="s">
        <v>151</v>
      </c>
      <c r="BB952" s="58" t="s">
        <v>1407</v>
      </c>
      <c r="BC952" s="58"/>
    </row>
    <row r="953" spans="1:55" x14ac:dyDescent="0.25">
      <c r="A953" s="10">
        <f t="shared" si="38"/>
        <v>952</v>
      </c>
      <c r="B953" s="181" t="s">
        <v>9167</v>
      </c>
      <c r="C953" s="592" t="s">
        <v>1407</v>
      </c>
      <c r="D953" s="457">
        <v>400869</v>
      </c>
      <c r="E953" s="181" t="s">
        <v>36</v>
      </c>
      <c r="F953" s="97" t="s">
        <v>9168</v>
      </c>
      <c r="G953" s="139">
        <v>6</v>
      </c>
      <c r="H953" s="469" t="s">
        <v>235</v>
      </c>
      <c r="I953" s="469" t="s">
        <v>5491</v>
      </c>
      <c r="J953" s="458">
        <v>4.1666666666666664E-2</v>
      </c>
      <c r="K953" s="100" t="s">
        <v>287</v>
      </c>
      <c r="L953" s="97" t="s">
        <v>1424</v>
      </c>
      <c r="M953" s="97" t="s">
        <v>1376</v>
      </c>
      <c r="N953" s="58" t="s">
        <v>1393</v>
      </c>
      <c r="O953" s="58" t="s">
        <v>1424</v>
      </c>
      <c r="P953" s="206">
        <v>45231</v>
      </c>
      <c r="Q953" s="206">
        <v>45231</v>
      </c>
      <c r="R953" s="206">
        <v>45961</v>
      </c>
      <c r="S953" s="461">
        <v>45962</v>
      </c>
      <c r="T953" s="139">
        <v>2017</v>
      </c>
      <c r="U953" s="181" t="s">
        <v>169</v>
      </c>
      <c r="V953" s="139" t="s">
        <v>1424</v>
      </c>
      <c r="W953" s="140" t="s">
        <v>1424</v>
      </c>
      <c r="X953" s="139" t="s">
        <v>1424</v>
      </c>
      <c r="Y953" s="58" t="s">
        <v>226</v>
      </c>
      <c r="Z953" s="140" t="s">
        <v>9169</v>
      </c>
      <c r="AA953" s="470" t="s">
        <v>1841</v>
      </c>
      <c r="AB953" s="471">
        <v>45028</v>
      </c>
      <c r="AC953" s="471">
        <v>46854</v>
      </c>
      <c r="AD953" s="472">
        <v>7842807903</v>
      </c>
      <c r="AE953" s="473" t="s">
        <v>9170</v>
      </c>
      <c r="AF953" s="474" t="s">
        <v>5086</v>
      </c>
      <c r="AG953" s="481" t="s">
        <v>9171</v>
      </c>
      <c r="AH953" s="181" t="s">
        <v>9172</v>
      </c>
      <c r="AI953" s="139" t="s">
        <v>9173</v>
      </c>
      <c r="AJ953" s="476">
        <v>302337926136</v>
      </c>
      <c r="AK953" s="470"/>
      <c r="AL953" s="206">
        <v>45371</v>
      </c>
      <c r="AM953" s="477">
        <v>45370</v>
      </c>
      <c r="AN953" s="478" t="s">
        <v>4363</v>
      </c>
      <c r="AO953" s="140" t="s">
        <v>9174</v>
      </c>
      <c r="AP953" s="58"/>
      <c r="AQ953" s="97" t="s">
        <v>9174</v>
      </c>
      <c r="AR953" s="462"/>
      <c r="AS953" s="479">
        <v>0.33333333333333331</v>
      </c>
      <c r="AT953" s="479">
        <v>0.375</v>
      </c>
      <c r="AU953" s="480">
        <v>34437</v>
      </c>
      <c r="AV953" s="181" t="s">
        <v>1389</v>
      </c>
      <c r="AW953" s="31" t="s">
        <v>32</v>
      </c>
      <c r="AX953" s="139">
        <v>1</v>
      </c>
      <c r="AY953" s="58" t="s">
        <v>1881</v>
      </c>
      <c r="AZ953" s="58" t="s">
        <v>1390</v>
      </c>
      <c r="BA953" s="58" t="s">
        <v>151</v>
      </c>
      <c r="BB953" s="58" t="s">
        <v>1407</v>
      </c>
      <c r="BC953" s="58"/>
    </row>
    <row r="954" spans="1:55" x14ac:dyDescent="0.25">
      <c r="A954" s="10">
        <f t="shared" si="38"/>
        <v>953</v>
      </c>
      <c r="B954" s="181" t="s">
        <v>9175</v>
      </c>
      <c r="C954" s="592" t="s">
        <v>1407</v>
      </c>
      <c r="D954" s="499">
        <v>400870</v>
      </c>
      <c r="E954" s="62" t="s">
        <v>36</v>
      </c>
      <c r="F954" s="97" t="s">
        <v>9176</v>
      </c>
      <c r="G954" s="61">
        <v>6</v>
      </c>
      <c r="H954" s="141">
        <v>0.35416666666666669</v>
      </c>
      <c r="I954" s="141">
        <v>0.52083333333333337</v>
      </c>
      <c r="J954" s="141">
        <v>0.16666666666666666</v>
      </c>
      <c r="K954" s="143" t="s">
        <v>4984</v>
      </c>
      <c r="L954" s="63" t="s">
        <v>9177</v>
      </c>
      <c r="M954" s="63" t="s">
        <v>26</v>
      </c>
      <c r="N954" s="100" t="s">
        <v>38</v>
      </c>
      <c r="O954" s="143" t="s">
        <v>5710</v>
      </c>
      <c r="P954" s="446">
        <v>45239</v>
      </c>
      <c r="Q954" s="446">
        <v>45239</v>
      </c>
      <c r="R954" s="446">
        <v>45969</v>
      </c>
      <c r="S954" s="338">
        <v>45970</v>
      </c>
      <c r="T954" s="61">
        <v>2015</v>
      </c>
      <c r="U954" s="62" t="s">
        <v>7743</v>
      </c>
      <c r="V954" s="61">
        <v>2019</v>
      </c>
      <c r="W954" s="99" t="s">
        <v>9178</v>
      </c>
      <c r="X954" s="62" t="s">
        <v>30</v>
      </c>
      <c r="Y954" s="100" t="s">
        <v>5066</v>
      </c>
      <c r="Z954" s="99" t="s">
        <v>9179</v>
      </c>
      <c r="AA954" s="63" t="s">
        <v>1841</v>
      </c>
      <c r="AB954" s="451">
        <v>44112</v>
      </c>
      <c r="AC954" s="451">
        <v>45937</v>
      </c>
      <c r="AD954" s="304">
        <v>8019535147</v>
      </c>
      <c r="AE954" s="336" t="s">
        <v>9180</v>
      </c>
      <c r="AF954" s="500" t="s">
        <v>1430</v>
      </c>
      <c r="AG954" s="501">
        <v>50100162101710</v>
      </c>
      <c r="AH954" s="62" t="s">
        <v>3322</v>
      </c>
      <c r="AI954" s="61" t="s">
        <v>9181</v>
      </c>
      <c r="AJ954" s="493">
        <v>615121953935</v>
      </c>
      <c r="AK954" s="63"/>
      <c r="AL954" s="514">
        <v>45330</v>
      </c>
      <c r="AM954" s="477">
        <v>45636</v>
      </c>
      <c r="AN954" s="502" t="s">
        <v>9182</v>
      </c>
      <c r="AO954" s="63" t="s">
        <v>9183</v>
      </c>
      <c r="AP954" s="61">
        <v>33</v>
      </c>
      <c r="AQ954" s="143"/>
      <c r="AR954" s="493"/>
      <c r="AS954" s="515"/>
      <c r="AT954" s="515"/>
      <c r="AU954" s="338">
        <v>33829</v>
      </c>
      <c r="AV954" s="62" t="s">
        <v>1352</v>
      </c>
      <c r="AW954" s="31" t="s">
        <v>32</v>
      </c>
      <c r="AX954" s="139">
        <v>4</v>
      </c>
      <c r="AY954" s="58" t="s">
        <v>1904</v>
      </c>
      <c r="AZ954" s="58" t="s">
        <v>26</v>
      </c>
      <c r="BA954" s="58" t="s">
        <v>151</v>
      </c>
      <c r="BB954" s="58" t="s">
        <v>1407</v>
      </c>
      <c r="BC954" s="58"/>
    </row>
    <row r="955" spans="1:55" x14ac:dyDescent="0.25">
      <c r="A955" s="10">
        <f t="shared" si="38"/>
        <v>954</v>
      </c>
      <c r="B955" s="181" t="s">
        <v>6644</v>
      </c>
      <c r="C955" s="592" t="s">
        <v>1407</v>
      </c>
      <c r="D955" s="457">
        <v>400933</v>
      </c>
      <c r="E955" s="181" t="s">
        <v>36</v>
      </c>
      <c r="F955" s="97" t="s">
        <v>6645</v>
      </c>
      <c r="G955" s="139">
        <v>6</v>
      </c>
      <c r="H955" s="469">
        <v>0.70833333333333337</v>
      </c>
      <c r="I955" s="469">
        <v>0.83333333333333337</v>
      </c>
      <c r="J955" s="458">
        <f>I955-H955</f>
        <v>0.125</v>
      </c>
      <c r="K955" s="100" t="s">
        <v>194</v>
      </c>
      <c r="L955" s="97" t="s">
        <v>6646</v>
      </c>
      <c r="M955" s="97" t="s">
        <v>26</v>
      </c>
      <c r="N955" s="58" t="s">
        <v>38</v>
      </c>
      <c r="O955" s="462" t="s">
        <v>5076</v>
      </c>
      <c r="P955" s="206">
        <v>45323</v>
      </c>
      <c r="Q955" s="206">
        <v>45323</v>
      </c>
      <c r="R955" s="206">
        <v>46053</v>
      </c>
      <c r="S955" s="461">
        <v>46054</v>
      </c>
      <c r="T955" s="139">
        <v>2013</v>
      </c>
      <c r="U955" s="181" t="s">
        <v>380</v>
      </c>
      <c r="V955" s="139">
        <v>2018</v>
      </c>
      <c r="W955" s="140" t="s">
        <v>175</v>
      </c>
      <c r="X955" s="181" t="s">
        <v>30</v>
      </c>
      <c r="Y955" s="58" t="s">
        <v>1236</v>
      </c>
      <c r="Z955" s="140" t="s">
        <v>6647</v>
      </c>
      <c r="AA955" s="97" t="s">
        <v>1841</v>
      </c>
      <c r="AB955" s="471">
        <v>45207</v>
      </c>
      <c r="AC955" s="471">
        <v>47033</v>
      </c>
      <c r="AD955" s="472">
        <v>9398378101</v>
      </c>
      <c r="AE955" s="473" t="s">
        <v>6648</v>
      </c>
      <c r="AF955" s="97" t="s">
        <v>1805</v>
      </c>
      <c r="AG955" s="482" t="s">
        <v>6649</v>
      </c>
      <c r="AH955" s="181" t="s">
        <v>6650</v>
      </c>
      <c r="AI955" s="139" t="s">
        <v>6651</v>
      </c>
      <c r="AJ955" s="464">
        <v>697353538070</v>
      </c>
      <c r="AK955" s="97" t="s">
        <v>6652</v>
      </c>
      <c r="AL955" s="516">
        <v>45588</v>
      </c>
      <c r="AM955" s="477">
        <v>45560</v>
      </c>
      <c r="AN955" s="465" t="s">
        <v>9184</v>
      </c>
      <c r="AO955" s="140" t="s">
        <v>9185</v>
      </c>
      <c r="AP955" s="58"/>
      <c r="AQ955" s="483" t="s">
        <v>9185</v>
      </c>
      <c r="AR955" s="462"/>
      <c r="AS955" s="479">
        <v>0.70833333333333337</v>
      </c>
      <c r="AT955" s="479">
        <v>0.83333333333333337</v>
      </c>
      <c r="AU955" s="461">
        <v>32537</v>
      </c>
      <c r="AV955" s="181" t="s">
        <v>1352</v>
      </c>
      <c r="AW955" s="31" t="s">
        <v>32</v>
      </c>
      <c r="AX955" s="139">
        <v>3</v>
      </c>
      <c r="AY955" s="58" t="s">
        <v>1968</v>
      </c>
      <c r="AZ955" s="58" t="s">
        <v>26</v>
      </c>
      <c r="BA955" s="58" t="s">
        <v>151</v>
      </c>
      <c r="BB955" s="58" t="s">
        <v>1407</v>
      </c>
      <c r="BC955" s="58"/>
    </row>
    <row r="956" spans="1:55" x14ac:dyDescent="0.25">
      <c r="A956" s="10">
        <f t="shared" si="38"/>
        <v>955</v>
      </c>
      <c r="B956" s="181" t="s">
        <v>9186</v>
      </c>
      <c r="C956" s="592" t="s">
        <v>1407</v>
      </c>
      <c r="D956" s="457">
        <v>400252</v>
      </c>
      <c r="E956" s="181" t="s">
        <v>36</v>
      </c>
      <c r="F956" s="97" t="s">
        <v>9187</v>
      </c>
      <c r="G956" s="139">
        <v>6</v>
      </c>
      <c r="H956" s="469" t="s">
        <v>235</v>
      </c>
      <c r="I956" s="469" t="s">
        <v>978</v>
      </c>
      <c r="J956" s="458">
        <v>0.33333333333333331</v>
      </c>
      <c r="K956" s="462" t="s">
        <v>593</v>
      </c>
      <c r="L956" s="97" t="s">
        <v>1544</v>
      </c>
      <c r="M956" s="97" t="s">
        <v>1544</v>
      </c>
      <c r="N956" s="58" t="s">
        <v>9188</v>
      </c>
      <c r="O956" s="58" t="s">
        <v>6947</v>
      </c>
      <c r="P956" s="206">
        <v>44130</v>
      </c>
      <c r="Q956" s="206">
        <v>44774</v>
      </c>
      <c r="R956" s="206">
        <v>45504</v>
      </c>
      <c r="S956" s="461">
        <v>45505</v>
      </c>
      <c r="T956" s="139">
        <v>2007</v>
      </c>
      <c r="U956" s="181" t="s">
        <v>9189</v>
      </c>
      <c r="V956" s="139">
        <v>2014</v>
      </c>
      <c r="W956" s="140" t="s">
        <v>157</v>
      </c>
      <c r="X956" s="181" t="s">
        <v>30</v>
      </c>
      <c r="Y956" s="58" t="s">
        <v>5246</v>
      </c>
      <c r="Z956" s="140" t="s">
        <v>9190</v>
      </c>
      <c r="AA956" s="97" t="s">
        <v>1886</v>
      </c>
      <c r="AB956" s="471">
        <v>44126</v>
      </c>
      <c r="AC956" s="471">
        <v>45951</v>
      </c>
      <c r="AD956" s="472">
        <v>9100312551</v>
      </c>
      <c r="AE956" s="473" t="s">
        <v>9191</v>
      </c>
      <c r="AF956" s="97" t="s">
        <v>1364</v>
      </c>
      <c r="AG956" s="482" t="s">
        <v>9192</v>
      </c>
      <c r="AH956" s="181" t="s">
        <v>2035</v>
      </c>
      <c r="AI956" s="139" t="s">
        <v>9193</v>
      </c>
      <c r="AJ956" s="464">
        <v>526792695779</v>
      </c>
      <c r="AK956" s="97" t="s">
        <v>9194</v>
      </c>
      <c r="AL956" s="206">
        <v>45593</v>
      </c>
      <c r="AM956" s="477">
        <v>45533</v>
      </c>
      <c r="AN956" s="465" t="s">
        <v>4856</v>
      </c>
      <c r="AO956" s="97"/>
      <c r="AP956" s="58"/>
      <c r="AQ956" s="486"/>
      <c r="AR956" s="462"/>
      <c r="AS956" s="479">
        <v>0.33333333333333331</v>
      </c>
      <c r="AT956" s="479">
        <v>0.66666666666666663</v>
      </c>
      <c r="AU956" s="461">
        <v>31332</v>
      </c>
      <c r="AV956" s="181" t="s">
        <v>1389</v>
      </c>
      <c r="AW956" s="31" t="s">
        <v>32</v>
      </c>
      <c r="AX956" s="139">
        <v>8</v>
      </c>
      <c r="AY956" s="466" t="s">
        <v>1920</v>
      </c>
      <c r="AZ956" s="58" t="s">
        <v>1373</v>
      </c>
      <c r="BA956" s="58" t="s">
        <v>151</v>
      </c>
      <c r="BB956" s="58" t="s">
        <v>1407</v>
      </c>
      <c r="BC956" s="58"/>
    </row>
    <row r="957" spans="1:55" x14ac:dyDescent="0.25">
      <c r="A957" s="10">
        <f t="shared" si="38"/>
        <v>956</v>
      </c>
      <c r="B957" s="181" t="s">
        <v>9195</v>
      </c>
      <c r="C957" s="592" t="s">
        <v>1407</v>
      </c>
      <c r="D957" s="457">
        <v>400873</v>
      </c>
      <c r="E957" s="181" t="s">
        <v>36</v>
      </c>
      <c r="F957" s="97" t="s">
        <v>9196</v>
      </c>
      <c r="G957" s="139">
        <v>6</v>
      </c>
      <c r="H957" s="469" t="s">
        <v>5089</v>
      </c>
      <c r="I957" s="469" t="s">
        <v>9197</v>
      </c>
      <c r="J957" s="458">
        <f>I957-H957</f>
        <v>0.20833333333333331</v>
      </c>
      <c r="K957" s="462" t="s">
        <v>850</v>
      </c>
      <c r="L957" s="97" t="s">
        <v>5119</v>
      </c>
      <c r="M957" s="97" t="s">
        <v>26</v>
      </c>
      <c r="N957" s="58" t="s">
        <v>38</v>
      </c>
      <c r="O957" s="462" t="s">
        <v>5076</v>
      </c>
      <c r="P957" s="206">
        <v>45239</v>
      </c>
      <c r="Q957" s="206">
        <v>45239</v>
      </c>
      <c r="R957" s="206">
        <v>45969</v>
      </c>
      <c r="S957" s="461">
        <v>45970</v>
      </c>
      <c r="T957" s="139">
        <v>2017</v>
      </c>
      <c r="U957" s="181" t="s">
        <v>3417</v>
      </c>
      <c r="V957" s="139">
        <v>2023</v>
      </c>
      <c r="W957" s="140" t="s">
        <v>9198</v>
      </c>
      <c r="X957" s="181" t="s">
        <v>30</v>
      </c>
      <c r="Y957" s="58" t="s">
        <v>5066</v>
      </c>
      <c r="Z957" s="140" t="s">
        <v>9199</v>
      </c>
      <c r="AA957" s="470" t="s">
        <v>1841</v>
      </c>
      <c r="AB957" s="471">
        <v>45233</v>
      </c>
      <c r="AC957" s="471">
        <v>47059</v>
      </c>
      <c r="AD957" s="472">
        <v>9177230456</v>
      </c>
      <c r="AE957" s="473" t="s">
        <v>9200</v>
      </c>
      <c r="AF957" s="474" t="s">
        <v>1430</v>
      </c>
      <c r="AG957" s="475">
        <v>50100005985442</v>
      </c>
      <c r="AH957" s="181" t="s">
        <v>9201</v>
      </c>
      <c r="AI957" s="139" t="s">
        <v>9202</v>
      </c>
      <c r="AJ957" s="476">
        <v>576399561778</v>
      </c>
      <c r="AK957" s="470"/>
      <c r="AL957" s="461">
        <v>45594</v>
      </c>
      <c r="AM957" s="477">
        <v>45566</v>
      </c>
      <c r="AN957" s="478" t="s">
        <v>9203</v>
      </c>
      <c r="AO957" s="140" t="s">
        <v>9204</v>
      </c>
      <c r="AP957" s="58"/>
      <c r="AQ957" s="97" t="s">
        <v>9204</v>
      </c>
      <c r="AR957" s="462"/>
      <c r="AS957" s="479">
        <v>0.35416666666666669</v>
      </c>
      <c r="AT957" s="479">
        <v>0.5625</v>
      </c>
      <c r="AU957" s="480">
        <v>34003</v>
      </c>
      <c r="AV957" s="181" t="s">
        <v>1389</v>
      </c>
      <c r="AW957" s="31" t="s">
        <v>32</v>
      </c>
      <c r="AX957" s="139">
        <v>5</v>
      </c>
      <c r="AY957" s="58" t="s">
        <v>1904</v>
      </c>
      <c r="AZ957" s="58" t="s">
        <v>26</v>
      </c>
      <c r="BA957" s="58" t="s">
        <v>151</v>
      </c>
      <c r="BB957" s="58" t="s">
        <v>1407</v>
      </c>
      <c r="BC957" s="58"/>
    </row>
    <row r="958" spans="1:55" x14ac:dyDescent="0.25">
      <c r="A958" s="10">
        <f t="shared" si="38"/>
        <v>957</v>
      </c>
      <c r="B958" s="181" t="s">
        <v>6344</v>
      </c>
      <c r="C958" s="592" t="s">
        <v>1407</v>
      </c>
      <c r="D958" s="457">
        <v>400875</v>
      </c>
      <c r="E958" s="181" t="s">
        <v>42</v>
      </c>
      <c r="F958" s="97" t="s">
        <v>9205</v>
      </c>
      <c r="G958" s="139">
        <v>6</v>
      </c>
      <c r="H958" s="469" t="s">
        <v>7654</v>
      </c>
      <c r="I958" s="469" t="s">
        <v>989</v>
      </c>
      <c r="J958" s="458">
        <f>I958-H958</f>
        <v>0.25000000000000006</v>
      </c>
      <c r="K958" s="143" t="s">
        <v>477</v>
      </c>
      <c r="L958" s="97" t="s">
        <v>9206</v>
      </c>
      <c r="M958" s="97" t="s">
        <v>26</v>
      </c>
      <c r="N958" s="58" t="s">
        <v>38</v>
      </c>
      <c r="O958" s="462" t="s">
        <v>5076</v>
      </c>
      <c r="P958" s="206">
        <v>45245</v>
      </c>
      <c r="Q958" s="206">
        <v>45245</v>
      </c>
      <c r="R958" s="206">
        <v>45975</v>
      </c>
      <c r="S958" s="461">
        <v>45976</v>
      </c>
      <c r="T958" s="139">
        <v>2009</v>
      </c>
      <c r="U958" s="181" t="s">
        <v>351</v>
      </c>
      <c r="V958" s="139">
        <v>2015</v>
      </c>
      <c r="W958" s="140" t="s">
        <v>331</v>
      </c>
      <c r="X958" s="181" t="s">
        <v>30</v>
      </c>
      <c r="Y958" s="58" t="s">
        <v>5066</v>
      </c>
      <c r="Z958" s="140">
        <v>62070</v>
      </c>
      <c r="AA958" s="470" t="s">
        <v>1841</v>
      </c>
      <c r="AB958" s="471">
        <v>44376</v>
      </c>
      <c r="AC958" s="471">
        <v>46201</v>
      </c>
      <c r="AD958" s="472">
        <v>9866864646</v>
      </c>
      <c r="AE958" s="473" t="s">
        <v>6348</v>
      </c>
      <c r="AF958" s="474" t="s">
        <v>1430</v>
      </c>
      <c r="AG958" s="475">
        <v>50100231985552</v>
      </c>
      <c r="AH958" s="181" t="s">
        <v>1961</v>
      </c>
      <c r="AI958" s="139" t="s">
        <v>6350</v>
      </c>
      <c r="AJ958" s="476">
        <v>368422909889</v>
      </c>
      <c r="AK958" s="470"/>
      <c r="AL958" s="461"/>
      <c r="AM958" s="477"/>
      <c r="AN958" s="478"/>
      <c r="AO958" s="140" t="s">
        <v>9207</v>
      </c>
      <c r="AP958" s="58"/>
      <c r="AQ958" s="97" t="s">
        <v>9207</v>
      </c>
      <c r="AR958" s="462"/>
      <c r="AS958" s="479">
        <v>0.45833333333333331</v>
      </c>
      <c r="AT958" s="479">
        <v>0.70833333333333337</v>
      </c>
      <c r="AU958" s="480">
        <v>30967</v>
      </c>
      <c r="AV958" s="181" t="s">
        <v>1389</v>
      </c>
      <c r="AW958" s="31" t="s">
        <v>32</v>
      </c>
      <c r="AX958" s="139">
        <v>6</v>
      </c>
      <c r="AY958" s="58" t="s">
        <v>2053</v>
      </c>
      <c r="AZ958" s="58" t="s">
        <v>26</v>
      </c>
      <c r="BA958" s="58" t="s">
        <v>151</v>
      </c>
      <c r="BB958" s="58" t="s">
        <v>1407</v>
      </c>
      <c r="BC958" s="58"/>
    </row>
    <row r="959" spans="1:55" x14ac:dyDescent="0.25">
      <c r="A959" s="10">
        <f t="shared" si="38"/>
        <v>958</v>
      </c>
      <c r="B959" s="181"/>
      <c r="C959" s="592" t="s">
        <v>1407</v>
      </c>
      <c r="D959" s="457">
        <v>400876</v>
      </c>
      <c r="E959" s="181" t="s">
        <v>36</v>
      </c>
      <c r="F959" s="97" t="s">
        <v>9208</v>
      </c>
      <c r="G959" s="139">
        <v>6</v>
      </c>
      <c r="H959" s="458">
        <v>0.70833333333333337</v>
      </c>
      <c r="I959" s="458">
        <v>0.875</v>
      </c>
      <c r="J959" s="458">
        <f>I959-H959</f>
        <v>0.16666666666666663</v>
      </c>
      <c r="K959" s="143" t="s">
        <v>314</v>
      </c>
      <c r="L959" s="97" t="s">
        <v>1424</v>
      </c>
      <c r="M959" s="63" t="s">
        <v>1355</v>
      </c>
      <c r="N959" s="100" t="s">
        <v>1520</v>
      </c>
      <c r="O959" s="58"/>
      <c r="P959" s="206">
        <v>45246</v>
      </c>
      <c r="Q959" s="460">
        <v>45246</v>
      </c>
      <c r="R959" s="460">
        <v>45976</v>
      </c>
      <c r="S959" s="461">
        <v>45977</v>
      </c>
      <c r="T959" s="139">
        <v>2010</v>
      </c>
      <c r="U959" s="139" t="s">
        <v>251</v>
      </c>
      <c r="V959" s="139">
        <v>2015</v>
      </c>
      <c r="W959" s="139" t="s">
        <v>9209</v>
      </c>
      <c r="X959" s="139"/>
      <c r="Y959" s="462"/>
      <c r="Z959" s="140">
        <v>89487</v>
      </c>
      <c r="AA959" s="140" t="s">
        <v>1560</v>
      </c>
      <c r="AB959" s="460">
        <v>44613</v>
      </c>
      <c r="AC959" s="460">
        <v>46439</v>
      </c>
      <c r="AD959" s="488">
        <v>9964165832</v>
      </c>
      <c r="AE959" s="140" t="s">
        <v>9210</v>
      </c>
      <c r="AF959" s="139"/>
      <c r="AG959" s="463"/>
      <c r="AH959" s="139"/>
      <c r="AI959" s="139" t="s">
        <v>9211</v>
      </c>
      <c r="AJ959" s="464">
        <v>470955734069</v>
      </c>
      <c r="AK959" s="140"/>
      <c r="AL959" s="206">
        <v>45246</v>
      </c>
      <c r="AM959" s="477"/>
      <c r="AN959" s="465"/>
      <c r="AO959" s="140" t="s">
        <v>9212</v>
      </c>
      <c r="AP959" s="139"/>
      <c r="AQ959" s="140" t="s">
        <v>9212</v>
      </c>
      <c r="AR959" s="58"/>
      <c r="AS959" s="458"/>
      <c r="AT959" s="458"/>
      <c r="AU959" s="461"/>
      <c r="AV959" s="181" t="s">
        <v>1389</v>
      </c>
      <c r="AW959" s="31" t="s">
        <v>32</v>
      </c>
      <c r="AX959" s="139">
        <v>4</v>
      </c>
      <c r="AY959" s="58" t="s">
        <v>2270</v>
      </c>
      <c r="AZ959" s="58" t="s">
        <v>1373</v>
      </c>
      <c r="BA959" s="58" t="s">
        <v>151</v>
      </c>
      <c r="BB959" s="58" t="s">
        <v>1407</v>
      </c>
      <c r="BC959" s="58"/>
    </row>
    <row r="960" spans="1:55" x14ac:dyDescent="0.25">
      <c r="A960" s="10">
        <f t="shared" si="38"/>
        <v>959</v>
      </c>
      <c r="B960" s="181" t="s">
        <v>9213</v>
      </c>
      <c r="C960" s="592" t="s">
        <v>1407</v>
      </c>
      <c r="D960" s="457">
        <v>400879</v>
      </c>
      <c r="E960" s="181" t="s">
        <v>36</v>
      </c>
      <c r="F960" s="97" t="s">
        <v>9214</v>
      </c>
      <c r="G960" s="139">
        <v>6</v>
      </c>
      <c r="H960" s="469" t="s">
        <v>235</v>
      </c>
      <c r="I960" s="469" t="s">
        <v>978</v>
      </c>
      <c r="J960" s="458">
        <v>0.33333333333333331</v>
      </c>
      <c r="K960" s="143" t="s">
        <v>314</v>
      </c>
      <c r="L960" s="97" t="s">
        <v>1424</v>
      </c>
      <c r="M960" s="63" t="s">
        <v>1355</v>
      </c>
      <c r="N960" s="100" t="s">
        <v>1520</v>
      </c>
      <c r="O960" s="58" t="s">
        <v>5330</v>
      </c>
      <c r="P960" s="206">
        <v>45246</v>
      </c>
      <c r="Q960" s="206">
        <v>45246</v>
      </c>
      <c r="R960" s="206">
        <v>45976</v>
      </c>
      <c r="S960" s="461">
        <v>45977</v>
      </c>
      <c r="T960" s="139">
        <v>2015</v>
      </c>
      <c r="U960" s="181" t="s">
        <v>5148</v>
      </c>
      <c r="V960" s="139">
        <v>2022</v>
      </c>
      <c r="W960" s="140" t="s">
        <v>9215</v>
      </c>
      <c r="X960" s="181" t="s">
        <v>30</v>
      </c>
      <c r="Y960" s="58" t="s">
        <v>5066</v>
      </c>
      <c r="Z960" s="140">
        <v>112166</v>
      </c>
      <c r="AA960" s="470" t="s">
        <v>1560</v>
      </c>
      <c r="AB960" s="471">
        <v>44744</v>
      </c>
      <c r="AC960" s="471">
        <v>46569</v>
      </c>
      <c r="AD960" s="472">
        <v>7892048554</v>
      </c>
      <c r="AE960" s="473" t="s">
        <v>9216</v>
      </c>
      <c r="AF960" s="474" t="s">
        <v>5086</v>
      </c>
      <c r="AG960" s="475">
        <v>41333340342</v>
      </c>
      <c r="AH960" s="181" t="s">
        <v>9217</v>
      </c>
      <c r="AI960" s="139" t="s">
        <v>9218</v>
      </c>
      <c r="AJ960" s="476">
        <v>241849661102</v>
      </c>
      <c r="AK960" s="470"/>
      <c r="AL960" s="206">
        <v>45392</v>
      </c>
      <c r="AM960" s="477">
        <v>45332</v>
      </c>
      <c r="AN960" s="478" t="s">
        <v>5098</v>
      </c>
      <c r="AO960" s="140" t="s">
        <v>9219</v>
      </c>
      <c r="AP960" s="58"/>
      <c r="AQ960" s="97" t="s">
        <v>9219</v>
      </c>
      <c r="AR960" s="462"/>
      <c r="AS960" s="479">
        <v>0.33333333333333331</v>
      </c>
      <c r="AT960" s="479">
        <v>0.66666666666666663</v>
      </c>
      <c r="AU960" s="480">
        <v>33481</v>
      </c>
      <c r="AV960" s="181" t="s">
        <v>1389</v>
      </c>
      <c r="AW960" s="31" t="s">
        <v>68</v>
      </c>
      <c r="AX960" s="139">
        <v>8</v>
      </c>
      <c r="AY960" s="58" t="s">
        <v>2270</v>
      </c>
      <c r="AZ960" s="58" t="s">
        <v>1373</v>
      </c>
      <c r="BA960" s="58" t="s">
        <v>151</v>
      </c>
      <c r="BB960" s="58" t="s">
        <v>1407</v>
      </c>
      <c r="BC960" s="58"/>
    </row>
    <row r="961" spans="1:55" x14ac:dyDescent="0.25">
      <c r="A961" s="10">
        <f t="shared" si="38"/>
        <v>960</v>
      </c>
      <c r="B961" s="181" t="s">
        <v>9220</v>
      </c>
      <c r="C961" s="592" t="s">
        <v>1407</v>
      </c>
      <c r="D961" s="457">
        <v>400926</v>
      </c>
      <c r="E961" s="181" t="s">
        <v>36</v>
      </c>
      <c r="F961" s="97" t="s">
        <v>9221</v>
      </c>
      <c r="G961" s="139">
        <v>6</v>
      </c>
      <c r="H961" s="469" t="s">
        <v>989</v>
      </c>
      <c r="I961" s="469" t="s">
        <v>978</v>
      </c>
      <c r="J961" s="458">
        <f>I961-H961</f>
        <v>0.16666666666666663</v>
      </c>
      <c r="K961" s="58" t="s">
        <v>147</v>
      </c>
      <c r="L961" s="97" t="s">
        <v>1424</v>
      </c>
      <c r="M961" s="97" t="s">
        <v>2097</v>
      </c>
      <c r="N961" s="58" t="s">
        <v>2098</v>
      </c>
      <c r="O961" s="58" t="s">
        <v>6947</v>
      </c>
      <c r="P961" s="206">
        <v>45310</v>
      </c>
      <c r="Q961" s="206">
        <v>45310</v>
      </c>
      <c r="R961" s="206">
        <v>46040</v>
      </c>
      <c r="S961" s="461">
        <v>46041</v>
      </c>
      <c r="T961" s="139">
        <v>2017</v>
      </c>
      <c r="U961" s="181" t="s">
        <v>8060</v>
      </c>
      <c r="V961" s="139">
        <v>2023</v>
      </c>
      <c r="W961" s="97" t="s">
        <v>209</v>
      </c>
      <c r="X961" s="181" t="s">
        <v>30</v>
      </c>
      <c r="Y961" s="58" t="s">
        <v>5066</v>
      </c>
      <c r="Z961" s="140" t="s">
        <v>9222</v>
      </c>
      <c r="AA961" s="470" t="s">
        <v>1841</v>
      </c>
      <c r="AB961" s="471">
        <v>45184</v>
      </c>
      <c r="AC961" s="471">
        <v>47010</v>
      </c>
      <c r="AD961" s="472">
        <v>8919139528</v>
      </c>
      <c r="AE961" s="473" t="s">
        <v>9223</v>
      </c>
      <c r="AF961" s="474" t="s">
        <v>5086</v>
      </c>
      <c r="AG961" s="475" t="s">
        <v>9224</v>
      </c>
      <c r="AH961" s="181" t="s">
        <v>2891</v>
      </c>
      <c r="AI961" s="139" t="s">
        <v>9225</v>
      </c>
      <c r="AJ961" s="476">
        <v>467043226889</v>
      </c>
      <c r="AK961" s="470"/>
      <c r="AL961" s="517">
        <v>45594</v>
      </c>
      <c r="AM961" s="477">
        <v>45579</v>
      </c>
      <c r="AN961" s="470" t="s">
        <v>9226</v>
      </c>
      <c r="AO961" s="140" t="s">
        <v>9227</v>
      </c>
      <c r="AP961" s="58"/>
      <c r="AQ961" s="462">
        <f ca="1">ROUNDDOWN((TODAY() - AU961)/365.25,0)</f>
        <v>31</v>
      </c>
      <c r="AR961" s="479"/>
      <c r="AS961" s="479">
        <v>0.875</v>
      </c>
      <c r="AT961" s="61">
        <v>4</v>
      </c>
      <c r="AU961" s="518">
        <v>34506</v>
      </c>
      <c r="AV961" s="181" t="s">
        <v>1352</v>
      </c>
      <c r="AW961" s="31" t="s">
        <v>32</v>
      </c>
      <c r="AX961" s="139">
        <v>4</v>
      </c>
      <c r="AY961" s="58" t="s">
        <v>1849</v>
      </c>
      <c r="AZ961" s="58" t="s">
        <v>1373</v>
      </c>
      <c r="BA961" s="58" t="s">
        <v>151</v>
      </c>
      <c r="BB961" s="58" t="s">
        <v>1407</v>
      </c>
      <c r="BC961" s="58"/>
    </row>
    <row r="962" spans="1:55" x14ac:dyDescent="0.25">
      <c r="A962" s="10">
        <f t="shared" si="38"/>
        <v>961</v>
      </c>
      <c r="B962" s="61" t="s">
        <v>9228</v>
      </c>
      <c r="C962" s="592" t="s">
        <v>1407</v>
      </c>
      <c r="D962" s="96">
        <v>400880</v>
      </c>
      <c r="E962" s="62" t="s">
        <v>192</v>
      </c>
      <c r="F962" s="97" t="s">
        <v>9229</v>
      </c>
      <c r="G962" s="98"/>
      <c r="H962" s="141"/>
      <c r="I962" s="141"/>
      <c r="J962" s="141"/>
      <c r="K962" s="21" t="s">
        <v>334</v>
      </c>
      <c r="L962" s="63" t="s">
        <v>9230</v>
      </c>
      <c r="M962" s="63" t="s">
        <v>26</v>
      </c>
      <c r="N962" s="100" t="s">
        <v>38</v>
      </c>
      <c r="O962" s="143" t="s">
        <v>1492</v>
      </c>
      <c r="P962" s="446">
        <v>45246</v>
      </c>
      <c r="Q962" s="446">
        <v>45246</v>
      </c>
      <c r="R962" s="446">
        <v>45976</v>
      </c>
      <c r="S962" s="338">
        <v>45977</v>
      </c>
      <c r="T962" s="61">
        <v>2011</v>
      </c>
      <c r="U962" s="63" t="s">
        <v>9064</v>
      </c>
      <c r="V962" s="61">
        <v>2016</v>
      </c>
      <c r="W962" s="99" t="s">
        <v>326</v>
      </c>
      <c r="X962" s="62" t="s">
        <v>30</v>
      </c>
      <c r="Y962" s="100" t="s">
        <v>49</v>
      </c>
      <c r="Z962" s="99">
        <v>94882</v>
      </c>
      <c r="AA962" s="63" t="s">
        <v>1560</v>
      </c>
      <c r="AB962" s="451">
        <v>45367</v>
      </c>
      <c r="AC962" s="451">
        <v>47193</v>
      </c>
      <c r="AD962" s="304">
        <v>9620097350</v>
      </c>
      <c r="AE962" s="336" t="s">
        <v>9231</v>
      </c>
      <c r="AF962" s="500" t="s">
        <v>5086</v>
      </c>
      <c r="AG962" s="501">
        <v>30366868183</v>
      </c>
      <c r="AH962" s="62" t="s">
        <v>9232</v>
      </c>
      <c r="AI962" s="61" t="s">
        <v>9233</v>
      </c>
      <c r="AJ962" s="337" t="s">
        <v>9234</v>
      </c>
      <c r="AK962" s="63"/>
      <c r="AL962" s="338" t="s">
        <v>5711</v>
      </c>
      <c r="AM962" s="477" t="s">
        <v>30</v>
      </c>
      <c r="AN962" s="100" t="s">
        <v>5712</v>
      </c>
      <c r="AO962" s="63" t="s">
        <v>9235</v>
      </c>
      <c r="AP962" s="61">
        <v>37</v>
      </c>
      <c r="AQ962" s="100"/>
      <c r="AR962" s="100"/>
      <c r="AS962" s="61"/>
      <c r="AT962" s="493"/>
      <c r="AU962" s="338">
        <v>32273</v>
      </c>
      <c r="AV962" s="62" t="s">
        <v>1352</v>
      </c>
      <c r="AW962" s="62" t="s">
        <v>32</v>
      </c>
      <c r="AX962" s="139"/>
      <c r="AY962" s="58"/>
      <c r="AZ962" s="58" t="s">
        <v>26</v>
      </c>
      <c r="BA962" s="58" t="s">
        <v>151</v>
      </c>
      <c r="BB962" s="58" t="s">
        <v>1407</v>
      </c>
      <c r="BC962" s="58"/>
    </row>
    <row r="963" spans="1:55" x14ac:dyDescent="0.25">
      <c r="A963" s="10">
        <f t="shared" si="38"/>
        <v>962</v>
      </c>
      <c r="B963" s="181" t="s">
        <v>9236</v>
      </c>
      <c r="C963" s="592" t="s">
        <v>1407</v>
      </c>
      <c r="D963" s="457">
        <v>400881</v>
      </c>
      <c r="E963" s="181" t="s">
        <v>36</v>
      </c>
      <c r="F963" s="97" t="s">
        <v>9237</v>
      </c>
      <c r="G963" s="139">
        <v>6</v>
      </c>
      <c r="H963" s="469" t="s">
        <v>5491</v>
      </c>
      <c r="I963" s="469" t="s">
        <v>7654</v>
      </c>
      <c r="J963" s="458">
        <f>I963-H963</f>
        <v>8.3333333333333315E-2</v>
      </c>
      <c r="K963" s="58" t="s">
        <v>446</v>
      </c>
      <c r="L963" s="97" t="s">
        <v>1424</v>
      </c>
      <c r="M963" s="97" t="s">
        <v>1376</v>
      </c>
      <c r="N963" s="58" t="s">
        <v>1393</v>
      </c>
      <c r="O963" s="58" t="s">
        <v>1424</v>
      </c>
      <c r="P963" s="206">
        <v>45250</v>
      </c>
      <c r="Q963" s="206">
        <v>45250</v>
      </c>
      <c r="R963" s="206">
        <v>45980</v>
      </c>
      <c r="S963" s="461">
        <v>45981</v>
      </c>
      <c r="T963" s="139">
        <v>2019</v>
      </c>
      <c r="U963" s="181" t="s">
        <v>306</v>
      </c>
      <c r="V963" s="139" t="s">
        <v>1424</v>
      </c>
      <c r="W963" s="140" t="s">
        <v>1424</v>
      </c>
      <c r="X963" s="181" t="s">
        <v>30</v>
      </c>
      <c r="Y963" s="58" t="s">
        <v>226</v>
      </c>
      <c r="Z963" s="140" t="s">
        <v>9238</v>
      </c>
      <c r="AA963" s="470" t="s">
        <v>1886</v>
      </c>
      <c r="AB963" s="471">
        <v>44582</v>
      </c>
      <c r="AC963" s="471">
        <v>46407</v>
      </c>
      <c r="AD963" s="472">
        <v>9390854528</v>
      </c>
      <c r="AE963" s="473" t="s">
        <v>9239</v>
      </c>
      <c r="AF963" s="474" t="s">
        <v>5086</v>
      </c>
      <c r="AG963" s="475">
        <v>38458676088</v>
      </c>
      <c r="AH963" s="181" t="s">
        <v>2229</v>
      </c>
      <c r="AI963" s="139" t="s">
        <v>9240</v>
      </c>
      <c r="AJ963" s="476">
        <v>267381830420</v>
      </c>
      <c r="AK963" s="470"/>
      <c r="AL963" s="206">
        <v>45412</v>
      </c>
      <c r="AM963" s="477">
        <v>45352</v>
      </c>
      <c r="AN963" s="478" t="s">
        <v>5098</v>
      </c>
      <c r="AO963" s="140" t="s">
        <v>9241</v>
      </c>
      <c r="AP963" s="58"/>
      <c r="AQ963" s="97" t="s">
        <v>9241</v>
      </c>
      <c r="AR963" s="462"/>
      <c r="AS963" s="479">
        <v>0.375</v>
      </c>
      <c r="AT963" s="479">
        <v>0.45833333333333331</v>
      </c>
      <c r="AU963" s="480">
        <v>34860</v>
      </c>
      <c r="AV963" s="181" t="s">
        <v>1389</v>
      </c>
      <c r="AW963" s="31" t="s">
        <v>32</v>
      </c>
      <c r="AX963" s="139">
        <v>2</v>
      </c>
      <c r="AY963" s="58" t="s">
        <v>1849</v>
      </c>
      <c r="AZ963" s="58" t="s">
        <v>1390</v>
      </c>
      <c r="BA963" s="58" t="s">
        <v>151</v>
      </c>
      <c r="BB963" s="58" t="s">
        <v>1407</v>
      </c>
      <c r="BC963" s="58"/>
    </row>
    <row r="964" spans="1:55" x14ac:dyDescent="0.25">
      <c r="A964" s="10">
        <f t="shared" ref="A964:A1027" si="41">A963+1</f>
        <v>963</v>
      </c>
      <c r="B964" s="181" t="s">
        <v>9242</v>
      </c>
      <c r="C964" s="592" t="s">
        <v>1407</v>
      </c>
      <c r="D964" s="457">
        <v>400882</v>
      </c>
      <c r="E964" s="181" t="s">
        <v>36</v>
      </c>
      <c r="F964" s="97" t="s">
        <v>9243</v>
      </c>
      <c r="G964" s="139">
        <v>6</v>
      </c>
      <c r="H964" s="469" t="s">
        <v>5491</v>
      </c>
      <c r="I964" s="469" t="s">
        <v>5118</v>
      </c>
      <c r="J964" s="458">
        <v>4.1666666666666664E-2</v>
      </c>
      <c r="K964" s="58" t="s">
        <v>4961</v>
      </c>
      <c r="L964" s="97" t="s">
        <v>1424</v>
      </c>
      <c r="M964" s="97" t="s">
        <v>1376</v>
      </c>
      <c r="N964" s="58" t="s">
        <v>1393</v>
      </c>
      <c r="O964" s="58" t="s">
        <v>1424</v>
      </c>
      <c r="P964" s="206">
        <v>45251</v>
      </c>
      <c r="Q964" s="206">
        <v>45251</v>
      </c>
      <c r="R964" s="206">
        <v>45981</v>
      </c>
      <c r="S964" s="461">
        <v>45982</v>
      </c>
      <c r="T964" s="139">
        <v>2021</v>
      </c>
      <c r="U964" s="181" t="s">
        <v>9244</v>
      </c>
      <c r="V964" s="139" t="s">
        <v>1424</v>
      </c>
      <c r="W964" s="140" t="s">
        <v>1424</v>
      </c>
      <c r="X964" s="181" t="s">
        <v>30</v>
      </c>
      <c r="Y964" s="58" t="s">
        <v>226</v>
      </c>
      <c r="Z964" s="140" t="s">
        <v>9245</v>
      </c>
      <c r="AA964" s="470" t="s">
        <v>1841</v>
      </c>
      <c r="AB964" s="471">
        <v>44925</v>
      </c>
      <c r="AC964" s="471">
        <v>46750</v>
      </c>
      <c r="AD964" s="472" t="s">
        <v>9246</v>
      </c>
      <c r="AE964" s="473" t="s">
        <v>9247</v>
      </c>
      <c r="AF964" s="474" t="s">
        <v>1430</v>
      </c>
      <c r="AG964" s="475">
        <v>59109391231994</v>
      </c>
      <c r="AH964" s="181" t="s">
        <v>9248</v>
      </c>
      <c r="AI964" s="139" t="s">
        <v>9249</v>
      </c>
      <c r="AJ964" s="476">
        <v>638671190696</v>
      </c>
      <c r="AK964" s="470"/>
      <c r="AL964" s="206">
        <v>45433</v>
      </c>
      <c r="AM964" s="477" t="s">
        <v>30</v>
      </c>
      <c r="AN964" s="519" t="s">
        <v>9250</v>
      </c>
      <c r="AO964" s="140" t="s">
        <v>9251</v>
      </c>
      <c r="AP964" s="58"/>
      <c r="AQ964" s="97" t="s">
        <v>9251</v>
      </c>
      <c r="AR964" s="462"/>
      <c r="AS964" s="479">
        <v>0.375</v>
      </c>
      <c r="AT964" s="479">
        <v>0.41666666666666669</v>
      </c>
      <c r="AU964" s="480">
        <v>34357</v>
      </c>
      <c r="AV964" s="181" t="s">
        <v>1352</v>
      </c>
      <c r="AW964" s="31" t="s">
        <v>32</v>
      </c>
      <c r="AX964" s="139">
        <v>1</v>
      </c>
      <c r="AY964" s="58" t="s">
        <v>2189</v>
      </c>
      <c r="AZ964" s="58" t="s">
        <v>1390</v>
      </c>
      <c r="BA964" s="58" t="s">
        <v>151</v>
      </c>
      <c r="BB964" s="58" t="s">
        <v>1407</v>
      </c>
      <c r="BC964" s="58"/>
    </row>
    <row r="965" spans="1:55" x14ac:dyDescent="0.25">
      <c r="A965" s="10">
        <f t="shared" si="41"/>
        <v>964</v>
      </c>
      <c r="B965" s="181" t="s">
        <v>972</v>
      </c>
      <c r="C965" s="592" t="s">
        <v>1407</v>
      </c>
      <c r="D965" s="457">
        <v>400883</v>
      </c>
      <c r="E965" s="181" t="s">
        <v>36</v>
      </c>
      <c r="F965" s="97" t="s">
        <v>973</v>
      </c>
      <c r="G965" s="139">
        <v>6</v>
      </c>
      <c r="H965" s="458" t="s">
        <v>1864</v>
      </c>
      <c r="I965" s="458" t="s">
        <v>1003</v>
      </c>
      <c r="J965" s="458">
        <f t="shared" ref="J965:J979" si="42">I965-H965</f>
        <v>0.33333333333333337</v>
      </c>
      <c r="K965" s="143" t="s">
        <v>513</v>
      </c>
      <c r="L965" s="97" t="s">
        <v>5119</v>
      </c>
      <c r="M965" s="97" t="s">
        <v>26</v>
      </c>
      <c r="N965" s="58" t="s">
        <v>38</v>
      </c>
      <c r="O965" s="58" t="s">
        <v>5076</v>
      </c>
      <c r="P965" s="206">
        <v>45248</v>
      </c>
      <c r="Q965" s="460">
        <v>45248</v>
      </c>
      <c r="R965" s="460">
        <v>45978</v>
      </c>
      <c r="S965" s="461">
        <v>45979</v>
      </c>
      <c r="T965" s="139">
        <v>2018</v>
      </c>
      <c r="U965" s="139" t="s">
        <v>499</v>
      </c>
      <c r="V965" s="139">
        <v>2023</v>
      </c>
      <c r="W965" s="139" t="s">
        <v>400</v>
      </c>
      <c r="X965" s="139"/>
      <c r="Y965" s="462"/>
      <c r="Z965" s="140" t="s">
        <v>4005</v>
      </c>
      <c r="AA965" s="140" t="s">
        <v>1841</v>
      </c>
      <c r="AB965" s="460">
        <v>45232</v>
      </c>
      <c r="AC965" s="460">
        <v>47058</v>
      </c>
      <c r="AD965" s="488" t="s">
        <v>9252</v>
      </c>
      <c r="AE965" s="140" t="s">
        <v>975</v>
      </c>
      <c r="AF965" s="139" t="s">
        <v>1430</v>
      </c>
      <c r="AG965" s="463">
        <v>50100685434819</v>
      </c>
      <c r="AH965" s="139" t="s">
        <v>2638</v>
      </c>
      <c r="AI965" s="139" t="s">
        <v>4007</v>
      </c>
      <c r="AJ965" s="464">
        <v>983764112364</v>
      </c>
      <c r="AK965" s="140"/>
      <c r="AL965" s="461">
        <v>45322</v>
      </c>
      <c r="AM965" s="477">
        <v>45322</v>
      </c>
      <c r="AN965" s="465"/>
      <c r="AO965" s="140"/>
      <c r="AP965" s="139"/>
      <c r="AQ965" s="139"/>
      <c r="AR965" s="58"/>
      <c r="AS965" s="458">
        <v>28</v>
      </c>
      <c r="AT965" s="458">
        <v>0.35416666666666669</v>
      </c>
      <c r="AU965" s="461"/>
      <c r="AV965" s="181" t="s">
        <v>1352</v>
      </c>
      <c r="AW965" s="31" t="s">
        <v>68</v>
      </c>
      <c r="AX965" s="139">
        <v>8</v>
      </c>
      <c r="AY965" s="58" t="s">
        <v>1959</v>
      </c>
      <c r="AZ965" s="58" t="s">
        <v>26</v>
      </c>
      <c r="BA965" s="58" t="s">
        <v>151</v>
      </c>
      <c r="BB965" s="58" t="s">
        <v>1407</v>
      </c>
      <c r="BC965" s="58"/>
    </row>
    <row r="966" spans="1:55" x14ac:dyDescent="0.25">
      <c r="A966" s="10">
        <f t="shared" si="41"/>
        <v>965</v>
      </c>
      <c r="B966" s="181" t="s">
        <v>1227</v>
      </c>
      <c r="C966" s="592" t="s">
        <v>1407</v>
      </c>
      <c r="D966" s="457">
        <v>400884</v>
      </c>
      <c r="E966" s="181" t="s">
        <v>36</v>
      </c>
      <c r="F966" s="97" t="s">
        <v>1228</v>
      </c>
      <c r="G966" s="139">
        <v>6</v>
      </c>
      <c r="H966" s="469">
        <v>0.35416666666666669</v>
      </c>
      <c r="I966" s="469">
        <v>0.60416666666666663</v>
      </c>
      <c r="J966" s="458">
        <f t="shared" si="42"/>
        <v>0.24999999999999994</v>
      </c>
      <c r="K966" s="58" t="s">
        <v>1081</v>
      </c>
      <c r="L966" s="97" t="s">
        <v>9253</v>
      </c>
      <c r="M966" s="97" t="s">
        <v>26</v>
      </c>
      <c r="N966" s="58" t="s">
        <v>38</v>
      </c>
      <c r="O966" s="58" t="s">
        <v>5063</v>
      </c>
      <c r="P966" s="206">
        <v>45254</v>
      </c>
      <c r="Q966" s="206">
        <v>45254</v>
      </c>
      <c r="R966" s="206">
        <v>45984</v>
      </c>
      <c r="S966" s="461">
        <v>45985</v>
      </c>
      <c r="T966" s="139">
        <v>2016</v>
      </c>
      <c r="U966" s="181" t="s">
        <v>380</v>
      </c>
      <c r="V966" s="139">
        <v>2023</v>
      </c>
      <c r="W966" s="140" t="s">
        <v>251</v>
      </c>
      <c r="X966" s="181" t="s">
        <v>30</v>
      </c>
      <c r="Y966" s="58" t="s">
        <v>5066</v>
      </c>
      <c r="Z966" s="140" t="s">
        <v>4667</v>
      </c>
      <c r="AA966" s="470" t="s">
        <v>1841</v>
      </c>
      <c r="AB966" s="471">
        <v>45240</v>
      </c>
      <c r="AC966" s="471">
        <v>47066</v>
      </c>
      <c r="AD966" s="472">
        <v>9849523451</v>
      </c>
      <c r="AE966" s="473" t="s">
        <v>1231</v>
      </c>
      <c r="AF966" s="474" t="s">
        <v>9254</v>
      </c>
      <c r="AG966" s="475">
        <v>6901144628</v>
      </c>
      <c r="AH966" s="181" t="s">
        <v>9255</v>
      </c>
      <c r="AI966" s="139" t="s">
        <v>4670</v>
      </c>
      <c r="AJ966" s="476">
        <v>564053001671</v>
      </c>
      <c r="AK966" s="470"/>
      <c r="AL966" s="461">
        <v>45421</v>
      </c>
      <c r="AM966" s="477" t="s">
        <v>30</v>
      </c>
      <c r="AN966" s="519" t="s">
        <v>5098</v>
      </c>
      <c r="AO966" s="140" t="s">
        <v>9256</v>
      </c>
      <c r="AP966" s="58"/>
      <c r="AQ966" s="97" t="s">
        <v>9256</v>
      </c>
      <c r="AR966" s="462"/>
      <c r="AS966" s="479">
        <v>0.35416666666666669</v>
      </c>
      <c r="AT966" s="479">
        <v>0.60416666666666663</v>
      </c>
      <c r="AU966" s="480">
        <v>34186</v>
      </c>
      <c r="AV966" s="181" t="s">
        <v>1389</v>
      </c>
      <c r="AW966" s="31" t="s">
        <v>32</v>
      </c>
      <c r="AX966" s="139">
        <v>6</v>
      </c>
      <c r="AY966" s="58" t="s">
        <v>1881</v>
      </c>
      <c r="AZ966" s="58" t="s">
        <v>26</v>
      </c>
      <c r="BA966" s="58" t="s">
        <v>151</v>
      </c>
      <c r="BB966" s="58" t="s">
        <v>1407</v>
      </c>
      <c r="BC966" s="58"/>
    </row>
    <row r="967" spans="1:55" x14ac:dyDescent="0.25">
      <c r="A967" s="10">
        <f t="shared" si="41"/>
        <v>966</v>
      </c>
      <c r="B967" s="520" t="s">
        <v>292</v>
      </c>
      <c r="C967" s="595" t="s">
        <v>1407</v>
      </c>
      <c r="D967" s="521">
        <v>400014</v>
      </c>
      <c r="E967" s="520" t="s">
        <v>36</v>
      </c>
      <c r="F967" s="522" t="s">
        <v>293</v>
      </c>
      <c r="G967" s="523">
        <v>6</v>
      </c>
      <c r="H967" s="524" t="s">
        <v>5491</v>
      </c>
      <c r="I967" s="524" t="s">
        <v>747</v>
      </c>
      <c r="J967" s="525">
        <f t="shared" si="42"/>
        <v>0.125</v>
      </c>
      <c r="K967" s="526" t="s">
        <v>4961</v>
      </c>
      <c r="L967" s="522" t="s">
        <v>148</v>
      </c>
      <c r="M967" s="522" t="s">
        <v>26</v>
      </c>
      <c r="N967" s="527" t="s">
        <v>38</v>
      </c>
      <c r="O967" s="526" t="s">
        <v>5076</v>
      </c>
      <c r="P967" s="528">
        <v>42675</v>
      </c>
      <c r="Q967" s="528">
        <v>44866</v>
      </c>
      <c r="R967" s="528">
        <v>45596</v>
      </c>
      <c r="S967" s="529">
        <v>45597</v>
      </c>
      <c r="T967" s="523">
        <v>2001</v>
      </c>
      <c r="U967" s="520" t="s">
        <v>296</v>
      </c>
      <c r="V967" s="523">
        <v>2008</v>
      </c>
      <c r="W967" s="530" t="s">
        <v>175</v>
      </c>
      <c r="X967" s="520" t="s">
        <v>30</v>
      </c>
      <c r="Y967" s="527" t="s">
        <v>1236</v>
      </c>
      <c r="Z967" s="530">
        <v>45950</v>
      </c>
      <c r="AA967" s="522" t="s">
        <v>1841</v>
      </c>
      <c r="AB967" s="531">
        <v>44490</v>
      </c>
      <c r="AC967" s="531">
        <v>46315</v>
      </c>
      <c r="AD967" s="532">
        <v>9494209538</v>
      </c>
      <c r="AE967" s="533" t="s">
        <v>297</v>
      </c>
      <c r="AF967" s="522" t="s">
        <v>1364</v>
      </c>
      <c r="AG967" s="534" t="s">
        <v>9257</v>
      </c>
      <c r="AH967" s="520" t="s">
        <v>2182</v>
      </c>
      <c r="AI967" s="523" t="s">
        <v>2183</v>
      </c>
      <c r="AJ967" s="535">
        <v>853014440419</v>
      </c>
      <c r="AK967" s="522" t="s">
        <v>2185</v>
      </c>
      <c r="AL967" s="529">
        <v>45596</v>
      </c>
      <c r="AM967" s="528" t="s">
        <v>30</v>
      </c>
      <c r="AN967" s="522" t="s">
        <v>9258</v>
      </c>
      <c r="AO967" s="536" t="s">
        <v>2186</v>
      </c>
      <c r="AP967" s="526">
        <v>49</v>
      </c>
      <c r="AQ967" s="537">
        <v>0.375</v>
      </c>
      <c r="AR967" s="537"/>
      <c r="AS967" s="537"/>
      <c r="AT967" s="537"/>
      <c r="AU967" s="529">
        <v>27655</v>
      </c>
      <c r="AV967" s="520" t="s">
        <v>1352</v>
      </c>
      <c r="AW967" s="117" t="s">
        <v>32</v>
      </c>
      <c r="AX967" s="523">
        <v>3</v>
      </c>
      <c r="AY967" s="538" t="s">
        <v>2189</v>
      </c>
      <c r="AZ967" s="527" t="s">
        <v>26</v>
      </c>
      <c r="BA967" s="527" t="s">
        <v>151</v>
      </c>
      <c r="BB967" s="527" t="s">
        <v>1407</v>
      </c>
      <c r="BC967" s="527"/>
    </row>
    <row r="968" spans="1:55" x14ac:dyDescent="0.25">
      <c r="A968" s="10">
        <f t="shared" si="41"/>
        <v>967</v>
      </c>
      <c r="B968" s="181" t="s">
        <v>9259</v>
      </c>
      <c r="C968" s="592" t="s">
        <v>1407</v>
      </c>
      <c r="D968" s="457">
        <v>400118</v>
      </c>
      <c r="E968" s="181" t="s">
        <v>36</v>
      </c>
      <c r="F968" s="97" t="s">
        <v>9260</v>
      </c>
      <c r="G968" s="139">
        <v>6</v>
      </c>
      <c r="H968" s="469" t="s">
        <v>235</v>
      </c>
      <c r="I968" s="469" t="s">
        <v>7654</v>
      </c>
      <c r="J968" s="458">
        <f t="shared" si="42"/>
        <v>0.125</v>
      </c>
      <c r="K968" s="462" t="s">
        <v>294</v>
      </c>
      <c r="L968" s="97" t="s">
        <v>9261</v>
      </c>
      <c r="M968" s="97" t="s">
        <v>26</v>
      </c>
      <c r="N968" s="58" t="s">
        <v>38</v>
      </c>
      <c r="O968" s="462" t="s">
        <v>5076</v>
      </c>
      <c r="P968" s="206">
        <v>43633</v>
      </c>
      <c r="Q968" s="206">
        <v>44682</v>
      </c>
      <c r="R968" s="206">
        <v>45412</v>
      </c>
      <c r="S968" s="461">
        <v>45413</v>
      </c>
      <c r="T968" s="139">
        <v>2006</v>
      </c>
      <c r="U968" s="181" t="s">
        <v>424</v>
      </c>
      <c r="V968" s="139">
        <v>2012</v>
      </c>
      <c r="W968" s="140" t="s">
        <v>282</v>
      </c>
      <c r="X968" s="181" t="s">
        <v>30</v>
      </c>
      <c r="Y968" s="58" t="s">
        <v>1236</v>
      </c>
      <c r="Z968" s="140">
        <v>58769</v>
      </c>
      <c r="AA968" s="97" t="s">
        <v>1841</v>
      </c>
      <c r="AB968" s="471">
        <v>44238</v>
      </c>
      <c r="AC968" s="471">
        <v>46063</v>
      </c>
      <c r="AD968" s="472">
        <v>9849159778</v>
      </c>
      <c r="AE968" s="473" t="s">
        <v>9262</v>
      </c>
      <c r="AF968" s="97" t="s">
        <v>2545</v>
      </c>
      <c r="AG968" s="482" t="s">
        <v>9263</v>
      </c>
      <c r="AH968" s="181" t="s">
        <v>9264</v>
      </c>
      <c r="AI968" s="139" t="s">
        <v>9265</v>
      </c>
      <c r="AJ968" s="464">
        <v>649850656196</v>
      </c>
      <c r="AK968" s="97" t="s">
        <v>9266</v>
      </c>
      <c r="AL968" s="461">
        <v>45596</v>
      </c>
      <c r="AM968" s="477" t="s">
        <v>30</v>
      </c>
      <c r="AN968" s="465" t="s">
        <v>1499</v>
      </c>
      <c r="AO968" s="97"/>
      <c r="AP968" s="58"/>
      <c r="AQ968" s="486"/>
      <c r="AR968" s="462"/>
      <c r="AS968" s="479">
        <v>0.33333333333333331</v>
      </c>
      <c r="AT968" s="479">
        <v>0.45833333333333331</v>
      </c>
      <c r="AU968" s="461">
        <v>30347</v>
      </c>
      <c r="AV968" s="181" t="s">
        <v>1352</v>
      </c>
      <c r="AW968" s="31" t="s">
        <v>32</v>
      </c>
      <c r="AX968" s="139">
        <v>3</v>
      </c>
      <c r="AY968" s="466" t="s">
        <v>2469</v>
      </c>
      <c r="AZ968" s="58" t="s">
        <v>26</v>
      </c>
      <c r="BA968" s="58" t="s">
        <v>151</v>
      </c>
      <c r="BB968" s="58" t="s">
        <v>1407</v>
      </c>
      <c r="BC968" s="58"/>
    </row>
    <row r="969" spans="1:55" x14ac:dyDescent="0.25">
      <c r="A969" s="10">
        <f t="shared" si="41"/>
        <v>968</v>
      </c>
      <c r="B969" s="181" t="s">
        <v>9267</v>
      </c>
      <c r="C969" s="592" t="s">
        <v>1407</v>
      </c>
      <c r="D969" s="457">
        <v>400888</v>
      </c>
      <c r="E969" s="181" t="s">
        <v>36</v>
      </c>
      <c r="F969" s="97" t="s">
        <v>9268</v>
      </c>
      <c r="G969" s="139">
        <v>6</v>
      </c>
      <c r="H969" s="458" t="s">
        <v>6635</v>
      </c>
      <c r="I969" s="458" t="s">
        <v>8921</v>
      </c>
      <c r="J969" s="458">
        <f t="shared" si="42"/>
        <v>8.333333333333337E-2</v>
      </c>
      <c r="K969" s="143" t="s">
        <v>187</v>
      </c>
      <c r="L969" s="97" t="s">
        <v>1424</v>
      </c>
      <c r="M969" s="97" t="s">
        <v>1376</v>
      </c>
      <c r="N969" s="58" t="s">
        <v>1393</v>
      </c>
      <c r="O969" s="58" t="s">
        <v>1424</v>
      </c>
      <c r="P969" s="206">
        <v>45257</v>
      </c>
      <c r="Q969" s="460">
        <v>45257</v>
      </c>
      <c r="R969" s="460">
        <v>45987</v>
      </c>
      <c r="S969" s="461">
        <v>45988</v>
      </c>
      <c r="T969" s="139">
        <v>2016</v>
      </c>
      <c r="U969" s="139" t="s">
        <v>5787</v>
      </c>
      <c r="V969" s="139">
        <v>2021</v>
      </c>
      <c r="W969" s="139" t="s">
        <v>9269</v>
      </c>
      <c r="X969" s="139" t="s">
        <v>30</v>
      </c>
      <c r="Y969" s="462" t="s">
        <v>5066</v>
      </c>
      <c r="Z969" s="140" t="s">
        <v>9270</v>
      </c>
      <c r="AA969" s="140" t="s">
        <v>1886</v>
      </c>
      <c r="AB969" s="460">
        <v>42621</v>
      </c>
      <c r="AC969" s="460"/>
      <c r="AD969" s="488">
        <v>6281991818</v>
      </c>
      <c r="AE969" s="140" t="s">
        <v>9271</v>
      </c>
      <c r="AF969" s="139" t="s">
        <v>1364</v>
      </c>
      <c r="AG969" s="463">
        <v>662801537794</v>
      </c>
      <c r="AH969" s="139" t="s">
        <v>9272</v>
      </c>
      <c r="AI969" s="139" t="s">
        <v>9273</v>
      </c>
      <c r="AJ969" s="464">
        <v>944514653777</v>
      </c>
      <c r="AK969" s="140"/>
      <c r="AL969" s="206">
        <v>45261</v>
      </c>
      <c r="AM969" s="477">
        <v>45627</v>
      </c>
      <c r="AN969" s="140" t="s">
        <v>9036</v>
      </c>
      <c r="AO969" s="140" t="s">
        <v>9274</v>
      </c>
      <c r="AP969" s="139"/>
      <c r="AQ969" s="97" t="s">
        <v>9274</v>
      </c>
      <c r="AR969" s="489"/>
      <c r="AS969" s="458">
        <v>0.39583333333333331</v>
      </c>
      <c r="AT969" s="181">
        <v>0.47916666666666669</v>
      </c>
      <c r="AU969" s="461"/>
      <c r="AV969" s="181" t="s">
        <v>1352</v>
      </c>
      <c r="AW969" s="31" t="s">
        <v>32</v>
      </c>
      <c r="AX969" s="139">
        <v>2</v>
      </c>
      <c r="AY969" s="58" t="s">
        <v>1959</v>
      </c>
      <c r="AZ969" s="58" t="s">
        <v>1390</v>
      </c>
      <c r="BA969" s="58" t="s">
        <v>151</v>
      </c>
      <c r="BB969" s="58" t="s">
        <v>1407</v>
      </c>
      <c r="BC969" s="58"/>
    </row>
    <row r="970" spans="1:55" x14ac:dyDescent="0.25">
      <c r="A970" s="10">
        <f t="shared" si="41"/>
        <v>969</v>
      </c>
      <c r="B970" s="181" t="s">
        <v>9275</v>
      </c>
      <c r="C970" s="592" t="s">
        <v>1407</v>
      </c>
      <c r="D970" s="457">
        <v>400585</v>
      </c>
      <c r="E970" s="181" t="s">
        <v>36</v>
      </c>
      <c r="F970" s="97" t="s">
        <v>9276</v>
      </c>
      <c r="G970" s="139">
        <v>6</v>
      </c>
      <c r="H970" s="469" t="s">
        <v>5491</v>
      </c>
      <c r="I970" s="469" t="s">
        <v>236</v>
      </c>
      <c r="J970" s="458">
        <f t="shared" si="42"/>
        <v>0.25</v>
      </c>
      <c r="K970" s="100" t="s">
        <v>860</v>
      </c>
      <c r="L970" s="97" t="s">
        <v>9277</v>
      </c>
      <c r="M970" s="97" t="s">
        <v>26</v>
      </c>
      <c r="N970" s="58" t="s">
        <v>38</v>
      </c>
      <c r="O970" s="462" t="s">
        <v>5076</v>
      </c>
      <c r="P970" s="206">
        <v>44866</v>
      </c>
      <c r="Q970" s="206">
        <v>44866</v>
      </c>
      <c r="R970" s="206">
        <v>45596</v>
      </c>
      <c r="S970" s="461">
        <v>45597</v>
      </c>
      <c r="T970" s="139">
        <v>2013</v>
      </c>
      <c r="U970" s="181" t="s">
        <v>9278</v>
      </c>
      <c r="V970" s="139">
        <v>2019</v>
      </c>
      <c r="W970" s="140" t="s">
        <v>7937</v>
      </c>
      <c r="X970" s="181" t="s">
        <v>30</v>
      </c>
      <c r="Y970" s="58" t="s">
        <v>1611</v>
      </c>
      <c r="Z970" s="140" t="s">
        <v>9279</v>
      </c>
      <c r="AA970" s="97" t="s">
        <v>1841</v>
      </c>
      <c r="AB970" s="471">
        <v>44137</v>
      </c>
      <c r="AC970" s="471">
        <v>45962</v>
      </c>
      <c r="AD970" s="472">
        <v>9513000000</v>
      </c>
      <c r="AE970" s="473" t="s">
        <v>9280</v>
      </c>
      <c r="AF970" s="97" t="s">
        <v>1400</v>
      </c>
      <c r="AG970" s="482" t="s">
        <v>9281</v>
      </c>
      <c r="AH970" s="181" t="s">
        <v>9282</v>
      </c>
      <c r="AI970" s="139" t="s">
        <v>9283</v>
      </c>
      <c r="AJ970" s="464">
        <v>613794606319</v>
      </c>
      <c r="AK970" s="97" t="s">
        <v>9284</v>
      </c>
      <c r="AL970" s="461">
        <v>45596</v>
      </c>
      <c r="AM970" s="477" t="s">
        <v>30</v>
      </c>
      <c r="AN970" s="465" t="s">
        <v>9285</v>
      </c>
      <c r="AO970" s="140" t="s">
        <v>9286</v>
      </c>
      <c r="AP970" s="58"/>
      <c r="AQ970" s="483" t="s">
        <v>9286</v>
      </c>
      <c r="AR970" s="462"/>
      <c r="AS970" s="479">
        <v>0.375</v>
      </c>
      <c r="AT970" s="479">
        <v>0.625</v>
      </c>
      <c r="AU970" s="461">
        <v>31867</v>
      </c>
      <c r="AV970" s="181" t="s">
        <v>1352</v>
      </c>
      <c r="AW970" s="31" t="s">
        <v>32</v>
      </c>
      <c r="AX970" s="139">
        <v>6</v>
      </c>
      <c r="AY970" s="58" t="s">
        <v>2469</v>
      </c>
      <c r="AZ970" s="58" t="s">
        <v>26</v>
      </c>
      <c r="BA970" s="58" t="s">
        <v>151</v>
      </c>
      <c r="BB970" s="58" t="s">
        <v>1407</v>
      </c>
      <c r="BC970" s="58"/>
    </row>
    <row r="971" spans="1:55" x14ac:dyDescent="0.25">
      <c r="A971" s="10">
        <f t="shared" si="41"/>
        <v>970</v>
      </c>
      <c r="B971" s="181" t="s">
        <v>9287</v>
      </c>
      <c r="C971" s="592" t="s">
        <v>1407</v>
      </c>
      <c r="D971" s="457">
        <v>400626</v>
      </c>
      <c r="E971" s="181" t="s">
        <v>36</v>
      </c>
      <c r="F971" s="97" t="s">
        <v>9288</v>
      </c>
      <c r="G971" s="139">
        <v>6</v>
      </c>
      <c r="H971" s="469" t="s">
        <v>5491</v>
      </c>
      <c r="I971" s="469" t="s">
        <v>236</v>
      </c>
      <c r="J971" s="458">
        <f t="shared" si="42"/>
        <v>0.25</v>
      </c>
      <c r="K971" s="58" t="s">
        <v>1151</v>
      </c>
      <c r="L971" s="97" t="s">
        <v>2015</v>
      </c>
      <c r="M971" s="63" t="s">
        <v>1355</v>
      </c>
      <c r="N971" s="100" t="s">
        <v>1520</v>
      </c>
      <c r="O971" s="58" t="s">
        <v>6947</v>
      </c>
      <c r="P971" s="206">
        <v>44951</v>
      </c>
      <c r="Q971" s="206">
        <v>45078</v>
      </c>
      <c r="R971" s="206">
        <v>45838</v>
      </c>
      <c r="S971" s="461">
        <v>45809</v>
      </c>
      <c r="T971" s="139">
        <v>2009</v>
      </c>
      <c r="U971" s="181" t="s">
        <v>5120</v>
      </c>
      <c r="V971" s="139">
        <v>2014</v>
      </c>
      <c r="W971" s="140" t="s">
        <v>2542</v>
      </c>
      <c r="X971" s="181" t="s">
        <v>30</v>
      </c>
      <c r="Y971" s="58" t="s">
        <v>1611</v>
      </c>
      <c r="Z971" s="140">
        <v>67461</v>
      </c>
      <c r="AA971" s="97" t="s">
        <v>1886</v>
      </c>
      <c r="AB971" s="471">
        <v>44477</v>
      </c>
      <c r="AC971" s="471">
        <v>46302</v>
      </c>
      <c r="AD971" s="472">
        <v>9491526545</v>
      </c>
      <c r="AE971" s="473" t="s">
        <v>9289</v>
      </c>
      <c r="AF971" s="97" t="s">
        <v>1805</v>
      </c>
      <c r="AG971" s="482" t="s">
        <v>9290</v>
      </c>
      <c r="AH971" s="181" t="s">
        <v>9291</v>
      </c>
      <c r="AI971" s="139" t="s">
        <v>9292</v>
      </c>
      <c r="AJ971" s="464">
        <v>368659955116</v>
      </c>
      <c r="AK971" s="97"/>
      <c r="AL971" s="206">
        <v>45596</v>
      </c>
      <c r="AM971" s="477" t="s">
        <v>30</v>
      </c>
      <c r="AN971" s="465" t="s">
        <v>1499</v>
      </c>
      <c r="AO971" s="140" t="s">
        <v>9293</v>
      </c>
      <c r="AP971" s="58"/>
      <c r="AQ971" s="486"/>
      <c r="AR971" s="462"/>
      <c r="AS971" s="479">
        <v>0.375</v>
      </c>
      <c r="AT971" s="479">
        <v>0.625</v>
      </c>
      <c r="AU971" s="461">
        <v>31534</v>
      </c>
      <c r="AV971" s="181" t="s">
        <v>1352</v>
      </c>
      <c r="AW971" s="31" t="s">
        <v>32</v>
      </c>
      <c r="AX971" s="139">
        <v>6</v>
      </c>
      <c r="AY971" s="58" t="s">
        <v>1895</v>
      </c>
      <c r="AZ971" s="58" t="s">
        <v>1373</v>
      </c>
      <c r="BA971" s="58" t="s">
        <v>151</v>
      </c>
      <c r="BB971" s="58" t="s">
        <v>1407</v>
      </c>
      <c r="BC971" s="58"/>
    </row>
    <row r="972" spans="1:55" x14ac:dyDescent="0.25">
      <c r="A972" s="10">
        <f t="shared" si="41"/>
        <v>971</v>
      </c>
      <c r="B972" s="181" t="s">
        <v>9294</v>
      </c>
      <c r="C972" s="592" t="s">
        <v>1407</v>
      </c>
      <c r="D972" s="457">
        <v>400892</v>
      </c>
      <c r="E972" s="181" t="s">
        <v>36</v>
      </c>
      <c r="F972" s="97" t="s">
        <v>9295</v>
      </c>
      <c r="G972" s="139">
        <v>6</v>
      </c>
      <c r="H972" s="458">
        <v>0.39583333333333331</v>
      </c>
      <c r="I972" s="458">
        <v>0.6875</v>
      </c>
      <c r="J972" s="458">
        <f t="shared" si="42"/>
        <v>0.29166666666666669</v>
      </c>
      <c r="K972" s="462" t="s">
        <v>422</v>
      </c>
      <c r="L972" s="97" t="s">
        <v>1424</v>
      </c>
      <c r="M972" s="63" t="s">
        <v>1355</v>
      </c>
      <c r="N972" s="100" t="s">
        <v>1520</v>
      </c>
      <c r="O972" s="58"/>
      <c r="P972" s="206">
        <v>45261</v>
      </c>
      <c r="Q972" s="460">
        <f>P972</f>
        <v>45261</v>
      </c>
      <c r="R972" s="460">
        <v>45991</v>
      </c>
      <c r="S972" s="461">
        <f>R972+1</f>
        <v>45992</v>
      </c>
      <c r="T972" s="139">
        <v>2018</v>
      </c>
      <c r="U972" s="139" t="s">
        <v>516</v>
      </c>
      <c r="V972" s="139">
        <v>2023</v>
      </c>
      <c r="W972" s="139" t="s">
        <v>516</v>
      </c>
      <c r="X972" s="139"/>
      <c r="Y972" s="462"/>
      <c r="Z972" s="140" t="s">
        <v>9296</v>
      </c>
      <c r="AA972" s="140" t="s">
        <v>1886</v>
      </c>
      <c r="AB972" s="460">
        <v>45162</v>
      </c>
      <c r="AC972" s="460">
        <v>46988</v>
      </c>
      <c r="AD972" s="488">
        <v>9507885555</v>
      </c>
      <c r="AE972" s="140" t="s">
        <v>9297</v>
      </c>
      <c r="AF972" s="139" t="s">
        <v>9298</v>
      </c>
      <c r="AG972" s="463" t="s">
        <v>9299</v>
      </c>
      <c r="AH972" s="139" t="s">
        <v>9300</v>
      </c>
      <c r="AI972" s="139" t="s">
        <v>9301</v>
      </c>
      <c r="AJ972" s="464">
        <v>509461602103</v>
      </c>
      <c r="AK972" s="140"/>
      <c r="AL972" s="206">
        <v>45291</v>
      </c>
      <c r="AM972" s="477"/>
      <c r="AN972" s="465"/>
      <c r="AO972" s="140" t="s">
        <v>9302</v>
      </c>
      <c r="AP972" s="139"/>
      <c r="AQ972" s="140" t="s">
        <v>9302</v>
      </c>
      <c r="AR972" s="58"/>
      <c r="AS972" s="458">
        <v>0.39583333333333331</v>
      </c>
      <c r="AT972" s="458">
        <v>0.6875</v>
      </c>
      <c r="AU972" s="461"/>
      <c r="AV972" s="181" t="s">
        <v>1389</v>
      </c>
      <c r="AW972" s="31" t="s">
        <v>32</v>
      </c>
      <c r="AX972" s="139">
        <v>7</v>
      </c>
      <c r="AY972" s="58" t="s">
        <v>2262</v>
      </c>
      <c r="AZ972" s="58" t="s">
        <v>1373</v>
      </c>
      <c r="BA972" s="58" t="s">
        <v>151</v>
      </c>
      <c r="BB972" s="58" t="s">
        <v>1407</v>
      </c>
      <c r="BC972" s="58"/>
    </row>
    <row r="973" spans="1:55" x14ac:dyDescent="0.25">
      <c r="A973" s="10">
        <f t="shared" si="41"/>
        <v>972</v>
      </c>
      <c r="B973" s="181" t="s">
        <v>5231</v>
      </c>
      <c r="C973" s="592" t="s">
        <v>1407</v>
      </c>
      <c r="D973" s="457">
        <v>400964</v>
      </c>
      <c r="E973" s="181" t="s">
        <v>36</v>
      </c>
      <c r="F973" s="97" t="s">
        <v>5232</v>
      </c>
      <c r="G973" s="139">
        <v>6</v>
      </c>
      <c r="H973" s="469">
        <v>0.375</v>
      </c>
      <c r="I973" s="469">
        <v>0.5</v>
      </c>
      <c r="J973" s="458">
        <f t="shared" si="42"/>
        <v>0.125</v>
      </c>
      <c r="K973" s="462" t="s">
        <v>770</v>
      </c>
      <c r="L973" s="97" t="s">
        <v>7332</v>
      </c>
      <c r="M973" s="97" t="s">
        <v>26</v>
      </c>
      <c r="N973" s="58" t="s">
        <v>38</v>
      </c>
      <c r="O973" s="462" t="s">
        <v>5076</v>
      </c>
      <c r="P973" s="206">
        <v>45362</v>
      </c>
      <c r="Q973" s="206">
        <v>45362</v>
      </c>
      <c r="R973" s="206">
        <v>46091</v>
      </c>
      <c r="S973" s="461">
        <v>46092</v>
      </c>
      <c r="T973" s="139">
        <v>2012</v>
      </c>
      <c r="U973" s="181" t="s">
        <v>7314</v>
      </c>
      <c r="V973" s="139">
        <v>2017</v>
      </c>
      <c r="W973" s="97" t="s">
        <v>7314</v>
      </c>
      <c r="X973" s="181" t="s">
        <v>30</v>
      </c>
      <c r="Y973" s="58" t="s">
        <v>5235</v>
      </c>
      <c r="Z973" s="140" t="s">
        <v>7333</v>
      </c>
      <c r="AA973" s="470" t="s">
        <v>1841</v>
      </c>
      <c r="AB973" s="471">
        <v>45324</v>
      </c>
      <c r="AC973" s="471">
        <v>47150</v>
      </c>
      <c r="AD973" s="472">
        <v>9959546834</v>
      </c>
      <c r="AE973" s="473" t="s">
        <v>5237</v>
      </c>
      <c r="AF973" s="474" t="s">
        <v>1364</v>
      </c>
      <c r="AG973" s="475" t="s">
        <v>5238</v>
      </c>
      <c r="AH973" s="181" t="s">
        <v>5239</v>
      </c>
      <c r="AI973" s="139" t="s">
        <v>5240</v>
      </c>
      <c r="AJ973" s="476">
        <v>664862865826</v>
      </c>
      <c r="AK973" s="470" t="s">
        <v>5241</v>
      </c>
      <c r="AL973" s="461">
        <v>45602</v>
      </c>
      <c r="AM973" s="477" t="s">
        <v>30</v>
      </c>
      <c r="AN973" s="470" t="s">
        <v>9303</v>
      </c>
      <c r="AO973" s="140" t="s">
        <v>9304</v>
      </c>
      <c r="AP973" s="58"/>
      <c r="AQ973" s="462">
        <f ca="1">ROUNDDOWN((TODAY() - AU973)/365.25,0)</f>
        <v>36</v>
      </c>
      <c r="AR973" s="479"/>
      <c r="AS973" s="479">
        <v>0.5</v>
      </c>
      <c r="AT973" s="61">
        <v>3</v>
      </c>
      <c r="AU973" s="480">
        <v>32821</v>
      </c>
      <c r="AV973" s="181" t="s">
        <v>1352</v>
      </c>
      <c r="AW973" s="31" t="s">
        <v>32</v>
      </c>
      <c r="AX973" s="139">
        <v>3</v>
      </c>
      <c r="AY973" s="58" t="s">
        <v>2006</v>
      </c>
      <c r="AZ973" s="58" t="s">
        <v>26</v>
      </c>
      <c r="BA973" s="58" t="s">
        <v>151</v>
      </c>
      <c r="BB973" s="58" t="s">
        <v>1407</v>
      </c>
      <c r="BC973" s="58"/>
    </row>
    <row r="974" spans="1:55" x14ac:dyDescent="0.25">
      <c r="A974" s="10">
        <f t="shared" si="41"/>
        <v>973</v>
      </c>
      <c r="B974" s="181" t="s">
        <v>9305</v>
      </c>
      <c r="C974" s="592" t="s">
        <v>1407</v>
      </c>
      <c r="D974" s="457">
        <v>400894</v>
      </c>
      <c r="E974" s="181" t="s">
        <v>36</v>
      </c>
      <c r="F974" s="97" t="s">
        <v>9306</v>
      </c>
      <c r="G974" s="139">
        <v>6</v>
      </c>
      <c r="H974" s="469" t="s">
        <v>5491</v>
      </c>
      <c r="I974" s="469" t="s">
        <v>7654</v>
      </c>
      <c r="J974" s="458">
        <f t="shared" si="42"/>
        <v>8.3333333333333315E-2</v>
      </c>
      <c r="K974" s="100" t="s">
        <v>194</v>
      </c>
      <c r="L974" s="97" t="s">
        <v>1424</v>
      </c>
      <c r="M974" s="97" t="s">
        <v>1376</v>
      </c>
      <c r="N974" s="58" t="s">
        <v>1393</v>
      </c>
      <c r="O974" s="58" t="s">
        <v>1424</v>
      </c>
      <c r="P974" s="206">
        <v>45261</v>
      </c>
      <c r="Q974" s="206">
        <v>45261</v>
      </c>
      <c r="R974" s="206">
        <v>45991</v>
      </c>
      <c r="S974" s="461">
        <v>45992</v>
      </c>
      <c r="T974" s="139">
        <v>2020</v>
      </c>
      <c r="U974" s="181" t="s">
        <v>9307</v>
      </c>
      <c r="V974" s="139" t="s">
        <v>1424</v>
      </c>
      <c r="W974" s="140" t="s">
        <v>1424</v>
      </c>
      <c r="X974" s="181" t="s">
        <v>30</v>
      </c>
      <c r="Y974" s="58" t="s">
        <v>226</v>
      </c>
      <c r="Z974" s="140" t="s">
        <v>9308</v>
      </c>
      <c r="AA974" s="470" t="s">
        <v>1841</v>
      </c>
      <c r="AB974" s="471">
        <v>44149</v>
      </c>
      <c r="AC974" s="471">
        <v>45974</v>
      </c>
      <c r="AD974" s="472">
        <v>9392123846</v>
      </c>
      <c r="AE974" s="473" t="s">
        <v>9309</v>
      </c>
      <c r="AF974" s="474" t="s">
        <v>5086</v>
      </c>
      <c r="AG974" s="475" t="s">
        <v>9310</v>
      </c>
      <c r="AH974" s="181" t="s">
        <v>9311</v>
      </c>
      <c r="AI974" s="139" t="s">
        <v>9312</v>
      </c>
      <c r="AJ974" s="476">
        <v>511084223954</v>
      </c>
      <c r="AK974" s="470"/>
      <c r="AL974" s="206">
        <v>45359</v>
      </c>
      <c r="AM974" s="477">
        <v>45359</v>
      </c>
      <c r="AN974" s="478"/>
      <c r="AO974" s="140" t="s">
        <v>9313</v>
      </c>
      <c r="AP974" s="58"/>
      <c r="AQ974" s="97" t="s">
        <v>9313</v>
      </c>
      <c r="AR974" s="462"/>
      <c r="AS974" s="479">
        <v>0.375</v>
      </c>
      <c r="AT974" s="479">
        <v>0.45833333333333331</v>
      </c>
      <c r="AU974" s="480">
        <v>35075</v>
      </c>
      <c r="AV974" s="181" t="s">
        <v>1389</v>
      </c>
      <c r="AW974" s="31" t="s">
        <v>32</v>
      </c>
      <c r="AX974" s="139">
        <v>2</v>
      </c>
      <c r="AY974" s="58" t="s">
        <v>1968</v>
      </c>
      <c r="AZ974" s="58" t="s">
        <v>1390</v>
      </c>
      <c r="BA974" s="58" t="s">
        <v>151</v>
      </c>
      <c r="BB974" s="58" t="s">
        <v>1407</v>
      </c>
      <c r="BC974" s="58"/>
    </row>
    <row r="975" spans="1:55" x14ac:dyDescent="0.25">
      <c r="A975" s="10">
        <f t="shared" si="41"/>
        <v>974</v>
      </c>
      <c r="B975" s="181" t="s">
        <v>9314</v>
      </c>
      <c r="C975" s="592" t="s">
        <v>1407</v>
      </c>
      <c r="D975" s="457">
        <v>400895</v>
      </c>
      <c r="E975" s="181" t="s">
        <v>36</v>
      </c>
      <c r="F975" s="97" t="s">
        <v>9315</v>
      </c>
      <c r="G975" s="139">
        <v>6</v>
      </c>
      <c r="H975" s="458" t="s">
        <v>146</v>
      </c>
      <c r="I975" s="458" t="s">
        <v>1003</v>
      </c>
      <c r="J975" s="458">
        <f t="shared" si="42"/>
        <v>8.333333333333337E-2</v>
      </c>
      <c r="K975" s="143" t="s">
        <v>207</v>
      </c>
      <c r="L975" s="97" t="s">
        <v>1424</v>
      </c>
      <c r="M975" s="97" t="s">
        <v>1376</v>
      </c>
      <c r="N975" s="58" t="s">
        <v>1393</v>
      </c>
      <c r="O975" s="58" t="s">
        <v>1424</v>
      </c>
      <c r="P975" s="206">
        <v>45261</v>
      </c>
      <c r="Q975" s="460">
        <v>45261</v>
      </c>
      <c r="R975" s="460">
        <v>45991</v>
      </c>
      <c r="S975" s="461">
        <v>45992</v>
      </c>
      <c r="T975" s="139">
        <v>2017</v>
      </c>
      <c r="U975" s="139" t="s">
        <v>9316</v>
      </c>
      <c r="V975" s="139" t="s">
        <v>1424</v>
      </c>
      <c r="W975" s="139" t="s">
        <v>1424</v>
      </c>
      <c r="X975" s="139" t="s">
        <v>30</v>
      </c>
      <c r="Y975" s="462" t="s">
        <v>226</v>
      </c>
      <c r="Z975" s="140" t="s">
        <v>9317</v>
      </c>
      <c r="AA975" s="140" t="s">
        <v>1886</v>
      </c>
      <c r="AB975" s="460">
        <v>45114</v>
      </c>
      <c r="AC975" s="460">
        <v>46940</v>
      </c>
      <c r="AD975" s="488">
        <v>9959306275</v>
      </c>
      <c r="AE975" s="140" t="s">
        <v>9318</v>
      </c>
      <c r="AF975" s="139" t="s">
        <v>2284</v>
      </c>
      <c r="AG975" s="463" t="s">
        <v>9319</v>
      </c>
      <c r="AH975" s="139" t="s">
        <v>9320</v>
      </c>
      <c r="AI975" s="139" t="s">
        <v>9321</v>
      </c>
      <c r="AJ975" s="464">
        <v>474069469596</v>
      </c>
      <c r="AK975" s="140"/>
      <c r="AL975" s="206">
        <v>45351</v>
      </c>
      <c r="AM975" s="477">
        <v>45351</v>
      </c>
      <c r="AN975" s="140"/>
      <c r="AO975" s="140" t="s">
        <v>9322</v>
      </c>
      <c r="AP975" s="139"/>
      <c r="AQ975" s="97" t="s">
        <v>9322</v>
      </c>
      <c r="AR975" s="489"/>
      <c r="AS975" s="458">
        <v>0.6875</v>
      </c>
      <c r="AT975" s="181">
        <v>0.77083333333333337</v>
      </c>
      <c r="AU975" s="461">
        <v>34653</v>
      </c>
      <c r="AV975" s="181" t="s">
        <v>1389</v>
      </c>
      <c r="AW975" s="31" t="s">
        <v>32</v>
      </c>
      <c r="AX975" s="139">
        <v>2</v>
      </c>
      <c r="AY975" s="58" t="s">
        <v>1920</v>
      </c>
      <c r="AZ975" s="58" t="s">
        <v>1390</v>
      </c>
      <c r="BA975" s="58" t="s">
        <v>151</v>
      </c>
      <c r="BB975" s="58" t="s">
        <v>1407</v>
      </c>
      <c r="BC975" s="58"/>
    </row>
    <row r="976" spans="1:55" x14ac:dyDescent="0.25">
      <c r="A976" s="10">
        <f t="shared" si="41"/>
        <v>975</v>
      </c>
      <c r="B976" s="181" t="s">
        <v>9323</v>
      </c>
      <c r="C976" s="592" t="s">
        <v>1407</v>
      </c>
      <c r="D976" s="457">
        <v>400979</v>
      </c>
      <c r="E976" s="181" t="s">
        <v>36</v>
      </c>
      <c r="F976" s="97" t="s">
        <v>9324</v>
      </c>
      <c r="G976" s="139">
        <v>6</v>
      </c>
      <c r="H976" s="469">
        <v>0.75</v>
      </c>
      <c r="I976" s="469">
        <v>0.875</v>
      </c>
      <c r="J976" s="458">
        <f t="shared" si="42"/>
        <v>0.125</v>
      </c>
      <c r="K976" s="143" t="s">
        <v>255</v>
      </c>
      <c r="L976" s="97" t="s">
        <v>9087</v>
      </c>
      <c r="M976" s="97" t="s">
        <v>26</v>
      </c>
      <c r="N976" s="58" t="s">
        <v>38</v>
      </c>
      <c r="O976" s="462" t="s">
        <v>5076</v>
      </c>
      <c r="P976" s="206">
        <v>45390</v>
      </c>
      <c r="Q976" s="206">
        <v>45390</v>
      </c>
      <c r="R976" s="206">
        <v>46119</v>
      </c>
      <c r="S976" s="461">
        <v>46120</v>
      </c>
      <c r="T976" s="139">
        <v>2016</v>
      </c>
      <c r="U976" s="181" t="s">
        <v>9325</v>
      </c>
      <c r="V976" s="139">
        <v>2022</v>
      </c>
      <c r="W976" s="97" t="s">
        <v>9325</v>
      </c>
      <c r="X976" s="181" t="s">
        <v>30</v>
      </c>
      <c r="Y976" s="58" t="s">
        <v>5066</v>
      </c>
      <c r="Z976" s="140" t="s">
        <v>9326</v>
      </c>
      <c r="AA976" s="470" t="s">
        <v>1841</v>
      </c>
      <c r="AB976" s="471">
        <v>44882</v>
      </c>
      <c r="AC976" s="471">
        <v>46707</v>
      </c>
      <c r="AD976" s="472">
        <v>9703447111</v>
      </c>
      <c r="AE976" s="473" t="s">
        <v>9327</v>
      </c>
      <c r="AF976" s="474" t="s">
        <v>1345</v>
      </c>
      <c r="AG976" s="475" t="s">
        <v>9328</v>
      </c>
      <c r="AH976" s="181" t="s">
        <v>7513</v>
      </c>
      <c r="AI976" s="139" t="s">
        <v>9329</v>
      </c>
      <c r="AJ976" s="476">
        <v>839669499565</v>
      </c>
      <c r="AK976" s="470"/>
      <c r="AL976" s="461">
        <v>45603</v>
      </c>
      <c r="AM976" s="477">
        <v>45549</v>
      </c>
      <c r="AN976" s="470" t="s">
        <v>895</v>
      </c>
      <c r="AO976" s="140" t="s">
        <v>9330</v>
      </c>
      <c r="AP976" s="462"/>
      <c r="AQ976" s="462">
        <f ca="1">ROUNDDOWN((TODAY() - AU976)/365.25,0)</f>
        <v>33</v>
      </c>
      <c r="AR976" s="479"/>
      <c r="AS976" s="479">
        <v>0.875</v>
      </c>
      <c r="AT976" s="61">
        <v>3</v>
      </c>
      <c r="AU976" s="480">
        <v>33644</v>
      </c>
      <c r="AV976" s="181" t="s">
        <v>1352</v>
      </c>
      <c r="AW976" s="31" t="s">
        <v>32</v>
      </c>
      <c r="AX976" s="139">
        <v>3</v>
      </c>
      <c r="AY976" s="58" t="s">
        <v>2068</v>
      </c>
      <c r="AZ976" s="58" t="s">
        <v>26</v>
      </c>
      <c r="BA976" s="58" t="s">
        <v>151</v>
      </c>
      <c r="BB976" s="58" t="s">
        <v>1407</v>
      </c>
      <c r="BC976" s="58"/>
    </row>
    <row r="977" spans="1:55" x14ac:dyDescent="0.25">
      <c r="A977" s="10">
        <f t="shared" si="41"/>
        <v>976</v>
      </c>
      <c r="B977" s="181" t="s">
        <v>9331</v>
      </c>
      <c r="C977" s="592" t="s">
        <v>1407</v>
      </c>
      <c r="D977" s="457">
        <v>401102</v>
      </c>
      <c r="E977" s="181" t="s">
        <v>36</v>
      </c>
      <c r="F977" s="97" t="s">
        <v>9332</v>
      </c>
      <c r="G977" s="139">
        <v>6</v>
      </c>
      <c r="H977" s="458">
        <v>0.5</v>
      </c>
      <c r="I977" s="458">
        <v>0.625</v>
      </c>
      <c r="J977" s="458">
        <f t="shared" si="42"/>
        <v>0.125</v>
      </c>
      <c r="K977" s="100" t="s">
        <v>866</v>
      </c>
      <c r="L977" s="63" t="s">
        <v>9333</v>
      </c>
      <c r="M977" s="97" t="s">
        <v>26</v>
      </c>
      <c r="N977" s="58" t="s">
        <v>38</v>
      </c>
      <c r="O977" s="58" t="s">
        <v>5076</v>
      </c>
      <c r="P977" s="424">
        <v>45593</v>
      </c>
      <c r="Q977" s="424">
        <v>45593</v>
      </c>
      <c r="R977" s="424">
        <v>46322</v>
      </c>
      <c r="S977" s="424">
        <v>46323</v>
      </c>
      <c r="T977" s="139">
        <v>2020</v>
      </c>
      <c r="U977" s="63" t="s">
        <v>197</v>
      </c>
      <c r="V977" s="139">
        <v>2023</v>
      </c>
      <c r="W977" s="100" t="s">
        <v>6302</v>
      </c>
      <c r="X977" s="181" t="s">
        <v>30</v>
      </c>
      <c r="Y977" s="58" t="s">
        <v>97</v>
      </c>
      <c r="Z977" s="63" t="s">
        <v>9334</v>
      </c>
      <c r="AA977" s="97" t="s">
        <v>1841</v>
      </c>
      <c r="AB977" s="471">
        <v>45518</v>
      </c>
      <c r="AC977" s="471">
        <v>47343</v>
      </c>
      <c r="AD977" s="181" t="s">
        <v>9335</v>
      </c>
      <c r="AE977" s="336" t="s">
        <v>9336</v>
      </c>
      <c r="AF977" s="58" t="s">
        <v>1400</v>
      </c>
      <c r="AG977" s="475" t="s">
        <v>9337</v>
      </c>
      <c r="AH977" s="181" t="s">
        <v>7425</v>
      </c>
      <c r="AI977" s="139" t="s">
        <v>9338</v>
      </c>
      <c r="AJ977" s="464">
        <v>905471712981</v>
      </c>
      <c r="AK977" s="97" t="s">
        <v>9339</v>
      </c>
      <c r="AL977" s="461">
        <v>45603</v>
      </c>
      <c r="AM977" s="206" t="s">
        <v>30</v>
      </c>
      <c r="AN977" s="97" t="s">
        <v>9340</v>
      </c>
      <c r="AO977" s="140" t="s">
        <v>9341</v>
      </c>
      <c r="AP977" s="486"/>
      <c r="AQ977" s="462">
        <f ca="1">ROUNDDOWN((TODAY() - AU977)/365.25,0)</f>
        <v>29</v>
      </c>
      <c r="AR977" s="512"/>
      <c r="AS977" s="513"/>
      <c r="AT977" s="479"/>
      <c r="AU977" s="461">
        <v>35085</v>
      </c>
      <c r="AV977" s="181" t="s">
        <v>1352</v>
      </c>
      <c r="AW977" s="31" t="s">
        <v>32</v>
      </c>
      <c r="AX977" s="139">
        <v>3</v>
      </c>
      <c r="AY977" s="58" t="s">
        <v>2189</v>
      </c>
      <c r="AZ977" s="58" t="s">
        <v>26</v>
      </c>
      <c r="BA977" s="58" t="s">
        <v>151</v>
      </c>
      <c r="BB977" s="58" t="s">
        <v>1407</v>
      </c>
      <c r="BC977" s="58"/>
    </row>
    <row r="978" spans="1:55" x14ac:dyDescent="0.25">
      <c r="A978" s="10">
        <f t="shared" si="41"/>
        <v>977</v>
      </c>
      <c r="B978" s="181" t="s">
        <v>9342</v>
      </c>
      <c r="C978" s="592" t="s">
        <v>1407</v>
      </c>
      <c r="D978" s="457">
        <v>400632</v>
      </c>
      <c r="E978" s="181" t="s">
        <v>36</v>
      </c>
      <c r="F978" s="97" t="s">
        <v>9343</v>
      </c>
      <c r="G978" s="139">
        <v>6</v>
      </c>
      <c r="H978" s="469" t="s">
        <v>7655</v>
      </c>
      <c r="I978" s="469" t="s">
        <v>978</v>
      </c>
      <c r="J978" s="458">
        <f t="shared" si="42"/>
        <v>8.333333333333337E-2</v>
      </c>
      <c r="K978" s="100" t="s">
        <v>713</v>
      </c>
      <c r="L978" s="97" t="s">
        <v>30</v>
      </c>
      <c r="M978" s="63" t="s">
        <v>1355</v>
      </c>
      <c r="N978" s="100" t="s">
        <v>1520</v>
      </c>
      <c r="O978" s="58" t="s">
        <v>6947</v>
      </c>
      <c r="P978" s="206">
        <v>44970</v>
      </c>
      <c r="Q978" s="206">
        <v>44988</v>
      </c>
      <c r="R978" s="206">
        <v>45718</v>
      </c>
      <c r="S978" s="461">
        <v>45719</v>
      </c>
      <c r="T978" s="139">
        <v>2006</v>
      </c>
      <c r="U978" s="181" t="s">
        <v>9344</v>
      </c>
      <c r="V978" s="139">
        <v>2012</v>
      </c>
      <c r="W978" s="140" t="s">
        <v>9345</v>
      </c>
      <c r="X978" s="181" t="s">
        <v>30</v>
      </c>
      <c r="Y978" s="58" t="s">
        <v>1611</v>
      </c>
      <c r="Z978" s="140">
        <v>58856</v>
      </c>
      <c r="AA978" s="97" t="s">
        <v>8347</v>
      </c>
      <c r="AB978" s="471">
        <v>43994</v>
      </c>
      <c r="AC978" s="471">
        <v>45819</v>
      </c>
      <c r="AD978" s="472">
        <v>9866313588</v>
      </c>
      <c r="AE978" s="473" t="s">
        <v>9346</v>
      </c>
      <c r="AF978" s="97" t="s">
        <v>5086</v>
      </c>
      <c r="AG978" s="503" t="s">
        <v>9347</v>
      </c>
      <c r="AH978" s="181" t="s">
        <v>9348</v>
      </c>
      <c r="AI978" s="139" t="s">
        <v>9349</v>
      </c>
      <c r="AJ978" s="464">
        <v>592836556635</v>
      </c>
      <c r="AK978" s="97" t="s">
        <v>9350</v>
      </c>
      <c r="AL978" s="206">
        <v>45605</v>
      </c>
      <c r="AM978" s="477">
        <v>45596</v>
      </c>
      <c r="AN978" s="97" t="s">
        <v>1592</v>
      </c>
      <c r="AO978" s="97"/>
      <c r="AP978" s="486"/>
      <c r="AQ978" s="462">
        <f ca="1">ROUNDDOWN((TODAY() - AU978)/365.25,0)</f>
        <v>42</v>
      </c>
      <c r="AR978" s="479"/>
      <c r="AS978" s="479">
        <v>0.875</v>
      </c>
      <c r="AT978" s="61">
        <v>2</v>
      </c>
      <c r="AU978" s="461">
        <v>30506</v>
      </c>
      <c r="AV978" s="181" t="s">
        <v>1389</v>
      </c>
      <c r="AW978" s="31" t="s">
        <v>32</v>
      </c>
      <c r="AX978" s="139">
        <v>2</v>
      </c>
      <c r="AY978" s="58" t="s">
        <v>2262</v>
      </c>
      <c r="AZ978" s="58" t="s">
        <v>1373</v>
      </c>
      <c r="BA978" s="58" t="s">
        <v>151</v>
      </c>
      <c r="BB978" s="58" t="s">
        <v>1407</v>
      </c>
      <c r="BC978" s="58"/>
    </row>
    <row r="979" spans="1:55" x14ac:dyDescent="0.25">
      <c r="A979" s="10">
        <f t="shared" si="41"/>
        <v>978</v>
      </c>
      <c r="B979" s="181" t="s">
        <v>9351</v>
      </c>
      <c r="C979" s="592" t="s">
        <v>1407</v>
      </c>
      <c r="D979" s="457">
        <v>400899</v>
      </c>
      <c r="E979" s="181" t="s">
        <v>36</v>
      </c>
      <c r="F979" s="97" t="s">
        <v>9352</v>
      </c>
      <c r="G979" s="139">
        <v>6</v>
      </c>
      <c r="H979" s="469" t="s">
        <v>5089</v>
      </c>
      <c r="I979" s="469" t="s">
        <v>5090</v>
      </c>
      <c r="J979" s="458">
        <f t="shared" si="42"/>
        <v>0.16666666666666669</v>
      </c>
      <c r="K979" s="100" t="s">
        <v>819</v>
      </c>
      <c r="L979" s="97" t="s">
        <v>9353</v>
      </c>
      <c r="M979" s="97" t="s">
        <v>26</v>
      </c>
      <c r="N979" s="58" t="s">
        <v>38</v>
      </c>
      <c r="O979" s="58" t="s">
        <v>5063</v>
      </c>
      <c r="P979" s="206">
        <v>45264</v>
      </c>
      <c r="Q979" s="206">
        <v>45264</v>
      </c>
      <c r="R979" s="206">
        <v>45994</v>
      </c>
      <c r="S979" s="461">
        <v>45995</v>
      </c>
      <c r="T979" s="139">
        <v>2013</v>
      </c>
      <c r="U979" s="181" t="s">
        <v>9354</v>
      </c>
      <c r="V979" s="139">
        <v>2018</v>
      </c>
      <c r="W979" s="140" t="s">
        <v>380</v>
      </c>
      <c r="X979" s="181" t="s">
        <v>30</v>
      </c>
      <c r="Y979" s="58" t="s">
        <v>5066</v>
      </c>
      <c r="Z979" s="140" t="s">
        <v>9355</v>
      </c>
      <c r="AA979" s="470" t="s">
        <v>1841</v>
      </c>
      <c r="AB979" s="471">
        <v>44100</v>
      </c>
      <c r="AC979" s="471">
        <v>45925</v>
      </c>
      <c r="AD979" s="472">
        <v>9618029750</v>
      </c>
      <c r="AE979" s="473" t="s">
        <v>9356</v>
      </c>
      <c r="AF979" s="474" t="s">
        <v>1430</v>
      </c>
      <c r="AG979" s="475">
        <v>50100326275828</v>
      </c>
      <c r="AH979" s="181" t="s">
        <v>9357</v>
      </c>
      <c r="AI979" s="139" t="s">
        <v>9358</v>
      </c>
      <c r="AJ979" s="476">
        <v>625994192583</v>
      </c>
      <c r="AK979" s="470"/>
      <c r="AL979" s="461">
        <v>45413</v>
      </c>
      <c r="AM979" s="477">
        <v>45360</v>
      </c>
      <c r="AN979" s="478" t="s">
        <v>5098</v>
      </c>
      <c r="AO979" s="140" t="s">
        <v>9359</v>
      </c>
      <c r="AP979" s="58"/>
      <c r="AQ979" s="97" t="s">
        <v>9359</v>
      </c>
      <c r="AR979" s="462"/>
      <c r="AS979" s="479">
        <v>0.35416666666666669</v>
      </c>
      <c r="AT979" s="479">
        <v>0.52083333333333337</v>
      </c>
      <c r="AU979" s="480">
        <v>32747</v>
      </c>
      <c r="AV979" s="181" t="s">
        <v>1352</v>
      </c>
      <c r="AW979" s="31" t="s">
        <v>32</v>
      </c>
      <c r="AX979" s="139">
        <v>4</v>
      </c>
      <c r="AY979" s="58" t="s">
        <v>2189</v>
      </c>
      <c r="AZ979" s="58" t="s">
        <v>26</v>
      </c>
      <c r="BA979" s="58" t="s">
        <v>151</v>
      </c>
      <c r="BB979" s="58" t="s">
        <v>1407</v>
      </c>
      <c r="BC979" s="58"/>
    </row>
    <row r="980" spans="1:55" x14ac:dyDescent="0.25">
      <c r="A980" s="10">
        <f t="shared" si="41"/>
        <v>979</v>
      </c>
      <c r="B980" s="181" t="s">
        <v>9360</v>
      </c>
      <c r="C980" s="592" t="s">
        <v>1407</v>
      </c>
      <c r="D980" s="41">
        <v>5400019</v>
      </c>
      <c r="E980" s="40" t="s">
        <v>36</v>
      </c>
      <c r="F980" s="39" t="s">
        <v>9361</v>
      </c>
      <c r="G980" s="40">
        <v>6</v>
      </c>
      <c r="H980" s="42">
        <v>0.75</v>
      </c>
      <c r="I980" s="42">
        <v>0.875</v>
      </c>
      <c r="J980" s="42">
        <v>0.33333333333333331</v>
      </c>
      <c r="K980" s="587" t="s">
        <v>11090</v>
      </c>
      <c r="L980" s="39" t="s">
        <v>9362</v>
      </c>
      <c r="M980" s="39" t="s">
        <v>26</v>
      </c>
      <c r="N980" s="43" t="s">
        <v>38</v>
      </c>
      <c r="O980" s="100" t="s">
        <v>1492</v>
      </c>
      <c r="P980" s="182">
        <v>45246</v>
      </c>
      <c r="Q980" s="182">
        <v>45383</v>
      </c>
      <c r="R980" s="182">
        <v>46112</v>
      </c>
      <c r="S980" s="182">
        <v>46113</v>
      </c>
      <c r="T980" s="87">
        <v>2012</v>
      </c>
      <c r="U980" s="39" t="s">
        <v>9363</v>
      </c>
      <c r="V980" s="40">
        <v>2018</v>
      </c>
      <c r="W980" s="39" t="s">
        <v>9363</v>
      </c>
      <c r="X980" s="40" t="s">
        <v>9364</v>
      </c>
      <c r="Y980" s="43" t="s">
        <v>9365</v>
      </c>
      <c r="Z980" s="39" t="s">
        <v>9366</v>
      </c>
      <c r="AA980" s="39" t="s">
        <v>1344</v>
      </c>
      <c r="AB980" s="182">
        <v>44396</v>
      </c>
      <c r="AC980" s="182">
        <v>46222</v>
      </c>
      <c r="AD980" s="40">
        <v>8888804808</v>
      </c>
      <c r="AE980" s="39" t="s">
        <v>9367</v>
      </c>
      <c r="AF980" s="40" t="s">
        <v>5484</v>
      </c>
      <c r="AG980" s="40" t="s">
        <v>9368</v>
      </c>
      <c r="AH980" s="40" t="s">
        <v>9369</v>
      </c>
      <c r="AI980" s="40" t="s">
        <v>9370</v>
      </c>
      <c r="AJ980" s="44">
        <v>863606407374</v>
      </c>
      <c r="AK980" s="39" t="s">
        <v>9371</v>
      </c>
      <c r="AL980" s="461">
        <v>45607</v>
      </c>
      <c r="AM980" s="183">
        <v>45667</v>
      </c>
      <c r="AN980" s="39" t="s">
        <v>8749</v>
      </c>
      <c r="AO980" s="39" t="s">
        <v>9372</v>
      </c>
      <c r="AP980" s="10">
        <v>55</v>
      </c>
      <c r="AQ980" s="10"/>
      <c r="AR980" s="10"/>
      <c r="AS980" s="10"/>
      <c r="AT980" s="40"/>
      <c r="AU980" s="182" t="s">
        <v>1418</v>
      </c>
      <c r="AV980" s="40" t="s">
        <v>1389</v>
      </c>
      <c r="AW980" s="31" t="s">
        <v>68</v>
      </c>
      <c r="AX980" s="139">
        <v>8</v>
      </c>
      <c r="AY980" s="58" t="s">
        <v>51</v>
      </c>
      <c r="AZ980" s="58" t="s">
        <v>26</v>
      </c>
      <c r="BA980" s="58" t="s">
        <v>151</v>
      </c>
      <c r="BB980" s="58" t="s">
        <v>1407</v>
      </c>
      <c r="BC980" s="58"/>
    </row>
    <row r="981" spans="1:55" x14ac:dyDescent="0.25">
      <c r="A981" s="10">
        <f t="shared" si="41"/>
        <v>980</v>
      </c>
      <c r="B981" s="181" t="s">
        <v>9373</v>
      </c>
      <c r="C981" s="592" t="s">
        <v>1407</v>
      </c>
      <c r="D981" s="457">
        <v>400901</v>
      </c>
      <c r="E981" s="181" t="s">
        <v>36</v>
      </c>
      <c r="F981" s="97" t="s">
        <v>9374</v>
      </c>
      <c r="G981" s="139">
        <v>6</v>
      </c>
      <c r="H981" s="458" t="s">
        <v>5491</v>
      </c>
      <c r="I981" s="458" t="s">
        <v>5118</v>
      </c>
      <c r="J981" s="458">
        <v>4.1666666666666664E-2</v>
      </c>
      <c r="K981" s="100" t="s">
        <v>174</v>
      </c>
      <c r="L981" s="97" t="s">
        <v>1424</v>
      </c>
      <c r="M981" s="97" t="s">
        <v>1376</v>
      </c>
      <c r="N981" s="58" t="s">
        <v>1393</v>
      </c>
      <c r="O981" s="58" t="s">
        <v>1424</v>
      </c>
      <c r="P981" s="206">
        <v>45274</v>
      </c>
      <c r="Q981" s="460">
        <v>45274</v>
      </c>
      <c r="R981" s="460">
        <v>46004</v>
      </c>
      <c r="S981" s="461">
        <v>46005</v>
      </c>
      <c r="T981" s="139">
        <v>2018</v>
      </c>
      <c r="U981" s="139" t="s">
        <v>695</v>
      </c>
      <c r="V981" s="139"/>
      <c r="W981" s="139"/>
      <c r="X981" s="139" t="s">
        <v>30</v>
      </c>
      <c r="Y981" s="462" t="s">
        <v>226</v>
      </c>
      <c r="Z981" s="140" t="s">
        <v>9375</v>
      </c>
      <c r="AA981" s="140" t="s">
        <v>1886</v>
      </c>
      <c r="AB981" s="460">
        <v>43339</v>
      </c>
      <c r="AC981" s="460">
        <v>45164</v>
      </c>
      <c r="AD981" s="488">
        <v>8978389123</v>
      </c>
      <c r="AE981" s="140" t="s">
        <v>9376</v>
      </c>
      <c r="AF981" s="139" t="s">
        <v>1430</v>
      </c>
      <c r="AG981" s="463" t="s">
        <v>9377</v>
      </c>
      <c r="AH981" s="139" t="s">
        <v>9378</v>
      </c>
      <c r="AI981" s="139" t="s">
        <v>9379</v>
      </c>
      <c r="AJ981" s="464">
        <v>397378161948</v>
      </c>
      <c r="AK981" s="140"/>
      <c r="AL981" s="206">
        <v>45339</v>
      </c>
      <c r="AM981" s="477">
        <v>45339</v>
      </c>
      <c r="AN981" s="140"/>
      <c r="AO981" s="140" t="s">
        <v>9380</v>
      </c>
      <c r="AP981" s="139"/>
      <c r="AQ981" s="97" t="s">
        <v>9380</v>
      </c>
      <c r="AR981" s="489"/>
      <c r="AS981" s="458">
        <v>0.375</v>
      </c>
      <c r="AT981" s="181">
        <v>0.41666666666666669</v>
      </c>
      <c r="AU981" s="461">
        <v>32736</v>
      </c>
      <c r="AV981" s="181" t="s">
        <v>1352</v>
      </c>
      <c r="AW981" s="31" t="s">
        <v>32</v>
      </c>
      <c r="AX981" s="139">
        <v>1</v>
      </c>
      <c r="AY981" s="58" t="s">
        <v>1849</v>
      </c>
      <c r="AZ981" s="58" t="s">
        <v>1390</v>
      </c>
      <c r="BA981" s="58" t="s">
        <v>151</v>
      </c>
      <c r="BB981" s="58" t="s">
        <v>1407</v>
      </c>
      <c r="BC981" s="58"/>
    </row>
    <row r="982" spans="1:55" x14ac:dyDescent="0.25">
      <c r="A982" s="10">
        <f t="shared" si="41"/>
        <v>981</v>
      </c>
      <c r="B982" s="181"/>
      <c r="C982" s="592" t="s">
        <v>1407</v>
      </c>
      <c r="D982" s="457">
        <v>400902</v>
      </c>
      <c r="E982" s="181" t="s">
        <v>36</v>
      </c>
      <c r="F982" s="97" t="s">
        <v>9381</v>
      </c>
      <c r="G982" s="139">
        <v>6</v>
      </c>
      <c r="H982" s="458">
        <v>0.375</v>
      </c>
      <c r="I982" s="458">
        <v>0.45833333333333331</v>
      </c>
      <c r="J982" s="458">
        <f>I982-H982</f>
        <v>8.3333333333333315E-2</v>
      </c>
      <c r="K982" s="100" t="s">
        <v>275</v>
      </c>
      <c r="L982" s="97" t="s">
        <v>1424</v>
      </c>
      <c r="M982" s="97" t="s">
        <v>1376</v>
      </c>
      <c r="N982" s="58" t="s">
        <v>1393</v>
      </c>
      <c r="O982" s="58"/>
      <c r="P982" s="206">
        <v>45274</v>
      </c>
      <c r="Q982" s="460">
        <v>45274</v>
      </c>
      <c r="R982" s="460">
        <v>46004</v>
      </c>
      <c r="S982" s="461">
        <v>46005</v>
      </c>
      <c r="T982" s="139">
        <v>2016</v>
      </c>
      <c r="U982" s="139" t="s">
        <v>5787</v>
      </c>
      <c r="V982" s="139"/>
      <c r="W982" s="139"/>
      <c r="X982" s="139"/>
      <c r="Y982" s="462"/>
      <c r="Z982" s="140" t="s">
        <v>9382</v>
      </c>
      <c r="AA982" s="140" t="s">
        <v>1841</v>
      </c>
      <c r="AB982" s="460"/>
      <c r="AC982" s="460"/>
      <c r="AD982" s="488">
        <v>9700772165</v>
      </c>
      <c r="AE982" s="140" t="s">
        <v>9383</v>
      </c>
      <c r="AF982" s="139"/>
      <c r="AG982" s="463"/>
      <c r="AH982" s="139"/>
      <c r="AI982" s="139" t="s">
        <v>9384</v>
      </c>
      <c r="AJ982" s="464">
        <v>906744534800</v>
      </c>
      <c r="AK982" s="140"/>
      <c r="AL982" s="206">
        <v>45274</v>
      </c>
      <c r="AM982" s="477"/>
      <c r="AN982" s="465"/>
      <c r="AO982" s="140" t="s">
        <v>9385</v>
      </c>
      <c r="AP982" s="139"/>
      <c r="AQ982" s="140" t="s">
        <v>9385</v>
      </c>
      <c r="AR982" s="58"/>
      <c r="AS982" s="458" t="e">
        <v>#N/A</v>
      </c>
      <c r="AT982" s="458"/>
      <c r="AU982" s="461"/>
      <c r="AV982" s="181" t="s">
        <v>1352</v>
      </c>
      <c r="AW982" s="31" t="s">
        <v>32</v>
      </c>
      <c r="AX982" s="139">
        <v>2</v>
      </c>
      <c r="AY982" s="58" t="s">
        <v>1959</v>
      </c>
      <c r="AZ982" s="58" t="s">
        <v>1390</v>
      </c>
      <c r="BA982" s="58" t="s">
        <v>151</v>
      </c>
      <c r="BB982" s="58" t="s">
        <v>1407</v>
      </c>
      <c r="BC982" s="58"/>
    </row>
    <row r="983" spans="1:55" x14ac:dyDescent="0.25">
      <c r="A983" s="10">
        <f t="shared" si="41"/>
        <v>982</v>
      </c>
      <c r="B983" s="181" t="s">
        <v>9386</v>
      </c>
      <c r="C983" s="592" t="s">
        <v>1407</v>
      </c>
      <c r="D983" s="457">
        <v>400903</v>
      </c>
      <c r="E983" s="181" t="s">
        <v>36</v>
      </c>
      <c r="F983" s="97" t="s">
        <v>9387</v>
      </c>
      <c r="G983" s="139">
        <v>6</v>
      </c>
      <c r="H983" s="458" t="s">
        <v>5491</v>
      </c>
      <c r="I983" s="458" t="s">
        <v>7654</v>
      </c>
      <c r="J983" s="458">
        <f>I983-H983</f>
        <v>8.3333333333333315E-2</v>
      </c>
      <c r="K983" s="100" t="s">
        <v>1187</v>
      </c>
      <c r="L983" s="97" t="s">
        <v>1424</v>
      </c>
      <c r="M983" s="97" t="s">
        <v>1376</v>
      </c>
      <c r="N983" s="58" t="s">
        <v>1393</v>
      </c>
      <c r="O983" s="58" t="s">
        <v>1424</v>
      </c>
      <c r="P983" s="206">
        <v>45274</v>
      </c>
      <c r="Q983" s="460">
        <v>45274</v>
      </c>
      <c r="R983" s="460">
        <v>46004</v>
      </c>
      <c r="S983" s="461">
        <v>46005</v>
      </c>
      <c r="T983" s="139">
        <v>2018</v>
      </c>
      <c r="U983" s="139" t="s">
        <v>5787</v>
      </c>
      <c r="V983" s="139"/>
      <c r="W983" s="139"/>
      <c r="X983" s="139" t="s">
        <v>30</v>
      </c>
      <c r="Y983" s="462" t="s">
        <v>226</v>
      </c>
      <c r="Z983" s="140" t="s">
        <v>9388</v>
      </c>
      <c r="AA983" s="140" t="s">
        <v>1841</v>
      </c>
      <c r="AB983" s="460">
        <v>43888</v>
      </c>
      <c r="AC983" s="460">
        <v>45714</v>
      </c>
      <c r="AD983" s="488">
        <v>8374184360</v>
      </c>
      <c r="AE983" s="140" t="s">
        <v>9389</v>
      </c>
      <c r="AF983" s="139" t="s">
        <v>5086</v>
      </c>
      <c r="AG983" s="463" t="s">
        <v>9390</v>
      </c>
      <c r="AH983" s="139" t="s">
        <v>3898</v>
      </c>
      <c r="AI983" s="139" t="s">
        <v>9391</v>
      </c>
      <c r="AJ983" s="464">
        <v>739135216188</v>
      </c>
      <c r="AK983" s="140"/>
      <c r="AL983" s="206">
        <v>45322</v>
      </c>
      <c r="AM983" s="477">
        <v>45322</v>
      </c>
      <c r="AN983" s="140"/>
      <c r="AO983" s="140" t="s">
        <v>9392</v>
      </c>
      <c r="AP983" s="139"/>
      <c r="AQ983" s="97" t="s">
        <v>9392</v>
      </c>
      <c r="AR983" s="489"/>
      <c r="AS983" s="458">
        <v>0.375</v>
      </c>
      <c r="AT983" s="181">
        <v>0.45833333333333331</v>
      </c>
      <c r="AU983" s="461">
        <v>34830</v>
      </c>
      <c r="AV983" s="181" t="s">
        <v>1352</v>
      </c>
      <c r="AW983" s="31" t="s">
        <v>32</v>
      </c>
      <c r="AX983" s="139">
        <v>2</v>
      </c>
      <c r="AY983" s="58" t="s">
        <v>2006</v>
      </c>
      <c r="AZ983" s="58" t="s">
        <v>1390</v>
      </c>
      <c r="BA983" s="58" t="s">
        <v>151</v>
      </c>
      <c r="BB983" s="58" t="s">
        <v>1407</v>
      </c>
      <c r="BC983" s="58"/>
    </row>
    <row r="984" spans="1:55" x14ac:dyDescent="0.25">
      <c r="A984" s="10">
        <f t="shared" si="41"/>
        <v>983</v>
      </c>
      <c r="B984" s="181" t="s">
        <v>9393</v>
      </c>
      <c r="C984" s="592" t="s">
        <v>1407</v>
      </c>
      <c r="D984" s="457">
        <v>400904</v>
      </c>
      <c r="E984" s="181" t="s">
        <v>36</v>
      </c>
      <c r="F984" s="97" t="s">
        <v>9394</v>
      </c>
      <c r="G984" s="139">
        <v>6</v>
      </c>
      <c r="H984" s="458" t="s">
        <v>6635</v>
      </c>
      <c r="I984" s="458" t="s">
        <v>1864</v>
      </c>
      <c r="J984" s="458">
        <v>4.1666666666666664E-2</v>
      </c>
      <c r="K984" s="58" t="s">
        <v>700</v>
      </c>
      <c r="L984" s="97" t="s">
        <v>1424</v>
      </c>
      <c r="M984" s="97" t="s">
        <v>1376</v>
      </c>
      <c r="N984" s="58" t="s">
        <v>1393</v>
      </c>
      <c r="O984" s="58" t="s">
        <v>1424</v>
      </c>
      <c r="P984" s="206">
        <v>45274</v>
      </c>
      <c r="Q984" s="460">
        <v>45274</v>
      </c>
      <c r="R984" s="460">
        <v>46004</v>
      </c>
      <c r="S984" s="461">
        <v>46005</v>
      </c>
      <c r="T984" s="139">
        <v>2022</v>
      </c>
      <c r="U984" s="139" t="s">
        <v>9395</v>
      </c>
      <c r="V984" s="139"/>
      <c r="W984" s="139"/>
      <c r="X984" s="139" t="s">
        <v>30</v>
      </c>
      <c r="Y984" s="462"/>
      <c r="Z984" s="140">
        <v>168331</v>
      </c>
      <c r="AA984" s="140" t="s">
        <v>1560</v>
      </c>
      <c r="AB984" s="460">
        <v>45224</v>
      </c>
      <c r="AC984" s="460">
        <v>45223</v>
      </c>
      <c r="AD984" s="488">
        <v>6304267072</v>
      </c>
      <c r="AE984" s="140" t="s">
        <v>9396</v>
      </c>
      <c r="AF984" s="139" t="s">
        <v>2545</v>
      </c>
      <c r="AG984" s="463" t="s">
        <v>9397</v>
      </c>
      <c r="AH984" s="139" t="s">
        <v>9398</v>
      </c>
      <c r="AI984" s="139" t="s">
        <v>9399</v>
      </c>
      <c r="AJ984" s="464">
        <v>471078421717</v>
      </c>
      <c r="AK984" s="140"/>
      <c r="AL984" s="206">
        <v>45283</v>
      </c>
      <c r="AM984" s="477">
        <v>45283</v>
      </c>
      <c r="AN984" s="140"/>
      <c r="AO984" s="140" t="s">
        <v>9400</v>
      </c>
      <c r="AP984" s="139"/>
      <c r="AQ984" s="97" t="s">
        <v>9400</v>
      </c>
      <c r="AR984" s="489"/>
      <c r="AS984" s="458">
        <v>0.39583333333333331</v>
      </c>
      <c r="AT984" s="181">
        <v>0.4375</v>
      </c>
      <c r="AU984" s="461"/>
      <c r="AV984" s="181" t="s">
        <v>1352</v>
      </c>
      <c r="AW984" s="31" t="s">
        <v>32</v>
      </c>
      <c r="AX984" s="139">
        <v>1</v>
      </c>
      <c r="AY984" s="58" t="s">
        <v>2469</v>
      </c>
      <c r="AZ984" s="58" t="s">
        <v>1390</v>
      </c>
      <c r="BA984" s="58" t="s">
        <v>151</v>
      </c>
      <c r="BB984" s="58" t="s">
        <v>1407</v>
      </c>
      <c r="BC984" s="58"/>
    </row>
    <row r="985" spans="1:55" x14ac:dyDescent="0.25">
      <c r="A985" s="10">
        <f t="shared" si="41"/>
        <v>984</v>
      </c>
      <c r="B985" s="181" t="s">
        <v>9401</v>
      </c>
      <c r="C985" s="592" t="s">
        <v>1407</v>
      </c>
      <c r="D985" s="457">
        <v>400905</v>
      </c>
      <c r="E985" s="181" t="s">
        <v>36</v>
      </c>
      <c r="F985" s="97" t="s">
        <v>9402</v>
      </c>
      <c r="G985" s="139">
        <v>6</v>
      </c>
      <c r="H985" s="469" t="s">
        <v>5118</v>
      </c>
      <c r="I985" s="469" t="s">
        <v>747</v>
      </c>
      <c r="J985" s="458">
        <f>I985-H985</f>
        <v>8.3333333333333315E-2</v>
      </c>
      <c r="K985" s="100" t="s">
        <v>680</v>
      </c>
      <c r="L985" s="97" t="s">
        <v>1424</v>
      </c>
      <c r="M985" s="63" t="s">
        <v>1355</v>
      </c>
      <c r="N985" s="100" t="s">
        <v>1520</v>
      </c>
      <c r="O985" s="58" t="s">
        <v>5330</v>
      </c>
      <c r="P985" s="206">
        <v>45274</v>
      </c>
      <c r="Q985" s="206">
        <v>45274</v>
      </c>
      <c r="R985" s="206">
        <v>46004</v>
      </c>
      <c r="S985" s="461">
        <v>46005</v>
      </c>
      <c r="T985" s="139">
        <v>2018</v>
      </c>
      <c r="U985" s="181" t="s">
        <v>3416</v>
      </c>
      <c r="V985" s="139">
        <v>2022</v>
      </c>
      <c r="W985" s="97" t="s">
        <v>209</v>
      </c>
      <c r="X985" s="181" t="s">
        <v>30</v>
      </c>
      <c r="Y985" s="58" t="s">
        <v>5066</v>
      </c>
      <c r="Z985" s="140" t="s">
        <v>9403</v>
      </c>
      <c r="AA985" s="470" t="s">
        <v>1841</v>
      </c>
      <c r="AB985" s="471">
        <v>44979</v>
      </c>
      <c r="AC985" s="471">
        <v>46804</v>
      </c>
      <c r="AD985" s="472">
        <v>9989438936</v>
      </c>
      <c r="AE985" s="473" t="s">
        <v>9404</v>
      </c>
      <c r="AF985" s="474" t="s">
        <v>5086</v>
      </c>
      <c r="AG985" s="475" t="s">
        <v>9405</v>
      </c>
      <c r="AH985" s="181" t="s">
        <v>2891</v>
      </c>
      <c r="AI985" s="139" t="s">
        <v>9406</v>
      </c>
      <c r="AJ985" s="476">
        <v>589976795540</v>
      </c>
      <c r="AK985" s="470"/>
      <c r="AL985" s="206">
        <v>45412</v>
      </c>
      <c r="AM985" s="477">
        <v>45405</v>
      </c>
      <c r="AN985" s="478" t="s">
        <v>8618</v>
      </c>
      <c r="AO985" s="140" t="s">
        <v>9407</v>
      </c>
      <c r="AP985" s="58"/>
      <c r="AQ985" s="97" t="s">
        <v>9407</v>
      </c>
      <c r="AR985" s="462"/>
      <c r="AS985" s="479">
        <v>0.41666666666666669</v>
      </c>
      <c r="AT985" s="479">
        <v>0.5</v>
      </c>
      <c r="AU985" s="480">
        <v>34920</v>
      </c>
      <c r="AV985" s="181" t="s">
        <v>1389</v>
      </c>
      <c r="AW985" s="31" t="s">
        <v>32</v>
      </c>
      <c r="AX985" s="139">
        <v>2</v>
      </c>
      <c r="AY985" s="58" t="s">
        <v>2189</v>
      </c>
      <c r="AZ985" s="58" t="s">
        <v>1373</v>
      </c>
      <c r="BA985" s="58" t="s">
        <v>151</v>
      </c>
      <c r="BB985" s="58" t="s">
        <v>1407</v>
      </c>
      <c r="BC985" s="58"/>
    </row>
    <row r="986" spans="1:55" x14ac:dyDescent="0.25">
      <c r="A986" s="10">
        <f t="shared" si="41"/>
        <v>985</v>
      </c>
      <c r="B986" s="181" t="s">
        <v>7858</v>
      </c>
      <c r="C986" s="592" t="s">
        <v>1407</v>
      </c>
      <c r="D986" s="457">
        <v>400906</v>
      </c>
      <c r="E986" s="181" t="s">
        <v>36</v>
      </c>
      <c r="F986" s="97" t="s">
        <v>7859</v>
      </c>
      <c r="G986" s="139">
        <v>6</v>
      </c>
      <c r="H986" s="469" t="s">
        <v>989</v>
      </c>
      <c r="I986" s="469" t="s">
        <v>7655</v>
      </c>
      <c r="J986" s="458">
        <f>I986-H986</f>
        <v>8.3333333333333259E-2</v>
      </c>
      <c r="K986" s="143" t="s">
        <v>513</v>
      </c>
      <c r="L986" s="97" t="s">
        <v>1424</v>
      </c>
      <c r="M986" s="97" t="s">
        <v>1376</v>
      </c>
      <c r="N986" s="58" t="s">
        <v>1393</v>
      </c>
      <c r="O986" s="58" t="s">
        <v>1424</v>
      </c>
      <c r="P986" s="206">
        <v>45275</v>
      </c>
      <c r="Q986" s="206">
        <v>45275</v>
      </c>
      <c r="R986" s="206">
        <v>46005</v>
      </c>
      <c r="S986" s="461">
        <v>46006</v>
      </c>
      <c r="T986" s="139">
        <v>2018</v>
      </c>
      <c r="U986" s="181" t="s">
        <v>868</v>
      </c>
      <c r="V986" s="139"/>
      <c r="W986" s="97"/>
      <c r="X986" s="181" t="s">
        <v>30</v>
      </c>
      <c r="Y986" s="58" t="s">
        <v>226</v>
      </c>
      <c r="Z986" s="140" t="s">
        <v>7861</v>
      </c>
      <c r="AA986" s="470" t="s">
        <v>1841</v>
      </c>
      <c r="AB986" s="471">
        <v>44356</v>
      </c>
      <c r="AC986" s="471">
        <v>46181</v>
      </c>
      <c r="AD986" s="472">
        <v>8297602319</v>
      </c>
      <c r="AE986" s="473" t="s">
        <v>7862</v>
      </c>
      <c r="AF986" s="474" t="s">
        <v>1805</v>
      </c>
      <c r="AG986" s="475" t="s">
        <v>7864</v>
      </c>
      <c r="AH986" s="181" t="s">
        <v>9408</v>
      </c>
      <c r="AI986" s="139" t="s">
        <v>7866</v>
      </c>
      <c r="AJ986" s="476">
        <v>728516517007</v>
      </c>
      <c r="AK986" s="470"/>
      <c r="AL986" s="206">
        <v>45376</v>
      </c>
      <c r="AM986" s="477">
        <v>45348</v>
      </c>
      <c r="AN986" s="478" t="s">
        <v>5098</v>
      </c>
      <c r="AO986" s="140" t="s">
        <v>9409</v>
      </c>
      <c r="AP986" s="58"/>
      <c r="AQ986" s="97" t="s">
        <v>9409</v>
      </c>
      <c r="AR986" s="462"/>
      <c r="AS986" s="479">
        <v>0.70833333333333337</v>
      </c>
      <c r="AT986" s="479">
        <v>0.79166666666666663</v>
      </c>
      <c r="AU986" s="480">
        <v>34562</v>
      </c>
      <c r="AV986" s="181" t="s">
        <v>1389</v>
      </c>
      <c r="AW986" s="31" t="s">
        <v>32</v>
      </c>
      <c r="AX986" s="139">
        <v>2</v>
      </c>
      <c r="AY986" s="58" t="s">
        <v>1959</v>
      </c>
      <c r="AZ986" s="58" t="s">
        <v>1390</v>
      </c>
      <c r="BA986" s="58" t="s">
        <v>151</v>
      </c>
      <c r="BB986" s="58" t="s">
        <v>1407</v>
      </c>
      <c r="BC986" s="58"/>
    </row>
    <row r="987" spans="1:55" x14ac:dyDescent="0.25">
      <c r="A987" s="10">
        <f t="shared" si="41"/>
        <v>986</v>
      </c>
      <c r="B987" s="181" t="s">
        <v>9410</v>
      </c>
      <c r="C987" s="592" t="s">
        <v>1407</v>
      </c>
      <c r="D987" s="457">
        <v>401033</v>
      </c>
      <c r="E987" s="181" t="s">
        <v>36</v>
      </c>
      <c r="F987" s="97" t="s">
        <v>9411</v>
      </c>
      <c r="G987" s="121">
        <v>6</v>
      </c>
      <c r="H987" s="458">
        <v>0.375</v>
      </c>
      <c r="I987" s="458">
        <v>0.625</v>
      </c>
      <c r="J987" s="458">
        <f>I987-H987</f>
        <v>0.25</v>
      </c>
      <c r="K987" s="100" t="s">
        <v>287</v>
      </c>
      <c r="L987" s="97" t="s">
        <v>30</v>
      </c>
      <c r="M987" s="97" t="s">
        <v>2097</v>
      </c>
      <c r="N987" s="58" t="s">
        <v>2098</v>
      </c>
      <c r="O987" s="58" t="s">
        <v>6947</v>
      </c>
      <c r="P987" s="424">
        <v>45498</v>
      </c>
      <c r="Q987" s="424">
        <v>45498</v>
      </c>
      <c r="R987" s="424">
        <v>46227</v>
      </c>
      <c r="S987" s="424">
        <v>46228</v>
      </c>
      <c r="T987" s="139">
        <v>2013</v>
      </c>
      <c r="U987" s="97" t="s">
        <v>351</v>
      </c>
      <c r="V987" s="139">
        <v>2022</v>
      </c>
      <c r="W987" s="462" t="s">
        <v>209</v>
      </c>
      <c r="X987" s="181" t="s">
        <v>30</v>
      </c>
      <c r="Y987" s="58" t="s">
        <v>9412</v>
      </c>
      <c r="Z987" s="140" t="s">
        <v>9413</v>
      </c>
      <c r="AA987" s="470" t="s">
        <v>1841</v>
      </c>
      <c r="AB987" s="471">
        <v>44964</v>
      </c>
      <c r="AC987" s="471">
        <v>46789</v>
      </c>
      <c r="AD987" s="472">
        <v>9959868869</v>
      </c>
      <c r="AE987" s="473" t="s">
        <v>9414</v>
      </c>
      <c r="AF987" s="58" t="s">
        <v>1364</v>
      </c>
      <c r="AG987" s="475" t="s">
        <v>9415</v>
      </c>
      <c r="AH987" s="181" t="s">
        <v>9416</v>
      </c>
      <c r="AI987" s="139" t="s">
        <v>9417</v>
      </c>
      <c r="AJ987" s="464">
        <v>351440249887</v>
      </c>
      <c r="AK987" s="470" t="s">
        <v>9418</v>
      </c>
      <c r="AL987" s="206">
        <v>45616</v>
      </c>
      <c r="AM987" s="206">
        <v>45601</v>
      </c>
      <c r="AN987" s="97" t="s">
        <v>9419</v>
      </c>
      <c r="AO987" s="140" t="s">
        <v>9420</v>
      </c>
      <c r="AP987" s="486"/>
      <c r="AQ987" s="462">
        <f ca="1">ROUNDDOWN((TODAY() - AU987)/365.25,0)</f>
        <v>36</v>
      </c>
      <c r="AR987" s="512"/>
      <c r="AS987" s="513"/>
      <c r="AT987" s="479" t="s">
        <v>9421</v>
      </c>
      <c r="AU987" s="461">
        <v>32550</v>
      </c>
      <c r="AV987" s="181" t="s">
        <v>1389</v>
      </c>
      <c r="AW987" s="31" t="s">
        <v>68</v>
      </c>
      <c r="AX987" s="139">
        <v>6</v>
      </c>
      <c r="AY987" s="58" t="s">
        <v>1881</v>
      </c>
      <c r="AZ987" s="58" t="s">
        <v>1373</v>
      </c>
      <c r="BA987" s="58" t="s">
        <v>151</v>
      </c>
      <c r="BB987" s="58" t="s">
        <v>1407</v>
      </c>
      <c r="BC987" s="58"/>
    </row>
    <row r="988" spans="1:55" x14ac:dyDescent="0.25">
      <c r="A988" s="10">
        <f t="shared" si="41"/>
        <v>987</v>
      </c>
      <c r="B988" s="181"/>
      <c r="C988" s="592" t="s">
        <v>1407</v>
      </c>
      <c r="D988" s="457">
        <v>400908</v>
      </c>
      <c r="E988" s="181" t="s">
        <v>36</v>
      </c>
      <c r="F988" s="97" t="s">
        <v>9422</v>
      </c>
      <c r="G988" s="139">
        <v>6</v>
      </c>
      <c r="H988" s="458">
        <v>0.35416666666666669</v>
      </c>
      <c r="I988" s="458">
        <v>0.39583333333333331</v>
      </c>
      <c r="J988" s="458">
        <v>4.1666666666666664E-2</v>
      </c>
      <c r="K988" s="58" t="s">
        <v>791</v>
      </c>
      <c r="L988" s="97" t="s">
        <v>1424</v>
      </c>
      <c r="M988" s="97" t="s">
        <v>1376</v>
      </c>
      <c r="N988" s="58" t="s">
        <v>1393</v>
      </c>
      <c r="O988" s="58"/>
      <c r="P988" s="206">
        <v>45278</v>
      </c>
      <c r="Q988" s="460">
        <v>45278</v>
      </c>
      <c r="R988" s="460">
        <v>46008</v>
      </c>
      <c r="S988" s="461">
        <v>46009</v>
      </c>
      <c r="T988" s="139">
        <v>2015</v>
      </c>
      <c r="U988" s="139" t="s">
        <v>9423</v>
      </c>
      <c r="V988" s="139"/>
      <c r="W988" s="139"/>
      <c r="X988" s="139"/>
      <c r="Y988" s="462"/>
      <c r="Z988" s="140" t="s">
        <v>9424</v>
      </c>
      <c r="AA988" s="140" t="s">
        <v>1841</v>
      </c>
      <c r="AB988" s="460">
        <v>45209</v>
      </c>
      <c r="AC988" s="460">
        <v>47035</v>
      </c>
      <c r="AD988" s="488">
        <v>9652939188</v>
      </c>
      <c r="AE988" s="140" t="s">
        <v>9425</v>
      </c>
      <c r="AF988" s="139"/>
      <c r="AG988" s="463"/>
      <c r="AH988" s="139"/>
      <c r="AI988" s="139" t="s">
        <v>9426</v>
      </c>
      <c r="AJ988" s="464">
        <v>554761898593</v>
      </c>
      <c r="AK988" s="140"/>
      <c r="AL988" s="206">
        <v>45278</v>
      </c>
      <c r="AM988" s="477"/>
      <c r="AN988" s="465"/>
      <c r="AO988" s="140" t="s">
        <v>9427</v>
      </c>
      <c r="AP988" s="139"/>
      <c r="AQ988" s="140" t="s">
        <v>9427</v>
      </c>
      <c r="AR988" s="58"/>
      <c r="AS988" s="458" t="e">
        <v>#N/A</v>
      </c>
      <c r="AT988" s="458"/>
      <c r="AU988" s="461"/>
      <c r="AV988" s="181" t="s">
        <v>1352</v>
      </c>
      <c r="AW988" s="31" t="s">
        <v>32</v>
      </c>
      <c r="AX988" s="139">
        <v>1</v>
      </c>
      <c r="AY988" s="58" t="s">
        <v>1959</v>
      </c>
      <c r="AZ988" s="58" t="s">
        <v>1390</v>
      </c>
      <c r="BA988" s="58" t="s">
        <v>151</v>
      </c>
      <c r="BB988" s="58" t="s">
        <v>1407</v>
      </c>
      <c r="BC988" s="58"/>
    </row>
    <row r="989" spans="1:55" x14ac:dyDescent="0.25">
      <c r="A989" s="10">
        <f t="shared" si="41"/>
        <v>988</v>
      </c>
      <c r="B989" s="181" t="s">
        <v>9428</v>
      </c>
      <c r="C989" s="592" t="s">
        <v>1407</v>
      </c>
      <c r="D989" s="457">
        <v>401057</v>
      </c>
      <c r="E989" s="181" t="s">
        <v>9095</v>
      </c>
      <c r="F989" s="97" t="s">
        <v>9429</v>
      </c>
      <c r="G989" s="139">
        <v>6</v>
      </c>
      <c r="H989" s="458">
        <v>0.375</v>
      </c>
      <c r="I989" s="458">
        <v>0.70833333333333337</v>
      </c>
      <c r="J989" s="458">
        <f>I989-H989</f>
        <v>0.33333333333333337</v>
      </c>
      <c r="K989" s="58" t="s">
        <v>147</v>
      </c>
      <c r="L989" s="97" t="s">
        <v>9430</v>
      </c>
      <c r="M989" s="97" t="s">
        <v>26</v>
      </c>
      <c r="N989" s="58" t="s">
        <v>38</v>
      </c>
      <c r="O989" s="462" t="s">
        <v>5076</v>
      </c>
      <c r="P989" s="424">
        <v>45524</v>
      </c>
      <c r="Q989" s="424">
        <v>45524</v>
      </c>
      <c r="R989" s="424">
        <v>46253</v>
      </c>
      <c r="S989" s="424">
        <v>46254</v>
      </c>
      <c r="T989" s="139">
        <v>2008</v>
      </c>
      <c r="U989" s="140" t="s">
        <v>196</v>
      </c>
      <c r="V989" s="139">
        <v>2013</v>
      </c>
      <c r="W989" s="462" t="s">
        <v>209</v>
      </c>
      <c r="X989" s="181" t="s">
        <v>30</v>
      </c>
      <c r="Y989" s="58" t="s">
        <v>97</v>
      </c>
      <c r="Z989" s="140">
        <v>63409</v>
      </c>
      <c r="AA989" s="97" t="s">
        <v>1841</v>
      </c>
      <c r="AB989" s="471">
        <v>44007</v>
      </c>
      <c r="AC989" s="471">
        <v>45832</v>
      </c>
      <c r="AD989" s="472">
        <v>9052404990</v>
      </c>
      <c r="AE989" s="473" t="s">
        <v>9431</v>
      </c>
      <c r="AF989" s="58" t="s">
        <v>1430</v>
      </c>
      <c r="AG989" s="475" t="s">
        <v>9432</v>
      </c>
      <c r="AH989" s="181" t="s">
        <v>4014</v>
      </c>
      <c r="AI989" s="139" t="s">
        <v>9433</v>
      </c>
      <c r="AJ989" s="464">
        <v>775183407827</v>
      </c>
      <c r="AK989" s="97" t="s">
        <v>9434</v>
      </c>
      <c r="AL989" s="461">
        <v>45619</v>
      </c>
      <c r="AM989" s="206">
        <v>45590</v>
      </c>
      <c r="AN989" s="97" t="s">
        <v>9435</v>
      </c>
      <c r="AO989" s="140" t="s">
        <v>9436</v>
      </c>
      <c r="AP989" s="486"/>
      <c r="AQ989" s="462">
        <f ca="1">ROUNDDOWN((TODAY() - AU989)/365.25,0)</f>
        <v>40</v>
      </c>
      <c r="AR989" s="512"/>
      <c r="AS989" s="513"/>
      <c r="AT989" s="479"/>
      <c r="AU989" s="461">
        <v>31206</v>
      </c>
      <c r="AV989" s="181" t="s">
        <v>1389</v>
      </c>
      <c r="AW989" s="31" t="s">
        <v>68</v>
      </c>
      <c r="AX989" s="139">
        <v>8</v>
      </c>
      <c r="AY989" s="58" t="s">
        <v>1849</v>
      </c>
      <c r="AZ989" s="58" t="s">
        <v>26</v>
      </c>
      <c r="BA989" s="58" t="s">
        <v>151</v>
      </c>
      <c r="BB989" s="58" t="s">
        <v>1407</v>
      </c>
      <c r="BC989" s="58"/>
    </row>
    <row r="990" spans="1:55" x14ac:dyDescent="0.25">
      <c r="A990" s="10">
        <f t="shared" si="41"/>
        <v>989</v>
      </c>
      <c r="B990" s="181" t="s">
        <v>9437</v>
      </c>
      <c r="C990" s="592" t="s">
        <v>1407</v>
      </c>
      <c r="D990" s="457">
        <v>400910</v>
      </c>
      <c r="E990" s="181" t="s">
        <v>36</v>
      </c>
      <c r="F990" s="97" t="s">
        <v>9438</v>
      </c>
      <c r="G990" s="139">
        <v>6</v>
      </c>
      <c r="H990" s="458" t="s">
        <v>1003</v>
      </c>
      <c r="I990" s="458" t="s">
        <v>9439</v>
      </c>
      <c r="J990" s="458">
        <f>I990-H990</f>
        <v>8.3333333333333259E-2</v>
      </c>
      <c r="K990" s="143" t="s">
        <v>477</v>
      </c>
      <c r="L990" s="97" t="s">
        <v>1424</v>
      </c>
      <c r="M990" s="97" t="s">
        <v>1544</v>
      </c>
      <c r="N990" s="58" t="s">
        <v>1992</v>
      </c>
      <c r="O990" s="58" t="s">
        <v>5111</v>
      </c>
      <c r="P990" s="206">
        <v>45288</v>
      </c>
      <c r="Q990" s="460">
        <v>45288</v>
      </c>
      <c r="R990" s="460">
        <v>46018</v>
      </c>
      <c r="S990" s="461">
        <v>46019</v>
      </c>
      <c r="T990" s="139">
        <v>2017</v>
      </c>
      <c r="U990" s="139" t="s">
        <v>9440</v>
      </c>
      <c r="V990" s="139">
        <v>2022</v>
      </c>
      <c r="W990" s="139" t="s">
        <v>196</v>
      </c>
      <c r="X990" s="139" t="s">
        <v>30</v>
      </c>
      <c r="Y990" s="462" t="s">
        <v>1611</v>
      </c>
      <c r="Z990" s="140" t="s">
        <v>9441</v>
      </c>
      <c r="AA990" s="140" t="s">
        <v>1841</v>
      </c>
      <c r="AB990" s="460">
        <v>44977</v>
      </c>
      <c r="AC990" s="460">
        <v>46802</v>
      </c>
      <c r="AD990" s="488">
        <v>9492093807</v>
      </c>
      <c r="AE990" s="140" t="s">
        <v>9442</v>
      </c>
      <c r="AF990" s="139" t="s">
        <v>5086</v>
      </c>
      <c r="AG990" s="463" t="s">
        <v>9443</v>
      </c>
      <c r="AH990" s="139" t="s">
        <v>9444</v>
      </c>
      <c r="AI990" s="139" t="s">
        <v>9445</v>
      </c>
      <c r="AJ990" s="464">
        <v>775305154997</v>
      </c>
      <c r="AK990" s="140"/>
      <c r="AL990" s="206">
        <v>45344</v>
      </c>
      <c r="AM990" s="477">
        <v>45320</v>
      </c>
      <c r="AN990" s="140" t="s">
        <v>1516</v>
      </c>
      <c r="AO990" s="140" t="s">
        <v>9446</v>
      </c>
      <c r="AP990" s="139"/>
      <c r="AQ990" s="97" t="s">
        <v>9446</v>
      </c>
      <c r="AR990" s="489"/>
      <c r="AS990" s="458">
        <v>0.77083333333333337</v>
      </c>
      <c r="AT990" s="181">
        <v>0.85416666666666663</v>
      </c>
      <c r="AU990" s="461">
        <v>34873</v>
      </c>
      <c r="AV990" s="181" t="s">
        <v>1389</v>
      </c>
      <c r="AW990" s="31" t="s">
        <v>32</v>
      </c>
      <c r="AX990" s="139">
        <v>2</v>
      </c>
      <c r="AY990" s="58" t="s">
        <v>2053</v>
      </c>
      <c r="AZ990" s="58" t="s">
        <v>1373</v>
      </c>
      <c r="BA990" s="58" t="s">
        <v>151</v>
      </c>
      <c r="BB990" s="58" t="s">
        <v>1407</v>
      </c>
      <c r="BC990" s="58"/>
    </row>
    <row r="991" spans="1:55" x14ac:dyDescent="0.25">
      <c r="A991" s="10">
        <f t="shared" si="41"/>
        <v>990</v>
      </c>
      <c r="B991" s="62" t="s">
        <v>7652</v>
      </c>
      <c r="C991" s="592" t="s">
        <v>1407</v>
      </c>
      <c r="D991" s="499">
        <v>401051</v>
      </c>
      <c r="E991" s="62" t="s">
        <v>36</v>
      </c>
      <c r="F991" s="63" t="s">
        <v>9447</v>
      </c>
      <c r="G991" s="64">
        <v>6</v>
      </c>
      <c r="H991" s="141">
        <v>0.45833333333333331</v>
      </c>
      <c r="I991" s="141">
        <v>0.58333333333333337</v>
      </c>
      <c r="J991" s="141">
        <v>0.125</v>
      </c>
      <c r="K991" s="143" t="s">
        <v>754</v>
      </c>
      <c r="L991" s="63" t="s">
        <v>9448</v>
      </c>
      <c r="M991" s="63" t="s">
        <v>26</v>
      </c>
      <c r="N991" s="100" t="s">
        <v>38</v>
      </c>
      <c r="O991" s="143" t="s">
        <v>5710</v>
      </c>
      <c r="P991" s="273">
        <v>45516</v>
      </c>
      <c r="Q991" s="273">
        <v>45516</v>
      </c>
      <c r="R991" s="273">
        <v>46245</v>
      </c>
      <c r="S991" s="273">
        <v>46246</v>
      </c>
      <c r="T991" s="61">
        <v>2014</v>
      </c>
      <c r="U991" s="63" t="s">
        <v>7338</v>
      </c>
      <c r="V991" s="61">
        <v>2022</v>
      </c>
      <c r="W991" s="143" t="s">
        <v>7657</v>
      </c>
      <c r="X991" s="62" t="s">
        <v>30</v>
      </c>
      <c r="Y991" s="100" t="s">
        <v>97</v>
      </c>
      <c r="Z991" s="99" t="s">
        <v>7658</v>
      </c>
      <c r="AA991" s="63" t="s">
        <v>1841</v>
      </c>
      <c r="AB991" s="451">
        <v>44805</v>
      </c>
      <c r="AC991" s="451">
        <v>46630</v>
      </c>
      <c r="AD991" s="304">
        <v>9618949027</v>
      </c>
      <c r="AE991" s="336" t="s">
        <v>7659</v>
      </c>
      <c r="AF991" s="63" t="s">
        <v>1430</v>
      </c>
      <c r="AG991" s="493" t="s">
        <v>7660</v>
      </c>
      <c r="AH991" s="62" t="s">
        <v>7661</v>
      </c>
      <c r="AI991" s="61" t="s">
        <v>7662</v>
      </c>
      <c r="AJ991" s="493">
        <v>783219738106</v>
      </c>
      <c r="AK991" s="63" t="s">
        <v>7663</v>
      </c>
      <c r="AL991" s="338">
        <v>45625</v>
      </c>
      <c r="AM991" s="446" t="s">
        <v>30</v>
      </c>
      <c r="AN991" s="100" t="s">
        <v>9449</v>
      </c>
      <c r="AO991" s="539" t="s">
        <v>9450</v>
      </c>
      <c r="AP991" s="61">
        <v>32</v>
      </c>
      <c r="AQ991" s="143"/>
      <c r="AR991" s="493"/>
      <c r="AS991" s="515"/>
      <c r="AT991" s="515"/>
      <c r="AU991" s="338">
        <v>33922</v>
      </c>
      <c r="AV991" s="62" t="s">
        <v>1389</v>
      </c>
      <c r="AW991" s="31" t="s">
        <v>32</v>
      </c>
      <c r="AX991" s="61">
        <v>3</v>
      </c>
      <c r="AY991" s="100" t="s">
        <v>1968</v>
      </c>
      <c r="AZ991" s="100" t="s">
        <v>26</v>
      </c>
      <c r="BA991" s="58" t="s">
        <v>151</v>
      </c>
      <c r="BB991" s="58" t="s">
        <v>1407</v>
      </c>
      <c r="BC991" s="100"/>
    </row>
    <row r="992" spans="1:55" x14ac:dyDescent="0.25">
      <c r="A992" s="10">
        <f t="shared" si="41"/>
        <v>991</v>
      </c>
      <c r="B992" s="181" t="s">
        <v>9451</v>
      </c>
      <c r="C992" s="592" t="s">
        <v>1407</v>
      </c>
      <c r="D992" s="457">
        <v>400848</v>
      </c>
      <c r="E992" s="181" t="s">
        <v>36</v>
      </c>
      <c r="F992" s="97" t="s">
        <v>9452</v>
      </c>
      <c r="G992" s="139">
        <v>6</v>
      </c>
      <c r="H992" s="469" t="s">
        <v>5089</v>
      </c>
      <c r="I992" s="469" t="s">
        <v>5090</v>
      </c>
      <c r="J992" s="458">
        <f>I992-H992</f>
        <v>0.16666666666666669</v>
      </c>
      <c r="K992" s="462" t="s">
        <v>809</v>
      </c>
      <c r="L992" s="97" t="s">
        <v>485</v>
      </c>
      <c r="M992" s="97" t="s">
        <v>26</v>
      </c>
      <c r="N992" s="58" t="s">
        <v>38</v>
      </c>
      <c r="O992" s="462" t="s">
        <v>5076</v>
      </c>
      <c r="P992" s="206">
        <v>45194</v>
      </c>
      <c r="Q992" s="206">
        <v>45194</v>
      </c>
      <c r="R992" s="206">
        <v>45924</v>
      </c>
      <c r="S992" s="461">
        <v>45925</v>
      </c>
      <c r="T992" s="139">
        <v>2018</v>
      </c>
      <c r="U992" s="181" t="s">
        <v>9453</v>
      </c>
      <c r="V992" s="139">
        <v>2023</v>
      </c>
      <c r="W992" s="140" t="s">
        <v>9454</v>
      </c>
      <c r="X992" s="181" t="s">
        <v>30</v>
      </c>
      <c r="Y992" s="58" t="s">
        <v>5066</v>
      </c>
      <c r="Z992" s="140" t="s">
        <v>9455</v>
      </c>
      <c r="AA992" s="97" t="s">
        <v>1886</v>
      </c>
      <c r="AB992" s="471">
        <v>45168</v>
      </c>
      <c r="AC992" s="471">
        <v>46994</v>
      </c>
      <c r="AD992" s="472">
        <v>9515286164</v>
      </c>
      <c r="AE992" s="473" t="s">
        <v>9456</v>
      </c>
      <c r="AF992" s="97" t="s">
        <v>1805</v>
      </c>
      <c r="AG992" s="482" t="s">
        <v>9457</v>
      </c>
      <c r="AH992" s="181" t="s">
        <v>9458</v>
      </c>
      <c r="AI992" s="139" t="s">
        <v>9459</v>
      </c>
      <c r="AJ992" s="464">
        <v>818859341815</v>
      </c>
      <c r="AK992" s="97"/>
      <c r="AL992" s="461">
        <v>45626</v>
      </c>
      <c r="AM992" s="477" t="s">
        <v>30</v>
      </c>
      <c r="AN992" s="97" t="s">
        <v>4363</v>
      </c>
      <c r="AO992" s="140" t="s">
        <v>9460</v>
      </c>
      <c r="AP992" s="486"/>
      <c r="AQ992" s="462">
        <f ca="1">ROUNDDOWN((TODAY() - AU992)/365.25,0)</f>
        <v>30</v>
      </c>
      <c r="AR992" s="479"/>
      <c r="AS992" s="479">
        <v>0.52083333333333337</v>
      </c>
      <c r="AT992" s="61">
        <v>4</v>
      </c>
      <c r="AU992" s="461">
        <v>34692</v>
      </c>
      <c r="AV992" s="181" t="s">
        <v>1389</v>
      </c>
      <c r="AW992" s="31" t="s">
        <v>32</v>
      </c>
      <c r="AX992" s="139">
        <v>4</v>
      </c>
      <c r="AY992" s="58" t="s">
        <v>1920</v>
      </c>
      <c r="AZ992" s="58" t="s">
        <v>26</v>
      </c>
      <c r="BA992" s="58" t="s">
        <v>151</v>
      </c>
      <c r="BB992" s="58" t="s">
        <v>1407</v>
      </c>
      <c r="BC992" s="58"/>
    </row>
    <row r="993" spans="1:55" x14ac:dyDescent="0.25">
      <c r="A993" s="10">
        <f t="shared" si="41"/>
        <v>992</v>
      </c>
      <c r="B993" s="181" t="s">
        <v>9461</v>
      </c>
      <c r="C993" s="592" t="s">
        <v>1407</v>
      </c>
      <c r="D993" s="499">
        <v>400856</v>
      </c>
      <c r="E993" s="62" t="s">
        <v>36</v>
      </c>
      <c r="F993" s="97" t="s">
        <v>9462</v>
      </c>
      <c r="G993" s="61">
        <v>6</v>
      </c>
      <c r="H993" s="141">
        <v>0.33333333333333331</v>
      </c>
      <c r="I993" s="141">
        <v>0.45833333333333331</v>
      </c>
      <c r="J993" s="141">
        <v>0.125</v>
      </c>
      <c r="K993" s="43" t="s">
        <v>1282</v>
      </c>
      <c r="L993" s="63" t="s">
        <v>9463</v>
      </c>
      <c r="M993" s="63" t="s">
        <v>26</v>
      </c>
      <c r="N993" s="100" t="s">
        <v>38</v>
      </c>
      <c r="O993" s="143" t="s">
        <v>5710</v>
      </c>
      <c r="P993" s="446">
        <v>45208</v>
      </c>
      <c r="Q993" s="446">
        <v>45208</v>
      </c>
      <c r="R993" s="446">
        <v>45938</v>
      </c>
      <c r="S993" s="338">
        <v>45939</v>
      </c>
      <c r="T993" s="61">
        <v>2018</v>
      </c>
      <c r="U993" s="62" t="s">
        <v>2827</v>
      </c>
      <c r="V993" s="61">
        <v>2022</v>
      </c>
      <c r="W993" s="99" t="s">
        <v>141</v>
      </c>
      <c r="X993" s="62" t="s">
        <v>30</v>
      </c>
      <c r="Y993" s="100" t="s">
        <v>5066</v>
      </c>
      <c r="Z993" s="99" t="s">
        <v>9464</v>
      </c>
      <c r="AA993" s="63" t="s">
        <v>1841</v>
      </c>
      <c r="AB993" s="451">
        <v>44933</v>
      </c>
      <c r="AC993" s="451">
        <v>46758</v>
      </c>
      <c r="AD993" s="304">
        <v>9902818105</v>
      </c>
      <c r="AE993" s="336" t="s">
        <v>9465</v>
      </c>
      <c r="AF993" s="63" t="s">
        <v>3467</v>
      </c>
      <c r="AG993" s="493" t="s">
        <v>9466</v>
      </c>
      <c r="AH993" s="62" t="s">
        <v>9467</v>
      </c>
      <c r="AI993" s="61" t="s">
        <v>9468</v>
      </c>
      <c r="AJ993" s="493">
        <v>785716887843</v>
      </c>
      <c r="AK993" s="63"/>
      <c r="AL993" s="338">
        <v>45626</v>
      </c>
      <c r="AM993" s="477">
        <v>45607</v>
      </c>
      <c r="AN993" s="63"/>
      <c r="AO993" s="539" t="s">
        <v>9469</v>
      </c>
      <c r="AP993" s="61">
        <v>31</v>
      </c>
      <c r="AQ993" s="143"/>
      <c r="AR993" s="493"/>
      <c r="AS993" s="515"/>
      <c r="AT993" s="515"/>
      <c r="AU993" s="338">
        <v>34565</v>
      </c>
      <c r="AV993" s="62" t="s">
        <v>1352</v>
      </c>
      <c r="AW993" s="31" t="s">
        <v>32</v>
      </c>
      <c r="AX993" s="139">
        <v>3</v>
      </c>
      <c r="AY993" s="58" t="s">
        <v>1968</v>
      </c>
      <c r="AZ993" s="58" t="s">
        <v>26</v>
      </c>
      <c r="BA993" s="58" t="s">
        <v>151</v>
      </c>
      <c r="BB993" s="58" t="s">
        <v>1407</v>
      </c>
      <c r="BC993" s="58"/>
    </row>
    <row r="994" spans="1:55" x14ac:dyDescent="0.25">
      <c r="A994" s="10">
        <f t="shared" si="41"/>
        <v>993</v>
      </c>
      <c r="B994" s="181" t="s">
        <v>9470</v>
      </c>
      <c r="C994" s="592" t="s">
        <v>1407</v>
      </c>
      <c r="D994" s="457">
        <v>401062</v>
      </c>
      <c r="E994" s="181" t="s">
        <v>36</v>
      </c>
      <c r="F994" s="97" t="s">
        <v>9471</v>
      </c>
      <c r="G994" s="139">
        <v>6</v>
      </c>
      <c r="H994" s="458">
        <v>0.35416666666666669</v>
      </c>
      <c r="I994" s="458">
        <v>0.52083333333333337</v>
      </c>
      <c r="J994" s="458">
        <f>I994-H994</f>
        <v>0.16666666666666669</v>
      </c>
      <c r="K994" s="58" t="s">
        <v>1081</v>
      </c>
      <c r="L994" s="63" t="s">
        <v>9472</v>
      </c>
      <c r="M994" s="97" t="s">
        <v>26</v>
      </c>
      <c r="N994" s="58" t="s">
        <v>38</v>
      </c>
      <c r="O994" s="58" t="s">
        <v>5076</v>
      </c>
      <c r="P994" s="424">
        <v>45532</v>
      </c>
      <c r="Q994" s="424">
        <v>45532</v>
      </c>
      <c r="R994" s="424">
        <v>46261</v>
      </c>
      <c r="S994" s="424">
        <v>46262</v>
      </c>
      <c r="T994" s="126">
        <v>2017</v>
      </c>
      <c r="U994" s="140" t="s">
        <v>9473</v>
      </c>
      <c r="V994" s="139">
        <v>2022</v>
      </c>
      <c r="W994" s="462" t="s">
        <v>157</v>
      </c>
      <c r="X994" s="181" t="s">
        <v>30</v>
      </c>
      <c r="Y994" s="58" t="s">
        <v>97</v>
      </c>
      <c r="Z994" s="140" t="s">
        <v>9474</v>
      </c>
      <c r="AA994" s="97" t="s">
        <v>1841</v>
      </c>
      <c r="AB994" s="471">
        <v>45315</v>
      </c>
      <c r="AC994" s="471">
        <v>46045</v>
      </c>
      <c r="AD994" s="472" t="s">
        <v>9475</v>
      </c>
      <c r="AE994" s="473" t="s">
        <v>9476</v>
      </c>
      <c r="AF994" s="58" t="s">
        <v>1364</v>
      </c>
      <c r="AG994" s="475" t="s">
        <v>9477</v>
      </c>
      <c r="AH994" s="181" t="s">
        <v>9478</v>
      </c>
      <c r="AI994" s="139" t="s">
        <v>9479</v>
      </c>
      <c r="AJ994" s="464">
        <v>484399378630</v>
      </c>
      <c r="AK994" s="97" t="s">
        <v>9480</v>
      </c>
      <c r="AL994" s="461">
        <v>45626</v>
      </c>
      <c r="AM994" s="206">
        <v>45566</v>
      </c>
      <c r="AN994" s="97" t="s">
        <v>4954</v>
      </c>
      <c r="AO994" s="140" t="s">
        <v>9481</v>
      </c>
      <c r="AP994" s="486"/>
      <c r="AQ994" s="462">
        <f ca="1">ROUNDDOWN((TODAY() - AU994)/365.25,0)</f>
        <v>31</v>
      </c>
      <c r="AR994" s="512"/>
      <c r="AS994" s="513"/>
      <c r="AT994" s="479"/>
      <c r="AU994" s="461">
        <v>34295</v>
      </c>
      <c r="AV994" s="181" t="s">
        <v>1352</v>
      </c>
      <c r="AW994" s="31" t="s">
        <v>32</v>
      </c>
      <c r="AX994" s="139">
        <v>4</v>
      </c>
      <c r="AY994" s="58" t="s">
        <v>1881</v>
      </c>
      <c r="AZ994" s="58" t="s">
        <v>26</v>
      </c>
      <c r="BA994" s="58" t="s">
        <v>151</v>
      </c>
      <c r="BB994" s="58" t="s">
        <v>1407</v>
      </c>
      <c r="BC994" s="58"/>
    </row>
    <row r="995" spans="1:55" x14ac:dyDescent="0.25">
      <c r="A995" s="10">
        <f t="shared" si="41"/>
        <v>994</v>
      </c>
      <c r="B995" s="181" t="s">
        <v>9482</v>
      </c>
      <c r="C995" s="592" t="s">
        <v>1407</v>
      </c>
      <c r="D995" s="457">
        <v>400915</v>
      </c>
      <c r="E995" s="181" t="s">
        <v>36</v>
      </c>
      <c r="F995" s="97" t="s">
        <v>9483</v>
      </c>
      <c r="G995" s="139">
        <v>6</v>
      </c>
      <c r="H995" s="469" t="s">
        <v>5089</v>
      </c>
      <c r="I995" s="469" t="s">
        <v>5090</v>
      </c>
      <c r="J995" s="458">
        <f>I995-H995</f>
        <v>0.16666666666666669</v>
      </c>
      <c r="K995" s="143" t="s">
        <v>378</v>
      </c>
      <c r="L995" s="97" t="s">
        <v>9484</v>
      </c>
      <c r="M995" s="97" t="s">
        <v>26</v>
      </c>
      <c r="N995" s="58" t="s">
        <v>38</v>
      </c>
      <c r="O995" s="58" t="s">
        <v>5063</v>
      </c>
      <c r="P995" s="206">
        <v>45299</v>
      </c>
      <c r="Q995" s="206">
        <v>45299</v>
      </c>
      <c r="R995" s="206">
        <v>46029</v>
      </c>
      <c r="S995" s="461">
        <v>46030</v>
      </c>
      <c r="T995" s="139">
        <v>2019</v>
      </c>
      <c r="U995" s="181" t="s">
        <v>197</v>
      </c>
      <c r="V995" s="139">
        <v>2023</v>
      </c>
      <c r="W995" s="97" t="s">
        <v>9485</v>
      </c>
      <c r="X995" s="181" t="s">
        <v>30</v>
      </c>
      <c r="Y995" s="58" t="s">
        <v>1611</v>
      </c>
      <c r="Z995" s="140" t="s">
        <v>9486</v>
      </c>
      <c r="AA995" s="470" t="s">
        <v>1841</v>
      </c>
      <c r="AB995" s="471">
        <v>45252</v>
      </c>
      <c r="AC995" s="471">
        <v>47078</v>
      </c>
      <c r="AD995" s="472">
        <v>9959699959</v>
      </c>
      <c r="AE995" s="473" t="s">
        <v>9487</v>
      </c>
      <c r="AF995" s="474" t="s">
        <v>1364</v>
      </c>
      <c r="AG995" s="475" t="s">
        <v>9488</v>
      </c>
      <c r="AH995" s="181" t="s">
        <v>9489</v>
      </c>
      <c r="AI995" s="139" t="s">
        <v>9490</v>
      </c>
      <c r="AJ995" s="476">
        <v>260530520741</v>
      </c>
      <c r="AK995" s="470"/>
      <c r="AL995" s="461">
        <v>45414</v>
      </c>
      <c r="AM995" s="477"/>
      <c r="AN995" s="478"/>
      <c r="AO995" s="97" t="s">
        <v>9491</v>
      </c>
      <c r="AP995" s="58"/>
      <c r="AQ995" s="58"/>
      <c r="AR995" s="462"/>
      <c r="AS995" s="479">
        <v>0.35416666666666669</v>
      </c>
      <c r="AT995" s="479">
        <v>0.52083333333333337</v>
      </c>
      <c r="AU995" s="480">
        <v>34522</v>
      </c>
      <c r="AV995" s="181" t="s">
        <v>1352</v>
      </c>
      <c r="AW995" s="31" t="s">
        <v>32</v>
      </c>
      <c r="AX995" s="139">
        <v>4</v>
      </c>
      <c r="AY995" s="58" t="s">
        <v>2469</v>
      </c>
      <c r="AZ995" s="58" t="s">
        <v>26</v>
      </c>
      <c r="BA995" s="58" t="s">
        <v>151</v>
      </c>
      <c r="BB995" s="58" t="s">
        <v>1407</v>
      </c>
      <c r="BC995" s="58"/>
    </row>
    <row r="996" spans="1:55" x14ac:dyDescent="0.25">
      <c r="A996" s="10">
        <f t="shared" si="41"/>
        <v>995</v>
      </c>
      <c r="B996" s="181" t="s">
        <v>99</v>
      </c>
      <c r="C996" s="592" t="s">
        <v>1407</v>
      </c>
      <c r="D996" s="457">
        <v>400916</v>
      </c>
      <c r="E996" s="181" t="s">
        <v>36</v>
      </c>
      <c r="F996" s="97" t="s">
        <v>7885</v>
      </c>
      <c r="G996" s="139">
        <v>6</v>
      </c>
      <c r="H996" s="469" t="s">
        <v>5089</v>
      </c>
      <c r="I996" s="469" t="s">
        <v>4213</v>
      </c>
      <c r="J996" s="458">
        <f>I996-H996</f>
        <v>0.24999999999999994</v>
      </c>
      <c r="K996" s="58" t="s">
        <v>1271</v>
      </c>
      <c r="L996" s="97" t="s">
        <v>7886</v>
      </c>
      <c r="M996" s="97" t="s">
        <v>26</v>
      </c>
      <c r="N996" s="58" t="s">
        <v>38</v>
      </c>
      <c r="O996" s="58" t="s">
        <v>5063</v>
      </c>
      <c r="P996" s="206">
        <v>45300</v>
      </c>
      <c r="Q996" s="206">
        <v>45300</v>
      </c>
      <c r="R996" s="206">
        <v>46030</v>
      </c>
      <c r="S996" s="461">
        <v>46031</v>
      </c>
      <c r="T996" s="139">
        <v>2013</v>
      </c>
      <c r="U996" s="181" t="s">
        <v>7888</v>
      </c>
      <c r="V996" s="139">
        <v>2020</v>
      </c>
      <c r="W996" s="97" t="s">
        <v>1868</v>
      </c>
      <c r="X996" s="181" t="s">
        <v>30</v>
      </c>
      <c r="Y996" s="58" t="s">
        <v>1611</v>
      </c>
      <c r="Z996" s="140" t="s">
        <v>7889</v>
      </c>
      <c r="AA996" s="470" t="s">
        <v>1841</v>
      </c>
      <c r="AB996" s="471">
        <v>44784</v>
      </c>
      <c r="AC996" s="471">
        <v>46609</v>
      </c>
      <c r="AD996" s="472" t="s">
        <v>7890</v>
      </c>
      <c r="AE996" s="473" t="s">
        <v>103</v>
      </c>
      <c r="AF996" s="474" t="s">
        <v>1364</v>
      </c>
      <c r="AG996" s="475" t="s">
        <v>9492</v>
      </c>
      <c r="AH996" s="181" t="s">
        <v>2196</v>
      </c>
      <c r="AI996" s="139" t="s">
        <v>1643</v>
      </c>
      <c r="AJ996" s="476">
        <v>496521594312</v>
      </c>
      <c r="AK996" s="470" t="s">
        <v>1644</v>
      </c>
      <c r="AL996" s="461">
        <v>45391</v>
      </c>
      <c r="AM996" s="477">
        <v>45331</v>
      </c>
      <c r="AN996" s="478" t="s">
        <v>5098</v>
      </c>
      <c r="AO996" s="140" t="s">
        <v>9493</v>
      </c>
      <c r="AP996" s="58"/>
      <c r="AQ996" s="97" t="s">
        <v>9493</v>
      </c>
      <c r="AR996" s="462"/>
      <c r="AS996" s="479">
        <v>0.35416666666666669</v>
      </c>
      <c r="AT996" s="479">
        <v>0.60416666666666663</v>
      </c>
      <c r="AU996" s="480">
        <v>32854</v>
      </c>
      <c r="AV996" s="181" t="s">
        <v>1352</v>
      </c>
      <c r="AW996" s="31" t="s">
        <v>68</v>
      </c>
      <c r="AX996" s="139">
        <v>6</v>
      </c>
      <c r="AY996" s="58" t="s">
        <v>1968</v>
      </c>
      <c r="AZ996" s="58" t="s">
        <v>26</v>
      </c>
      <c r="BA996" s="58" t="s">
        <v>151</v>
      </c>
      <c r="BB996" s="58" t="s">
        <v>1407</v>
      </c>
      <c r="BC996" s="58"/>
    </row>
    <row r="997" spans="1:55" x14ac:dyDescent="0.25">
      <c r="A997" s="10">
        <f t="shared" si="41"/>
        <v>996</v>
      </c>
      <c r="B997" s="181" t="s">
        <v>7393</v>
      </c>
      <c r="C997" s="592" t="s">
        <v>1407</v>
      </c>
      <c r="D997" s="457">
        <v>400917</v>
      </c>
      <c r="E997" s="181" t="s">
        <v>36</v>
      </c>
      <c r="F997" s="97" t="s">
        <v>7394</v>
      </c>
      <c r="G997" s="139">
        <v>6</v>
      </c>
      <c r="H997" s="469" t="s">
        <v>6635</v>
      </c>
      <c r="I997" s="469" t="s">
        <v>1864</v>
      </c>
      <c r="J997" s="458">
        <v>4.1666666666666664E-2</v>
      </c>
      <c r="K997" s="58" t="s">
        <v>700</v>
      </c>
      <c r="L997" s="97" t="s">
        <v>1424</v>
      </c>
      <c r="M997" s="97" t="s">
        <v>1376</v>
      </c>
      <c r="N997" s="58" t="s">
        <v>1393</v>
      </c>
      <c r="O997" s="58" t="s">
        <v>1424</v>
      </c>
      <c r="P997" s="206">
        <v>45303</v>
      </c>
      <c r="Q997" s="206">
        <v>45303</v>
      </c>
      <c r="R997" s="206">
        <v>46033</v>
      </c>
      <c r="S997" s="461">
        <v>46034</v>
      </c>
      <c r="T997" s="139">
        <v>2016</v>
      </c>
      <c r="U997" s="181" t="s">
        <v>7395</v>
      </c>
      <c r="V997" s="139" t="s">
        <v>30</v>
      </c>
      <c r="W997" s="97" t="s">
        <v>30</v>
      </c>
      <c r="X997" s="181" t="s">
        <v>30</v>
      </c>
      <c r="Y997" s="58" t="s">
        <v>226</v>
      </c>
      <c r="Z997" s="140" t="s">
        <v>7396</v>
      </c>
      <c r="AA997" s="470" t="s">
        <v>1841</v>
      </c>
      <c r="AB997" s="471">
        <v>41441</v>
      </c>
      <c r="AC997" s="471">
        <v>46919</v>
      </c>
      <c r="AD997" s="472">
        <v>9618627121</v>
      </c>
      <c r="AE997" s="473" t="s">
        <v>7397</v>
      </c>
      <c r="AF997" s="474" t="s">
        <v>1430</v>
      </c>
      <c r="AG997" s="475" t="s">
        <v>7398</v>
      </c>
      <c r="AH997" s="181" t="s">
        <v>7399</v>
      </c>
      <c r="AI997" s="139" t="s">
        <v>7400</v>
      </c>
      <c r="AJ997" s="476">
        <v>547030849796</v>
      </c>
      <c r="AK997" s="470" t="s">
        <v>7401</v>
      </c>
      <c r="AL997" s="206">
        <v>45358</v>
      </c>
      <c r="AM997" s="477">
        <v>45358</v>
      </c>
      <c r="AN997" s="478"/>
      <c r="AO997" s="140" t="s">
        <v>9494</v>
      </c>
      <c r="AP997" s="58"/>
      <c r="AQ997" s="97" t="s">
        <v>9494</v>
      </c>
      <c r="AR997" s="462"/>
      <c r="AS997" s="479">
        <v>0.39583333333333331</v>
      </c>
      <c r="AT997" s="479">
        <v>0.4375</v>
      </c>
      <c r="AU997" s="480">
        <v>33944</v>
      </c>
      <c r="AV997" s="181" t="s">
        <v>1389</v>
      </c>
      <c r="AW997" s="31" t="s">
        <v>32</v>
      </c>
      <c r="AX997" s="139">
        <v>1</v>
      </c>
      <c r="AY997" s="58" t="s">
        <v>2469</v>
      </c>
      <c r="AZ997" s="58" t="s">
        <v>1390</v>
      </c>
      <c r="BA997" s="58" t="s">
        <v>151</v>
      </c>
      <c r="BB997" s="58" t="s">
        <v>1407</v>
      </c>
      <c r="BC997" s="58"/>
    </row>
    <row r="998" spans="1:55" x14ac:dyDescent="0.25">
      <c r="A998" s="10">
        <f t="shared" si="41"/>
        <v>997</v>
      </c>
      <c r="B998" s="181" t="s">
        <v>9495</v>
      </c>
      <c r="C998" s="592" t="s">
        <v>1407</v>
      </c>
      <c r="D998" s="499">
        <v>401076</v>
      </c>
      <c r="E998" s="62" t="s">
        <v>36</v>
      </c>
      <c r="F998" s="97" t="s">
        <v>9496</v>
      </c>
      <c r="G998" s="61">
        <v>6</v>
      </c>
      <c r="H998" s="141">
        <v>0.375</v>
      </c>
      <c r="I998" s="141">
        <v>0.41666666666666669</v>
      </c>
      <c r="J998" s="458">
        <v>4.1666666666666664E-2</v>
      </c>
      <c r="K998" s="100" t="s">
        <v>680</v>
      </c>
      <c r="L998" s="63" t="s">
        <v>30</v>
      </c>
      <c r="M998" s="97" t="s">
        <v>1376</v>
      </c>
      <c r="N998" s="58" t="s">
        <v>1393</v>
      </c>
      <c r="O998" s="100" t="s">
        <v>30</v>
      </c>
      <c r="P998" s="273">
        <v>45552</v>
      </c>
      <c r="Q998" s="273">
        <v>45552</v>
      </c>
      <c r="R998" s="273">
        <v>46281</v>
      </c>
      <c r="S998" s="273">
        <v>46282</v>
      </c>
      <c r="T998" s="61">
        <v>2021</v>
      </c>
      <c r="U998" s="99" t="s">
        <v>9497</v>
      </c>
      <c r="V998" s="61" t="s">
        <v>30</v>
      </c>
      <c r="W998" s="143" t="s">
        <v>30</v>
      </c>
      <c r="X998" s="61" t="s">
        <v>30</v>
      </c>
      <c r="Y998" s="100" t="s">
        <v>226</v>
      </c>
      <c r="Z998" s="99" t="s">
        <v>9498</v>
      </c>
      <c r="AA998" s="63" t="s">
        <v>1841</v>
      </c>
      <c r="AB998" s="451">
        <v>44886</v>
      </c>
      <c r="AC998" s="451">
        <v>46711</v>
      </c>
      <c r="AD998" s="61">
        <v>9063231158</v>
      </c>
      <c r="AE998" s="540" t="s">
        <v>9499</v>
      </c>
      <c r="AF998" s="100" t="s">
        <v>1833</v>
      </c>
      <c r="AG998" s="501" t="s">
        <v>9500</v>
      </c>
      <c r="AH998" s="62" t="s">
        <v>9501</v>
      </c>
      <c r="AI998" s="61" t="s">
        <v>9502</v>
      </c>
      <c r="AJ998" s="493">
        <v>748823593729</v>
      </c>
      <c r="AK998" s="63" t="s">
        <v>9503</v>
      </c>
      <c r="AL998" s="446">
        <v>45635</v>
      </c>
      <c r="AM998" s="446" t="s">
        <v>30</v>
      </c>
      <c r="AN998" s="100" t="s">
        <v>1592</v>
      </c>
      <c r="AO998" s="539" t="s">
        <v>9504</v>
      </c>
      <c r="AP998" s="61">
        <v>28</v>
      </c>
      <c r="AQ998" s="143"/>
      <c r="AR998" s="493"/>
      <c r="AS998" s="515"/>
      <c r="AT998" s="515"/>
      <c r="AU998" s="338">
        <v>35500</v>
      </c>
      <c r="AV998" s="62" t="s">
        <v>1389</v>
      </c>
      <c r="AW998" s="31" t="s">
        <v>32</v>
      </c>
      <c r="AX998" s="139">
        <v>1</v>
      </c>
      <c r="AY998" s="58" t="s">
        <v>2189</v>
      </c>
      <c r="AZ998" s="58" t="s">
        <v>1390</v>
      </c>
      <c r="BA998" s="58" t="s">
        <v>151</v>
      </c>
      <c r="BB998" s="58" t="s">
        <v>1407</v>
      </c>
      <c r="BC998" s="58"/>
    </row>
    <row r="999" spans="1:55" x14ac:dyDescent="0.25">
      <c r="A999" s="10">
        <f t="shared" si="41"/>
        <v>998</v>
      </c>
      <c r="B999" s="181" t="s">
        <v>9505</v>
      </c>
      <c r="C999" s="592" t="s">
        <v>1407</v>
      </c>
      <c r="D999" s="499">
        <v>401030</v>
      </c>
      <c r="E999" s="62" t="s">
        <v>36</v>
      </c>
      <c r="F999" s="97" t="s">
        <v>9506</v>
      </c>
      <c r="G999" s="64">
        <v>6</v>
      </c>
      <c r="H999" s="141">
        <v>0.75</v>
      </c>
      <c r="I999" s="141">
        <v>0.83333333333333337</v>
      </c>
      <c r="J999" s="141">
        <v>8.3333333333333329E-2</v>
      </c>
      <c r="K999" s="58" t="s">
        <v>1151</v>
      </c>
      <c r="L999" s="99" t="s">
        <v>9507</v>
      </c>
      <c r="M999" s="63" t="s">
        <v>26</v>
      </c>
      <c r="N999" s="100" t="s">
        <v>38</v>
      </c>
      <c r="O999" s="143" t="s">
        <v>5710</v>
      </c>
      <c r="P999" s="273">
        <v>45488</v>
      </c>
      <c r="Q999" s="273">
        <v>45488</v>
      </c>
      <c r="R999" s="273">
        <v>46217</v>
      </c>
      <c r="S999" s="273">
        <v>46218</v>
      </c>
      <c r="T999" s="61">
        <v>2015</v>
      </c>
      <c r="U999" s="63" t="s">
        <v>2997</v>
      </c>
      <c r="V999" s="61">
        <v>2020</v>
      </c>
      <c r="W999" s="143" t="s">
        <v>3083</v>
      </c>
      <c r="X999" s="64" t="s">
        <v>30</v>
      </c>
      <c r="Y999" s="100" t="s">
        <v>9508</v>
      </c>
      <c r="Z999" s="99" t="s">
        <v>9509</v>
      </c>
      <c r="AA999" s="63" t="s">
        <v>1886</v>
      </c>
      <c r="AB999" s="451">
        <v>44546</v>
      </c>
      <c r="AC999" s="451">
        <v>46371</v>
      </c>
      <c r="AD999" s="304">
        <v>9494220202</v>
      </c>
      <c r="AE999" s="336" t="s">
        <v>9510</v>
      </c>
      <c r="AF999" s="100" t="s">
        <v>5183</v>
      </c>
      <c r="AG999" s="501" t="s">
        <v>9511</v>
      </c>
      <c r="AH999" s="62" t="s">
        <v>9512</v>
      </c>
      <c r="AI999" s="61" t="s">
        <v>9513</v>
      </c>
      <c r="AJ999" s="493">
        <v>680549120722</v>
      </c>
      <c r="AK999" s="63" t="s">
        <v>9514</v>
      </c>
      <c r="AL999" s="514">
        <v>45640</v>
      </c>
      <c r="AM999" s="477">
        <v>45625</v>
      </c>
      <c r="AN999" s="63" t="s">
        <v>1592</v>
      </c>
      <c r="AO999" s="539" t="s">
        <v>9515</v>
      </c>
      <c r="AP999" s="61">
        <v>33</v>
      </c>
      <c r="AQ999" s="143"/>
      <c r="AR999" s="493"/>
      <c r="AS999" s="515"/>
      <c r="AT999" s="515"/>
      <c r="AU999" s="338">
        <v>33615</v>
      </c>
      <c r="AV999" s="61" t="s">
        <v>1389</v>
      </c>
      <c r="AW999" s="31" t="s">
        <v>32</v>
      </c>
      <c r="AX999" s="139">
        <v>2</v>
      </c>
      <c r="AY999" s="58" t="s">
        <v>1895</v>
      </c>
      <c r="AZ999" s="58" t="s">
        <v>26</v>
      </c>
      <c r="BA999" s="58" t="s">
        <v>151</v>
      </c>
      <c r="BB999" s="58" t="s">
        <v>1407</v>
      </c>
      <c r="BC999" s="58"/>
    </row>
    <row r="1000" spans="1:55" x14ac:dyDescent="0.25">
      <c r="A1000" s="10">
        <f t="shared" si="41"/>
        <v>999</v>
      </c>
      <c r="B1000" s="181" t="s">
        <v>9516</v>
      </c>
      <c r="C1000" s="592" t="s">
        <v>1407</v>
      </c>
      <c r="D1000" s="457">
        <v>400925</v>
      </c>
      <c r="E1000" s="181" t="s">
        <v>36</v>
      </c>
      <c r="F1000" s="97" t="s">
        <v>9517</v>
      </c>
      <c r="G1000" s="139">
        <v>6</v>
      </c>
      <c r="H1000" s="458" t="s">
        <v>235</v>
      </c>
      <c r="I1000" s="458" t="s">
        <v>4228</v>
      </c>
      <c r="J1000" s="458">
        <f>I1000-H1000</f>
        <v>0.33333333333333331</v>
      </c>
      <c r="K1000" s="100" t="s">
        <v>287</v>
      </c>
      <c r="L1000" s="97" t="s">
        <v>1424</v>
      </c>
      <c r="M1000" s="63" t="s">
        <v>1355</v>
      </c>
      <c r="N1000" s="100" t="s">
        <v>1520</v>
      </c>
      <c r="O1000" s="58"/>
      <c r="P1000" s="206">
        <v>45313</v>
      </c>
      <c r="Q1000" s="460">
        <v>45313</v>
      </c>
      <c r="R1000" s="460">
        <v>46043</v>
      </c>
      <c r="S1000" s="461">
        <v>46044</v>
      </c>
      <c r="T1000" s="139">
        <v>2005</v>
      </c>
      <c r="U1000" s="139" t="s">
        <v>9518</v>
      </c>
      <c r="V1000" s="139">
        <v>2020</v>
      </c>
      <c r="W1000" s="139" t="s">
        <v>141</v>
      </c>
      <c r="X1000" s="139"/>
      <c r="Y1000" s="462" t="s">
        <v>5066</v>
      </c>
      <c r="Z1000" s="140">
        <v>72498</v>
      </c>
      <c r="AA1000" s="140" t="s">
        <v>1841</v>
      </c>
      <c r="AB1000" s="460">
        <v>44396</v>
      </c>
      <c r="AC1000" s="460">
        <v>46221</v>
      </c>
      <c r="AD1000" s="488">
        <v>9652477793</v>
      </c>
      <c r="AE1000" s="140" t="s">
        <v>7416</v>
      </c>
      <c r="AF1000" s="139" t="s">
        <v>1805</v>
      </c>
      <c r="AG1000" s="463" t="s">
        <v>9519</v>
      </c>
      <c r="AH1000" s="139" t="s">
        <v>9520</v>
      </c>
      <c r="AI1000" s="139" t="s">
        <v>9521</v>
      </c>
      <c r="AJ1000" s="464">
        <v>967106429307</v>
      </c>
      <c r="AK1000" s="140"/>
      <c r="AL1000" s="206">
        <v>45314</v>
      </c>
      <c r="AM1000" s="477">
        <v>45314</v>
      </c>
      <c r="AN1000" s="140" t="s">
        <v>5072</v>
      </c>
      <c r="AO1000" s="140" t="s">
        <v>9522</v>
      </c>
      <c r="AP1000" s="139"/>
      <c r="AQ1000" s="97" t="s">
        <v>9522</v>
      </c>
      <c r="AR1000" s="489"/>
      <c r="AS1000" s="458">
        <v>0.33333333333333331</v>
      </c>
      <c r="AT1000" s="181">
        <v>0.66666666666666663</v>
      </c>
      <c r="AU1000" s="461"/>
      <c r="AV1000" s="181" t="s">
        <v>1389</v>
      </c>
      <c r="AW1000" s="31" t="s">
        <v>68</v>
      </c>
      <c r="AX1000" s="139">
        <v>8</v>
      </c>
      <c r="AY1000" s="58" t="s">
        <v>1881</v>
      </c>
      <c r="AZ1000" s="58" t="s">
        <v>1373</v>
      </c>
      <c r="BA1000" s="58" t="s">
        <v>151</v>
      </c>
      <c r="BB1000" s="58" t="s">
        <v>1407</v>
      </c>
      <c r="BC1000" s="58"/>
    </row>
    <row r="1001" spans="1:55" x14ac:dyDescent="0.25">
      <c r="A1001" s="10">
        <f t="shared" si="41"/>
        <v>1000</v>
      </c>
      <c r="B1001" s="181" t="s">
        <v>9523</v>
      </c>
      <c r="C1001" s="592" t="s">
        <v>1407</v>
      </c>
      <c r="D1001" s="499">
        <v>400610</v>
      </c>
      <c r="E1001" s="62" t="s">
        <v>36</v>
      </c>
      <c r="F1001" s="97" t="s">
        <v>9524</v>
      </c>
      <c r="G1001" s="61">
        <v>6</v>
      </c>
      <c r="H1001" s="141">
        <v>0.35416666666666669</v>
      </c>
      <c r="I1001" s="141">
        <v>0.45833333333333331</v>
      </c>
      <c r="J1001" s="141">
        <v>0.10416666666666667</v>
      </c>
      <c r="K1001" s="143" t="s">
        <v>4905</v>
      </c>
      <c r="L1001" s="63" t="s">
        <v>9525</v>
      </c>
      <c r="M1001" s="63" t="s">
        <v>26</v>
      </c>
      <c r="N1001" s="100" t="s">
        <v>38</v>
      </c>
      <c r="O1001" s="143" t="s">
        <v>5710</v>
      </c>
      <c r="P1001" s="446">
        <v>44914</v>
      </c>
      <c r="Q1001" s="446">
        <v>44914</v>
      </c>
      <c r="R1001" s="446">
        <v>45644</v>
      </c>
      <c r="S1001" s="338">
        <v>45645</v>
      </c>
      <c r="T1001" s="61">
        <v>2014</v>
      </c>
      <c r="U1001" s="62" t="s">
        <v>9526</v>
      </c>
      <c r="V1001" s="61">
        <v>2018</v>
      </c>
      <c r="W1001" s="99" t="s">
        <v>9527</v>
      </c>
      <c r="X1001" s="62" t="s">
        <v>30</v>
      </c>
      <c r="Y1001" s="100" t="s">
        <v>5141</v>
      </c>
      <c r="Z1001" s="99" t="s">
        <v>9528</v>
      </c>
      <c r="AA1001" s="63" t="s">
        <v>1841</v>
      </c>
      <c r="AB1001" s="451">
        <v>43717</v>
      </c>
      <c r="AC1001" s="451">
        <v>45543</v>
      </c>
      <c r="AD1001" s="304">
        <v>6303623169</v>
      </c>
      <c r="AE1001" s="336" t="s">
        <v>9529</v>
      </c>
      <c r="AF1001" s="63" t="s">
        <v>5086</v>
      </c>
      <c r="AG1001" s="493">
        <v>62403360170</v>
      </c>
      <c r="AH1001" s="62" t="s">
        <v>9530</v>
      </c>
      <c r="AI1001" s="61" t="s">
        <v>9531</v>
      </c>
      <c r="AJ1001" s="493" t="s">
        <v>9532</v>
      </c>
      <c r="AK1001" s="63" t="s">
        <v>9533</v>
      </c>
      <c r="AL1001" s="514">
        <v>45644</v>
      </c>
      <c r="AM1001" s="477">
        <v>45636</v>
      </c>
      <c r="AN1001" s="63"/>
      <c r="AO1001" s="539" t="s">
        <v>9534</v>
      </c>
      <c r="AP1001" s="61">
        <v>34</v>
      </c>
      <c r="AQ1001" s="143"/>
      <c r="AR1001" s="493"/>
      <c r="AS1001" s="515"/>
      <c r="AT1001" s="515"/>
      <c r="AU1001" s="338">
        <v>33326</v>
      </c>
      <c r="AV1001" s="62" t="s">
        <v>1389</v>
      </c>
      <c r="AW1001" s="31" t="s">
        <v>32</v>
      </c>
      <c r="AX1001" s="139">
        <v>2.5</v>
      </c>
      <c r="AY1001" s="58" t="s">
        <v>1968</v>
      </c>
      <c r="AZ1001" s="58" t="s">
        <v>26</v>
      </c>
      <c r="BA1001" s="58" t="s">
        <v>151</v>
      </c>
      <c r="BB1001" s="58" t="s">
        <v>1407</v>
      </c>
      <c r="BC1001" s="58"/>
    </row>
    <row r="1002" spans="1:55" x14ac:dyDescent="0.25">
      <c r="A1002" s="10">
        <f t="shared" si="41"/>
        <v>1001</v>
      </c>
      <c r="B1002" s="181" t="s">
        <v>9535</v>
      </c>
      <c r="C1002" s="592" t="s">
        <v>1407</v>
      </c>
      <c r="D1002" s="499">
        <v>400912</v>
      </c>
      <c r="E1002" s="62" t="s">
        <v>36</v>
      </c>
      <c r="F1002" s="97" t="s">
        <v>9536</v>
      </c>
      <c r="G1002" s="61">
        <v>6</v>
      </c>
      <c r="H1002" s="141">
        <v>0.375</v>
      </c>
      <c r="I1002" s="141">
        <v>0.54166666666666663</v>
      </c>
      <c r="J1002" s="141">
        <v>0.16666666666666666</v>
      </c>
      <c r="K1002" s="143" t="s">
        <v>314</v>
      </c>
      <c r="L1002" s="63" t="s">
        <v>9537</v>
      </c>
      <c r="M1002" s="63" t="s">
        <v>26</v>
      </c>
      <c r="N1002" s="100" t="s">
        <v>38</v>
      </c>
      <c r="O1002" s="143" t="s">
        <v>5710</v>
      </c>
      <c r="P1002" s="446">
        <v>45292</v>
      </c>
      <c r="Q1002" s="446">
        <v>45292</v>
      </c>
      <c r="R1002" s="446">
        <v>46022</v>
      </c>
      <c r="S1002" s="338">
        <v>46023</v>
      </c>
      <c r="T1002" s="61">
        <v>2017</v>
      </c>
      <c r="U1002" s="62" t="s">
        <v>238</v>
      </c>
      <c r="V1002" s="61">
        <v>2022</v>
      </c>
      <c r="W1002" s="63" t="s">
        <v>9178</v>
      </c>
      <c r="X1002" s="62" t="s">
        <v>30</v>
      </c>
      <c r="Y1002" s="100" t="s">
        <v>1611</v>
      </c>
      <c r="Z1002" s="99">
        <v>159685</v>
      </c>
      <c r="AA1002" s="63" t="s">
        <v>1560</v>
      </c>
      <c r="AB1002" s="451">
        <v>45057</v>
      </c>
      <c r="AC1002" s="451">
        <v>46883</v>
      </c>
      <c r="AD1002" s="304">
        <v>9404156351</v>
      </c>
      <c r="AE1002" s="336" t="s">
        <v>9538</v>
      </c>
      <c r="AF1002" s="500" t="s">
        <v>1466</v>
      </c>
      <c r="AG1002" s="501" t="s">
        <v>9539</v>
      </c>
      <c r="AH1002" s="62" t="s">
        <v>9540</v>
      </c>
      <c r="AI1002" s="61" t="s">
        <v>9541</v>
      </c>
      <c r="AJ1002" s="493">
        <v>545864380782</v>
      </c>
      <c r="AK1002" s="63"/>
      <c r="AL1002" s="514">
        <v>45644</v>
      </c>
      <c r="AM1002" s="477">
        <v>45639</v>
      </c>
      <c r="AN1002" s="63"/>
      <c r="AO1002" s="63" t="s">
        <v>9542</v>
      </c>
      <c r="AP1002" s="61">
        <v>30</v>
      </c>
      <c r="AQ1002" s="143"/>
      <c r="AR1002" s="493"/>
      <c r="AS1002" s="515"/>
      <c r="AT1002" s="515"/>
      <c r="AU1002" s="338">
        <v>34791</v>
      </c>
      <c r="AV1002" s="62" t="s">
        <v>1389</v>
      </c>
      <c r="AW1002" s="31" t="s">
        <v>32</v>
      </c>
      <c r="AX1002" s="139">
        <v>4</v>
      </c>
      <c r="AY1002" s="58" t="s">
        <v>2270</v>
      </c>
      <c r="AZ1002" s="58" t="s">
        <v>26</v>
      </c>
      <c r="BA1002" s="58" t="s">
        <v>151</v>
      </c>
      <c r="BB1002" s="58" t="s">
        <v>1407</v>
      </c>
      <c r="BC1002" s="58"/>
    </row>
    <row r="1003" spans="1:55" x14ac:dyDescent="0.25">
      <c r="A1003" s="10">
        <f t="shared" si="41"/>
        <v>1002</v>
      </c>
      <c r="B1003" s="181" t="s">
        <v>9543</v>
      </c>
      <c r="C1003" s="592" t="s">
        <v>1407</v>
      </c>
      <c r="D1003" s="457">
        <v>400928</v>
      </c>
      <c r="E1003" s="181" t="s">
        <v>36</v>
      </c>
      <c r="F1003" s="97" t="s">
        <v>9544</v>
      </c>
      <c r="G1003" s="139">
        <v>6</v>
      </c>
      <c r="H1003" s="469" t="s">
        <v>6635</v>
      </c>
      <c r="I1003" s="469" t="s">
        <v>1864</v>
      </c>
      <c r="J1003" s="458">
        <v>4.1666666666666664E-2</v>
      </c>
      <c r="K1003" s="21" t="s">
        <v>968</v>
      </c>
      <c r="L1003" s="97" t="s">
        <v>1424</v>
      </c>
      <c r="M1003" s="97" t="s">
        <v>1376</v>
      </c>
      <c r="N1003" s="58" t="s">
        <v>1393</v>
      </c>
      <c r="O1003" s="58" t="s">
        <v>1424</v>
      </c>
      <c r="P1003" s="206">
        <v>45313</v>
      </c>
      <c r="Q1003" s="206">
        <v>45313</v>
      </c>
      <c r="R1003" s="206">
        <v>46043</v>
      </c>
      <c r="S1003" s="461">
        <v>46044</v>
      </c>
      <c r="T1003" s="139">
        <v>2017</v>
      </c>
      <c r="U1003" s="181" t="s">
        <v>350</v>
      </c>
      <c r="V1003" s="139"/>
      <c r="W1003" s="97"/>
      <c r="X1003" s="181" t="s">
        <v>30</v>
      </c>
      <c r="Y1003" s="58" t="s">
        <v>226</v>
      </c>
      <c r="Z1003" s="140" t="s">
        <v>9545</v>
      </c>
      <c r="AA1003" s="470" t="s">
        <v>1841</v>
      </c>
      <c r="AB1003" s="471">
        <v>44819</v>
      </c>
      <c r="AC1003" s="471">
        <v>46644</v>
      </c>
      <c r="AD1003" s="472">
        <v>7702868397</v>
      </c>
      <c r="AE1003" s="473" t="s">
        <v>9546</v>
      </c>
      <c r="AF1003" s="474" t="s">
        <v>1364</v>
      </c>
      <c r="AG1003" s="475" t="s">
        <v>9547</v>
      </c>
      <c r="AH1003" s="181" t="s">
        <v>9489</v>
      </c>
      <c r="AI1003" s="139" t="s">
        <v>9548</v>
      </c>
      <c r="AJ1003" s="476">
        <v>821122520308</v>
      </c>
      <c r="AK1003" s="470"/>
      <c r="AL1003" s="206">
        <v>45355</v>
      </c>
      <c r="AM1003" s="477">
        <v>45355</v>
      </c>
      <c r="AN1003" s="478"/>
      <c r="AO1003" s="140" t="s">
        <v>9549</v>
      </c>
      <c r="AP1003" s="58"/>
      <c r="AQ1003" s="97" t="s">
        <v>9549</v>
      </c>
      <c r="AR1003" s="462"/>
      <c r="AS1003" s="479">
        <v>0.39583333333333331</v>
      </c>
      <c r="AT1003" s="479">
        <v>0.4375</v>
      </c>
      <c r="AU1003" s="480">
        <v>34613</v>
      </c>
      <c r="AV1003" s="181" t="s">
        <v>1389</v>
      </c>
      <c r="AW1003" s="31" t="s">
        <v>32</v>
      </c>
      <c r="AX1003" s="139">
        <v>1</v>
      </c>
      <c r="AY1003" s="58" t="s">
        <v>1904</v>
      </c>
      <c r="AZ1003" s="58" t="s">
        <v>1390</v>
      </c>
      <c r="BA1003" s="58" t="s">
        <v>151</v>
      </c>
      <c r="BB1003" s="58" t="s">
        <v>1407</v>
      </c>
      <c r="BC1003" s="58"/>
    </row>
    <row r="1004" spans="1:55" x14ac:dyDescent="0.25">
      <c r="A1004" s="10">
        <f t="shared" si="41"/>
        <v>1003</v>
      </c>
      <c r="B1004" s="181" t="s">
        <v>9550</v>
      </c>
      <c r="C1004" s="592" t="s">
        <v>1407</v>
      </c>
      <c r="D1004" s="457">
        <v>400929</v>
      </c>
      <c r="E1004" s="181" t="s">
        <v>36</v>
      </c>
      <c r="F1004" s="97" t="s">
        <v>9551</v>
      </c>
      <c r="G1004" s="139">
        <v>6</v>
      </c>
      <c r="H1004" s="469" t="s">
        <v>6635</v>
      </c>
      <c r="I1004" s="469" t="s">
        <v>8921</v>
      </c>
      <c r="J1004" s="458">
        <f>I1004-H1004</f>
        <v>8.333333333333337E-2</v>
      </c>
      <c r="K1004" s="143" t="s">
        <v>187</v>
      </c>
      <c r="L1004" s="97" t="s">
        <v>1424</v>
      </c>
      <c r="M1004" s="97" t="s">
        <v>1376</v>
      </c>
      <c r="N1004" s="58" t="s">
        <v>1393</v>
      </c>
      <c r="O1004" s="58" t="s">
        <v>1424</v>
      </c>
      <c r="P1004" s="206">
        <v>45315</v>
      </c>
      <c r="Q1004" s="206">
        <v>45315</v>
      </c>
      <c r="R1004" s="206">
        <v>46045</v>
      </c>
      <c r="S1004" s="461">
        <v>46046</v>
      </c>
      <c r="T1004" s="139">
        <v>2018</v>
      </c>
      <c r="U1004" s="181" t="s">
        <v>9552</v>
      </c>
      <c r="V1004" s="139" t="s">
        <v>30</v>
      </c>
      <c r="W1004" s="97" t="s">
        <v>30</v>
      </c>
      <c r="X1004" s="181" t="s">
        <v>30</v>
      </c>
      <c r="Y1004" s="58" t="s">
        <v>226</v>
      </c>
      <c r="Z1004" s="140" t="s">
        <v>9553</v>
      </c>
      <c r="AA1004" s="470" t="s">
        <v>1841</v>
      </c>
      <c r="AB1004" s="471">
        <v>43599</v>
      </c>
      <c r="AC1004" s="471">
        <v>45425</v>
      </c>
      <c r="AD1004" s="472">
        <v>9642469019</v>
      </c>
      <c r="AE1004" s="473" t="s">
        <v>9554</v>
      </c>
      <c r="AF1004" s="474" t="s">
        <v>2284</v>
      </c>
      <c r="AG1004" s="475" t="s">
        <v>9555</v>
      </c>
      <c r="AH1004" s="181" t="s">
        <v>9556</v>
      </c>
      <c r="AI1004" s="139" t="s">
        <v>9557</v>
      </c>
      <c r="AJ1004" s="476">
        <v>674941968986</v>
      </c>
      <c r="AK1004" s="470"/>
      <c r="AL1004" s="206">
        <v>45384</v>
      </c>
      <c r="AM1004" s="477"/>
      <c r="AN1004" s="465" t="s">
        <v>7252</v>
      </c>
      <c r="AO1004" s="140" t="s">
        <v>9558</v>
      </c>
      <c r="AP1004" s="58"/>
      <c r="AQ1004" s="97" t="s">
        <v>9558</v>
      </c>
      <c r="AR1004" s="462"/>
      <c r="AS1004" s="479">
        <v>0.39583333333333331</v>
      </c>
      <c r="AT1004" s="479">
        <v>0.47916666666666669</v>
      </c>
      <c r="AU1004" s="480">
        <v>33857</v>
      </c>
      <c r="AV1004" s="181" t="s">
        <v>1352</v>
      </c>
      <c r="AW1004" s="31" t="s">
        <v>32</v>
      </c>
      <c r="AX1004" s="139">
        <v>2</v>
      </c>
      <c r="AY1004" s="58" t="s">
        <v>1959</v>
      </c>
      <c r="AZ1004" s="58" t="s">
        <v>1390</v>
      </c>
      <c r="BA1004" s="58" t="s">
        <v>151</v>
      </c>
      <c r="BB1004" s="58" t="s">
        <v>1407</v>
      </c>
      <c r="BC1004" s="58"/>
    </row>
    <row r="1005" spans="1:55" x14ac:dyDescent="0.25">
      <c r="A1005" s="10">
        <f t="shared" si="41"/>
        <v>1004</v>
      </c>
      <c r="B1005" s="181" t="s">
        <v>9559</v>
      </c>
      <c r="C1005" s="592" t="s">
        <v>1407</v>
      </c>
      <c r="D1005" s="457">
        <v>400930</v>
      </c>
      <c r="E1005" s="181" t="s">
        <v>36</v>
      </c>
      <c r="F1005" s="97" t="s">
        <v>9560</v>
      </c>
      <c r="G1005" s="139">
        <v>6</v>
      </c>
      <c r="H1005" s="458">
        <v>0.375</v>
      </c>
      <c r="I1005" s="458">
        <v>0.41666666666666669</v>
      </c>
      <c r="J1005" s="458">
        <v>4.1666666666666664E-2</v>
      </c>
      <c r="K1005" s="462" t="s">
        <v>6991</v>
      </c>
      <c r="L1005" s="97" t="s">
        <v>1424</v>
      </c>
      <c r="M1005" s="97" t="s">
        <v>1376</v>
      </c>
      <c r="N1005" s="58" t="s">
        <v>1393</v>
      </c>
      <c r="O1005" s="58" t="s">
        <v>1424</v>
      </c>
      <c r="P1005" s="206">
        <v>45320</v>
      </c>
      <c r="Q1005" s="460">
        <v>45320</v>
      </c>
      <c r="R1005" s="460">
        <v>46050</v>
      </c>
      <c r="S1005" s="461">
        <v>46051</v>
      </c>
      <c r="T1005" s="139">
        <v>2018</v>
      </c>
      <c r="U1005" s="139" t="s">
        <v>9561</v>
      </c>
      <c r="V1005" s="139" t="s">
        <v>30</v>
      </c>
      <c r="W1005" s="139" t="s">
        <v>30</v>
      </c>
      <c r="X1005" s="139" t="s">
        <v>30</v>
      </c>
      <c r="Y1005" s="462" t="s">
        <v>226</v>
      </c>
      <c r="Z1005" s="140" t="s">
        <v>9562</v>
      </c>
      <c r="AA1005" s="140" t="s">
        <v>1886</v>
      </c>
      <c r="AB1005" s="460">
        <v>44145</v>
      </c>
      <c r="AC1005" s="460">
        <v>45970</v>
      </c>
      <c r="AD1005" s="488">
        <v>6303817029</v>
      </c>
      <c r="AE1005" s="140" t="s">
        <v>9563</v>
      </c>
      <c r="AF1005" s="139" t="s">
        <v>9254</v>
      </c>
      <c r="AG1005" s="463" t="s">
        <v>9564</v>
      </c>
      <c r="AH1005" s="139" t="s">
        <v>9565</v>
      </c>
      <c r="AI1005" s="139" t="s">
        <v>9566</v>
      </c>
      <c r="AJ1005" s="464">
        <v>373511027844</v>
      </c>
      <c r="AK1005" s="140"/>
      <c r="AL1005" s="206">
        <v>45349</v>
      </c>
      <c r="AM1005" s="477">
        <v>45349</v>
      </c>
      <c r="AN1005" s="140"/>
      <c r="AO1005" s="140" t="s">
        <v>9567</v>
      </c>
      <c r="AP1005" s="139"/>
      <c r="AQ1005" s="97" t="s">
        <v>9567</v>
      </c>
      <c r="AR1005" s="489"/>
      <c r="AS1005" s="458">
        <v>0.375</v>
      </c>
      <c r="AT1005" s="181">
        <v>0.41666666666666669</v>
      </c>
      <c r="AU1005" s="461">
        <v>35243</v>
      </c>
      <c r="AV1005" s="181" t="s">
        <v>1389</v>
      </c>
      <c r="AW1005" s="31" t="s">
        <v>32</v>
      </c>
      <c r="AX1005" s="139">
        <v>1</v>
      </c>
      <c r="AY1005" s="58" t="s">
        <v>2006</v>
      </c>
      <c r="AZ1005" s="58" t="s">
        <v>1390</v>
      </c>
      <c r="BA1005" s="58" t="s">
        <v>151</v>
      </c>
      <c r="BB1005" s="58" t="s">
        <v>1407</v>
      </c>
      <c r="BC1005" s="58"/>
    </row>
    <row r="1006" spans="1:55" x14ac:dyDescent="0.25">
      <c r="A1006" s="10">
        <f t="shared" si="41"/>
        <v>1005</v>
      </c>
      <c r="B1006" s="181" t="s">
        <v>9568</v>
      </c>
      <c r="C1006" s="592" t="s">
        <v>1407</v>
      </c>
      <c r="D1006" s="457">
        <v>400931</v>
      </c>
      <c r="E1006" s="181" t="s">
        <v>36</v>
      </c>
      <c r="F1006" s="97" t="s">
        <v>9569</v>
      </c>
      <c r="G1006" s="139">
        <v>6</v>
      </c>
      <c r="H1006" s="469">
        <v>0.70833333333333337</v>
      </c>
      <c r="I1006" s="469">
        <v>0.79166666666666663</v>
      </c>
      <c r="J1006" s="458">
        <f>I1006-H1006</f>
        <v>8.3333333333333259E-2</v>
      </c>
      <c r="K1006" s="100" t="s">
        <v>6088</v>
      </c>
      <c r="L1006" s="97" t="s">
        <v>1424</v>
      </c>
      <c r="M1006" s="97" t="s">
        <v>1376</v>
      </c>
      <c r="N1006" s="58" t="s">
        <v>1393</v>
      </c>
      <c r="O1006" s="58" t="s">
        <v>1424</v>
      </c>
      <c r="P1006" s="206">
        <v>45320</v>
      </c>
      <c r="Q1006" s="206">
        <v>45320</v>
      </c>
      <c r="R1006" s="206">
        <v>46050</v>
      </c>
      <c r="S1006" s="461">
        <v>46051</v>
      </c>
      <c r="T1006" s="139">
        <v>2019</v>
      </c>
      <c r="U1006" s="181" t="s">
        <v>9570</v>
      </c>
      <c r="V1006" s="139" t="s">
        <v>30</v>
      </c>
      <c r="W1006" s="97" t="s">
        <v>30</v>
      </c>
      <c r="X1006" s="181" t="s">
        <v>30</v>
      </c>
      <c r="Y1006" s="58" t="s">
        <v>226</v>
      </c>
      <c r="Z1006" s="140" t="s">
        <v>9571</v>
      </c>
      <c r="AA1006" s="470" t="s">
        <v>1841</v>
      </c>
      <c r="AB1006" s="471">
        <v>44333</v>
      </c>
      <c r="AC1006" s="471">
        <v>46159</v>
      </c>
      <c r="AD1006" s="472">
        <v>9177626145</v>
      </c>
      <c r="AE1006" s="473" t="s">
        <v>9572</v>
      </c>
      <c r="AF1006" s="474" t="s">
        <v>5086</v>
      </c>
      <c r="AG1006" s="475" t="s">
        <v>9573</v>
      </c>
      <c r="AH1006" s="181" t="s">
        <v>4205</v>
      </c>
      <c r="AI1006" s="139" t="s">
        <v>9574</v>
      </c>
      <c r="AJ1006" s="476">
        <v>840015701684</v>
      </c>
      <c r="AK1006" s="470"/>
      <c r="AL1006" s="206">
        <v>45394</v>
      </c>
      <c r="AM1006" s="477"/>
      <c r="AN1006" s="478"/>
      <c r="AO1006" s="140" t="s">
        <v>9575</v>
      </c>
      <c r="AP1006" s="58"/>
      <c r="AQ1006" s="97" t="s">
        <v>9575</v>
      </c>
      <c r="AR1006" s="462"/>
      <c r="AS1006" s="479">
        <v>0.70833333333333337</v>
      </c>
      <c r="AT1006" s="479">
        <v>0.79166666666666663</v>
      </c>
      <c r="AU1006" s="480">
        <v>35183</v>
      </c>
      <c r="AV1006" s="181" t="s">
        <v>1352</v>
      </c>
      <c r="AW1006" s="31" t="s">
        <v>32</v>
      </c>
      <c r="AX1006" s="139">
        <v>2</v>
      </c>
      <c r="AY1006" s="58" t="s">
        <v>1959</v>
      </c>
      <c r="AZ1006" s="58" t="s">
        <v>1390</v>
      </c>
      <c r="BA1006" s="58" t="s">
        <v>151</v>
      </c>
      <c r="BB1006" s="58" t="s">
        <v>1407</v>
      </c>
      <c r="BC1006" s="58"/>
    </row>
    <row r="1007" spans="1:55" x14ac:dyDescent="0.25">
      <c r="A1007" s="10">
        <f t="shared" si="41"/>
        <v>1006</v>
      </c>
      <c r="B1007" s="181" t="s">
        <v>9576</v>
      </c>
      <c r="C1007" s="592" t="s">
        <v>1407</v>
      </c>
      <c r="D1007" s="457">
        <v>400932</v>
      </c>
      <c r="E1007" s="181" t="s">
        <v>36</v>
      </c>
      <c r="F1007" s="97" t="s">
        <v>9577</v>
      </c>
      <c r="G1007" s="139">
        <v>6</v>
      </c>
      <c r="H1007" s="469">
        <v>0.375</v>
      </c>
      <c r="I1007" s="469">
        <v>0.625</v>
      </c>
      <c r="J1007" s="458">
        <f>I1007-H1007</f>
        <v>0.25</v>
      </c>
      <c r="K1007" s="58" t="s">
        <v>663</v>
      </c>
      <c r="L1007" s="97" t="s">
        <v>9578</v>
      </c>
      <c r="M1007" s="97" t="s">
        <v>26</v>
      </c>
      <c r="N1007" s="58" t="s">
        <v>38</v>
      </c>
      <c r="O1007" s="58" t="s">
        <v>5063</v>
      </c>
      <c r="P1007" s="206">
        <v>45323</v>
      </c>
      <c r="Q1007" s="206">
        <v>45323</v>
      </c>
      <c r="R1007" s="206">
        <v>46053</v>
      </c>
      <c r="S1007" s="461">
        <v>46054</v>
      </c>
      <c r="T1007" s="139">
        <v>2012</v>
      </c>
      <c r="U1007" s="181" t="s">
        <v>5787</v>
      </c>
      <c r="V1007" s="139">
        <v>2020</v>
      </c>
      <c r="W1007" s="97" t="s">
        <v>351</v>
      </c>
      <c r="X1007" s="181" t="s">
        <v>30</v>
      </c>
      <c r="Y1007" s="58" t="s">
        <v>5066</v>
      </c>
      <c r="Z1007" s="140" t="s">
        <v>9579</v>
      </c>
      <c r="AA1007" s="470" t="s">
        <v>1841</v>
      </c>
      <c r="AB1007" s="471">
        <v>44221</v>
      </c>
      <c r="AC1007" s="471">
        <v>46046</v>
      </c>
      <c r="AD1007" s="472">
        <v>8106764426</v>
      </c>
      <c r="AE1007" s="473" t="s">
        <v>9580</v>
      </c>
      <c r="AF1007" s="474" t="s">
        <v>1430</v>
      </c>
      <c r="AG1007" s="475" t="s">
        <v>9581</v>
      </c>
      <c r="AH1007" s="181" t="s">
        <v>4248</v>
      </c>
      <c r="AI1007" s="139" t="s">
        <v>9582</v>
      </c>
      <c r="AJ1007" s="476">
        <v>619798087655</v>
      </c>
      <c r="AK1007" s="470"/>
      <c r="AL1007" s="461">
        <v>45380</v>
      </c>
      <c r="AM1007" s="477">
        <v>45380</v>
      </c>
      <c r="AN1007" s="478"/>
      <c r="AO1007" s="140" t="s">
        <v>9583</v>
      </c>
      <c r="AP1007" s="58"/>
      <c r="AQ1007" s="97" t="s">
        <v>9583</v>
      </c>
      <c r="AR1007" s="462"/>
      <c r="AS1007" s="479">
        <v>0.375</v>
      </c>
      <c r="AT1007" s="479">
        <v>0.625</v>
      </c>
      <c r="AU1007" s="480">
        <v>32668</v>
      </c>
      <c r="AV1007" s="181" t="s">
        <v>1389</v>
      </c>
      <c r="AW1007" s="31" t="s">
        <v>32</v>
      </c>
      <c r="AX1007" s="139">
        <v>6</v>
      </c>
      <c r="AY1007" s="58" t="s">
        <v>1904</v>
      </c>
      <c r="AZ1007" s="58" t="s">
        <v>26</v>
      </c>
      <c r="BA1007" s="58" t="s">
        <v>151</v>
      </c>
      <c r="BB1007" s="58" t="s">
        <v>1407</v>
      </c>
      <c r="BC1007" s="58"/>
    </row>
    <row r="1008" spans="1:55" x14ac:dyDescent="0.25">
      <c r="A1008" s="10">
        <f t="shared" si="41"/>
        <v>1007</v>
      </c>
      <c r="B1008" s="181" t="s">
        <v>9584</v>
      </c>
      <c r="C1008" s="592" t="s">
        <v>1407</v>
      </c>
      <c r="D1008" s="499">
        <v>401139</v>
      </c>
      <c r="E1008" s="62" t="s">
        <v>36</v>
      </c>
      <c r="F1008" s="97" t="s">
        <v>9585</v>
      </c>
      <c r="G1008" s="61">
        <v>6</v>
      </c>
      <c r="H1008" s="141">
        <v>0.375</v>
      </c>
      <c r="I1008" s="141">
        <v>0.41666666666666669</v>
      </c>
      <c r="J1008" s="458">
        <v>4.1666666666666664E-2</v>
      </c>
      <c r="K1008" s="100" t="s">
        <v>669</v>
      </c>
      <c r="L1008" s="63" t="s">
        <v>30</v>
      </c>
      <c r="M1008" s="97" t="s">
        <v>1376</v>
      </c>
      <c r="N1008" s="58" t="s">
        <v>1393</v>
      </c>
      <c r="O1008" s="100" t="s">
        <v>30</v>
      </c>
      <c r="P1008" s="273">
        <v>45623</v>
      </c>
      <c r="Q1008" s="273">
        <v>45623</v>
      </c>
      <c r="R1008" s="273">
        <v>46352</v>
      </c>
      <c r="S1008" s="273">
        <v>46353</v>
      </c>
      <c r="T1008" s="61">
        <v>2000</v>
      </c>
      <c r="U1008" s="99" t="s">
        <v>9586</v>
      </c>
      <c r="V1008" s="61" t="s">
        <v>30</v>
      </c>
      <c r="W1008" s="143" t="s">
        <v>30</v>
      </c>
      <c r="X1008" s="62" t="s">
        <v>30</v>
      </c>
      <c r="Y1008" s="100" t="s">
        <v>226</v>
      </c>
      <c r="Z1008" s="99" t="s">
        <v>9587</v>
      </c>
      <c r="AA1008" s="63" t="s">
        <v>1841</v>
      </c>
      <c r="AB1008" s="451">
        <v>44820</v>
      </c>
      <c r="AC1008" s="451">
        <v>46645</v>
      </c>
      <c r="AD1008" s="61">
        <v>8106121938</v>
      </c>
      <c r="AE1008" s="540" t="s">
        <v>9588</v>
      </c>
      <c r="AF1008" s="100" t="s">
        <v>1410</v>
      </c>
      <c r="AG1008" s="501" t="s">
        <v>9589</v>
      </c>
      <c r="AH1008" s="62" t="s">
        <v>9590</v>
      </c>
      <c r="AI1008" s="61" t="s">
        <v>9591</v>
      </c>
      <c r="AJ1008" s="493">
        <v>431756745024</v>
      </c>
      <c r="AK1008" s="63" t="s">
        <v>9592</v>
      </c>
      <c r="AL1008" s="446">
        <v>45644</v>
      </c>
      <c r="AM1008" s="446" t="s">
        <v>30</v>
      </c>
      <c r="AN1008" s="100" t="s">
        <v>1592</v>
      </c>
      <c r="AO1008" s="539" t="s">
        <v>9593</v>
      </c>
      <c r="AP1008" s="61">
        <v>48</v>
      </c>
      <c r="AQ1008" s="143"/>
      <c r="AR1008" s="493"/>
      <c r="AS1008" s="515"/>
      <c r="AT1008" s="515"/>
      <c r="AU1008" s="338">
        <v>28176</v>
      </c>
      <c r="AV1008" s="62" t="s">
        <v>1389</v>
      </c>
      <c r="AW1008" s="31" t="s">
        <v>32</v>
      </c>
      <c r="AX1008" s="139">
        <v>1</v>
      </c>
      <c r="AY1008" s="58" t="s">
        <v>2469</v>
      </c>
      <c r="AZ1008" s="58" t="s">
        <v>1390</v>
      </c>
      <c r="BA1008" s="58" t="s">
        <v>151</v>
      </c>
      <c r="BB1008" s="58" t="s">
        <v>1407</v>
      </c>
      <c r="BC1008" s="58"/>
    </row>
    <row r="1009" spans="1:55" x14ac:dyDescent="0.25">
      <c r="A1009" s="10">
        <f t="shared" si="41"/>
        <v>1008</v>
      </c>
      <c r="B1009" s="181" t="s">
        <v>9594</v>
      </c>
      <c r="C1009" s="592" t="s">
        <v>1407</v>
      </c>
      <c r="D1009" s="499">
        <v>400058</v>
      </c>
      <c r="E1009" s="62" t="s">
        <v>36</v>
      </c>
      <c r="F1009" s="97" t="s">
        <v>9595</v>
      </c>
      <c r="G1009" s="61">
        <v>6</v>
      </c>
      <c r="H1009" s="141">
        <v>0.35416666666666669</v>
      </c>
      <c r="I1009" s="141">
        <v>0.60416666666666663</v>
      </c>
      <c r="J1009" s="141">
        <v>0.25</v>
      </c>
      <c r="K1009" s="143" t="s">
        <v>968</v>
      </c>
      <c r="L1009" s="63" t="s">
        <v>9596</v>
      </c>
      <c r="M1009" s="63" t="s">
        <v>26</v>
      </c>
      <c r="N1009" s="100" t="s">
        <v>38</v>
      </c>
      <c r="O1009" s="143" t="s">
        <v>5710</v>
      </c>
      <c r="P1009" s="446">
        <v>43076</v>
      </c>
      <c r="Q1009" s="446">
        <v>45203</v>
      </c>
      <c r="R1009" s="446">
        <v>45933</v>
      </c>
      <c r="S1009" s="338">
        <v>45934</v>
      </c>
      <c r="T1009" s="61">
        <v>2012</v>
      </c>
      <c r="U1009" s="62" t="s">
        <v>351</v>
      </c>
      <c r="V1009" s="61">
        <v>2016</v>
      </c>
      <c r="W1009" s="99" t="s">
        <v>9597</v>
      </c>
      <c r="X1009" s="62" t="s">
        <v>30</v>
      </c>
      <c r="Y1009" s="100" t="s">
        <v>1236</v>
      </c>
      <c r="Z1009" s="99" t="s">
        <v>9598</v>
      </c>
      <c r="AA1009" s="63" t="s">
        <v>1841</v>
      </c>
      <c r="AB1009" s="451">
        <v>45212</v>
      </c>
      <c r="AC1009" s="451">
        <v>47038</v>
      </c>
      <c r="AD1009" s="304">
        <v>9676907025</v>
      </c>
      <c r="AE1009" s="336" t="s">
        <v>9599</v>
      </c>
      <c r="AF1009" s="63" t="s">
        <v>1430</v>
      </c>
      <c r="AG1009" s="493" t="s">
        <v>9600</v>
      </c>
      <c r="AH1009" s="62" t="s">
        <v>9601</v>
      </c>
      <c r="AI1009" s="61" t="s">
        <v>9602</v>
      </c>
      <c r="AJ1009" s="493">
        <v>811326366056</v>
      </c>
      <c r="AK1009" s="63" t="s">
        <v>9603</v>
      </c>
      <c r="AL1009" s="461">
        <v>45647</v>
      </c>
      <c r="AM1009" s="477">
        <v>45587</v>
      </c>
      <c r="AN1009" s="63"/>
      <c r="AO1009" s="539"/>
      <c r="AP1009" s="61">
        <v>38</v>
      </c>
      <c r="AQ1009" s="143"/>
      <c r="AR1009" s="493"/>
      <c r="AS1009" s="515"/>
      <c r="AT1009" s="515"/>
      <c r="AU1009" s="338">
        <v>31834</v>
      </c>
      <c r="AV1009" s="62" t="s">
        <v>1352</v>
      </c>
      <c r="AW1009" s="31" t="s">
        <v>32</v>
      </c>
      <c r="AX1009" s="139">
        <v>6</v>
      </c>
      <c r="AY1009" s="466" t="s">
        <v>1904</v>
      </c>
      <c r="AZ1009" s="58" t="s">
        <v>26</v>
      </c>
      <c r="BA1009" s="58" t="s">
        <v>151</v>
      </c>
      <c r="BB1009" s="58" t="s">
        <v>1407</v>
      </c>
      <c r="BC1009" s="58"/>
    </row>
    <row r="1010" spans="1:55" x14ac:dyDescent="0.25">
      <c r="A1010" s="10">
        <f t="shared" si="41"/>
        <v>1009</v>
      </c>
      <c r="B1010" s="181" t="s">
        <v>9604</v>
      </c>
      <c r="C1010" s="592" t="s">
        <v>1407</v>
      </c>
      <c r="D1010" s="499">
        <v>400603</v>
      </c>
      <c r="E1010" s="181" t="s">
        <v>9124</v>
      </c>
      <c r="F1010" s="97" t="s">
        <v>9605</v>
      </c>
      <c r="G1010" s="61">
        <v>6</v>
      </c>
      <c r="H1010" s="141" t="s">
        <v>9606</v>
      </c>
      <c r="I1010" s="141" t="s">
        <v>9607</v>
      </c>
      <c r="J1010" s="141">
        <v>0.33333333333333331</v>
      </c>
      <c r="K1010" s="58" t="s">
        <v>826</v>
      </c>
      <c r="L1010" s="63" t="s">
        <v>2015</v>
      </c>
      <c r="M1010" s="63" t="s">
        <v>1355</v>
      </c>
      <c r="N1010" s="100" t="s">
        <v>1520</v>
      </c>
      <c r="O1010" s="100" t="s">
        <v>4752</v>
      </c>
      <c r="P1010" s="446">
        <v>44896</v>
      </c>
      <c r="Q1010" s="446">
        <v>44896</v>
      </c>
      <c r="R1010" s="446">
        <v>45626</v>
      </c>
      <c r="S1010" s="338">
        <v>45627</v>
      </c>
      <c r="T1010" s="61">
        <v>2012</v>
      </c>
      <c r="U1010" s="62" t="s">
        <v>9608</v>
      </c>
      <c r="V1010" s="61">
        <v>2018</v>
      </c>
      <c r="W1010" s="99" t="s">
        <v>9609</v>
      </c>
      <c r="X1010" s="62" t="s">
        <v>30</v>
      </c>
      <c r="Y1010" s="100" t="s">
        <v>1611</v>
      </c>
      <c r="Z1010" s="99">
        <v>63631</v>
      </c>
      <c r="AA1010" s="63" t="s">
        <v>2910</v>
      </c>
      <c r="AB1010" s="451">
        <v>45274</v>
      </c>
      <c r="AC1010" s="451">
        <v>47100</v>
      </c>
      <c r="AD1010" s="304">
        <v>8377021204</v>
      </c>
      <c r="AE1010" s="336" t="s">
        <v>9610</v>
      </c>
      <c r="AF1010" s="63" t="s">
        <v>2284</v>
      </c>
      <c r="AG1010" s="493" t="s">
        <v>9611</v>
      </c>
      <c r="AH1010" s="62" t="s">
        <v>9612</v>
      </c>
      <c r="AI1010" s="61" t="s">
        <v>9613</v>
      </c>
      <c r="AJ1010" s="493" t="s">
        <v>9614</v>
      </c>
      <c r="AK1010" s="63" t="s">
        <v>9615</v>
      </c>
      <c r="AL1010" s="446">
        <v>45647</v>
      </c>
      <c r="AM1010" s="477">
        <v>45616</v>
      </c>
      <c r="AN1010" s="63"/>
      <c r="AO1010" s="539" t="s">
        <v>9616</v>
      </c>
      <c r="AP1010" s="61">
        <v>36</v>
      </c>
      <c r="AQ1010" s="143"/>
      <c r="AR1010" s="493"/>
      <c r="AS1010" s="515"/>
      <c r="AT1010" s="515"/>
      <c r="AU1010" s="338">
        <v>32436</v>
      </c>
      <c r="AV1010" s="62" t="s">
        <v>1389</v>
      </c>
      <c r="AW1010" s="31" t="s">
        <v>32</v>
      </c>
      <c r="AX1010" s="139">
        <v>8</v>
      </c>
      <c r="AY1010" s="58" t="s">
        <v>2251</v>
      </c>
      <c r="AZ1010" s="58" t="s">
        <v>1373</v>
      </c>
      <c r="BA1010" s="58" t="s">
        <v>151</v>
      </c>
      <c r="BB1010" s="58" t="s">
        <v>1407</v>
      </c>
      <c r="BC1010" s="58"/>
    </row>
    <row r="1011" spans="1:55" x14ac:dyDescent="0.25">
      <c r="A1011" s="10">
        <f t="shared" si="41"/>
        <v>1010</v>
      </c>
      <c r="B1011" s="181" t="s">
        <v>9617</v>
      </c>
      <c r="C1011" s="592" t="s">
        <v>1407</v>
      </c>
      <c r="D1011" s="499">
        <v>401056</v>
      </c>
      <c r="E1011" s="62" t="s">
        <v>36</v>
      </c>
      <c r="F1011" s="97" t="s">
        <v>9618</v>
      </c>
      <c r="G1011" s="61">
        <v>6</v>
      </c>
      <c r="H1011" s="141">
        <v>0.375</v>
      </c>
      <c r="I1011" s="141">
        <v>0.70833333333333337</v>
      </c>
      <c r="J1011" s="141">
        <v>0.33333333333333331</v>
      </c>
      <c r="K1011" s="58" t="s">
        <v>207</v>
      </c>
      <c r="L1011" s="63" t="s">
        <v>9430</v>
      </c>
      <c r="M1011" s="63" t="s">
        <v>26</v>
      </c>
      <c r="N1011" s="100" t="s">
        <v>38</v>
      </c>
      <c r="O1011" s="143" t="s">
        <v>5710</v>
      </c>
      <c r="P1011" s="273">
        <v>45523</v>
      </c>
      <c r="Q1011" s="273">
        <v>45523</v>
      </c>
      <c r="R1011" s="273">
        <v>46252</v>
      </c>
      <c r="S1011" s="273">
        <v>46253</v>
      </c>
      <c r="T1011" s="79">
        <v>2012</v>
      </c>
      <c r="U1011" s="99" t="s">
        <v>283</v>
      </c>
      <c r="V1011" s="61">
        <v>2018</v>
      </c>
      <c r="W1011" s="143" t="s">
        <v>492</v>
      </c>
      <c r="X1011" s="62" t="s">
        <v>3207</v>
      </c>
      <c r="Y1011" s="143" t="s">
        <v>9619</v>
      </c>
      <c r="Z1011" s="99" t="s">
        <v>9620</v>
      </c>
      <c r="AA1011" s="99" t="s">
        <v>1886</v>
      </c>
      <c r="AB1011" s="451">
        <v>45155</v>
      </c>
      <c r="AC1011" s="451">
        <v>46981</v>
      </c>
      <c r="AD1011" s="304">
        <v>9150223616</v>
      </c>
      <c r="AE1011" s="336" t="s">
        <v>9621</v>
      </c>
      <c r="AF1011" s="100" t="s">
        <v>1833</v>
      </c>
      <c r="AG1011" s="501" t="s">
        <v>9622</v>
      </c>
      <c r="AH1011" s="62" t="s">
        <v>9623</v>
      </c>
      <c r="AI1011" s="61" t="s">
        <v>9624</v>
      </c>
      <c r="AJ1011" s="493">
        <v>701474495869</v>
      </c>
      <c r="AK1011" s="63" t="s">
        <v>9625</v>
      </c>
      <c r="AL1011" s="338">
        <v>45647</v>
      </c>
      <c r="AM1011" s="446">
        <v>45587</v>
      </c>
      <c r="AN1011" s="63" t="s">
        <v>9626</v>
      </c>
      <c r="AO1011" s="539" t="s">
        <v>9627</v>
      </c>
      <c r="AP1011" s="61">
        <v>37</v>
      </c>
      <c r="AQ1011" s="143"/>
      <c r="AR1011" s="493"/>
      <c r="AS1011" s="515"/>
      <c r="AT1011" s="515"/>
      <c r="AU1011" s="338">
        <v>32225</v>
      </c>
      <c r="AV1011" s="62" t="s">
        <v>1389</v>
      </c>
      <c r="AW1011" s="31" t="s">
        <v>68</v>
      </c>
      <c r="AX1011" s="139">
        <v>8</v>
      </c>
      <c r="AY1011" s="58" t="s">
        <v>1920</v>
      </c>
      <c r="AZ1011" s="58" t="s">
        <v>26</v>
      </c>
      <c r="BA1011" s="58" t="s">
        <v>151</v>
      </c>
      <c r="BB1011" s="58" t="s">
        <v>1407</v>
      </c>
      <c r="BC1011" s="58"/>
    </row>
    <row r="1012" spans="1:55" x14ac:dyDescent="0.25">
      <c r="A1012" s="10">
        <f t="shared" si="41"/>
        <v>1011</v>
      </c>
      <c r="B1012" s="181" t="s">
        <v>9628</v>
      </c>
      <c r="C1012" s="592" t="s">
        <v>1407</v>
      </c>
      <c r="D1012" s="499">
        <v>400047</v>
      </c>
      <c r="E1012" s="62" t="s">
        <v>42</v>
      </c>
      <c r="F1012" s="97" t="s">
        <v>9629</v>
      </c>
      <c r="G1012" s="61">
        <v>6</v>
      </c>
      <c r="H1012" s="141">
        <v>0.41666666666666669</v>
      </c>
      <c r="I1012" s="141">
        <v>0.66666666666666663</v>
      </c>
      <c r="J1012" s="141">
        <v>0.25</v>
      </c>
      <c r="K1012" s="143" t="s">
        <v>802</v>
      </c>
      <c r="L1012" s="99" t="s">
        <v>9630</v>
      </c>
      <c r="M1012" s="63" t="s">
        <v>26</v>
      </c>
      <c r="N1012" s="100" t="s">
        <v>38</v>
      </c>
      <c r="O1012" s="143" t="s">
        <v>5710</v>
      </c>
      <c r="P1012" s="446">
        <v>42870</v>
      </c>
      <c r="Q1012" s="446">
        <v>45170</v>
      </c>
      <c r="R1012" s="446">
        <v>45900</v>
      </c>
      <c r="S1012" s="338">
        <v>45901</v>
      </c>
      <c r="T1012" s="61">
        <v>2011</v>
      </c>
      <c r="U1012" s="62" t="s">
        <v>4526</v>
      </c>
      <c r="V1012" s="61">
        <v>2015</v>
      </c>
      <c r="W1012" s="99" t="s">
        <v>5504</v>
      </c>
      <c r="X1012" s="62" t="s">
        <v>30</v>
      </c>
      <c r="Y1012" s="100" t="s">
        <v>5151</v>
      </c>
      <c r="Z1012" s="99">
        <v>70600</v>
      </c>
      <c r="AA1012" s="63" t="s">
        <v>1841</v>
      </c>
      <c r="AB1012" s="451">
        <v>45371</v>
      </c>
      <c r="AC1012" s="451">
        <v>47196</v>
      </c>
      <c r="AD1012" s="304">
        <v>9676892110</v>
      </c>
      <c r="AE1012" s="336" t="s">
        <v>9631</v>
      </c>
      <c r="AF1012" s="63" t="s">
        <v>1364</v>
      </c>
      <c r="AG1012" s="493" t="s">
        <v>9632</v>
      </c>
      <c r="AH1012" s="62" t="s">
        <v>2035</v>
      </c>
      <c r="AI1012" s="61" t="s">
        <v>9633</v>
      </c>
      <c r="AJ1012" s="493">
        <v>373603557957</v>
      </c>
      <c r="AK1012" s="63" t="s">
        <v>9634</v>
      </c>
      <c r="AL1012" s="461">
        <v>45654</v>
      </c>
      <c r="AM1012" s="477">
        <v>45616</v>
      </c>
      <c r="AN1012" s="63"/>
      <c r="AO1012" s="539"/>
      <c r="AP1012" s="61">
        <v>39</v>
      </c>
      <c r="AQ1012" s="143"/>
      <c r="AR1012" s="493" t="s">
        <v>9635</v>
      </c>
      <c r="AS1012" s="515">
        <v>45160</v>
      </c>
      <c r="AT1012" s="515">
        <v>45525</v>
      </c>
      <c r="AU1012" s="338">
        <v>31459</v>
      </c>
      <c r="AV1012" s="62" t="s">
        <v>1389</v>
      </c>
      <c r="AW1012" s="31" t="s">
        <v>68</v>
      </c>
      <c r="AX1012" s="139">
        <v>6</v>
      </c>
      <c r="AY1012" s="466" t="s">
        <v>2469</v>
      </c>
      <c r="AZ1012" s="58" t="s">
        <v>26</v>
      </c>
      <c r="BA1012" s="58" t="s">
        <v>151</v>
      </c>
      <c r="BB1012" s="58" t="s">
        <v>1407</v>
      </c>
      <c r="BC1012" s="58"/>
    </row>
    <row r="1013" spans="1:55" x14ac:dyDescent="0.25">
      <c r="A1013" s="10">
        <f t="shared" si="41"/>
        <v>1012</v>
      </c>
      <c r="B1013" s="181" t="s">
        <v>9636</v>
      </c>
      <c r="C1013" s="592" t="s">
        <v>1407</v>
      </c>
      <c r="D1013" s="499">
        <v>400834</v>
      </c>
      <c r="E1013" s="62" t="s">
        <v>36</v>
      </c>
      <c r="F1013" s="97" t="s">
        <v>9637</v>
      </c>
      <c r="G1013" s="61">
        <v>6</v>
      </c>
      <c r="H1013" s="141">
        <v>0.33333333333333331</v>
      </c>
      <c r="I1013" s="141">
        <v>0.875</v>
      </c>
      <c r="J1013" s="443">
        <v>0.33333333333333331</v>
      </c>
      <c r="K1013" s="462" t="s">
        <v>154</v>
      </c>
      <c r="L1013" s="63" t="s">
        <v>1424</v>
      </c>
      <c r="M1013" s="63" t="s">
        <v>1355</v>
      </c>
      <c r="N1013" s="100" t="s">
        <v>1520</v>
      </c>
      <c r="O1013" s="100" t="s">
        <v>4752</v>
      </c>
      <c r="P1013" s="446">
        <v>45161</v>
      </c>
      <c r="Q1013" s="446">
        <v>45161</v>
      </c>
      <c r="R1013" s="446">
        <v>45891</v>
      </c>
      <c r="S1013" s="338">
        <v>45892</v>
      </c>
      <c r="T1013" s="61">
        <v>2015</v>
      </c>
      <c r="U1013" s="62" t="s">
        <v>9638</v>
      </c>
      <c r="V1013" s="61">
        <v>2022</v>
      </c>
      <c r="W1013" s="99" t="s">
        <v>9639</v>
      </c>
      <c r="X1013" s="62" t="s">
        <v>30</v>
      </c>
      <c r="Y1013" s="100" t="s">
        <v>5066</v>
      </c>
      <c r="Z1013" s="99" t="s">
        <v>9640</v>
      </c>
      <c r="AA1013" s="63" t="s">
        <v>1841</v>
      </c>
      <c r="AB1013" s="451">
        <v>44779</v>
      </c>
      <c r="AC1013" s="451">
        <v>46604</v>
      </c>
      <c r="AD1013" s="304">
        <v>9966606334</v>
      </c>
      <c r="AE1013" s="336" t="s">
        <v>9641</v>
      </c>
      <c r="AF1013" s="63" t="s">
        <v>5086</v>
      </c>
      <c r="AG1013" s="493">
        <v>20267691006</v>
      </c>
      <c r="AH1013" s="62" t="s">
        <v>6076</v>
      </c>
      <c r="AI1013" s="61" t="s">
        <v>9642</v>
      </c>
      <c r="AJ1013" s="493">
        <v>516129161904</v>
      </c>
      <c r="AK1013" s="63"/>
      <c r="AL1013" s="446">
        <v>45654</v>
      </c>
      <c r="AM1013" s="477">
        <v>45593</v>
      </c>
      <c r="AN1013" s="63"/>
      <c r="AO1013" s="539" t="s">
        <v>9643</v>
      </c>
      <c r="AP1013" s="61">
        <v>35</v>
      </c>
      <c r="AQ1013" s="143"/>
      <c r="AR1013" s="493"/>
      <c r="AS1013" s="515"/>
      <c r="AT1013" s="515"/>
      <c r="AU1013" s="338">
        <v>33058</v>
      </c>
      <c r="AV1013" s="62" t="s">
        <v>1352</v>
      </c>
      <c r="AW1013" s="31" t="s">
        <v>68</v>
      </c>
      <c r="AX1013" s="139">
        <v>8</v>
      </c>
      <c r="AY1013" s="58" t="s">
        <v>1904</v>
      </c>
      <c r="AZ1013" s="58" t="s">
        <v>1373</v>
      </c>
      <c r="BA1013" s="58" t="s">
        <v>151</v>
      </c>
      <c r="BB1013" s="58" t="s">
        <v>1407</v>
      </c>
      <c r="BC1013" s="58"/>
    </row>
    <row r="1014" spans="1:55" x14ac:dyDescent="0.25">
      <c r="A1014" s="10">
        <f t="shared" si="41"/>
        <v>1013</v>
      </c>
      <c r="B1014" s="181"/>
      <c r="C1014" s="592" t="s">
        <v>1407</v>
      </c>
      <c r="D1014" s="457">
        <v>400941</v>
      </c>
      <c r="E1014" s="181" t="s">
        <v>36</v>
      </c>
      <c r="F1014" s="97" t="s">
        <v>9644</v>
      </c>
      <c r="G1014" s="139">
        <v>6</v>
      </c>
      <c r="H1014" s="458">
        <v>0.33333333333333331</v>
      </c>
      <c r="I1014" s="458">
        <v>0.875</v>
      </c>
      <c r="J1014" s="458">
        <v>0.33333333333333331</v>
      </c>
      <c r="K1014" s="100" t="s">
        <v>563</v>
      </c>
      <c r="L1014" s="97" t="s">
        <v>1424</v>
      </c>
      <c r="M1014" s="63" t="s">
        <v>1355</v>
      </c>
      <c r="N1014" s="100" t="s">
        <v>1520</v>
      </c>
      <c r="O1014" s="58"/>
      <c r="P1014" s="206">
        <v>45337</v>
      </c>
      <c r="Q1014" s="460">
        <v>45337</v>
      </c>
      <c r="R1014" s="460">
        <v>46067</v>
      </c>
      <c r="S1014" s="461">
        <v>46068</v>
      </c>
      <c r="T1014" s="139">
        <v>2009</v>
      </c>
      <c r="U1014" s="139" t="s">
        <v>8525</v>
      </c>
      <c r="V1014" s="139">
        <v>2018</v>
      </c>
      <c r="W1014" s="139" t="s">
        <v>209</v>
      </c>
      <c r="X1014" s="139" t="s">
        <v>30</v>
      </c>
      <c r="Y1014" s="462" t="s">
        <v>5066</v>
      </c>
      <c r="Z1014" s="140">
        <v>62266</v>
      </c>
      <c r="AA1014" s="140" t="s">
        <v>1841</v>
      </c>
      <c r="AB1014" s="460">
        <v>44254</v>
      </c>
      <c r="AC1014" s="460">
        <v>46079</v>
      </c>
      <c r="AD1014" s="488">
        <v>9160796427</v>
      </c>
      <c r="AE1014" s="140" t="s">
        <v>9645</v>
      </c>
      <c r="AF1014" s="139"/>
      <c r="AG1014" s="463"/>
      <c r="AH1014" s="139"/>
      <c r="AI1014" s="139" t="s">
        <v>9646</v>
      </c>
      <c r="AJ1014" s="464">
        <v>968119294057</v>
      </c>
      <c r="AK1014" s="140"/>
      <c r="AL1014" s="206">
        <v>45337</v>
      </c>
      <c r="AM1014" s="477">
        <v>45337</v>
      </c>
      <c r="AN1014" s="140" t="s">
        <v>9647</v>
      </c>
      <c r="AO1014" s="140" t="s">
        <v>9648</v>
      </c>
      <c r="AP1014" s="139"/>
      <c r="AQ1014" s="97" t="s">
        <v>9648</v>
      </c>
      <c r="AR1014" s="489"/>
      <c r="AS1014" s="458">
        <v>0.33333333333333331</v>
      </c>
      <c r="AT1014" s="181">
        <v>0.875</v>
      </c>
      <c r="AU1014" s="461">
        <v>31155</v>
      </c>
      <c r="AV1014" s="181" t="s">
        <v>1352</v>
      </c>
      <c r="AW1014" s="31" t="s">
        <v>68</v>
      </c>
      <c r="AX1014" s="139">
        <v>8</v>
      </c>
      <c r="AY1014" s="58" t="s">
        <v>1895</v>
      </c>
      <c r="AZ1014" s="58" t="s">
        <v>1373</v>
      </c>
      <c r="BA1014" s="58" t="s">
        <v>151</v>
      </c>
      <c r="BB1014" s="58" t="s">
        <v>1407</v>
      </c>
      <c r="BC1014" s="58"/>
    </row>
    <row r="1015" spans="1:55" x14ac:dyDescent="0.25">
      <c r="A1015" s="10">
        <f t="shared" si="41"/>
        <v>1014</v>
      </c>
      <c r="B1015" s="181" t="s">
        <v>3695</v>
      </c>
      <c r="C1015" s="592" t="s">
        <v>1407</v>
      </c>
      <c r="D1015" s="457">
        <v>400942</v>
      </c>
      <c r="E1015" s="181" t="s">
        <v>36</v>
      </c>
      <c r="F1015" s="97" t="s">
        <v>3696</v>
      </c>
      <c r="G1015" s="139">
        <v>6</v>
      </c>
      <c r="H1015" s="458">
        <v>0.375</v>
      </c>
      <c r="I1015" s="458">
        <v>0.45833333333333331</v>
      </c>
      <c r="J1015" s="458">
        <f>I1015-H1015</f>
        <v>8.3333333333333315E-2</v>
      </c>
      <c r="K1015" s="100" t="s">
        <v>1187</v>
      </c>
      <c r="L1015" s="97" t="s">
        <v>1424</v>
      </c>
      <c r="M1015" s="97" t="s">
        <v>1376</v>
      </c>
      <c r="N1015" s="58" t="s">
        <v>1393</v>
      </c>
      <c r="O1015" s="58"/>
      <c r="P1015" s="206">
        <v>45336</v>
      </c>
      <c r="Q1015" s="460">
        <v>45336</v>
      </c>
      <c r="R1015" s="460">
        <v>46066</v>
      </c>
      <c r="S1015" s="461">
        <v>46067</v>
      </c>
      <c r="T1015" s="139">
        <v>2021</v>
      </c>
      <c r="U1015" s="139" t="s">
        <v>9561</v>
      </c>
      <c r="V1015" s="139"/>
      <c r="W1015" s="139"/>
      <c r="X1015" s="139" t="s">
        <v>30</v>
      </c>
      <c r="Y1015" s="462" t="s">
        <v>226</v>
      </c>
      <c r="Z1015" s="140" t="s">
        <v>3698</v>
      </c>
      <c r="AA1015" s="140" t="s">
        <v>1841</v>
      </c>
      <c r="AB1015" s="460">
        <v>45320</v>
      </c>
      <c r="AC1015" s="460">
        <v>47146</v>
      </c>
      <c r="AD1015" s="488">
        <v>8074226609</v>
      </c>
      <c r="AE1015" s="140" t="s">
        <v>3699</v>
      </c>
      <c r="AF1015" s="139" t="s">
        <v>5086</v>
      </c>
      <c r="AG1015" s="463" t="s">
        <v>3700</v>
      </c>
      <c r="AH1015" s="139" t="s">
        <v>3701</v>
      </c>
      <c r="AI1015" s="139" t="s">
        <v>3702</v>
      </c>
      <c r="AJ1015" s="464">
        <v>693133758658</v>
      </c>
      <c r="AK1015" s="140"/>
      <c r="AL1015" s="206">
        <v>45336</v>
      </c>
      <c r="AM1015" s="477">
        <v>45336</v>
      </c>
      <c r="AN1015" s="140" t="s">
        <v>9647</v>
      </c>
      <c r="AO1015" s="140" t="s">
        <v>9649</v>
      </c>
      <c r="AP1015" s="139"/>
      <c r="AQ1015" s="97" t="s">
        <v>9649</v>
      </c>
      <c r="AR1015" s="489"/>
      <c r="AS1015" s="458">
        <v>0.375</v>
      </c>
      <c r="AT1015" s="181">
        <v>0.45833333333333331</v>
      </c>
      <c r="AU1015" s="461">
        <v>35931</v>
      </c>
      <c r="AV1015" s="181" t="s">
        <v>1352</v>
      </c>
      <c r="AW1015" s="31" t="s">
        <v>32</v>
      </c>
      <c r="AX1015" s="139">
        <v>2</v>
      </c>
      <c r="AY1015" s="58" t="s">
        <v>2006</v>
      </c>
      <c r="AZ1015" s="58" t="s">
        <v>1390</v>
      </c>
      <c r="BA1015" s="58" t="s">
        <v>151</v>
      </c>
      <c r="BB1015" s="58" t="s">
        <v>1407</v>
      </c>
      <c r="BC1015" s="58"/>
    </row>
    <row r="1016" spans="1:55" x14ac:dyDescent="0.25">
      <c r="A1016" s="10">
        <f t="shared" si="41"/>
        <v>1015</v>
      </c>
      <c r="B1016" s="181" t="s">
        <v>9650</v>
      </c>
      <c r="C1016" s="592" t="s">
        <v>1407</v>
      </c>
      <c r="D1016" s="457">
        <v>400943</v>
      </c>
      <c r="E1016" s="181" t="s">
        <v>36</v>
      </c>
      <c r="F1016" s="97" t="s">
        <v>9651</v>
      </c>
      <c r="G1016" s="139">
        <v>6</v>
      </c>
      <c r="H1016" s="469">
        <v>0.375</v>
      </c>
      <c r="I1016" s="469">
        <v>0.41666666666666669</v>
      </c>
      <c r="J1016" s="458">
        <v>4.1666666666666664E-2</v>
      </c>
      <c r="K1016" s="58" t="s">
        <v>791</v>
      </c>
      <c r="L1016" s="97" t="s">
        <v>1424</v>
      </c>
      <c r="M1016" s="97" t="s">
        <v>1376</v>
      </c>
      <c r="N1016" s="58" t="s">
        <v>1393</v>
      </c>
      <c r="O1016" s="58" t="s">
        <v>1424</v>
      </c>
      <c r="P1016" s="206">
        <v>45337</v>
      </c>
      <c r="Q1016" s="206">
        <v>45337</v>
      </c>
      <c r="R1016" s="206">
        <v>46067</v>
      </c>
      <c r="S1016" s="461">
        <v>46068</v>
      </c>
      <c r="T1016" s="139">
        <v>2023</v>
      </c>
      <c r="U1016" s="181" t="s">
        <v>406</v>
      </c>
      <c r="V1016" s="139" t="s">
        <v>30</v>
      </c>
      <c r="W1016" s="97" t="s">
        <v>30</v>
      </c>
      <c r="X1016" s="181" t="s">
        <v>30</v>
      </c>
      <c r="Y1016" s="58" t="s">
        <v>226</v>
      </c>
      <c r="Z1016" s="140" t="s">
        <v>9652</v>
      </c>
      <c r="AA1016" s="97" t="s">
        <v>1886</v>
      </c>
      <c r="AB1016" s="471">
        <v>45293</v>
      </c>
      <c r="AC1016" s="471">
        <v>47119</v>
      </c>
      <c r="AD1016" s="472">
        <v>8790677960</v>
      </c>
      <c r="AE1016" s="473" t="s">
        <v>9653</v>
      </c>
      <c r="AF1016" s="97" t="s">
        <v>9654</v>
      </c>
      <c r="AG1016" s="503">
        <v>36782210050619</v>
      </c>
      <c r="AH1016" s="181" t="s">
        <v>9655</v>
      </c>
      <c r="AI1016" s="139" t="s">
        <v>9656</v>
      </c>
      <c r="AJ1016" s="464">
        <v>280132506774</v>
      </c>
      <c r="AK1016" s="97"/>
      <c r="AL1016" s="206">
        <v>45380</v>
      </c>
      <c r="AM1016" s="477">
        <v>45380</v>
      </c>
      <c r="AN1016" s="465"/>
      <c r="AO1016" s="140" t="s">
        <v>9657</v>
      </c>
      <c r="AP1016" s="58"/>
      <c r="AQ1016" s="483" t="s">
        <v>9657</v>
      </c>
      <c r="AR1016" s="462"/>
      <c r="AS1016" s="479">
        <v>0.375</v>
      </c>
      <c r="AT1016" s="479">
        <v>0.41666666666666669</v>
      </c>
      <c r="AU1016" s="461">
        <v>34403</v>
      </c>
      <c r="AV1016" s="181" t="s">
        <v>1352</v>
      </c>
      <c r="AW1016" s="31" t="s">
        <v>32</v>
      </c>
      <c r="AX1016" s="139">
        <v>1</v>
      </c>
      <c r="AY1016" s="58" t="s">
        <v>1959</v>
      </c>
      <c r="AZ1016" s="58" t="s">
        <v>1390</v>
      </c>
      <c r="BA1016" s="58" t="s">
        <v>151</v>
      </c>
      <c r="BB1016" s="58" t="s">
        <v>1407</v>
      </c>
      <c r="BC1016" s="58"/>
    </row>
    <row r="1017" spans="1:55" x14ac:dyDescent="0.25">
      <c r="A1017" s="10">
        <f t="shared" si="41"/>
        <v>1016</v>
      </c>
      <c r="B1017" s="181"/>
      <c r="C1017" s="592" t="s">
        <v>1407</v>
      </c>
      <c r="D1017" s="457">
        <v>400944</v>
      </c>
      <c r="E1017" s="181" t="s">
        <v>36</v>
      </c>
      <c r="F1017" s="97" t="s">
        <v>9658</v>
      </c>
      <c r="G1017" s="139">
        <v>6</v>
      </c>
      <c r="H1017" s="458">
        <v>0.375</v>
      </c>
      <c r="I1017" s="458">
        <v>0.41666666666666669</v>
      </c>
      <c r="J1017" s="458">
        <v>4.1666666666666664E-2</v>
      </c>
      <c r="K1017" s="58" t="s">
        <v>3609</v>
      </c>
      <c r="L1017" s="97" t="s">
        <v>1424</v>
      </c>
      <c r="M1017" s="97" t="s">
        <v>1376</v>
      </c>
      <c r="N1017" s="58" t="s">
        <v>1393</v>
      </c>
      <c r="O1017" s="58"/>
      <c r="P1017" s="206">
        <v>45337</v>
      </c>
      <c r="Q1017" s="460">
        <v>45337</v>
      </c>
      <c r="R1017" s="460">
        <v>46067</v>
      </c>
      <c r="S1017" s="461">
        <v>46068</v>
      </c>
      <c r="T1017" s="139">
        <v>2023</v>
      </c>
      <c r="U1017" s="139" t="s">
        <v>8652</v>
      </c>
      <c r="V1017" s="139" t="s">
        <v>30</v>
      </c>
      <c r="W1017" s="139" t="s">
        <v>30</v>
      </c>
      <c r="X1017" s="139" t="s">
        <v>30</v>
      </c>
      <c r="Y1017" s="462" t="s">
        <v>226</v>
      </c>
      <c r="Z1017" s="140" t="s">
        <v>9659</v>
      </c>
      <c r="AA1017" s="140" t="s">
        <v>1841</v>
      </c>
      <c r="AB1017" s="460">
        <v>44977</v>
      </c>
      <c r="AC1017" s="460">
        <v>46802</v>
      </c>
      <c r="AD1017" s="488">
        <v>8008866899</v>
      </c>
      <c r="AE1017" s="140" t="s">
        <v>9660</v>
      </c>
      <c r="AF1017" s="139"/>
      <c r="AG1017" s="463"/>
      <c r="AH1017" s="139"/>
      <c r="AI1017" s="139"/>
      <c r="AJ1017" s="464">
        <v>646212468645</v>
      </c>
      <c r="AK1017" s="140"/>
      <c r="AL1017" s="206">
        <v>45337</v>
      </c>
      <c r="AM1017" s="477">
        <v>45337</v>
      </c>
      <c r="AN1017" s="140" t="s">
        <v>9647</v>
      </c>
      <c r="AO1017" s="140" t="s">
        <v>9661</v>
      </c>
      <c r="AP1017" s="139"/>
      <c r="AQ1017" s="97" t="s">
        <v>9661</v>
      </c>
      <c r="AR1017" s="489"/>
      <c r="AS1017" s="458">
        <v>0.375</v>
      </c>
      <c r="AT1017" s="181">
        <v>0.41666666666666669</v>
      </c>
      <c r="AU1017" s="461">
        <v>36609</v>
      </c>
      <c r="AV1017" s="181" t="s">
        <v>1352</v>
      </c>
      <c r="AW1017" s="31" t="s">
        <v>32</v>
      </c>
      <c r="AX1017" s="139">
        <v>1</v>
      </c>
      <c r="AY1017" s="58" t="s">
        <v>1959</v>
      </c>
      <c r="AZ1017" s="58" t="s">
        <v>1390</v>
      </c>
      <c r="BA1017" s="58" t="s">
        <v>151</v>
      </c>
      <c r="BB1017" s="58" t="s">
        <v>1407</v>
      </c>
      <c r="BC1017" s="58"/>
    </row>
    <row r="1018" spans="1:55" x14ac:dyDescent="0.25">
      <c r="A1018" s="10">
        <f t="shared" si="41"/>
        <v>1017</v>
      </c>
      <c r="B1018" s="181" t="s">
        <v>5580</v>
      </c>
      <c r="C1018" s="592" t="s">
        <v>1407</v>
      </c>
      <c r="D1018" s="457">
        <v>400945</v>
      </c>
      <c r="E1018" s="181" t="s">
        <v>36</v>
      </c>
      <c r="F1018" s="97" t="s">
        <v>5581</v>
      </c>
      <c r="G1018" s="139">
        <v>6</v>
      </c>
      <c r="H1018" s="458">
        <v>0.35416666666666669</v>
      </c>
      <c r="I1018" s="458">
        <v>0.39583333333333331</v>
      </c>
      <c r="J1018" s="458">
        <v>4.1666666666666664E-2</v>
      </c>
      <c r="K1018" s="143" t="s">
        <v>802</v>
      </c>
      <c r="L1018" s="97" t="s">
        <v>1424</v>
      </c>
      <c r="M1018" s="97" t="s">
        <v>1376</v>
      </c>
      <c r="N1018" s="58" t="s">
        <v>1393</v>
      </c>
      <c r="O1018" s="58"/>
      <c r="P1018" s="206">
        <v>45341</v>
      </c>
      <c r="Q1018" s="460">
        <f>P1018</f>
        <v>45341</v>
      </c>
      <c r="R1018" s="460">
        <v>46071</v>
      </c>
      <c r="S1018" s="461">
        <f>R1018+1</f>
        <v>46072</v>
      </c>
      <c r="T1018" s="139">
        <v>2017</v>
      </c>
      <c r="U1018" s="139" t="s">
        <v>8487</v>
      </c>
      <c r="V1018" s="139" t="s">
        <v>30</v>
      </c>
      <c r="W1018" s="139" t="s">
        <v>30</v>
      </c>
      <c r="X1018" s="139" t="s">
        <v>30</v>
      </c>
      <c r="Y1018" s="462" t="s">
        <v>226</v>
      </c>
      <c r="Z1018" s="140" t="s">
        <v>5582</v>
      </c>
      <c r="AA1018" s="140" t="s">
        <v>1841</v>
      </c>
      <c r="AB1018" s="460">
        <v>44909</v>
      </c>
      <c r="AC1018" s="460">
        <v>46734</v>
      </c>
      <c r="AD1018" s="488">
        <v>7989594836</v>
      </c>
      <c r="AE1018" s="140" t="s">
        <v>9662</v>
      </c>
      <c r="AF1018" s="139" t="s">
        <v>1690</v>
      </c>
      <c r="AG1018" s="463" t="s">
        <v>9663</v>
      </c>
      <c r="AH1018" s="139" t="s">
        <v>6164</v>
      </c>
      <c r="AI1018" s="139" t="s">
        <v>5586</v>
      </c>
      <c r="AJ1018" s="464">
        <v>592138459317</v>
      </c>
      <c r="AK1018" s="140"/>
      <c r="AL1018" s="206">
        <v>45341</v>
      </c>
      <c r="AM1018" s="477">
        <v>45341</v>
      </c>
      <c r="AN1018" s="140" t="s">
        <v>9664</v>
      </c>
      <c r="AO1018" s="140" t="s">
        <v>9665</v>
      </c>
      <c r="AP1018" s="139"/>
      <c r="AQ1018" s="97" t="s">
        <v>9665</v>
      </c>
      <c r="AR1018" s="489"/>
      <c r="AS1018" s="458">
        <v>0.35416666666666669</v>
      </c>
      <c r="AT1018" s="181">
        <v>0.39583333333333331</v>
      </c>
      <c r="AU1018" s="461">
        <v>33311</v>
      </c>
      <c r="AV1018" s="181" t="s">
        <v>1389</v>
      </c>
      <c r="AW1018" s="31" t="s">
        <v>32</v>
      </c>
      <c r="AX1018" s="139">
        <v>1</v>
      </c>
      <c r="AY1018" s="58" t="s">
        <v>2469</v>
      </c>
      <c r="AZ1018" s="58" t="s">
        <v>1390</v>
      </c>
      <c r="BA1018" s="58" t="s">
        <v>151</v>
      </c>
      <c r="BB1018" s="58" t="s">
        <v>1407</v>
      </c>
      <c r="BC1018" s="58"/>
    </row>
    <row r="1019" spans="1:55" x14ac:dyDescent="0.25">
      <c r="A1019" s="10">
        <f t="shared" si="41"/>
        <v>1018</v>
      </c>
      <c r="B1019" s="181" t="s">
        <v>9666</v>
      </c>
      <c r="C1019" s="592" t="s">
        <v>1407</v>
      </c>
      <c r="D1019" s="457">
        <v>400946</v>
      </c>
      <c r="E1019" s="181" t="s">
        <v>36</v>
      </c>
      <c r="F1019" s="97" t="s">
        <v>9667</v>
      </c>
      <c r="G1019" s="139">
        <v>6</v>
      </c>
      <c r="H1019" s="469">
        <v>0.5</v>
      </c>
      <c r="I1019" s="469">
        <v>0.83333333333333337</v>
      </c>
      <c r="J1019" s="458">
        <f>I1019-H1019</f>
        <v>0.33333333333333337</v>
      </c>
      <c r="K1019" s="143" t="s">
        <v>513</v>
      </c>
      <c r="L1019" s="97" t="s">
        <v>9668</v>
      </c>
      <c r="M1019" s="97" t="s">
        <v>26</v>
      </c>
      <c r="N1019" s="58" t="s">
        <v>38</v>
      </c>
      <c r="O1019" s="58" t="s">
        <v>5063</v>
      </c>
      <c r="P1019" s="206">
        <v>45343</v>
      </c>
      <c r="Q1019" s="206">
        <v>45343</v>
      </c>
      <c r="R1019" s="206">
        <v>46073</v>
      </c>
      <c r="S1019" s="461">
        <v>46074</v>
      </c>
      <c r="T1019" s="139">
        <v>2013</v>
      </c>
      <c r="U1019" s="181" t="s">
        <v>9669</v>
      </c>
      <c r="V1019" s="139">
        <v>2022</v>
      </c>
      <c r="W1019" s="97" t="s">
        <v>9670</v>
      </c>
      <c r="X1019" s="181" t="s">
        <v>30</v>
      </c>
      <c r="Y1019" s="58" t="s">
        <v>5066</v>
      </c>
      <c r="Z1019" s="140" t="s">
        <v>9671</v>
      </c>
      <c r="AA1019" s="97" t="s">
        <v>1841</v>
      </c>
      <c r="AB1019" s="471">
        <v>44820</v>
      </c>
      <c r="AC1019" s="471">
        <v>46645</v>
      </c>
      <c r="AD1019" s="472">
        <v>9959143438</v>
      </c>
      <c r="AE1019" s="473" t="s">
        <v>9672</v>
      </c>
      <c r="AF1019" s="97" t="s">
        <v>5086</v>
      </c>
      <c r="AG1019" s="503" t="s">
        <v>9673</v>
      </c>
      <c r="AH1019" s="181" t="s">
        <v>9674</v>
      </c>
      <c r="AI1019" s="139" t="s">
        <v>9675</v>
      </c>
      <c r="AJ1019" s="464">
        <v>430592823428</v>
      </c>
      <c r="AK1019" s="97"/>
      <c r="AL1019" s="461">
        <v>45427</v>
      </c>
      <c r="AM1019" s="477">
        <v>45374</v>
      </c>
      <c r="AN1019" s="465" t="s">
        <v>9676</v>
      </c>
      <c r="AO1019" s="140" t="s">
        <v>9677</v>
      </c>
      <c r="AP1019" s="58"/>
      <c r="AQ1019" s="483" t="s">
        <v>9677</v>
      </c>
      <c r="AR1019" s="462"/>
      <c r="AS1019" s="479">
        <v>0.5</v>
      </c>
      <c r="AT1019" s="479">
        <v>0.83333333333333337</v>
      </c>
      <c r="AU1019" s="461">
        <v>32227</v>
      </c>
      <c r="AV1019" s="181" t="s">
        <v>1352</v>
      </c>
      <c r="AW1019" s="31" t="s">
        <v>68</v>
      </c>
      <c r="AX1019" s="139">
        <v>8</v>
      </c>
      <c r="AY1019" s="58" t="s">
        <v>1959</v>
      </c>
      <c r="AZ1019" s="58" t="s">
        <v>26</v>
      </c>
      <c r="BA1019" s="58" t="s">
        <v>151</v>
      </c>
      <c r="BB1019" s="58" t="s">
        <v>1407</v>
      </c>
      <c r="BC1019" s="58"/>
    </row>
    <row r="1020" spans="1:55" x14ac:dyDescent="0.25">
      <c r="A1020" s="10">
        <f t="shared" si="41"/>
        <v>1019</v>
      </c>
      <c r="B1020" s="181" t="s">
        <v>3741</v>
      </c>
      <c r="C1020" s="592" t="s">
        <v>1407</v>
      </c>
      <c r="D1020" s="499">
        <v>400022</v>
      </c>
      <c r="E1020" s="62" t="s">
        <v>36</v>
      </c>
      <c r="F1020" s="97" t="s">
        <v>3742</v>
      </c>
      <c r="G1020" s="61">
        <v>6</v>
      </c>
      <c r="H1020" s="141">
        <v>0.35416666666666669</v>
      </c>
      <c r="I1020" s="141">
        <v>0.6875</v>
      </c>
      <c r="J1020" s="141">
        <v>0.33333333333333331</v>
      </c>
      <c r="K1020" s="58" t="s">
        <v>147</v>
      </c>
      <c r="L1020" s="63" t="s">
        <v>1376</v>
      </c>
      <c r="M1020" s="97" t="s">
        <v>1376</v>
      </c>
      <c r="N1020" s="58" t="s">
        <v>1393</v>
      </c>
      <c r="O1020" s="100" t="s">
        <v>30</v>
      </c>
      <c r="P1020" s="446">
        <v>42391</v>
      </c>
      <c r="Q1020" s="446">
        <v>45536</v>
      </c>
      <c r="R1020" s="446">
        <v>46265</v>
      </c>
      <c r="S1020" s="338">
        <v>46266</v>
      </c>
      <c r="T1020" s="61">
        <v>1969</v>
      </c>
      <c r="U1020" s="62" t="s">
        <v>3743</v>
      </c>
      <c r="V1020" s="61" t="s">
        <v>1424</v>
      </c>
      <c r="W1020" s="99" t="s">
        <v>1424</v>
      </c>
      <c r="X1020" s="62" t="s">
        <v>30</v>
      </c>
      <c r="Y1020" s="100" t="s">
        <v>9678</v>
      </c>
      <c r="Z1020" s="99" t="s">
        <v>3744</v>
      </c>
      <c r="AA1020" s="63" t="s">
        <v>1841</v>
      </c>
      <c r="AB1020" s="451">
        <v>44351</v>
      </c>
      <c r="AC1020" s="451">
        <v>46176</v>
      </c>
      <c r="AD1020" s="304">
        <v>9246345068</v>
      </c>
      <c r="AE1020" s="336" t="s">
        <v>3745</v>
      </c>
      <c r="AF1020" s="63" t="s">
        <v>1400</v>
      </c>
      <c r="AG1020" s="493" t="s">
        <v>3746</v>
      </c>
      <c r="AH1020" s="62" t="s">
        <v>3747</v>
      </c>
      <c r="AI1020" s="61" t="s">
        <v>3748</v>
      </c>
      <c r="AJ1020" s="493">
        <v>652830225755</v>
      </c>
      <c r="AK1020" s="63" t="s">
        <v>3750</v>
      </c>
      <c r="AL1020" s="446">
        <v>45657</v>
      </c>
      <c r="AM1020" s="446">
        <v>45610</v>
      </c>
      <c r="AN1020" s="63"/>
      <c r="AO1020" s="539" t="s">
        <v>3751</v>
      </c>
      <c r="AP1020" s="61">
        <v>74</v>
      </c>
      <c r="AQ1020" s="143"/>
      <c r="AR1020" s="493"/>
      <c r="AS1020" s="515"/>
      <c r="AT1020" s="515"/>
      <c r="AU1020" s="338">
        <v>18872</v>
      </c>
      <c r="AV1020" s="62" t="s">
        <v>1352</v>
      </c>
      <c r="AW1020" s="31" t="s">
        <v>68</v>
      </c>
      <c r="AX1020" s="139">
        <v>8</v>
      </c>
      <c r="AY1020" s="466" t="s">
        <v>1849</v>
      </c>
      <c r="AZ1020" s="58" t="s">
        <v>1390</v>
      </c>
      <c r="BA1020" s="58" t="s">
        <v>151</v>
      </c>
      <c r="BB1020" s="58" t="s">
        <v>1407</v>
      </c>
      <c r="BC1020" s="58"/>
    </row>
    <row r="1021" spans="1:55" x14ac:dyDescent="0.25">
      <c r="A1021" s="10">
        <f t="shared" si="41"/>
        <v>1020</v>
      </c>
      <c r="B1021" s="181" t="s">
        <v>9679</v>
      </c>
      <c r="C1021" s="592" t="s">
        <v>1407</v>
      </c>
      <c r="D1021" s="457">
        <v>400949</v>
      </c>
      <c r="E1021" s="181" t="s">
        <v>36</v>
      </c>
      <c r="F1021" s="97" t="s">
        <v>9680</v>
      </c>
      <c r="G1021" s="139">
        <v>6</v>
      </c>
      <c r="H1021" s="469">
        <v>0.375</v>
      </c>
      <c r="I1021" s="469">
        <v>0.45833333333333331</v>
      </c>
      <c r="J1021" s="458">
        <f>I1021-H1021</f>
        <v>8.3333333333333315E-2</v>
      </c>
      <c r="K1021" s="100" t="s">
        <v>1187</v>
      </c>
      <c r="L1021" s="97" t="s">
        <v>1424</v>
      </c>
      <c r="M1021" s="97" t="s">
        <v>1376</v>
      </c>
      <c r="N1021" s="58" t="s">
        <v>1393</v>
      </c>
      <c r="O1021" s="58" t="s">
        <v>1424</v>
      </c>
      <c r="P1021" s="206">
        <v>45343</v>
      </c>
      <c r="Q1021" s="206">
        <v>45343</v>
      </c>
      <c r="R1021" s="206">
        <v>46073</v>
      </c>
      <c r="S1021" s="461">
        <v>46074</v>
      </c>
      <c r="T1021" s="139">
        <v>2022</v>
      </c>
      <c r="U1021" s="181" t="s">
        <v>9681</v>
      </c>
      <c r="V1021" s="139" t="s">
        <v>30</v>
      </c>
      <c r="W1021" s="97" t="s">
        <v>1424</v>
      </c>
      <c r="X1021" s="181" t="s">
        <v>30</v>
      </c>
      <c r="Y1021" s="58" t="s">
        <v>226</v>
      </c>
      <c r="Z1021" s="140" t="s">
        <v>9682</v>
      </c>
      <c r="AA1021" s="97" t="s">
        <v>1841</v>
      </c>
      <c r="AB1021" s="471">
        <v>45302</v>
      </c>
      <c r="AC1021" s="471">
        <v>47128</v>
      </c>
      <c r="AD1021" s="472">
        <v>9014151783</v>
      </c>
      <c r="AE1021" s="473" t="s">
        <v>9683</v>
      </c>
      <c r="AF1021" s="97" t="s">
        <v>1759</v>
      </c>
      <c r="AG1021" s="503" t="s">
        <v>9684</v>
      </c>
      <c r="AH1021" s="181" t="s">
        <v>9685</v>
      </c>
      <c r="AI1021" s="139" t="s">
        <v>9686</v>
      </c>
      <c r="AJ1021" s="464">
        <v>374300135993</v>
      </c>
      <c r="AK1021" s="97"/>
      <c r="AL1021" s="206">
        <v>45412</v>
      </c>
      <c r="AM1021" s="477">
        <v>45412</v>
      </c>
      <c r="AN1021" s="465" t="s">
        <v>9687</v>
      </c>
      <c r="AO1021" s="140" t="s">
        <v>9688</v>
      </c>
      <c r="AP1021" s="58"/>
      <c r="AQ1021" s="483" t="s">
        <v>9688</v>
      </c>
      <c r="AR1021" s="462"/>
      <c r="AS1021" s="479">
        <v>0.375</v>
      </c>
      <c r="AT1021" s="479">
        <v>0.45833333333333331</v>
      </c>
      <c r="AU1021" s="461">
        <v>36236</v>
      </c>
      <c r="AV1021" s="181" t="s">
        <v>1352</v>
      </c>
      <c r="AW1021" s="31" t="s">
        <v>32</v>
      </c>
      <c r="AX1021" s="139">
        <v>2</v>
      </c>
      <c r="AY1021" s="58" t="s">
        <v>2006</v>
      </c>
      <c r="AZ1021" s="58" t="s">
        <v>1390</v>
      </c>
      <c r="BA1021" s="58" t="s">
        <v>151</v>
      </c>
      <c r="BB1021" s="58" t="s">
        <v>1407</v>
      </c>
      <c r="BC1021" s="58"/>
    </row>
    <row r="1022" spans="1:55" x14ac:dyDescent="0.25">
      <c r="A1022" s="10">
        <f t="shared" si="41"/>
        <v>1021</v>
      </c>
      <c r="B1022" s="181" t="s">
        <v>9689</v>
      </c>
      <c r="C1022" s="592" t="s">
        <v>1407</v>
      </c>
      <c r="D1022" s="499">
        <v>400835</v>
      </c>
      <c r="E1022" s="62" t="s">
        <v>36</v>
      </c>
      <c r="F1022" s="97" t="s">
        <v>9690</v>
      </c>
      <c r="G1022" s="61">
        <v>6</v>
      </c>
      <c r="H1022" s="141">
        <v>0.66666666666666663</v>
      </c>
      <c r="I1022" s="141">
        <v>0.83333333333333337</v>
      </c>
      <c r="J1022" s="141">
        <v>0.16666666666666666</v>
      </c>
      <c r="K1022" s="100" t="s">
        <v>287</v>
      </c>
      <c r="L1022" s="63" t="s">
        <v>1424</v>
      </c>
      <c r="M1022" s="63" t="s">
        <v>1355</v>
      </c>
      <c r="N1022" s="100" t="s">
        <v>1520</v>
      </c>
      <c r="O1022" s="100" t="s">
        <v>4752</v>
      </c>
      <c r="P1022" s="446">
        <v>45170</v>
      </c>
      <c r="Q1022" s="446">
        <v>45597</v>
      </c>
      <c r="R1022" s="446">
        <v>46326</v>
      </c>
      <c r="S1022" s="338">
        <v>46327</v>
      </c>
      <c r="T1022" s="61">
        <v>2016</v>
      </c>
      <c r="U1022" s="62" t="s">
        <v>8872</v>
      </c>
      <c r="V1022" s="61">
        <v>2022</v>
      </c>
      <c r="W1022" s="99" t="s">
        <v>9691</v>
      </c>
      <c r="X1022" s="62" t="s">
        <v>30</v>
      </c>
      <c r="Y1022" s="100" t="s">
        <v>5066</v>
      </c>
      <c r="Z1022" s="99" t="s">
        <v>9692</v>
      </c>
      <c r="AA1022" s="63" t="s">
        <v>1841</v>
      </c>
      <c r="AB1022" s="451">
        <v>45120</v>
      </c>
      <c r="AC1022" s="451">
        <v>46946</v>
      </c>
      <c r="AD1022" s="304">
        <v>9966091566</v>
      </c>
      <c r="AE1022" s="336" t="s">
        <v>9693</v>
      </c>
      <c r="AF1022" s="63" t="s">
        <v>1364</v>
      </c>
      <c r="AG1022" s="493" t="s">
        <v>9694</v>
      </c>
      <c r="AH1022" s="62" t="s">
        <v>9695</v>
      </c>
      <c r="AI1022" s="61" t="s">
        <v>9696</v>
      </c>
      <c r="AJ1022" s="493">
        <v>440337646718</v>
      </c>
      <c r="AK1022" s="63"/>
      <c r="AL1022" s="446">
        <v>45657</v>
      </c>
      <c r="AM1022" s="477" t="s">
        <v>30</v>
      </c>
      <c r="AN1022" s="100" t="s">
        <v>4856</v>
      </c>
      <c r="AO1022" s="539" t="s">
        <v>9697</v>
      </c>
      <c r="AP1022" s="61">
        <v>34</v>
      </c>
      <c r="AQ1022" s="143"/>
      <c r="AR1022" s="493"/>
      <c r="AS1022" s="515"/>
      <c r="AT1022" s="515"/>
      <c r="AU1022" s="338">
        <v>33455</v>
      </c>
      <c r="AV1022" s="62" t="s">
        <v>1389</v>
      </c>
      <c r="AW1022" s="31" t="s">
        <v>68</v>
      </c>
      <c r="AX1022" s="139">
        <v>4</v>
      </c>
      <c r="AY1022" s="58" t="s">
        <v>1881</v>
      </c>
      <c r="AZ1022" s="58" t="s">
        <v>1373</v>
      </c>
      <c r="BA1022" s="58" t="s">
        <v>151</v>
      </c>
      <c r="BB1022" s="58" t="s">
        <v>1407</v>
      </c>
      <c r="BC1022" s="58"/>
    </row>
    <row r="1023" spans="1:55" x14ac:dyDescent="0.25">
      <c r="A1023" s="10">
        <f t="shared" si="41"/>
        <v>1022</v>
      </c>
      <c r="B1023" s="181" t="s">
        <v>9228</v>
      </c>
      <c r="C1023" s="592" t="s">
        <v>1407</v>
      </c>
      <c r="D1023" s="499">
        <v>400880</v>
      </c>
      <c r="E1023" s="62" t="s">
        <v>36</v>
      </c>
      <c r="F1023" s="97" t="s">
        <v>9229</v>
      </c>
      <c r="G1023" s="61">
        <v>6</v>
      </c>
      <c r="H1023" s="141">
        <v>0.39583333333333331</v>
      </c>
      <c r="I1023" s="141">
        <v>0.72916666666666663</v>
      </c>
      <c r="J1023" s="141">
        <v>0.33333333333333331</v>
      </c>
      <c r="K1023" s="143" t="s">
        <v>314</v>
      </c>
      <c r="L1023" s="63" t="s">
        <v>9230</v>
      </c>
      <c r="M1023" s="63" t="s">
        <v>26</v>
      </c>
      <c r="N1023" s="100" t="s">
        <v>38</v>
      </c>
      <c r="O1023" s="143" t="s">
        <v>5710</v>
      </c>
      <c r="P1023" s="446">
        <v>45246</v>
      </c>
      <c r="Q1023" s="446">
        <v>45246</v>
      </c>
      <c r="R1023" s="446">
        <v>45976</v>
      </c>
      <c r="S1023" s="338">
        <v>45977</v>
      </c>
      <c r="T1023" s="61">
        <v>2011</v>
      </c>
      <c r="U1023" s="62" t="s">
        <v>9064</v>
      </c>
      <c r="V1023" s="61">
        <v>2016</v>
      </c>
      <c r="W1023" s="99" t="s">
        <v>326</v>
      </c>
      <c r="X1023" s="62" t="s">
        <v>30</v>
      </c>
      <c r="Y1023" s="100" t="s">
        <v>5066</v>
      </c>
      <c r="Z1023" s="99">
        <v>94882</v>
      </c>
      <c r="AA1023" s="63" t="s">
        <v>1560</v>
      </c>
      <c r="AB1023" s="451">
        <v>45367</v>
      </c>
      <c r="AC1023" s="451">
        <v>47193</v>
      </c>
      <c r="AD1023" s="304">
        <v>9620097350</v>
      </c>
      <c r="AE1023" s="336" t="s">
        <v>9231</v>
      </c>
      <c r="AF1023" s="500" t="s">
        <v>5086</v>
      </c>
      <c r="AG1023" s="501">
        <v>30366868183</v>
      </c>
      <c r="AH1023" s="62" t="s">
        <v>9232</v>
      </c>
      <c r="AI1023" s="61" t="s">
        <v>9233</v>
      </c>
      <c r="AJ1023" s="493">
        <v>525866924546</v>
      </c>
      <c r="AK1023" s="63"/>
      <c r="AL1023" s="338">
        <v>45657</v>
      </c>
      <c r="AM1023" s="477">
        <v>45617</v>
      </c>
      <c r="AN1023" s="63"/>
      <c r="AO1023" s="63" t="s">
        <v>9235</v>
      </c>
      <c r="AP1023" s="61">
        <v>37</v>
      </c>
      <c r="AQ1023" s="143"/>
      <c r="AR1023" s="493"/>
      <c r="AS1023" s="515"/>
      <c r="AT1023" s="515"/>
      <c r="AU1023" s="338">
        <v>32273</v>
      </c>
      <c r="AV1023" s="62" t="s">
        <v>1352</v>
      </c>
      <c r="AW1023" s="31" t="s">
        <v>68</v>
      </c>
      <c r="AX1023" s="139">
        <v>8</v>
      </c>
      <c r="AY1023" s="58" t="s">
        <v>2270</v>
      </c>
      <c r="AZ1023" s="58" t="s">
        <v>26</v>
      </c>
      <c r="BA1023" s="58" t="s">
        <v>151</v>
      </c>
      <c r="BB1023" s="58" t="s">
        <v>1407</v>
      </c>
      <c r="BC1023" s="58"/>
    </row>
    <row r="1024" spans="1:55" x14ac:dyDescent="0.25">
      <c r="A1024" s="10">
        <f t="shared" si="41"/>
        <v>1023</v>
      </c>
      <c r="B1024" s="181" t="s">
        <v>1227</v>
      </c>
      <c r="C1024" s="592" t="s">
        <v>1407</v>
      </c>
      <c r="D1024" s="457">
        <v>400952</v>
      </c>
      <c r="E1024" s="181" t="s">
        <v>36</v>
      </c>
      <c r="F1024" s="97" t="s">
        <v>1228</v>
      </c>
      <c r="G1024" s="139">
        <v>6</v>
      </c>
      <c r="H1024" s="469">
        <v>0.75</v>
      </c>
      <c r="I1024" s="469">
        <v>0.83333333333333337</v>
      </c>
      <c r="J1024" s="458">
        <f>I1024-H1024</f>
        <v>8.333333333333337E-2</v>
      </c>
      <c r="K1024" s="462" t="s">
        <v>6991</v>
      </c>
      <c r="L1024" s="97" t="s">
        <v>9253</v>
      </c>
      <c r="M1024" s="97" t="s">
        <v>26</v>
      </c>
      <c r="N1024" s="58" t="s">
        <v>38</v>
      </c>
      <c r="O1024" s="58" t="s">
        <v>5063</v>
      </c>
      <c r="P1024" s="206">
        <v>45343</v>
      </c>
      <c r="Q1024" s="206">
        <v>45343</v>
      </c>
      <c r="R1024" s="206">
        <v>46073</v>
      </c>
      <c r="S1024" s="461">
        <v>46074</v>
      </c>
      <c r="T1024" s="139">
        <v>2016</v>
      </c>
      <c r="U1024" s="181" t="s">
        <v>380</v>
      </c>
      <c r="V1024" s="139">
        <v>2023</v>
      </c>
      <c r="W1024" s="140" t="s">
        <v>251</v>
      </c>
      <c r="X1024" s="181" t="s">
        <v>30</v>
      </c>
      <c r="Y1024" s="58" t="s">
        <v>5066</v>
      </c>
      <c r="Z1024" s="140" t="s">
        <v>4667</v>
      </c>
      <c r="AA1024" s="470" t="s">
        <v>1841</v>
      </c>
      <c r="AB1024" s="471">
        <v>45240</v>
      </c>
      <c r="AC1024" s="471">
        <v>47066</v>
      </c>
      <c r="AD1024" s="472">
        <v>9849523451</v>
      </c>
      <c r="AE1024" s="473" t="s">
        <v>1231</v>
      </c>
      <c r="AF1024" s="474" t="s">
        <v>9254</v>
      </c>
      <c r="AG1024" s="475">
        <v>6901144628</v>
      </c>
      <c r="AH1024" s="181" t="s">
        <v>9255</v>
      </c>
      <c r="AI1024" s="139" t="s">
        <v>4670</v>
      </c>
      <c r="AJ1024" s="476">
        <v>564053001671</v>
      </c>
      <c r="AK1024" s="470"/>
      <c r="AL1024" s="461">
        <v>45382</v>
      </c>
      <c r="AM1024" s="477">
        <v>45375</v>
      </c>
      <c r="AN1024" s="478" t="s">
        <v>9698</v>
      </c>
      <c r="AO1024" s="140" t="s">
        <v>9256</v>
      </c>
      <c r="AP1024" s="58"/>
      <c r="AQ1024" s="97" t="s">
        <v>9256</v>
      </c>
      <c r="AR1024" s="462"/>
      <c r="AS1024" s="479">
        <v>0.75</v>
      </c>
      <c r="AT1024" s="479">
        <v>0.83333333333333337</v>
      </c>
      <c r="AU1024" s="480">
        <v>34186</v>
      </c>
      <c r="AV1024" s="181" t="s">
        <v>1389</v>
      </c>
      <c r="AW1024" s="31" t="s">
        <v>32</v>
      </c>
      <c r="AX1024" s="139">
        <v>2</v>
      </c>
      <c r="AY1024" s="58" t="s">
        <v>2006</v>
      </c>
      <c r="AZ1024" s="58" t="s">
        <v>26</v>
      </c>
      <c r="BA1024" s="58" t="s">
        <v>151</v>
      </c>
      <c r="BB1024" s="58" t="s">
        <v>1407</v>
      </c>
      <c r="BC1024" s="58"/>
    </row>
    <row r="1025" spans="1:55" x14ac:dyDescent="0.25">
      <c r="A1025" s="10">
        <f t="shared" si="41"/>
        <v>1024</v>
      </c>
      <c r="B1025" s="181" t="s">
        <v>9699</v>
      </c>
      <c r="C1025" s="592" t="s">
        <v>1407</v>
      </c>
      <c r="D1025" s="499">
        <v>400971</v>
      </c>
      <c r="E1025" s="62" t="s">
        <v>36</v>
      </c>
      <c r="F1025" s="97" t="s">
        <v>9700</v>
      </c>
      <c r="G1025" s="61">
        <v>6</v>
      </c>
      <c r="H1025" s="141">
        <v>0.33333333333333331</v>
      </c>
      <c r="I1025" s="141">
        <v>0.875</v>
      </c>
      <c r="J1025" s="443">
        <v>0.33333333333333331</v>
      </c>
      <c r="K1025" s="143" t="s">
        <v>314</v>
      </c>
      <c r="L1025" s="63" t="s">
        <v>1424</v>
      </c>
      <c r="M1025" s="63" t="s">
        <v>1355</v>
      </c>
      <c r="N1025" s="100" t="s">
        <v>1520</v>
      </c>
      <c r="O1025" s="100" t="s">
        <v>4752</v>
      </c>
      <c r="P1025" s="446">
        <v>45387</v>
      </c>
      <c r="Q1025" s="446">
        <v>45387</v>
      </c>
      <c r="R1025" s="446">
        <v>46116</v>
      </c>
      <c r="S1025" s="338">
        <v>46117</v>
      </c>
      <c r="T1025" s="61">
        <v>2017</v>
      </c>
      <c r="U1025" s="62" t="s">
        <v>223</v>
      </c>
      <c r="V1025" s="61">
        <v>2022</v>
      </c>
      <c r="W1025" s="63" t="s">
        <v>473</v>
      </c>
      <c r="X1025" s="62" t="s">
        <v>30</v>
      </c>
      <c r="Y1025" s="100" t="s">
        <v>5066</v>
      </c>
      <c r="Z1025" s="99" t="s">
        <v>9701</v>
      </c>
      <c r="AA1025" s="63" t="s">
        <v>1841</v>
      </c>
      <c r="AB1025" s="451">
        <v>45117</v>
      </c>
      <c r="AC1025" s="451">
        <v>46943</v>
      </c>
      <c r="AD1025" s="304">
        <v>8105914882</v>
      </c>
      <c r="AE1025" s="336" t="s">
        <v>9702</v>
      </c>
      <c r="AF1025" s="500" t="s">
        <v>1805</v>
      </c>
      <c r="AG1025" s="501" t="s">
        <v>9703</v>
      </c>
      <c r="AH1025" s="62" t="s">
        <v>3669</v>
      </c>
      <c r="AI1025" s="61" t="s">
        <v>9704</v>
      </c>
      <c r="AJ1025" s="493">
        <v>766605066402</v>
      </c>
      <c r="AK1025" s="63"/>
      <c r="AL1025" s="446">
        <v>45657</v>
      </c>
      <c r="AM1025" s="477" t="s">
        <v>30</v>
      </c>
      <c r="AN1025" s="58" t="s">
        <v>3793</v>
      </c>
      <c r="AO1025" s="99" t="s">
        <v>9705</v>
      </c>
      <c r="AP1025" s="61">
        <v>32</v>
      </c>
      <c r="AQ1025" s="143"/>
      <c r="AR1025" s="493"/>
      <c r="AS1025" s="515"/>
      <c r="AT1025" s="515"/>
      <c r="AU1025" s="338">
        <v>34201</v>
      </c>
      <c r="AV1025" s="62" t="s">
        <v>1389</v>
      </c>
      <c r="AW1025" s="31" t="s">
        <v>68</v>
      </c>
      <c r="AX1025" s="139">
        <v>8</v>
      </c>
      <c r="AY1025" s="58" t="s">
        <v>2270</v>
      </c>
      <c r="AZ1025" s="58" t="s">
        <v>1373</v>
      </c>
      <c r="BA1025" s="58" t="s">
        <v>151</v>
      </c>
      <c r="BB1025" s="58" t="s">
        <v>1407</v>
      </c>
      <c r="BC1025" s="58"/>
    </row>
    <row r="1026" spans="1:55" x14ac:dyDescent="0.25">
      <c r="A1026" s="10">
        <f t="shared" si="41"/>
        <v>1025</v>
      </c>
      <c r="B1026" s="181" t="s">
        <v>5596</v>
      </c>
      <c r="C1026" s="592" t="s">
        <v>1407</v>
      </c>
      <c r="D1026" s="457">
        <v>400955</v>
      </c>
      <c r="E1026" s="181" t="s">
        <v>36</v>
      </c>
      <c r="F1026" s="97" t="s">
        <v>5597</v>
      </c>
      <c r="G1026" s="139">
        <v>6</v>
      </c>
      <c r="H1026" s="469">
        <v>0.375</v>
      </c>
      <c r="I1026" s="469">
        <v>0.41666666666666669</v>
      </c>
      <c r="J1026" s="458">
        <v>4.1666666666666664E-2</v>
      </c>
      <c r="K1026" s="143" t="s">
        <v>802</v>
      </c>
      <c r="L1026" s="97" t="s">
        <v>1424</v>
      </c>
      <c r="M1026" s="97" t="s">
        <v>1376</v>
      </c>
      <c r="N1026" s="58" t="s">
        <v>1393</v>
      </c>
      <c r="O1026" s="58" t="s">
        <v>1424</v>
      </c>
      <c r="P1026" s="206">
        <v>45348</v>
      </c>
      <c r="Q1026" s="206">
        <v>45348</v>
      </c>
      <c r="R1026" s="206">
        <v>46078</v>
      </c>
      <c r="S1026" s="461">
        <v>46079</v>
      </c>
      <c r="T1026" s="139">
        <v>2019</v>
      </c>
      <c r="U1026" s="181" t="s">
        <v>642</v>
      </c>
      <c r="V1026" s="139" t="s">
        <v>30</v>
      </c>
      <c r="W1026" s="97" t="s">
        <v>1424</v>
      </c>
      <c r="X1026" s="181" t="s">
        <v>30</v>
      </c>
      <c r="Y1026" s="58" t="s">
        <v>226</v>
      </c>
      <c r="Z1026" s="140" t="s">
        <v>5598</v>
      </c>
      <c r="AA1026" s="470" t="s">
        <v>1841</v>
      </c>
      <c r="AB1026" s="471">
        <v>43756</v>
      </c>
      <c r="AC1026" s="471">
        <v>45583</v>
      </c>
      <c r="AD1026" s="472">
        <v>9052219387</v>
      </c>
      <c r="AE1026" s="473" t="s">
        <v>5599</v>
      </c>
      <c r="AF1026" s="474" t="s">
        <v>1805</v>
      </c>
      <c r="AG1026" s="475" t="s">
        <v>9706</v>
      </c>
      <c r="AH1026" s="181" t="s">
        <v>3669</v>
      </c>
      <c r="AI1026" s="139" t="s">
        <v>5602</v>
      </c>
      <c r="AJ1026" s="476">
        <v>286940913253</v>
      </c>
      <c r="AK1026" s="470"/>
      <c r="AL1026" s="206">
        <v>45381</v>
      </c>
      <c r="AM1026" s="477">
        <v>45381</v>
      </c>
      <c r="AN1026" s="478"/>
      <c r="AO1026" s="140" t="s">
        <v>9707</v>
      </c>
      <c r="AP1026" s="58"/>
      <c r="AQ1026" s="97" t="s">
        <v>9707</v>
      </c>
      <c r="AR1026" s="462"/>
      <c r="AS1026" s="479">
        <v>0.375</v>
      </c>
      <c r="AT1026" s="479">
        <v>0.41666666666666669</v>
      </c>
      <c r="AU1026" s="480">
        <v>34607</v>
      </c>
      <c r="AV1026" s="181" t="s">
        <v>1352</v>
      </c>
      <c r="AW1026" s="31" t="s">
        <v>32</v>
      </c>
      <c r="AX1026" s="139">
        <v>1</v>
      </c>
      <c r="AY1026" s="58" t="s">
        <v>2469</v>
      </c>
      <c r="AZ1026" s="58" t="s">
        <v>1390</v>
      </c>
      <c r="BA1026" s="58" t="s">
        <v>151</v>
      </c>
      <c r="BB1026" s="58" t="s">
        <v>1407</v>
      </c>
      <c r="BC1026" s="58"/>
    </row>
    <row r="1027" spans="1:55" x14ac:dyDescent="0.25">
      <c r="A1027" s="10">
        <f t="shared" si="41"/>
        <v>1026</v>
      </c>
      <c r="B1027" s="181" t="s">
        <v>9708</v>
      </c>
      <c r="C1027" s="592" t="s">
        <v>1407</v>
      </c>
      <c r="D1027" s="457">
        <v>400956</v>
      </c>
      <c r="E1027" s="181" t="s">
        <v>36</v>
      </c>
      <c r="F1027" s="97" t="s">
        <v>9709</v>
      </c>
      <c r="G1027" s="139">
        <v>6</v>
      </c>
      <c r="H1027" s="469">
        <v>0.41666666666666669</v>
      </c>
      <c r="I1027" s="469">
        <v>0.75</v>
      </c>
      <c r="J1027" s="458">
        <f>I1027-H1027</f>
        <v>0.33333333333333331</v>
      </c>
      <c r="K1027" s="143" t="s">
        <v>513</v>
      </c>
      <c r="L1027" s="97" t="s">
        <v>9710</v>
      </c>
      <c r="M1027" s="97" t="s">
        <v>26</v>
      </c>
      <c r="N1027" s="58" t="s">
        <v>38</v>
      </c>
      <c r="O1027" s="58" t="s">
        <v>5063</v>
      </c>
      <c r="P1027" s="206">
        <v>45352</v>
      </c>
      <c r="Q1027" s="206">
        <v>45352</v>
      </c>
      <c r="R1027" s="206">
        <v>46081</v>
      </c>
      <c r="S1027" s="461">
        <v>46082</v>
      </c>
      <c r="T1027" s="139">
        <v>2018</v>
      </c>
      <c r="U1027" s="181" t="s">
        <v>9711</v>
      </c>
      <c r="V1027" s="139">
        <v>2023</v>
      </c>
      <c r="W1027" s="97" t="s">
        <v>7657</v>
      </c>
      <c r="X1027" s="181" t="s">
        <v>30</v>
      </c>
      <c r="Y1027" s="58" t="s">
        <v>5066</v>
      </c>
      <c r="Z1027" s="140" t="s">
        <v>9712</v>
      </c>
      <c r="AA1027" s="470" t="s">
        <v>9713</v>
      </c>
      <c r="AB1027" s="471">
        <v>45343</v>
      </c>
      <c r="AC1027" s="471">
        <v>47169</v>
      </c>
      <c r="AD1027" s="472">
        <v>8555869583</v>
      </c>
      <c r="AE1027" s="473" t="s">
        <v>9714</v>
      </c>
      <c r="AF1027" s="474" t="s">
        <v>1430</v>
      </c>
      <c r="AG1027" s="475" t="s">
        <v>9715</v>
      </c>
      <c r="AH1027" s="181" t="s">
        <v>9716</v>
      </c>
      <c r="AI1027" s="139" t="s">
        <v>9717</v>
      </c>
      <c r="AJ1027" s="476">
        <v>465980695241</v>
      </c>
      <c r="AK1027" s="470"/>
      <c r="AL1027" s="461">
        <v>45422</v>
      </c>
      <c r="AM1027" s="477">
        <v>45402</v>
      </c>
      <c r="AN1027" s="478" t="s">
        <v>9718</v>
      </c>
      <c r="AO1027" s="140" t="s">
        <v>9719</v>
      </c>
      <c r="AP1027" s="58"/>
      <c r="AQ1027" s="97" t="s">
        <v>9719</v>
      </c>
      <c r="AR1027" s="462"/>
      <c r="AS1027" s="479">
        <v>0.41666666666666669</v>
      </c>
      <c r="AT1027" s="479">
        <v>0.75</v>
      </c>
      <c r="AU1027" s="480">
        <v>34912</v>
      </c>
      <c r="AV1027" s="181" t="s">
        <v>1389</v>
      </c>
      <c r="AW1027" s="31" t="s">
        <v>68</v>
      </c>
      <c r="AX1027" s="139">
        <v>8</v>
      </c>
      <c r="AY1027" s="58" t="s">
        <v>1959</v>
      </c>
      <c r="AZ1027" s="58" t="s">
        <v>26</v>
      </c>
      <c r="BA1027" s="58" t="s">
        <v>151</v>
      </c>
      <c r="BB1027" s="58" t="s">
        <v>1407</v>
      </c>
      <c r="BC1027" s="58"/>
    </row>
    <row r="1028" spans="1:55" x14ac:dyDescent="0.25">
      <c r="A1028" s="10">
        <f t="shared" ref="A1028:A1091" si="43">A1027+1</f>
        <v>1027</v>
      </c>
      <c r="B1028" s="181" t="s">
        <v>9720</v>
      </c>
      <c r="C1028" s="592" t="s">
        <v>1407</v>
      </c>
      <c r="D1028" s="457">
        <v>400958</v>
      </c>
      <c r="E1028" s="181" t="s">
        <v>36</v>
      </c>
      <c r="F1028" s="97" t="s">
        <v>9721</v>
      </c>
      <c r="G1028" s="139">
        <v>6</v>
      </c>
      <c r="H1028" s="469">
        <v>0.39583333333333331</v>
      </c>
      <c r="I1028" s="469">
        <v>0.60416666666666663</v>
      </c>
      <c r="J1028" s="458">
        <f>I1028-H1028</f>
        <v>0.20833333333333331</v>
      </c>
      <c r="K1028" s="58" t="s">
        <v>911</v>
      </c>
      <c r="L1028" s="97" t="s">
        <v>1424</v>
      </c>
      <c r="M1028" s="63" t="s">
        <v>1355</v>
      </c>
      <c r="N1028" s="100" t="s">
        <v>1520</v>
      </c>
      <c r="O1028" s="58" t="s">
        <v>5330</v>
      </c>
      <c r="P1028" s="206">
        <v>45351</v>
      </c>
      <c r="Q1028" s="206">
        <v>45351</v>
      </c>
      <c r="R1028" s="206">
        <v>46081</v>
      </c>
      <c r="S1028" s="461">
        <v>46082</v>
      </c>
      <c r="T1028" s="139">
        <v>2015</v>
      </c>
      <c r="U1028" s="181" t="s">
        <v>9722</v>
      </c>
      <c r="V1028" s="139">
        <v>2022</v>
      </c>
      <c r="W1028" s="97" t="s">
        <v>380</v>
      </c>
      <c r="X1028" s="181" t="s">
        <v>30</v>
      </c>
      <c r="Y1028" s="58" t="s">
        <v>5066</v>
      </c>
      <c r="Z1028" s="140" t="s">
        <v>9723</v>
      </c>
      <c r="AA1028" s="470" t="s">
        <v>1841</v>
      </c>
      <c r="AB1028" s="471">
        <v>45311</v>
      </c>
      <c r="AC1028" s="471">
        <v>47137</v>
      </c>
      <c r="AD1028" s="472">
        <v>9550963043</v>
      </c>
      <c r="AE1028" s="473" t="s">
        <v>9724</v>
      </c>
      <c r="AF1028" s="474" t="s">
        <v>1805</v>
      </c>
      <c r="AG1028" s="475" t="s">
        <v>9725</v>
      </c>
      <c r="AH1028" s="181" t="s">
        <v>9726</v>
      </c>
      <c r="AI1028" s="139" t="s">
        <v>9727</v>
      </c>
      <c r="AJ1028" s="476">
        <v>946975346434</v>
      </c>
      <c r="AK1028" s="470"/>
      <c r="AL1028" s="206">
        <v>45379</v>
      </c>
      <c r="AM1028" s="477">
        <v>45379</v>
      </c>
      <c r="AN1028" s="478"/>
      <c r="AO1028" s="140" t="s">
        <v>9728</v>
      </c>
      <c r="AP1028" s="58"/>
      <c r="AQ1028" s="97" t="s">
        <v>9728</v>
      </c>
      <c r="AR1028" s="462"/>
      <c r="AS1028" s="479">
        <v>0.39583333333333331</v>
      </c>
      <c r="AT1028" s="479">
        <v>0.60416666666666663</v>
      </c>
      <c r="AU1028" s="480">
        <v>33271</v>
      </c>
      <c r="AV1028" s="181" t="s">
        <v>1389</v>
      </c>
      <c r="AW1028" s="31" t="s">
        <v>32</v>
      </c>
      <c r="AX1028" s="139">
        <v>5</v>
      </c>
      <c r="AY1028" s="58" t="s">
        <v>2469</v>
      </c>
      <c r="AZ1028" s="58" t="s">
        <v>1373</v>
      </c>
      <c r="BA1028" s="58" t="s">
        <v>151</v>
      </c>
      <c r="BB1028" s="58" t="s">
        <v>1407</v>
      </c>
      <c r="BC1028" s="58"/>
    </row>
    <row r="1029" spans="1:55" x14ac:dyDescent="0.25">
      <c r="A1029" s="10">
        <f t="shared" si="43"/>
        <v>1028</v>
      </c>
      <c r="B1029" s="181" t="s">
        <v>9195</v>
      </c>
      <c r="C1029" s="592" t="s">
        <v>1407</v>
      </c>
      <c r="D1029" s="499">
        <v>400984</v>
      </c>
      <c r="E1029" s="62" t="s">
        <v>36</v>
      </c>
      <c r="F1029" s="97" t="s">
        <v>9196</v>
      </c>
      <c r="G1029" s="61">
        <v>6</v>
      </c>
      <c r="H1029" s="141">
        <v>0.66666666666666663</v>
      </c>
      <c r="I1029" s="141">
        <v>0.83333333333333337</v>
      </c>
      <c r="J1029" s="141">
        <v>0.16666666666666666</v>
      </c>
      <c r="K1029" s="100" t="s">
        <v>287</v>
      </c>
      <c r="L1029" s="63" t="s">
        <v>5119</v>
      </c>
      <c r="M1029" s="63" t="s">
        <v>26</v>
      </c>
      <c r="N1029" s="100" t="s">
        <v>38</v>
      </c>
      <c r="O1029" s="143" t="s">
        <v>5710</v>
      </c>
      <c r="P1029" s="446">
        <v>45404</v>
      </c>
      <c r="Q1029" s="446">
        <v>45404</v>
      </c>
      <c r="R1029" s="446">
        <v>46133</v>
      </c>
      <c r="S1029" s="338">
        <v>46134</v>
      </c>
      <c r="T1029" s="61">
        <v>2017</v>
      </c>
      <c r="U1029" s="62" t="s">
        <v>3417</v>
      </c>
      <c r="V1029" s="61">
        <v>2023</v>
      </c>
      <c r="W1029" s="99" t="s">
        <v>9198</v>
      </c>
      <c r="X1029" s="62" t="s">
        <v>30</v>
      </c>
      <c r="Y1029" s="100" t="s">
        <v>5066</v>
      </c>
      <c r="Z1029" s="99" t="s">
        <v>9199</v>
      </c>
      <c r="AA1029" s="63" t="s">
        <v>1841</v>
      </c>
      <c r="AB1029" s="451">
        <v>45233</v>
      </c>
      <c r="AC1029" s="451">
        <v>47059</v>
      </c>
      <c r="AD1029" s="304">
        <v>9177230456</v>
      </c>
      <c r="AE1029" s="336" t="s">
        <v>9200</v>
      </c>
      <c r="AF1029" s="500" t="s">
        <v>1430</v>
      </c>
      <c r="AG1029" s="501">
        <v>50100005985442</v>
      </c>
      <c r="AH1029" s="62" t="s">
        <v>9201</v>
      </c>
      <c r="AI1029" s="61" t="s">
        <v>9202</v>
      </c>
      <c r="AJ1029" s="493">
        <v>576399561778</v>
      </c>
      <c r="AK1029" s="63"/>
      <c r="AL1029" s="338">
        <v>45657</v>
      </c>
      <c r="AM1029" s="477" t="s">
        <v>30</v>
      </c>
      <c r="AN1029" s="541" t="s">
        <v>1457</v>
      </c>
      <c r="AO1029" s="63" t="s">
        <v>9204</v>
      </c>
      <c r="AP1029" s="61">
        <v>32</v>
      </c>
      <c r="AQ1029" s="143"/>
      <c r="AR1029" s="493"/>
      <c r="AS1029" s="515"/>
      <c r="AT1029" s="515"/>
      <c r="AU1029" s="453">
        <v>34003</v>
      </c>
      <c r="AV1029" s="62" t="s">
        <v>1389</v>
      </c>
      <c r="AW1029" s="31" t="s">
        <v>32</v>
      </c>
      <c r="AX1029" s="139">
        <v>4</v>
      </c>
      <c r="AY1029" s="58" t="s">
        <v>1881</v>
      </c>
      <c r="AZ1029" s="58" t="s">
        <v>26</v>
      </c>
      <c r="BA1029" s="58" t="s">
        <v>151</v>
      </c>
      <c r="BB1029" s="58" t="s">
        <v>1407</v>
      </c>
      <c r="BC1029" s="58"/>
    </row>
    <row r="1030" spans="1:55" x14ac:dyDescent="0.25">
      <c r="A1030" s="10">
        <f t="shared" si="43"/>
        <v>1029</v>
      </c>
      <c r="B1030" s="181" t="s">
        <v>5060</v>
      </c>
      <c r="C1030" s="592" t="s">
        <v>1407</v>
      </c>
      <c r="D1030" s="457">
        <v>400960</v>
      </c>
      <c r="E1030" s="181" t="s">
        <v>36</v>
      </c>
      <c r="F1030" s="97" t="s">
        <v>5061</v>
      </c>
      <c r="G1030" s="139">
        <v>6</v>
      </c>
      <c r="H1030" s="469">
        <v>0.41666666666666669</v>
      </c>
      <c r="I1030" s="469">
        <v>0.58333333333333337</v>
      </c>
      <c r="J1030" s="458">
        <f>I1030-H1030</f>
        <v>0.16666666666666669</v>
      </c>
      <c r="K1030" s="58" t="s">
        <v>5906</v>
      </c>
      <c r="L1030" s="97" t="s">
        <v>5062</v>
      </c>
      <c r="M1030" s="97" t="s">
        <v>26</v>
      </c>
      <c r="N1030" s="58" t="s">
        <v>38</v>
      </c>
      <c r="O1030" s="58" t="s">
        <v>5063</v>
      </c>
      <c r="P1030" s="206">
        <v>45355</v>
      </c>
      <c r="Q1030" s="206">
        <v>45355</v>
      </c>
      <c r="R1030" s="206">
        <v>46084</v>
      </c>
      <c r="S1030" s="461">
        <v>46085</v>
      </c>
      <c r="T1030" s="139">
        <v>2015</v>
      </c>
      <c r="U1030" s="181" t="s">
        <v>5064</v>
      </c>
      <c r="V1030" s="139">
        <v>2022</v>
      </c>
      <c r="W1030" s="97" t="s">
        <v>5065</v>
      </c>
      <c r="X1030" s="181" t="s">
        <v>30</v>
      </c>
      <c r="Y1030" s="58" t="s">
        <v>5066</v>
      </c>
      <c r="Z1030" s="140" t="s">
        <v>5067</v>
      </c>
      <c r="AA1030" s="470" t="s">
        <v>1841</v>
      </c>
      <c r="AB1030" s="471">
        <v>45037</v>
      </c>
      <c r="AC1030" s="471">
        <v>46863</v>
      </c>
      <c r="AD1030" s="472">
        <v>9966214584</v>
      </c>
      <c r="AE1030" s="473" t="s">
        <v>5068</v>
      </c>
      <c r="AF1030" s="474" t="s">
        <v>1805</v>
      </c>
      <c r="AG1030" s="475" t="s">
        <v>5069</v>
      </c>
      <c r="AH1030" s="181" t="s">
        <v>5070</v>
      </c>
      <c r="AI1030" s="139" t="s">
        <v>5071</v>
      </c>
      <c r="AJ1030" s="476">
        <v>457203691347</v>
      </c>
      <c r="AK1030" s="470"/>
      <c r="AL1030" s="461">
        <v>45382</v>
      </c>
      <c r="AM1030" s="477">
        <v>45372</v>
      </c>
      <c r="AN1030" s="478" t="s">
        <v>9729</v>
      </c>
      <c r="AO1030" s="140" t="s">
        <v>5073</v>
      </c>
      <c r="AP1030" s="58"/>
      <c r="AQ1030" s="97" t="s">
        <v>5073</v>
      </c>
      <c r="AR1030" s="462"/>
      <c r="AS1030" s="479">
        <v>0.41666666666666669</v>
      </c>
      <c r="AT1030" s="479">
        <v>0.58333333333333337</v>
      </c>
      <c r="AU1030" s="480">
        <v>33348</v>
      </c>
      <c r="AV1030" s="181" t="s">
        <v>1352</v>
      </c>
      <c r="AW1030" s="31" t="s">
        <v>32</v>
      </c>
      <c r="AX1030" s="139">
        <v>4</v>
      </c>
      <c r="AY1030" s="58" t="s">
        <v>2469</v>
      </c>
      <c r="AZ1030" s="58" t="s">
        <v>26</v>
      </c>
      <c r="BA1030" s="58" t="s">
        <v>151</v>
      </c>
      <c r="BB1030" s="58" t="s">
        <v>1407</v>
      </c>
      <c r="BC1030" s="58"/>
    </row>
    <row r="1031" spans="1:55" x14ac:dyDescent="0.25">
      <c r="A1031" s="10">
        <f t="shared" si="43"/>
        <v>1030</v>
      </c>
      <c r="B1031" s="181" t="s">
        <v>9730</v>
      </c>
      <c r="C1031" s="592" t="s">
        <v>1407</v>
      </c>
      <c r="D1031" s="499">
        <v>400998</v>
      </c>
      <c r="E1031" s="62" t="s">
        <v>36</v>
      </c>
      <c r="F1031" s="97" t="s">
        <v>9731</v>
      </c>
      <c r="G1031" s="61">
        <v>6</v>
      </c>
      <c r="H1031" s="141">
        <v>0.33333333333333331</v>
      </c>
      <c r="I1031" s="141">
        <v>0.875</v>
      </c>
      <c r="J1031" s="443">
        <v>0.33333333333333331</v>
      </c>
      <c r="K1031" s="58" t="s">
        <v>147</v>
      </c>
      <c r="L1031" s="63" t="s">
        <v>1424</v>
      </c>
      <c r="M1031" s="97" t="s">
        <v>1544</v>
      </c>
      <c r="N1031" s="58" t="s">
        <v>1992</v>
      </c>
      <c r="O1031" s="100" t="s">
        <v>4752</v>
      </c>
      <c r="P1031" s="446">
        <v>45427</v>
      </c>
      <c r="Q1031" s="446">
        <v>45427</v>
      </c>
      <c r="R1031" s="446">
        <v>46156</v>
      </c>
      <c r="S1031" s="338">
        <v>46157</v>
      </c>
      <c r="T1031" s="61">
        <v>2016</v>
      </c>
      <c r="U1031" s="62" t="s">
        <v>9732</v>
      </c>
      <c r="V1031" s="61">
        <v>2022</v>
      </c>
      <c r="W1031" s="63" t="s">
        <v>9733</v>
      </c>
      <c r="X1031" s="62" t="s">
        <v>30</v>
      </c>
      <c r="Y1031" s="100" t="s">
        <v>1611</v>
      </c>
      <c r="Z1031" s="99" t="s">
        <v>9734</v>
      </c>
      <c r="AA1031" s="63" t="s">
        <v>1841</v>
      </c>
      <c r="AB1031" s="451">
        <v>44988</v>
      </c>
      <c r="AC1031" s="451">
        <v>46814</v>
      </c>
      <c r="AD1031" s="304">
        <v>9618516075</v>
      </c>
      <c r="AE1031" s="336" t="s">
        <v>9735</v>
      </c>
      <c r="AF1031" s="500" t="s">
        <v>1833</v>
      </c>
      <c r="AG1031" s="501" t="s">
        <v>9736</v>
      </c>
      <c r="AH1031" s="62" t="s">
        <v>2891</v>
      </c>
      <c r="AI1031" s="61" t="s">
        <v>9737</v>
      </c>
      <c r="AJ1031" s="493">
        <v>435752717400</v>
      </c>
      <c r="AK1031" s="63"/>
      <c r="AL1031" s="446">
        <v>45657</v>
      </c>
      <c r="AM1031" s="477">
        <v>45610</v>
      </c>
      <c r="AN1031" s="502" t="s">
        <v>1457</v>
      </c>
      <c r="AO1031" s="63" t="s">
        <v>9738</v>
      </c>
      <c r="AP1031" s="61">
        <v>31</v>
      </c>
      <c r="AQ1031" s="143"/>
      <c r="AR1031" s="493"/>
      <c r="AS1031" s="515"/>
      <c r="AT1031" s="515"/>
      <c r="AU1031" s="338">
        <v>34497</v>
      </c>
      <c r="AV1031" s="62" t="s">
        <v>1389</v>
      </c>
      <c r="AW1031" s="31" t="s">
        <v>68</v>
      </c>
      <c r="AX1031" s="139">
        <v>8</v>
      </c>
      <c r="AY1031" s="58" t="s">
        <v>1849</v>
      </c>
      <c r="AZ1031" s="58" t="s">
        <v>1373</v>
      </c>
      <c r="BA1031" s="58" t="s">
        <v>151</v>
      </c>
      <c r="BB1031" s="58" t="s">
        <v>1407</v>
      </c>
      <c r="BC1031" s="58"/>
    </row>
    <row r="1032" spans="1:55" x14ac:dyDescent="0.25">
      <c r="A1032" s="10">
        <f t="shared" si="43"/>
        <v>1031</v>
      </c>
      <c r="B1032" s="181" t="s">
        <v>9739</v>
      </c>
      <c r="C1032" s="592" t="s">
        <v>1407</v>
      </c>
      <c r="D1032" s="499">
        <v>401016</v>
      </c>
      <c r="E1032" s="61" t="s">
        <v>36</v>
      </c>
      <c r="F1032" s="97" t="s">
        <v>9740</v>
      </c>
      <c r="G1032" s="61">
        <v>6</v>
      </c>
      <c r="H1032" s="141">
        <v>0.33333333333333331</v>
      </c>
      <c r="I1032" s="141">
        <v>0.91666666666666663</v>
      </c>
      <c r="J1032" s="141">
        <v>0.33333333333333331</v>
      </c>
      <c r="K1032" s="58" t="s">
        <v>147</v>
      </c>
      <c r="L1032" s="63" t="s">
        <v>1424</v>
      </c>
      <c r="M1032" s="63" t="s">
        <v>2097</v>
      </c>
      <c r="N1032" s="58" t="s">
        <v>2098</v>
      </c>
      <c r="O1032" s="100" t="s">
        <v>4752</v>
      </c>
      <c r="P1032" s="338">
        <v>45467</v>
      </c>
      <c r="Q1032" s="338">
        <v>45467</v>
      </c>
      <c r="R1032" s="338">
        <v>46196</v>
      </c>
      <c r="S1032" s="338">
        <v>46197</v>
      </c>
      <c r="T1032" s="61">
        <v>2013</v>
      </c>
      <c r="U1032" s="63" t="s">
        <v>9741</v>
      </c>
      <c r="V1032" s="61">
        <v>2020</v>
      </c>
      <c r="W1032" s="100" t="s">
        <v>9742</v>
      </c>
      <c r="X1032" s="62" t="s">
        <v>1424</v>
      </c>
      <c r="Y1032" s="100" t="s">
        <v>9412</v>
      </c>
      <c r="Z1032" s="99" t="s">
        <v>9743</v>
      </c>
      <c r="AA1032" s="63" t="s">
        <v>1841</v>
      </c>
      <c r="AB1032" s="451">
        <v>45464</v>
      </c>
      <c r="AC1032" s="451">
        <v>47289</v>
      </c>
      <c r="AD1032" s="304">
        <v>9643197146</v>
      </c>
      <c r="AE1032" s="336" t="s">
        <v>9744</v>
      </c>
      <c r="AF1032" s="500" t="s">
        <v>2284</v>
      </c>
      <c r="AG1032" s="501">
        <v>90682180043900</v>
      </c>
      <c r="AH1032" s="62" t="s">
        <v>9745</v>
      </c>
      <c r="AI1032" s="61" t="s">
        <v>9746</v>
      </c>
      <c r="AJ1032" s="493">
        <v>735507281694</v>
      </c>
      <c r="AK1032" s="63"/>
      <c r="AL1032" s="446">
        <v>45657</v>
      </c>
      <c r="AM1032" s="477">
        <v>45626</v>
      </c>
      <c r="AN1032" s="63" t="s">
        <v>9747</v>
      </c>
      <c r="AO1032" s="63" t="s">
        <v>9748</v>
      </c>
      <c r="AP1032" s="61">
        <v>38</v>
      </c>
      <c r="AQ1032" s="143"/>
      <c r="AR1032" s="493"/>
      <c r="AS1032" s="515"/>
      <c r="AT1032" s="515"/>
      <c r="AU1032" s="338">
        <v>31937</v>
      </c>
      <c r="AV1032" s="61" t="s">
        <v>1389</v>
      </c>
      <c r="AW1032" s="31" t="s">
        <v>68</v>
      </c>
      <c r="AX1032" s="139">
        <v>8</v>
      </c>
      <c r="AY1032" s="58" t="s">
        <v>1849</v>
      </c>
      <c r="AZ1032" s="58" t="s">
        <v>1373</v>
      </c>
      <c r="BA1032" s="58" t="s">
        <v>151</v>
      </c>
      <c r="BB1032" s="58" t="s">
        <v>1407</v>
      </c>
      <c r="BC1032" s="58"/>
    </row>
    <row r="1033" spans="1:55" x14ac:dyDescent="0.25">
      <c r="A1033" s="10">
        <f t="shared" si="43"/>
        <v>1032</v>
      </c>
      <c r="B1033" s="181" t="s">
        <v>9749</v>
      </c>
      <c r="C1033" s="592" t="s">
        <v>1407</v>
      </c>
      <c r="D1033" s="457">
        <v>400963</v>
      </c>
      <c r="E1033" s="181" t="s">
        <v>36</v>
      </c>
      <c r="F1033" s="97" t="s">
        <v>9750</v>
      </c>
      <c r="G1033" s="139">
        <v>6</v>
      </c>
      <c r="H1033" s="469">
        <v>0.45833333333333331</v>
      </c>
      <c r="I1033" s="469">
        <v>0.58333333333333337</v>
      </c>
      <c r="J1033" s="458">
        <f>I1033-H1033</f>
        <v>0.12500000000000006</v>
      </c>
      <c r="K1033" s="143" t="s">
        <v>754</v>
      </c>
      <c r="L1033" s="97" t="s">
        <v>9751</v>
      </c>
      <c r="M1033" s="97" t="s">
        <v>26</v>
      </c>
      <c r="N1033" s="58" t="s">
        <v>38</v>
      </c>
      <c r="O1033" s="58" t="s">
        <v>5063</v>
      </c>
      <c r="P1033" s="206">
        <v>45360</v>
      </c>
      <c r="Q1033" s="206">
        <v>45360</v>
      </c>
      <c r="R1033" s="206">
        <v>46089</v>
      </c>
      <c r="S1033" s="461">
        <v>46090</v>
      </c>
      <c r="T1033" s="139">
        <v>2019</v>
      </c>
      <c r="U1033" s="181" t="s">
        <v>589</v>
      </c>
      <c r="V1033" s="139">
        <v>2023</v>
      </c>
      <c r="W1033" s="97" t="s">
        <v>642</v>
      </c>
      <c r="X1033" s="181" t="s">
        <v>30</v>
      </c>
      <c r="Y1033" s="58" t="s">
        <v>5066</v>
      </c>
      <c r="Z1033" s="140" t="s">
        <v>9752</v>
      </c>
      <c r="AA1033" s="470" t="s">
        <v>1841</v>
      </c>
      <c r="AB1033" s="471">
        <v>45216</v>
      </c>
      <c r="AC1033" s="471">
        <v>47042</v>
      </c>
      <c r="AD1033" s="472">
        <v>9182526758</v>
      </c>
      <c r="AE1033" s="473" t="s">
        <v>9753</v>
      </c>
      <c r="AF1033" s="474" t="s">
        <v>5982</v>
      </c>
      <c r="AG1033" s="475" t="s">
        <v>9754</v>
      </c>
      <c r="AH1033" s="181" t="s">
        <v>9755</v>
      </c>
      <c r="AI1033" s="139" t="s">
        <v>9756</v>
      </c>
      <c r="AJ1033" s="476">
        <v>794317129500</v>
      </c>
      <c r="AK1033" s="470"/>
      <c r="AL1033" s="461">
        <v>45439</v>
      </c>
      <c r="AM1033" s="477"/>
      <c r="AN1033" s="478"/>
      <c r="AO1033" s="140" t="s">
        <v>9757</v>
      </c>
      <c r="AP1033" s="58"/>
      <c r="AQ1033" s="97" t="s">
        <v>9757</v>
      </c>
      <c r="AR1033" s="462"/>
      <c r="AS1033" s="479">
        <v>0.45833333333333331</v>
      </c>
      <c r="AT1033" s="479">
        <v>0.58333333333333337</v>
      </c>
      <c r="AU1033" s="480">
        <v>34732</v>
      </c>
      <c r="AV1033" s="181" t="s">
        <v>1389</v>
      </c>
      <c r="AW1033" s="31" t="s">
        <v>32</v>
      </c>
      <c r="AX1033" s="139">
        <v>3</v>
      </c>
      <c r="AY1033" s="58" t="s">
        <v>1968</v>
      </c>
      <c r="AZ1033" s="58" t="s">
        <v>26</v>
      </c>
      <c r="BA1033" s="58" t="s">
        <v>151</v>
      </c>
      <c r="BB1033" s="58" t="s">
        <v>1407</v>
      </c>
      <c r="BC1033" s="58"/>
    </row>
    <row r="1034" spans="1:55" x14ac:dyDescent="0.25">
      <c r="A1034" s="10">
        <f t="shared" si="43"/>
        <v>1033</v>
      </c>
      <c r="B1034" s="181" t="s">
        <v>9758</v>
      </c>
      <c r="C1034" s="592" t="s">
        <v>1407</v>
      </c>
      <c r="D1034" s="499">
        <v>401042</v>
      </c>
      <c r="E1034" s="62" t="s">
        <v>36</v>
      </c>
      <c r="F1034" s="97" t="s">
        <v>9759</v>
      </c>
      <c r="G1034" s="64">
        <v>6</v>
      </c>
      <c r="H1034" s="141">
        <v>0.375</v>
      </c>
      <c r="I1034" s="141">
        <v>0.41666666666666669</v>
      </c>
      <c r="J1034" s="458">
        <v>4.1666666666666664E-2</v>
      </c>
      <c r="K1034" s="100" t="s">
        <v>287</v>
      </c>
      <c r="L1034" s="63" t="s">
        <v>30</v>
      </c>
      <c r="M1034" s="97" t="s">
        <v>1376</v>
      </c>
      <c r="N1034" s="58" t="s">
        <v>1393</v>
      </c>
      <c r="O1034" s="100" t="s">
        <v>30</v>
      </c>
      <c r="P1034" s="273">
        <v>45505</v>
      </c>
      <c r="Q1034" s="273">
        <v>45505</v>
      </c>
      <c r="R1034" s="273">
        <v>46234</v>
      </c>
      <c r="S1034" s="273">
        <v>46235</v>
      </c>
      <c r="T1034" s="61">
        <v>2022</v>
      </c>
      <c r="U1034" s="63" t="s">
        <v>9760</v>
      </c>
      <c r="V1034" s="61" t="s">
        <v>30</v>
      </c>
      <c r="W1034" s="100" t="s">
        <v>30</v>
      </c>
      <c r="X1034" s="62" t="s">
        <v>30</v>
      </c>
      <c r="Y1034" s="100" t="s">
        <v>226</v>
      </c>
      <c r="Z1034" s="99" t="s">
        <v>9761</v>
      </c>
      <c r="AA1034" s="63" t="s">
        <v>1841</v>
      </c>
      <c r="AB1034" s="451">
        <v>45061</v>
      </c>
      <c r="AC1034" s="451">
        <v>45791</v>
      </c>
      <c r="AD1034" s="304">
        <v>9290689343</v>
      </c>
      <c r="AE1034" s="336" t="s">
        <v>9762</v>
      </c>
      <c r="AF1034" s="100" t="s">
        <v>1833</v>
      </c>
      <c r="AG1034" s="501" t="s">
        <v>9763</v>
      </c>
      <c r="AH1034" s="62" t="s">
        <v>4205</v>
      </c>
      <c r="AI1034" s="61" t="s">
        <v>9764</v>
      </c>
      <c r="AJ1034" s="493">
        <v>822479978418</v>
      </c>
      <c r="AK1034" s="63" t="s">
        <v>9765</v>
      </c>
      <c r="AL1034" s="477">
        <v>45657</v>
      </c>
      <c r="AM1034" s="477">
        <v>45647</v>
      </c>
      <c r="AN1034" s="63" t="s">
        <v>895</v>
      </c>
      <c r="AO1034" s="539" t="s">
        <v>9766</v>
      </c>
      <c r="AP1034" s="61">
        <v>28</v>
      </c>
      <c r="AQ1034" s="143"/>
      <c r="AR1034" s="493"/>
      <c r="AS1034" s="515"/>
      <c r="AT1034" s="515"/>
      <c r="AU1034" s="338">
        <v>35426</v>
      </c>
      <c r="AV1034" s="62" t="s">
        <v>1389</v>
      </c>
      <c r="AW1034" s="31" t="s">
        <v>32</v>
      </c>
      <c r="AX1034" s="139">
        <v>1</v>
      </c>
      <c r="AY1034" s="58" t="s">
        <v>1881</v>
      </c>
      <c r="AZ1034" s="58" t="s">
        <v>1390</v>
      </c>
      <c r="BA1034" s="58" t="s">
        <v>151</v>
      </c>
      <c r="BB1034" s="58" t="s">
        <v>1407</v>
      </c>
      <c r="BC1034" s="58"/>
    </row>
    <row r="1035" spans="1:55" x14ac:dyDescent="0.25">
      <c r="A1035" s="10">
        <f t="shared" si="43"/>
        <v>1034</v>
      </c>
      <c r="B1035" s="181" t="s">
        <v>9767</v>
      </c>
      <c r="C1035" s="592" t="s">
        <v>1407</v>
      </c>
      <c r="D1035" s="499">
        <v>401124</v>
      </c>
      <c r="E1035" s="62" t="s">
        <v>36</v>
      </c>
      <c r="F1035" s="97" t="s">
        <v>9768</v>
      </c>
      <c r="G1035" s="64">
        <v>6</v>
      </c>
      <c r="H1035" s="141">
        <v>0.375</v>
      </c>
      <c r="I1035" s="141">
        <v>0.58333333333333337</v>
      </c>
      <c r="J1035" s="141">
        <v>0.20833333333333334</v>
      </c>
      <c r="K1035" s="100" t="s">
        <v>6088</v>
      </c>
      <c r="L1035" s="99" t="s">
        <v>9769</v>
      </c>
      <c r="M1035" s="63" t="s">
        <v>26</v>
      </c>
      <c r="N1035" s="100" t="s">
        <v>38</v>
      </c>
      <c r="O1035" s="143" t="s">
        <v>5710</v>
      </c>
      <c r="P1035" s="273">
        <v>45610</v>
      </c>
      <c r="Q1035" s="273">
        <v>45610</v>
      </c>
      <c r="R1035" s="273">
        <v>46339</v>
      </c>
      <c r="S1035" s="273">
        <v>46340</v>
      </c>
      <c r="T1035" s="61">
        <v>2018</v>
      </c>
      <c r="U1035" s="63" t="s">
        <v>9770</v>
      </c>
      <c r="V1035" s="61">
        <v>2023</v>
      </c>
      <c r="W1035" s="143" t="s">
        <v>642</v>
      </c>
      <c r="X1035" s="64" t="s">
        <v>30</v>
      </c>
      <c r="Y1035" s="100" t="s">
        <v>9508</v>
      </c>
      <c r="Z1035" s="99" t="s">
        <v>9771</v>
      </c>
      <c r="AA1035" s="63" t="s">
        <v>1841</v>
      </c>
      <c r="AB1035" s="451">
        <v>45447</v>
      </c>
      <c r="AC1035" s="451">
        <v>47272</v>
      </c>
      <c r="AD1035" s="61">
        <v>9014112467</v>
      </c>
      <c r="AE1035" s="540" t="s">
        <v>9772</v>
      </c>
      <c r="AF1035" s="100" t="s">
        <v>1833</v>
      </c>
      <c r="AG1035" s="501" t="s">
        <v>9773</v>
      </c>
      <c r="AH1035" s="62" t="s">
        <v>9774</v>
      </c>
      <c r="AI1035" s="61" t="s">
        <v>9775</v>
      </c>
      <c r="AJ1035" s="493">
        <v>508581412165</v>
      </c>
      <c r="AK1035" s="63" t="s">
        <v>9776</v>
      </c>
      <c r="AL1035" s="514">
        <v>45657</v>
      </c>
      <c r="AM1035" s="477">
        <v>45646</v>
      </c>
      <c r="AN1035" s="63" t="s">
        <v>1516</v>
      </c>
      <c r="AO1035" s="539" t="s">
        <v>9777</v>
      </c>
      <c r="AP1035" s="61">
        <v>30</v>
      </c>
      <c r="AQ1035" s="143"/>
      <c r="AR1035" s="493"/>
      <c r="AS1035" s="515"/>
      <c r="AT1035" s="515"/>
      <c r="AU1035" s="338">
        <v>34726</v>
      </c>
      <c r="AV1035" s="61" t="s">
        <v>1389</v>
      </c>
      <c r="AW1035" s="31" t="s">
        <v>32</v>
      </c>
      <c r="AX1035" s="139">
        <v>5</v>
      </c>
      <c r="AY1035" s="58" t="s">
        <v>1959</v>
      </c>
      <c r="AZ1035" s="58" t="s">
        <v>26</v>
      </c>
      <c r="BA1035" s="58" t="s">
        <v>151</v>
      </c>
      <c r="BB1035" s="58" t="s">
        <v>1407</v>
      </c>
      <c r="BC1035" s="58"/>
    </row>
    <row r="1036" spans="1:55" x14ac:dyDescent="0.25">
      <c r="A1036" s="10">
        <f t="shared" si="43"/>
        <v>1035</v>
      </c>
      <c r="B1036" s="181" t="s">
        <v>9778</v>
      </c>
      <c r="C1036" s="592" t="s">
        <v>1407</v>
      </c>
      <c r="D1036" s="499">
        <v>401142</v>
      </c>
      <c r="E1036" s="62" t="s">
        <v>42</v>
      </c>
      <c r="F1036" s="97" t="s">
        <v>9779</v>
      </c>
      <c r="G1036" s="61">
        <v>6</v>
      </c>
      <c r="H1036" s="141">
        <v>0.58333333333333337</v>
      </c>
      <c r="I1036" s="141">
        <v>0.79166666666666663</v>
      </c>
      <c r="J1036" s="141">
        <v>0.20833333333333334</v>
      </c>
      <c r="K1036" s="100" t="s">
        <v>348</v>
      </c>
      <c r="L1036" s="63" t="s">
        <v>9780</v>
      </c>
      <c r="M1036" s="63" t="s">
        <v>26</v>
      </c>
      <c r="N1036" s="100" t="s">
        <v>38</v>
      </c>
      <c r="O1036" s="143" t="s">
        <v>5710</v>
      </c>
      <c r="P1036" s="273">
        <v>45628</v>
      </c>
      <c r="Q1036" s="273">
        <v>45628</v>
      </c>
      <c r="R1036" s="273">
        <v>46357</v>
      </c>
      <c r="S1036" s="273">
        <v>46358</v>
      </c>
      <c r="T1036" s="61">
        <v>2013</v>
      </c>
      <c r="U1036" s="63" t="s">
        <v>9638</v>
      </c>
      <c r="V1036" s="61">
        <v>2019</v>
      </c>
      <c r="W1036" s="143" t="s">
        <v>689</v>
      </c>
      <c r="X1036" s="61" t="s">
        <v>30</v>
      </c>
      <c r="Y1036" s="100" t="s">
        <v>9619</v>
      </c>
      <c r="Z1036" s="99" t="s">
        <v>9781</v>
      </c>
      <c r="AA1036" s="63" t="s">
        <v>1841</v>
      </c>
      <c r="AB1036" s="453">
        <v>45624</v>
      </c>
      <c r="AC1036" s="453">
        <v>47449</v>
      </c>
      <c r="AD1036" s="304">
        <v>9490314694</v>
      </c>
      <c r="AE1036" s="63" t="s">
        <v>9782</v>
      </c>
      <c r="AF1036" s="100" t="s">
        <v>1364</v>
      </c>
      <c r="AG1036" s="501" t="s">
        <v>9783</v>
      </c>
      <c r="AH1036" s="62" t="s">
        <v>9784</v>
      </c>
      <c r="AI1036" s="61" t="s">
        <v>9785</v>
      </c>
      <c r="AJ1036" s="493">
        <v>321050838362</v>
      </c>
      <c r="AK1036" s="63" t="s">
        <v>9786</v>
      </c>
      <c r="AL1036" s="461">
        <v>45657</v>
      </c>
      <c r="AM1036" s="446" t="s">
        <v>30</v>
      </c>
      <c r="AN1036" s="100" t="s">
        <v>1592</v>
      </c>
      <c r="AO1036" s="539" t="s">
        <v>9787</v>
      </c>
      <c r="AP1036" s="61">
        <v>35</v>
      </c>
      <c r="AQ1036" s="143"/>
      <c r="AR1036" s="493"/>
      <c r="AS1036" s="515"/>
      <c r="AT1036" s="515"/>
      <c r="AU1036" s="338">
        <v>32799</v>
      </c>
      <c r="AV1036" s="62" t="s">
        <v>1389</v>
      </c>
      <c r="AW1036" s="31" t="s">
        <v>32</v>
      </c>
      <c r="AX1036" s="139">
        <v>5</v>
      </c>
      <c r="AY1036" s="58" t="s">
        <v>2053</v>
      </c>
      <c r="AZ1036" s="58" t="s">
        <v>26</v>
      </c>
      <c r="BA1036" s="58" t="s">
        <v>151</v>
      </c>
      <c r="BB1036" s="58" t="s">
        <v>1407</v>
      </c>
      <c r="BC1036" s="58"/>
    </row>
    <row r="1037" spans="1:55" x14ac:dyDescent="0.25">
      <c r="A1037" s="10">
        <f t="shared" si="43"/>
        <v>1036</v>
      </c>
      <c r="B1037" s="181" t="s">
        <v>9788</v>
      </c>
      <c r="C1037" s="592" t="s">
        <v>1407</v>
      </c>
      <c r="D1037" s="457">
        <v>400969</v>
      </c>
      <c r="E1037" s="181" t="s">
        <v>36</v>
      </c>
      <c r="F1037" s="97" t="s">
        <v>9789</v>
      </c>
      <c r="G1037" s="139">
        <v>6</v>
      </c>
      <c r="H1037" s="469">
        <v>0.5</v>
      </c>
      <c r="I1037" s="469">
        <v>0.58333333333333337</v>
      </c>
      <c r="J1037" s="458">
        <f>I1037-H1037</f>
        <v>8.333333333333337E-2</v>
      </c>
      <c r="K1037" s="143" t="s">
        <v>255</v>
      </c>
      <c r="L1037" s="97" t="s">
        <v>1424</v>
      </c>
      <c r="M1037" s="63" t="s">
        <v>1355</v>
      </c>
      <c r="N1037" s="100" t="s">
        <v>1520</v>
      </c>
      <c r="O1037" s="58" t="s">
        <v>5330</v>
      </c>
      <c r="P1037" s="206">
        <v>45383</v>
      </c>
      <c r="Q1037" s="206">
        <v>45383</v>
      </c>
      <c r="R1037" s="206">
        <v>46112</v>
      </c>
      <c r="S1037" s="461">
        <v>46113</v>
      </c>
      <c r="T1037" s="139">
        <v>2016</v>
      </c>
      <c r="U1037" s="181" t="s">
        <v>9790</v>
      </c>
      <c r="V1037" s="139">
        <v>2023</v>
      </c>
      <c r="W1037" s="97" t="s">
        <v>4449</v>
      </c>
      <c r="X1037" s="181" t="s">
        <v>30</v>
      </c>
      <c r="Y1037" s="58" t="s">
        <v>5066</v>
      </c>
      <c r="Z1037" s="140" t="s">
        <v>9791</v>
      </c>
      <c r="AA1037" s="470" t="s">
        <v>1841</v>
      </c>
      <c r="AB1037" s="471">
        <v>45215</v>
      </c>
      <c r="AC1037" s="471">
        <v>47041</v>
      </c>
      <c r="AD1037" s="472">
        <v>7989424977</v>
      </c>
      <c r="AE1037" s="473" t="s">
        <v>9792</v>
      </c>
      <c r="AF1037" s="474" t="s">
        <v>1424</v>
      </c>
      <c r="AG1037" s="481" t="s">
        <v>1424</v>
      </c>
      <c r="AH1037" s="481" t="s">
        <v>1424</v>
      </c>
      <c r="AI1037" s="139" t="s">
        <v>9793</v>
      </c>
      <c r="AJ1037" s="476">
        <v>517168177664</v>
      </c>
      <c r="AK1037" s="470"/>
      <c r="AL1037" s="542">
        <v>45387</v>
      </c>
      <c r="AM1037" s="477">
        <v>45387</v>
      </c>
      <c r="AN1037" s="478" t="s">
        <v>5098</v>
      </c>
      <c r="AO1037" s="140" t="s">
        <v>9794</v>
      </c>
      <c r="AP1037" s="58"/>
      <c r="AQ1037" s="140" t="s">
        <v>9794</v>
      </c>
      <c r="AR1037" s="462"/>
      <c r="AS1037" s="479">
        <v>0.5</v>
      </c>
      <c r="AT1037" s="479">
        <v>0.58333333333333337</v>
      </c>
      <c r="AU1037" s="480">
        <v>34202</v>
      </c>
      <c r="AV1037" s="181" t="s">
        <v>1389</v>
      </c>
      <c r="AW1037" s="31" t="s">
        <v>32</v>
      </c>
      <c r="AX1037" s="139">
        <v>2</v>
      </c>
      <c r="AY1037" s="58" t="s">
        <v>2068</v>
      </c>
      <c r="AZ1037" s="58" t="s">
        <v>1373</v>
      </c>
      <c r="BA1037" s="58" t="s">
        <v>151</v>
      </c>
      <c r="BB1037" s="58" t="s">
        <v>1407</v>
      </c>
      <c r="BC1037" s="58"/>
    </row>
    <row r="1038" spans="1:55" x14ac:dyDescent="0.25">
      <c r="A1038" s="10">
        <f t="shared" si="43"/>
        <v>1037</v>
      </c>
      <c r="B1038" s="181" t="s">
        <v>9795</v>
      </c>
      <c r="C1038" s="592" t="s">
        <v>1407</v>
      </c>
      <c r="D1038" s="499">
        <v>400397</v>
      </c>
      <c r="E1038" s="62" t="s">
        <v>42</v>
      </c>
      <c r="F1038" s="97" t="s">
        <v>9796</v>
      </c>
      <c r="G1038" s="61">
        <v>6</v>
      </c>
      <c r="H1038" s="141">
        <v>0.375</v>
      </c>
      <c r="I1038" s="141">
        <v>0.70833333333333337</v>
      </c>
      <c r="J1038" s="141">
        <v>0.33333333333333331</v>
      </c>
      <c r="K1038" s="143" t="s">
        <v>593</v>
      </c>
      <c r="L1038" s="63" t="s">
        <v>9797</v>
      </c>
      <c r="M1038" s="63" t="s">
        <v>26</v>
      </c>
      <c r="N1038" s="100" t="s">
        <v>38</v>
      </c>
      <c r="O1038" s="143" t="s">
        <v>5710</v>
      </c>
      <c r="P1038" s="446">
        <v>44501</v>
      </c>
      <c r="Q1038" s="446">
        <v>45231</v>
      </c>
      <c r="R1038" s="446">
        <v>45961</v>
      </c>
      <c r="S1038" s="338">
        <v>45962</v>
      </c>
      <c r="T1038" s="61">
        <v>2012</v>
      </c>
      <c r="U1038" s="62" t="s">
        <v>6832</v>
      </c>
      <c r="V1038" s="61">
        <v>2018</v>
      </c>
      <c r="W1038" s="99" t="s">
        <v>577</v>
      </c>
      <c r="X1038" s="62" t="s">
        <v>30</v>
      </c>
      <c r="Y1038" s="100" t="s">
        <v>5078</v>
      </c>
      <c r="Z1038" s="99" t="s">
        <v>9798</v>
      </c>
      <c r="AA1038" s="63" t="s">
        <v>1886</v>
      </c>
      <c r="AB1038" s="451">
        <v>43413</v>
      </c>
      <c r="AC1038" s="451">
        <v>45238</v>
      </c>
      <c r="AD1038" s="304">
        <v>8686633066</v>
      </c>
      <c r="AE1038" s="336" t="s">
        <v>9799</v>
      </c>
      <c r="AF1038" s="63" t="s">
        <v>1430</v>
      </c>
      <c r="AG1038" s="493" t="s">
        <v>9800</v>
      </c>
      <c r="AH1038" s="62" t="s">
        <v>9801</v>
      </c>
      <c r="AI1038" s="61" t="s">
        <v>9802</v>
      </c>
      <c r="AJ1038" s="493" t="s">
        <v>9803</v>
      </c>
      <c r="AK1038" s="63" t="s">
        <v>9804</v>
      </c>
      <c r="AL1038" s="338">
        <v>45666</v>
      </c>
      <c r="AM1038" s="477">
        <v>45606</v>
      </c>
      <c r="AN1038" s="63"/>
      <c r="AO1038" s="539"/>
      <c r="AP1038" s="61">
        <v>36</v>
      </c>
      <c r="AQ1038" s="143"/>
      <c r="AR1038" s="493"/>
      <c r="AS1038" s="515"/>
      <c r="AT1038" s="515"/>
      <c r="AU1038" s="338">
        <v>32721</v>
      </c>
      <c r="AV1038" s="62" t="s">
        <v>1352</v>
      </c>
      <c r="AW1038" s="31" t="s">
        <v>32</v>
      </c>
      <c r="AX1038" s="139">
        <v>8</v>
      </c>
      <c r="AY1038" s="466" t="s">
        <v>1920</v>
      </c>
      <c r="AZ1038" s="58" t="s">
        <v>26</v>
      </c>
      <c r="BA1038" s="58" t="s">
        <v>151</v>
      </c>
      <c r="BB1038" s="58" t="s">
        <v>1407</v>
      </c>
      <c r="BC1038" s="58"/>
    </row>
    <row r="1039" spans="1:55" x14ac:dyDescent="0.25">
      <c r="A1039" s="10">
        <f t="shared" si="43"/>
        <v>1038</v>
      </c>
      <c r="B1039" s="181" t="s">
        <v>9805</v>
      </c>
      <c r="C1039" s="592" t="s">
        <v>1407</v>
      </c>
      <c r="D1039" s="457">
        <v>400972</v>
      </c>
      <c r="E1039" s="181" t="s">
        <v>36</v>
      </c>
      <c r="F1039" s="97" t="s">
        <v>9806</v>
      </c>
      <c r="G1039" s="139">
        <v>6</v>
      </c>
      <c r="H1039" s="469">
        <v>0.72916666666666663</v>
      </c>
      <c r="I1039" s="469">
        <v>0.85416666666666663</v>
      </c>
      <c r="J1039" s="458">
        <f>I1039-H1039</f>
        <v>0.125</v>
      </c>
      <c r="K1039" s="58" t="s">
        <v>1151</v>
      </c>
      <c r="L1039" s="97" t="s">
        <v>1424</v>
      </c>
      <c r="M1039" s="63" t="s">
        <v>1355</v>
      </c>
      <c r="N1039" s="100" t="s">
        <v>1520</v>
      </c>
      <c r="O1039" s="58" t="s">
        <v>5330</v>
      </c>
      <c r="P1039" s="206">
        <v>45383</v>
      </c>
      <c r="Q1039" s="206">
        <v>45383</v>
      </c>
      <c r="R1039" s="206">
        <v>46112</v>
      </c>
      <c r="S1039" s="461">
        <v>46113</v>
      </c>
      <c r="T1039" s="139">
        <v>2017</v>
      </c>
      <c r="U1039" s="181" t="s">
        <v>57</v>
      </c>
      <c r="V1039" s="139">
        <v>2023</v>
      </c>
      <c r="W1039" s="97" t="s">
        <v>695</v>
      </c>
      <c r="X1039" s="181" t="s">
        <v>30</v>
      </c>
      <c r="Y1039" s="58" t="s">
        <v>5066</v>
      </c>
      <c r="Z1039" s="140" t="s">
        <v>9807</v>
      </c>
      <c r="AA1039" s="470" t="s">
        <v>1886</v>
      </c>
      <c r="AB1039" s="471">
        <v>45352</v>
      </c>
      <c r="AC1039" s="471">
        <v>47177</v>
      </c>
      <c r="AD1039" s="472">
        <v>8332921179</v>
      </c>
      <c r="AE1039" s="473" t="s">
        <v>9808</v>
      </c>
      <c r="AF1039" s="474" t="s">
        <v>1424</v>
      </c>
      <c r="AG1039" s="481" t="s">
        <v>1424</v>
      </c>
      <c r="AH1039" s="481" t="s">
        <v>1424</v>
      </c>
      <c r="AI1039" s="139" t="s">
        <v>9809</v>
      </c>
      <c r="AJ1039" s="476">
        <v>795646158485</v>
      </c>
      <c r="AK1039" s="470"/>
      <c r="AL1039" s="542">
        <v>45388</v>
      </c>
      <c r="AM1039" s="477">
        <v>45388</v>
      </c>
      <c r="AN1039" s="478" t="s">
        <v>5098</v>
      </c>
      <c r="AO1039" s="140" t="s">
        <v>9810</v>
      </c>
      <c r="AP1039" s="58"/>
      <c r="AQ1039" s="140" t="s">
        <v>9810</v>
      </c>
      <c r="AR1039" s="462"/>
      <c r="AS1039" s="479">
        <v>0.72916666666666663</v>
      </c>
      <c r="AT1039" s="479">
        <v>0.85416666666666663</v>
      </c>
      <c r="AU1039" s="480">
        <v>34855</v>
      </c>
      <c r="AV1039" s="181" t="s">
        <v>1389</v>
      </c>
      <c r="AW1039" s="31" t="s">
        <v>32</v>
      </c>
      <c r="AX1039" s="139">
        <v>3</v>
      </c>
      <c r="AY1039" s="58" t="s">
        <v>1895</v>
      </c>
      <c r="AZ1039" s="58" t="s">
        <v>1373</v>
      </c>
      <c r="BA1039" s="58" t="s">
        <v>151</v>
      </c>
      <c r="BB1039" s="58" t="s">
        <v>1407</v>
      </c>
      <c r="BC1039" s="58"/>
    </row>
    <row r="1040" spans="1:55" x14ac:dyDescent="0.25">
      <c r="A1040" s="10">
        <f t="shared" si="43"/>
        <v>1039</v>
      </c>
      <c r="B1040" s="181" t="s">
        <v>9811</v>
      </c>
      <c r="C1040" s="592" t="s">
        <v>1407</v>
      </c>
      <c r="D1040" s="499">
        <v>400999</v>
      </c>
      <c r="E1040" s="62" t="s">
        <v>36</v>
      </c>
      <c r="F1040" s="97" t="s">
        <v>9812</v>
      </c>
      <c r="G1040" s="61">
        <v>6</v>
      </c>
      <c r="H1040" s="141">
        <v>0.375</v>
      </c>
      <c r="I1040" s="141">
        <v>0.4375</v>
      </c>
      <c r="J1040" s="141">
        <v>6.25E-2</v>
      </c>
      <c r="K1040" s="143" t="s">
        <v>187</v>
      </c>
      <c r="L1040" s="63" t="s">
        <v>1424</v>
      </c>
      <c r="M1040" s="97" t="s">
        <v>1376</v>
      </c>
      <c r="N1040" s="58" t="s">
        <v>1393</v>
      </c>
      <c r="O1040" s="100" t="s">
        <v>30</v>
      </c>
      <c r="P1040" s="446">
        <v>45428</v>
      </c>
      <c r="Q1040" s="446">
        <v>45428</v>
      </c>
      <c r="R1040" s="446">
        <v>46157</v>
      </c>
      <c r="S1040" s="338">
        <v>46158</v>
      </c>
      <c r="T1040" s="61">
        <v>1996</v>
      </c>
      <c r="U1040" s="62" t="s">
        <v>65</v>
      </c>
      <c r="V1040" s="61" t="s">
        <v>1424</v>
      </c>
      <c r="W1040" s="63" t="s">
        <v>1424</v>
      </c>
      <c r="X1040" s="62" t="s">
        <v>30</v>
      </c>
      <c r="Y1040" s="100" t="s">
        <v>226</v>
      </c>
      <c r="Z1040" s="99" t="s">
        <v>9813</v>
      </c>
      <c r="AA1040" s="63" t="s">
        <v>1841</v>
      </c>
      <c r="AB1040" s="451">
        <v>45097</v>
      </c>
      <c r="AC1040" s="451">
        <v>46923</v>
      </c>
      <c r="AD1040" s="220">
        <v>9632228459</v>
      </c>
      <c r="AE1040" s="336" t="s">
        <v>9814</v>
      </c>
      <c r="AF1040" s="100" t="s">
        <v>9815</v>
      </c>
      <c r="AG1040" s="337" t="s">
        <v>9816</v>
      </c>
      <c r="AH1040" s="62" t="s">
        <v>9817</v>
      </c>
      <c r="AI1040" s="62" t="s">
        <v>9818</v>
      </c>
      <c r="AJ1040" s="493">
        <v>328355289346</v>
      </c>
      <c r="AK1040" s="63"/>
      <c r="AL1040" s="446">
        <v>45667</v>
      </c>
      <c r="AM1040" s="477" t="s">
        <v>30</v>
      </c>
      <c r="AN1040" s="100" t="s">
        <v>4891</v>
      </c>
      <c r="AO1040" s="63" t="s">
        <v>9819</v>
      </c>
      <c r="AP1040" s="61">
        <v>53</v>
      </c>
      <c r="AQ1040" s="100"/>
      <c r="AR1040" s="143"/>
      <c r="AS1040" s="338"/>
      <c r="AT1040" s="338"/>
      <c r="AU1040" s="453">
        <v>26297</v>
      </c>
      <c r="AV1040" s="62" t="s">
        <v>1389</v>
      </c>
      <c r="AW1040" s="31" t="s">
        <v>32</v>
      </c>
      <c r="AX1040" s="139">
        <v>1.5</v>
      </c>
      <c r="AY1040" s="58" t="s">
        <v>1959</v>
      </c>
      <c r="AZ1040" s="58" t="s">
        <v>1390</v>
      </c>
      <c r="BA1040" s="58" t="s">
        <v>151</v>
      </c>
      <c r="BB1040" s="58" t="s">
        <v>1407</v>
      </c>
      <c r="BC1040" s="58"/>
    </row>
    <row r="1041" spans="1:55" x14ac:dyDescent="0.25">
      <c r="A1041" s="10">
        <f t="shared" si="43"/>
        <v>1040</v>
      </c>
      <c r="B1041" s="181" t="s">
        <v>9820</v>
      </c>
      <c r="C1041" s="592" t="s">
        <v>1407</v>
      </c>
      <c r="D1041" s="499">
        <v>401072</v>
      </c>
      <c r="E1041" s="62" t="s">
        <v>9821</v>
      </c>
      <c r="F1041" s="97" t="s">
        <v>9822</v>
      </c>
      <c r="G1041" s="61">
        <v>6</v>
      </c>
      <c r="H1041" s="141">
        <v>0.35416666666666669</v>
      </c>
      <c r="I1041" s="141">
        <v>0.6875</v>
      </c>
      <c r="J1041" s="458">
        <f>I1041-H1041</f>
        <v>0.33333333333333331</v>
      </c>
      <c r="K1041" s="58" t="s">
        <v>826</v>
      </c>
      <c r="L1041" s="63" t="s">
        <v>9823</v>
      </c>
      <c r="M1041" s="63" t="s">
        <v>26</v>
      </c>
      <c r="N1041" s="100" t="s">
        <v>38</v>
      </c>
      <c r="O1041" s="143" t="s">
        <v>5710</v>
      </c>
      <c r="P1041" s="273">
        <v>45545</v>
      </c>
      <c r="Q1041" s="273">
        <v>45545</v>
      </c>
      <c r="R1041" s="273">
        <v>46274</v>
      </c>
      <c r="S1041" s="273">
        <v>46275</v>
      </c>
      <c r="T1041" s="61">
        <v>2013</v>
      </c>
      <c r="U1041" s="99" t="s">
        <v>197</v>
      </c>
      <c r="V1041" s="61">
        <v>2018</v>
      </c>
      <c r="W1041" s="143" t="s">
        <v>9473</v>
      </c>
      <c r="X1041" s="62" t="s">
        <v>30</v>
      </c>
      <c r="Y1041" s="100" t="s">
        <v>97</v>
      </c>
      <c r="Z1041" s="99" t="s">
        <v>9824</v>
      </c>
      <c r="AA1041" s="63" t="s">
        <v>2910</v>
      </c>
      <c r="AB1041" s="451">
        <v>44971</v>
      </c>
      <c r="AC1041" s="451">
        <v>46796</v>
      </c>
      <c r="AD1041" s="304">
        <v>9960789055</v>
      </c>
      <c r="AE1041" s="336" t="s">
        <v>9825</v>
      </c>
      <c r="AF1041" s="100" t="s">
        <v>1410</v>
      </c>
      <c r="AG1041" s="501" t="s">
        <v>9826</v>
      </c>
      <c r="AH1041" s="62" t="s">
        <v>9827</v>
      </c>
      <c r="AI1041" s="61" t="s">
        <v>9828</v>
      </c>
      <c r="AJ1041" s="493">
        <v>860581488964</v>
      </c>
      <c r="AK1041" s="63" t="s">
        <v>9829</v>
      </c>
      <c r="AL1041" s="338">
        <v>45667</v>
      </c>
      <c r="AM1041" s="446" t="s">
        <v>30</v>
      </c>
      <c r="AN1041" s="541" t="s">
        <v>9830</v>
      </c>
      <c r="AO1041" s="539" t="s">
        <v>9831</v>
      </c>
      <c r="AP1041" s="61">
        <v>33</v>
      </c>
      <c r="AQ1041" s="143"/>
      <c r="AR1041" s="493"/>
      <c r="AS1041" s="515"/>
      <c r="AT1041" s="515"/>
      <c r="AU1041" s="338">
        <v>33516</v>
      </c>
      <c r="AV1041" s="62" t="s">
        <v>1389</v>
      </c>
      <c r="AW1041" s="31" t="s">
        <v>68</v>
      </c>
      <c r="AX1041" s="139">
        <v>8</v>
      </c>
      <c r="AY1041" s="58" t="s">
        <v>2251</v>
      </c>
      <c r="AZ1041" s="58" t="s">
        <v>26</v>
      </c>
      <c r="BA1041" s="58" t="s">
        <v>151</v>
      </c>
      <c r="BB1041" s="58" t="s">
        <v>1407</v>
      </c>
      <c r="BC1041" s="58"/>
    </row>
    <row r="1042" spans="1:55" x14ac:dyDescent="0.25">
      <c r="A1042" s="10">
        <f t="shared" si="43"/>
        <v>1041</v>
      </c>
      <c r="B1042" s="181" t="s">
        <v>9832</v>
      </c>
      <c r="C1042" s="592" t="s">
        <v>1407</v>
      </c>
      <c r="D1042" s="499">
        <v>400913</v>
      </c>
      <c r="E1042" s="62" t="s">
        <v>42</v>
      </c>
      <c r="F1042" s="97" t="s">
        <v>9833</v>
      </c>
      <c r="G1042" s="61">
        <v>6</v>
      </c>
      <c r="H1042" s="141">
        <v>0.375</v>
      </c>
      <c r="I1042" s="141">
        <v>0.5</v>
      </c>
      <c r="J1042" s="141">
        <v>0.125</v>
      </c>
      <c r="K1042" s="100" t="s">
        <v>866</v>
      </c>
      <c r="L1042" s="63" t="s">
        <v>9834</v>
      </c>
      <c r="M1042" s="63" t="s">
        <v>26</v>
      </c>
      <c r="N1042" s="100" t="s">
        <v>38</v>
      </c>
      <c r="O1042" s="143" t="s">
        <v>5710</v>
      </c>
      <c r="P1042" s="446">
        <v>45278</v>
      </c>
      <c r="Q1042" s="446">
        <v>45278</v>
      </c>
      <c r="R1042" s="446">
        <v>46008</v>
      </c>
      <c r="S1042" s="338">
        <v>46009</v>
      </c>
      <c r="T1042" s="61">
        <v>2016</v>
      </c>
      <c r="U1042" s="62" t="s">
        <v>5787</v>
      </c>
      <c r="V1042" s="61">
        <v>2020</v>
      </c>
      <c r="W1042" s="63" t="s">
        <v>9835</v>
      </c>
      <c r="X1042" s="62" t="s">
        <v>30</v>
      </c>
      <c r="Y1042" s="100" t="s">
        <v>1611</v>
      </c>
      <c r="Z1042" s="99" t="s">
        <v>9836</v>
      </c>
      <c r="AA1042" s="63" t="s">
        <v>1841</v>
      </c>
      <c r="AB1042" s="451">
        <v>44526</v>
      </c>
      <c r="AC1042" s="451">
        <v>46351</v>
      </c>
      <c r="AD1042" s="304">
        <v>9177904636</v>
      </c>
      <c r="AE1042" s="336" t="s">
        <v>9837</v>
      </c>
      <c r="AF1042" s="500" t="s">
        <v>1364</v>
      </c>
      <c r="AG1042" s="501" t="s">
        <v>9838</v>
      </c>
      <c r="AH1042" s="62" t="s">
        <v>9839</v>
      </c>
      <c r="AI1042" s="61" t="s">
        <v>9840</v>
      </c>
      <c r="AJ1042" s="493">
        <v>587317970597</v>
      </c>
      <c r="AK1042" s="63"/>
      <c r="AL1042" s="543">
        <v>45668</v>
      </c>
      <c r="AM1042" s="477" t="s">
        <v>30</v>
      </c>
      <c r="AN1042" s="541" t="s">
        <v>1765</v>
      </c>
      <c r="AO1042" s="63" t="s">
        <v>9841</v>
      </c>
      <c r="AP1042" s="61">
        <v>33</v>
      </c>
      <c r="AQ1042" s="143"/>
      <c r="AR1042" s="493"/>
      <c r="AS1042" s="515"/>
      <c r="AT1042" s="515"/>
      <c r="AU1042" s="453">
        <v>33690</v>
      </c>
      <c r="AV1042" s="62" t="s">
        <v>1352</v>
      </c>
      <c r="AW1042" s="31" t="s">
        <v>32</v>
      </c>
      <c r="AX1042" s="139">
        <v>3</v>
      </c>
      <c r="AY1042" s="58" t="s">
        <v>2189</v>
      </c>
      <c r="AZ1042" s="58" t="s">
        <v>26</v>
      </c>
      <c r="BA1042" s="58" t="s">
        <v>151</v>
      </c>
      <c r="BB1042" s="58" t="s">
        <v>1407</v>
      </c>
      <c r="BC1042" s="58"/>
    </row>
    <row r="1043" spans="1:55" x14ac:dyDescent="0.25">
      <c r="A1043" s="10">
        <f t="shared" si="43"/>
        <v>1042</v>
      </c>
      <c r="B1043" s="181" t="s">
        <v>9842</v>
      </c>
      <c r="C1043" s="592" t="s">
        <v>1407</v>
      </c>
      <c r="D1043" s="499">
        <v>400535</v>
      </c>
      <c r="E1043" s="62" t="s">
        <v>36</v>
      </c>
      <c r="F1043" s="97" t="s">
        <v>7759</v>
      </c>
      <c r="G1043" s="544">
        <v>6</v>
      </c>
      <c r="H1043" s="141">
        <v>0.375</v>
      </c>
      <c r="I1043" s="141">
        <v>0.54166666666666663</v>
      </c>
      <c r="J1043" s="141">
        <v>0.16666666666666666</v>
      </c>
      <c r="K1043" s="100" t="s">
        <v>6088</v>
      </c>
      <c r="L1043" s="99" t="s">
        <v>9843</v>
      </c>
      <c r="M1043" s="63" t="s">
        <v>26</v>
      </c>
      <c r="N1043" s="100" t="s">
        <v>38</v>
      </c>
      <c r="O1043" s="143" t="s">
        <v>5710</v>
      </c>
      <c r="P1043" s="338">
        <v>45658</v>
      </c>
      <c r="Q1043" s="338">
        <v>45658</v>
      </c>
      <c r="R1043" s="338">
        <v>46387</v>
      </c>
      <c r="S1043" s="461">
        <v>46388</v>
      </c>
      <c r="T1043" s="61">
        <v>2014</v>
      </c>
      <c r="U1043" s="99" t="s">
        <v>9844</v>
      </c>
      <c r="V1043" s="61">
        <v>2022</v>
      </c>
      <c r="W1043" s="100" t="s">
        <v>9845</v>
      </c>
      <c r="X1043" s="62" t="s">
        <v>30</v>
      </c>
      <c r="Y1043" s="143" t="s">
        <v>5078</v>
      </c>
      <c r="Z1043" s="99" t="s">
        <v>7763</v>
      </c>
      <c r="AA1043" s="63" t="s">
        <v>1841</v>
      </c>
      <c r="AB1043" s="451">
        <v>44770</v>
      </c>
      <c r="AC1043" s="451">
        <v>46595</v>
      </c>
      <c r="AD1043" s="61">
        <v>9550334516</v>
      </c>
      <c r="AE1043" s="540" t="s">
        <v>7764</v>
      </c>
      <c r="AF1043" s="100" t="s">
        <v>7211</v>
      </c>
      <c r="AG1043" s="493">
        <v>50100377178430</v>
      </c>
      <c r="AH1043" s="62" t="s">
        <v>9846</v>
      </c>
      <c r="AI1043" s="61" t="s">
        <v>9847</v>
      </c>
      <c r="AJ1043" s="493">
        <v>793674364360</v>
      </c>
      <c r="AK1043" s="63" t="s">
        <v>9848</v>
      </c>
      <c r="AL1043" s="338">
        <v>45670</v>
      </c>
      <c r="AM1043" s="477" t="s">
        <v>30</v>
      </c>
      <c r="AN1043" s="100" t="s">
        <v>9849</v>
      </c>
      <c r="AO1043" s="539" t="s">
        <v>9850</v>
      </c>
      <c r="AP1043" s="61">
        <v>33</v>
      </c>
      <c r="AQ1043" s="143"/>
      <c r="AR1043" s="493"/>
      <c r="AS1043" s="515"/>
      <c r="AT1043" s="515"/>
      <c r="AU1043" s="338">
        <v>33547</v>
      </c>
      <c r="AV1043" s="62" t="s">
        <v>1389</v>
      </c>
      <c r="AW1043" s="31" t="s">
        <v>32</v>
      </c>
      <c r="AX1043" s="139">
        <v>4</v>
      </c>
      <c r="AY1043" s="58" t="s">
        <v>1959</v>
      </c>
      <c r="AZ1043" s="58" t="s">
        <v>26</v>
      </c>
      <c r="BA1043" s="58" t="s">
        <v>151</v>
      </c>
      <c r="BB1043" s="58" t="s">
        <v>1407</v>
      </c>
      <c r="BC1043" s="58"/>
    </row>
    <row r="1044" spans="1:55" x14ac:dyDescent="0.25">
      <c r="A1044" s="10">
        <f t="shared" si="43"/>
        <v>1043</v>
      </c>
      <c r="B1044" s="181" t="s">
        <v>9851</v>
      </c>
      <c r="C1044" s="592" t="s">
        <v>1407</v>
      </c>
      <c r="D1044" s="499">
        <v>400893</v>
      </c>
      <c r="E1044" s="62" t="s">
        <v>36</v>
      </c>
      <c r="F1044" s="97" t="s">
        <v>9852</v>
      </c>
      <c r="G1044" s="61">
        <v>6</v>
      </c>
      <c r="H1044" s="141">
        <v>0.33333333333333331</v>
      </c>
      <c r="I1044" s="141">
        <v>0.875</v>
      </c>
      <c r="J1044" s="443">
        <v>0.33333333333333331</v>
      </c>
      <c r="K1044" s="100" t="s">
        <v>713</v>
      </c>
      <c r="L1044" s="63" t="s">
        <v>1424</v>
      </c>
      <c r="M1044" s="63" t="s">
        <v>1355</v>
      </c>
      <c r="N1044" s="100" t="s">
        <v>1520</v>
      </c>
      <c r="O1044" s="100" t="s">
        <v>4752</v>
      </c>
      <c r="P1044" s="446">
        <v>45261</v>
      </c>
      <c r="Q1044" s="446">
        <v>45261</v>
      </c>
      <c r="R1044" s="446">
        <v>45991</v>
      </c>
      <c r="S1044" s="338">
        <v>45992</v>
      </c>
      <c r="T1044" s="61">
        <v>2012</v>
      </c>
      <c r="U1044" s="62" t="s">
        <v>5787</v>
      </c>
      <c r="V1044" s="61">
        <v>2018</v>
      </c>
      <c r="W1044" s="99" t="s">
        <v>406</v>
      </c>
      <c r="X1044" s="62" t="s">
        <v>30</v>
      </c>
      <c r="Y1044" s="100" t="s">
        <v>5066</v>
      </c>
      <c r="Z1044" s="99" t="s">
        <v>9853</v>
      </c>
      <c r="AA1044" s="63" t="s">
        <v>1886</v>
      </c>
      <c r="AB1044" s="451">
        <v>45259</v>
      </c>
      <c r="AC1044" s="451">
        <v>47085</v>
      </c>
      <c r="AD1044" s="304">
        <v>7416434446</v>
      </c>
      <c r="AE1044" s="336" t="s">
        <v>9854</v>
      </c>
      <c r="AF1044" s="500" t="s">
        <v>5086</v>
      </c>
      <c r="AG1044" s="501" t="s">
        <v>9855</v>
      </c>
      <c r="AH1044" s="62" t="s">
        <v>8054</v>
      </c>
      <c r="AI1044" s="61" t="s">
        <v>9856</v>
      </c>
      <c r="AJ1044" s="493">
        <v>558672385800</v>
      </c>
      <c r="AK1044" s="63"/>
      <c r="AL1044" s="446">
        <v>45670</v>
      </c>
      <c r="AM1044" s="477">
        <v>45610</v>
      </c>
      <c r="AN1044" s="63"/>
      <c r="AO1044" s="63" t="s">
        <v>9857</v>
      </c>
      <c r="AP1044" s="61">
        <v>37</v>
      </c>
      <c r="AQ1044" s="143"/>
      <c r="AR1044" s="493"/>
      <c r="AS1044" s="515"/>
      <c r="AT1044" s="515"/>
      <c r="AU1044" s="338">
        <v>32155</v>
      </c>
      <c r="AV1044" s="62" t="s">
        <v>1352</v>
      </c>
      <c r="AW1044" s="31" t="s">
        <v>68</v>
      </c>
      <c r="AX1044" s="139">
        <v>8</v>
      </c>
      <c r="AY1044" s="58" t="s">
        <v>2262</v>
      </c>
      <c r="AZ1044" s="58" t="s">
        <v>1373</v>
      </c>
      <c r="BA1044" s="58" t="s">
        <v>151</v>
      </c>
      <c r="BB1044" s="58" t="s">
        <v>1407</v>
      </c>
      <c r="BC1044" s="58"/>
    </row>
    <row r="1045" spans="1:55" x14ac:dyDescent="0.25">
      <c r="A1045" s="10">
        <f t="shared" si="43"/>
        <v>1044</v>
      </c>
      <c r="B1045" s="181" t="s">
        <v>9858</v>
      </c>
      <c r="C1045" s="592" t="s">
        <v>1407</v>
      </c>
      <c r="D1045" s="499">
        <v>401081</v>
      </c>
      <c r="E1045" s="62" t="s">
        <v>36</v>
      </c>
      <c r="F1045" s="97" t="s">
        <v>9859</v>
      </c>
      <c r="G1045" s="61">
        <v>6</v>
      </c>
      <c r="H1045" s="141">
        <v>0.375</v>
      </c>
      <c r="I1045" s="141">
        <v>0.41666666666666669</v>
      </c>
      <c r="J1045" s="458">
        <v>4.1666666666666664E-2</v>
      </c>
      <c r="K1045" s="100" t="s">
        <v>275</v>
      </c>
      <c r="L1045" s="63" t="s">
        <v>30</v>
      </c>
      <c r="M1045" s="97" t="s">
        <v>1376</v>
      </c>
      <c r="N1045" s="58" t="s">
        <v>1393</v>
      </c>
      <c r="O1045" s="100" t="s">
        <v>30</v>
      </c>
      <c r="P1045" s="273">
        <v>45555</v>
      </c>
      <c r="Q1045" s="273">
        <v>45555</v>
      </c>
      <c r="R1045" s="273">
        <v>46284</v>
      </c>
      <c r="S1045" s="273">
        <v>46285</v>
      </c>
      <c r="T1045" s="61">
        <v>2022</v>
      </c>
      <c r="U1045" s="99" t="s">
        <v>9860</v>
      </c>
      <c r="V1045" s="61" t="s">
        <v>30</v>
      </c>
      <c r="W1045" s="143" t="s">
        <v>30</v>
      </c>
      <c r="X1045" s="61" t="s">
        <v>30</v>
      </c>
      <c r="Y1045" s="100" t="s">
        <v>226</v>
      </c>
      <c r="Z1045" s="99" t="s">
        <v>9861</v>
      </c>
      <c r="AA1045" s="63" t="s">
        <v>1886</v>
      </c>
      <c r="AB1045" s="451">
        <v>44811</v>
      </c>
      <c r="AC1045" s="451">
        <v>46636</v>
      </c>
      <c r="AD1045" s="61">
        <v>9381684140</v>
      </c>
      <c r="AE1045" s="540" t="s">
        <v>9862</v>
      </c>
      <c r="AF1045" s="100" t="s">
        <v>1805</v>
      </c>
      <c r="AG1045" s="501" t="s">
        <v>9863</v>
      </c>
      <c r="AH1045" s="62" t="s">
        <v>9864</v>
      </c>
      <c r="AI1045" s="61" t="s">
        <v>9865</v>
      </c>
      <c r="AJ1045" s="493">
        <v>776632905824</v>
      </c>
      <c r="AK1045" s="63" t="s">
        <v>3187</v>
      </c>
      <c r="AL1045" s="446">
        <v>45670</v>
      </c>
      <c r="AM1045" s="446" t="s">
        <v>30</v>
      </c>
      <c r="AN1045" s="541" t="s">
        <v>9849</v>
      </c>
      <c r="AO1045" s="539" t="s">
        <v>9866</v>
      </c>
      <c r="AP1045" s="61">
        <v>27</v>
      </c>
      <c r="AQ1045" s="143"/>
      <c r="AR1045" s="493"/>
      <c r="AS1045" s="515"/>
      <c r="AT1045" s="515"/>
      <c r="AU1045" s="338">
        <v>36018</v>
      </c>
      <c r="AV1045" s="62" t="s">
        <v>1352</v>
      </c>
      <c r="AW1045" s="31" t="s">
        <v>32</v>
      </c>
      <c r="AX1045" s="139">
        <v>1</v>
      </c>
      <c r="AY1045" s="58" t="s">
        <v>1959</v>
      </c>
      <c r="AZ1045" s="58" t="s">
        <v>1390</v>
      </c>
      <c r="BA1045" s="58" t="s">
        <v>151</v>
      </c>
      <c r="BB1045" s="58" t="s">
        <v>1407</v>
      </c>
      <c r="BC1045" s="58"/>
    </row>
    <row r="1046" spans="1:55" x14ac:dyDescent="0.25">
      <c r="A1046" s="10">
        <f t="shared" si="43"/>
        <v>1045</v>
      </c>
      <c r="B1046" s="181" t="s">
        <v>9867</v>
      </c>
      <c r="C1046" s="592" t="s">
        <v>1407</v>
      </c>
      <c r="D1046" s="41">
        <v>5400033</v>
      </c>
      <c r="E1046" s="40" t="s">
        <v>36</v>
      </c>
      <c r="F1046" s="39" t="s">
        <v>9868</v>
      </c>
      <c r="G1046" s="40">
        <v>6</v>
      </c>
      <c r="H1046" s="42">
        <v>0.375</v>
      </c>
      <c r="I1046" s="42">
        <v>0.5</v>
      </c>
      <c r="J1046" s="42">
        <v>0.125</v>
      </c>
      <c r="K1046" s="587" t="s">
        <v>11091</v>
      </c>
      <c r="L1046" s="39" t="s">
        <v>9869</v>
      </c>
      <c r="M1046" s="39" t="s">
        <v>26</v>
      </c>
      <c r="N1046" s="43" t="s">
        <v>38</v>
      </c>
      <c r="O1046" s="100" t="s">
        <v>1492</v>
      </c>
      <c r="P1046" s="182">
        <v>45523</v>
      </c>
      <c r="Q1046" s="182">
        <v>45523</v>
      </c>
      <c r="R1046" s="182">
        <v>46252</v>
      </c>
      <c r="S1046" s="182">
        <v>46253</v>
      </c>
      <c r="T1046" s="87">
        <v>2015</v>
      </c>
      <c r="U1046" s="39" t="s">
        <v>9870</v>
      </c>
      <c r="V1046" s="40">
        <v>2020</v>
      </c>
      <c r="W1046" s="43" t="s">
        <v>9871</v>
      </c>
      <c r="X1046" s="40" t="s">
        <v>9872</v>
      </c>
      <c r="Y1046" s="43" t="s">
        <v>5066</v>
      </c>
      <c r="Z1046" s="39">
        <v>2016082793</v>
      </c>
      <c r="AA1046" s="39" t="s">
        <v>1344</v>
      </c>
      <c r="AB1046" s="182">
        <v>44391</v>
      </c>
      <c r="AC1046" s="182">
        <v>46260</v>
      </c>
      <c r="AD1046" s="40">
        <v>7276152975</v>
      </c>
      <c r="AE1046" s="39" t="s">
        <v>9873</v>
      </c>
      <c r="AF1046" s="40" t="s">
        <v>1430</v>
      </c>
      <c r="AG1046" s="40" t="s">
        <v>9874</v>
      </c>
      <c r="AH1046" s="40" t="s">
        <v>9875</v>
      </c>
      <c r="AI1046" s="40" t="s">
        <v>9876</v>
      </c>
      <c r="AJ1046" s="44">
        <v>925947977326</v>
      </c>
      <c r="AK1046" s="39" t="s">
        <v>9877</v>
      </c>
      <c r="AL1046" s="182">
        <v>45670</v>
      </c>
      <c r="AM1046" s="183" t="s">
        <v>30</v>
      </c>
      <c r="AN1046" s="43" t="s">
        <v>9878</v>
      </c>
      <c r="AO1046" s="39" t="s">
        <v>9879</v>
      </c>
      <c r="AP1046" s="10">
        <v>32</v>
      </c>
      <c r="AQ1046" s="10"/>
      <c r="AR1046" s="10"/>
      <c r="AS1046" s="10"/>
      <c r="AT1046" s="40"/>
      <c r="AU1046" s="182">
        <v>34026</v>
      </c>
      <c r="AV1046" s="40" t="s">
        <v>1389</v>
      </c>
      <c r="AW1046" s="31" t="s">
        <v>32</v>
      </c>
      <c r="AX1046" s="139">
        <v>3</v>
      </c>
      <c r="AY1046" s="58" t="s">
        <v>51</v>
      </c>
      <c r="AZ1046" s="58" t="s">
        <v>26</v>
      </c>
      <c r="BA1046" s="58" t="s">
        <v>151</v>
      </c>
      <c r="BB1046" s="58" t="s">
        <v>1407</v>
      </c>
      <c r="BC1046" s="58"/>
    </row>
    <row r="1047" spans="1:55" x14ac:dyDescent="0.25">
      <c r="A1047" s="10">
        <f t="shared" si="43"/>
        <v>1046</v>
      </c>
      <c r="B1047" s="181" t="s">
        <v>9880</v>
      </c>
      <c r="C1047" s="592" t="s">
        <v>1407</v>
      </c>
      <c r="D1047" s="499">
        <v>401162</v>
      </c>
      <c r="E1047" s="62" t="s">
        <v>36</v>
      </c>
      <c r="F1047" s="97" t="s">
        <v>9881</v>
      </c>
      <c r="G1047" s="61">
        <v>6</v>
      </c>
      <c r="H1047" s="141">
        <v>0.33333333333333331</v>
      </c>
      <c r="I1047" s="141">
        <v>0.875</v>
      </c>
      <c r="J1047" s="443">
        <v>0.33333333333333331</v>
      </c>
      <c r="K1047" s="58" t="s">
        <v>911</v>
      </c>
      <c r="L1047" s="63" t="s">
        <v>30</v>
      </c>
      <c r="M1047" s="63" t="s">
        <v>1355</v>
      </c>
      <c r="N1047" s="100" t="s">
        <v>1520</v>
      </c>
      <c r="O1047" s="143" t="s">
        <v>5710</v>
      </c>
      <c r="P1047" s="338">
        <v>45666</v>
      </c>
      <c r="Q1047" s="338">
        <v>45666</v>
      </c>
      <c r="R1047" s="338">
        <v>46395</v>
      </c>
      <c r="S1047" s="338">
        <v>46396</v>
      </c>
      <c r="T1047" s="61">
        <v>2013</v>
      </c>
      <c r="U1047" s="63" t="s">
        <v>306</v>
      </c>
      <c r="V1047" s="61">
        <v>2020</v>
      </c>
      <c r="W1047" s="143" t="s">
        <v>9882</v>
      </c>
      <c r="X1047" s="62" t="s">
        <v>30</v>
      </c>
      <c r="Y1047" s="100" t="s">
        <v>1360</v>
      </c>
      <c r="Z1047" s="99" t="s">
        <v>9883</v>
      </c>
      <c r="AA1047" s="63" t="s">
        <v>1841</v>
      </c>
      <c r="AB1047" s="451">
        <v>45664</v>
      </c>
      <c r="AC1047" s="451">
        <v>47489</v>
      </c>
      <c r="AD1047" s="304" t="s">
        <v>9884</v>
      </c>
      <c r="AE1047" s="336" t="s">
        <v>9885</v>
      </c>
      <c r="AF1047" s="100" t="s">
        <v>1833</v>
      </c>
      <c r="AG1047" s="501" t="s">
        <v>9886</v>
      </c>
      <c r="AH1047" s="62" t="s">
        <v>9887</v>
      </c>
      <c r="AI1047" s="61" t="s">
        <v>9888</v>
      </c>
      <c r="AJ1047" s="501" t="s">
        <v>9889</v>
      </c>
      <c r="AK1047" s="63" t="s">
        <v>9890</v>
      </c>
      <c r="AL1047" s="446">
        <v>45674</v>
      </c>
      <c r="AM1047" s="446" t="s">
        <v>30</v>
      </c>
      <c r="AN1047" s="541" t="s">
        <v>1592</v>
      </c>
      <c r="AO1047" s="539" t="s">
        <v>9891</v>
      </c>
      <c r="AP1047" s="61">
        <v>38</v>
      </c>
      <c r="AQ1047" s="143"/>
      <c r="AR1047" s="493"/>
      <c r="AS1047" s="515"/>
      <c r="AT1047" s="515"/>
      <c r="AU1047" s="453">
        <v>31994</v>
      </c>
      <c r="AV1047" s="62" t="s">
        <v>1352</v>
      </c>
      <c r="AW1047" s="31" t="s">
        <v>68</v>
      </c>
      <c r="AX1047" s="139">
        <v>8</v>
      </c>
      <c r="AY1047" s="58" t="s">
        <v>2469</v>
      </c>
      <c r="AZ1047" s="58" t="s">
        <v>1373</v>
      </c>
      <c r="BA1047" s="58" t="s">
        <v>151</v>
      </c>
      <c r="BB1047" s="58" t="s">
        <v>1407</v>
      </c>
      <c r="BC1047" s="58"/>
    </row>
    <row r="1048" spans="1:55" x14ac:dyDescent="0.25">
      <c r="A1048" s="10">
        <f t="shared" si="43"/>
        <v>1047</v>
      </c>
      <c r="B1048" s="181" t="s">
        <v>9892</v>
      </c>
      <c r="C1048" s="592" t="s">
        <v>1407</v>
      </c>
      <c r="D1048" s="499">
        <v>401050</v>
      </c>
      <c r="E1048" s="62" t="s">
        <v>36</v>
      </c>
      <c r="F1048" s="97" t="s">
        <v>9893</v>
      </c>
      <c r="G1048" s="64">
        <v>6</v>
      </c>
      <c r="H1048" s="141">
        <v>0.70833333333333337</v>
      </c>
      <c r="I1048" s="141">
        <v>0.79166666666666663</v>
      </c>
      <c r="J1048" s="141">
        <v>8.3333333333333329E-2</v>
      </c>
      <c r="K1048" s="143" t="s">
        <v>513</v>
      </c>
      <c r="L1048" s="63" t="s">
        <v>1424</v>
      </c>
      <c r="M1048" s="97" t="s">
        <v>1376</v>
      </c>
      <c r="N1048" s="58" t="s">
        <v>1393</v>
      </c>
      <c r="O1048" s="100" t="s">
        <v>30</v>
      </c>
      <c r="P1048" s="273">
        <v>45516</v>
      </c>
      <c r="Q1048" s="338">
        <v>45516</v>
      </c>
      <c r="R1048" s="338">
        <v>46245</v>
      </c>
      <c r="S1048" s="338">
        <v>46246</v>
      </c>
      <c r="T1048" s="61">
        <v>2021</v>
      </c>
      <c r="U1048" s="63" t="s">
        <v>9894</v>
      </c>
      <c r="V1048" s="61" t="s">
        <v>30</v>
      </c>
      <c r="W1048" s="100" t="s">
        <v>30</v>
      </c>
      <c r="X1048" s="62" t="s">
        <v>30</v>
      </c>
      <c r="Y1048" s="100" t="s">
        <v>226</v>
      </c>
      <c r="Z1048" s="99" t="s">
        <v>9895</v>
      </c>
      <c r="AA1048" s="63" t="s">
        <v>1886</v>
      </c>
      <c r="AB1048" s="451">
        <v>45429</v>
      </c>
      <c r="AC1048" s="451">
        <v>47254</v>
      </c>
      <c r="AD1048" s="220">
        <v>7989270404</v>
      </c>
      <c r="AE1048" s="336" t="s">
        <v>9896</v>
      </c>
      <c r="AF1048" s="100" t="s">
        <v>1495</v>
      </c>
      <c r="AG1048" s="337" t="s">
        <v>9897</v>
      </c>
      <c r="AH1048" s="62" t="s">
        <v>9898</v>
      </c>
      <c r="AI1048" s="62" t="s">
        <v>9899</v>
      </c>
      <c r="AJ1048" s="493">
        <v>231515490294</v>
      </c>
      <c r="AK1048" s="63" t="s">
        <v>9900</v>
      </c>
      <c r="AL1048" s="446">
        <v>45681</v>
      </c>
      <c r="AM1048" s="446" t="s">
        <v>30</v>
      </c>
      <c r="AN1048" s="100" t="s">
        <v>4891</v>
      </c>
      <c r="AO1048" s="63" t="s">
        <v>9901</v>
      </c>
      <c r="AP1048" s="61">
        <v>27</v>
      </c>
      <c r="AQ1048" s="100"/>
      <c r="AR1048" s="143"/>
      <c r="AS1048" s="338"/>
      <c r="AT1048" s="338"/>
      <c r="AU1048" s="453">
        <v>35939</v>
      </c>
      <c r="AV1048" s="62" t="s">
        <v>1352</v>
      </c>
      <c r="AW1048" s="31" t="s">
        <v>32</v>
      </c>
      <c r="AX1048" s="139">
        <v>2</v>
      </c>
      <c r="AY1048" s="58" t="s">
        <v>1959</v>
      </c>
      <c r="AZ1048" s="58" t="s">
        <v>1390</v>
      </c>
      <c r="BA1048" s="58" t="s">
        <v>151</v>
      </c>
      <c r="BB1048" s="58" t="s">
        <v>1407</v>
      </c>
      <c r="BC1048" s="58"/>
    </row>
    <row r="1049" spans="1:55" x14ac:dyDescent="0.25">
      <c r="A1049" s="10">
        <f t="shared" si="43"/>
        <v>1048</v>
      </c>
      <c r="B1049" s="181" t="s">
        <v>5301</v>
      </c>
      <c r="C1049" s="592" t="s">
        <v>1407</v>
      </c>
      <c r="D1049" s="499">
        <v>401025</v>
      </c>
      <c r="E1049" s="62" t="s">
        <v>36</v>
      </c>
      <c r="F1049" s="97" t="s">
        <v>5302</v>
      </c>
      <c r="G1049" s="61">
        <v>6</v>
      </c>
      <c r="H1049" s="141">
        <v>0.70833333333333337</v>
      </c>
      <c r="I1049" s="141">
        <v>0.79166666666666663</v>
      </c>
      <c r="J1049" s="141">
        <v>8.3333333333333329E-2</v>
      </c>
      <c r="K1049" s="143" t="s">
        <v>384</v>
      </c>
      <c r="L1049" s="99" t="s">
        <v>9902</v>
      </c>
      <c r="M1049" s="63" t="s">
        <v>26</v>
      </c>
      <c r="N1049" s="100" t="s">
        <v>38</v>
      </c>
      <c r="O1049" s="143" t="s">
        <v>5710</v>
      </c>
      <c r="P1049" s="338">
        <v>45474</v>
      </c>
      <c r="Q1049" s="338">
        <v>45474</v>
      </c>
      <c r="R1049" s="338">
        <v>46203</v>
      </c>
      <c r="S1049" s="338">
        <v>46204</v>
      </c>
      <c r="T1049" s="61">
        <v>2009</v>
      </c>
      <c r="U1049" s="63" t="s">
        <v>534</v>
      </c>
      <c r="V1049" s="61">
        <v>2015</v>
      </c>
      <c r="W1049" s="100" t="s">
        <v>534</v>
      </c>
      <c r="X1049" s="62" t="s">
        <v>30</v>
      </c>
      <c r="Y1049" s="100" t="s">
        <v>9508</v>
      </c>
      <c r="Z1049" s="99">
        <v>69466</v>
      </c>
      <c r="AA1049" s="63" t="s">
        <v>1841</v>
      </c>
      <c r="AB1049" s="451">
        <v>45393</v>
      </c>
      <c r="AC1049" s="451">
        <v>47218</v>
      </c>
      <c r="AD1049" s="304">
        <v>9985077082</v>
      </c>
      <c r="AE1049" s="336" t="s">
        <v>5304</v>
      </c>
      <c r="AF1049" s="500" t="s">
        <v>1805</v>
      </c>
      <c r="AG1049" s="501" t="s">
        <v>9903</v>
      </c>
      <c r="AH1049" s="62" t="s">
        <v>9904</v>
      </c>
      <c r="AI1049" s="501" t="s">
        <v>5307</v>
      </c>
      <c r="AJ1049" s="501">
        <v>435856754146</v>
      </c>
      <c r="AK1049" s="63" t="s">
        <v>5308</v>
      </c>
      <c r="AL1049" s="514">
        <v>45682</v>
      </c>
      <c r="AM1049" s="477">
        <v>45623</v>
      </c>
      <c r="AN1049" s="502" t="s">
        <v>1592</v>
      </c>
      <c r="AO1049" s="99" t="s">
        <v>9905</v>
      </c>
      <c r="AP1049" s="61">
        <v>39</v>
      </c>
      <c r="AQ1049" s="143" t="s">
        <v>1371</v>
      </c>
      <c r="AR1049" s="181" t="s">
        <v>9906</v>
      </c>
      <c r="AS1049" s="515">
        <v>45575</v>
      </c>
      <c r="AT1049" s="515"/>
      <c r="AU1049" s="338">
        <v>31552</v>
      </c>
      <c r="AV1049" s="61" t="s">
        <v>1389</v>
      </c>
      <c r="AW1049" s="31" t="s">
        <v>32</v>
      </c>
      <c r="AX1049" s="139">
        <v>2</v>
      </c>
      <c r="AY1049" s="58" t="s">
        <v>1959</v>
      </c>
      <c r="AZ1049" s="58" t="s">
        <v>26</v>
      </c>
      <c r="BA1049" s="58" t="s">
        <v>151</v>
      </c>
      <c r="BB1049" s="58" t="s">
        <v>1407</v>
      </c>
      <c r="BC1049" s="58"/>
    </row>
    <row r="1050" spans="1:55" x14ac:dyDescent="0.25">
      <c r="A1050" s="10">
        <f t="shared" si="43"/>
        <v>1049</v>
      </c>
      <c r="B1050" s="181" t="s">
        <v>9907</v>
      </c>
      <c r="C1050" s="592" t="s">
        <v>1407</v>
      </c>
      <c r="D1050" s="499">
        <v>401134</v>
      </c>
      <c r="E1050" s="62" t="s">
        <v>36</v>
      </c>
      <c r="F1050" s="97" t="s">
        <v>9908</v>
      </c>
      <c r="G1050" s="61">
        <v>6</v>
      </c>
      <c r="H1050" s="141">
        <v>0.375</v>
      </c>
      <c r="I1050" s="141">
        <v>0.70833333333333337</v>
      </c>
      <c r="J1050" s="141">
        <v>0.33333333333333331</v>
      </c>
      <c r="K1050" s="143" t="s">
        <v>255</v>
      </c>
      <c r="L1050" s="63" t="s">
        <v>30</v>
      </c>
      <c r="M1050" s="63" t="s">
        <v>1908</v>
      </c>
      <c r="N1050" s="100" t="s">
        <v>1909</v>
      </c>
      <c r="O1050" s="100" t="s">
        <v>8464</v>
      </c>
      <c r="P1050" s="273">
        <v>45621</v>
      </c>
      <c r="Q1050" s="273">
        <v>45621</v>
      </c>
      <c r="R1050" s="273">
        <v>45801</v>
      </c>
      <c r="S1050" s="273">
        <v>45802</v>
      </c>
      <c r="T1050" s="61">
        <v>2016</v>
      </c>
      <c r="U1050" s="99" t="s">
        <v>9909</v>
      </c>
      <c r="V1050" s="61">
        <v>2023</v>
      </c>
      <c r="W1050" s="143" t="s">
        <v>9909</v>
      </c>
      <c r="X1050" s="62" t="s">
        <v>30</v>
      </c>
      <c r="Y1050" s="100" t="s">
        <v>2594</v>
      </c>
      <c r="Z1050" s="99"/>
      <c r="AA1050" s="63" t="s">
        <v>3344</v>
      </c>
      <c r="AB1050" s="62"/>
      <c r="AC1050" s="62"/>
      <c r="AD1050" s="304">
        <v>8179908183</v>
      </c>
      <c r="AE1050" s="336" t="s">
        <v>9910</v>
      </c>
      <c r="AF1050" s="100" t="s">
        <v>1833</v>
      </c>
      <c r="AG1050" s="501" t="s">
        <v>9911</v>
      </c>
      <c r="AH1050" s="62" t="s">
        <v>9912</v>
      </c>
      <c r="AI1050" s="61" t="s">
        <v>9913</v>
      </c>
      <c r="AJ1050" s="493">
        <v>871077478213</v>
      </c>
      <c r="AK1050" s="63" t="s">
        <v>9914</v>
      </c>
      <c r="AL1050" s="446">
        <v>45684</v>
      </c>
      <c r="AM1050" s="446" t="s">
        <v>30</v>
      </c>
      <c r="AN1050" s="541" t="s">
        <v>9915</v>
      </c>
      <c r="AO1050" s="539" t="s">
        <v>9916</v>
      </c>
      <c r="AP1050" s="61">
        <v>31</v>
      </c>
      <c r="AQ1050" s="143"/>
      <c r="AR1050" s="493"/>
      <c r="AS1050" s="515"/>
      <c r="AT1050" s="515"/>
      <c r="AU1050" s="338">
        <v>34363</v>
      </c>
      <c r="AV1050" s="62" t="s">
        <v>1389</v>
      </c>
      <c r="AW1050" s="31" t="s">
        <v>68</v>
      </c>
      <c r="AX1050" s="139">
        <v>8</v>
      </c>
      <c r="AY1050" s="58" t="s">
        <v>2068</v>
      </c>
      <c r="AZ1050" s="484" t="s">
        <v>1908</v>
      </c>
      <c r="BA1050" s="58" t="s">
        <v>151</v>
      </c>
      <c r="BB1050" s="58" t="s">
        <v>1407</v>
      </c>
      <c r="BC1050" s="58"/>
    </row>
    <row r="1051" spans="1:55" x14ac:dyDescent="0.25">
      <c r="A1051" s="10">
        <f t="shared" si="43"/>
        <v>1050</v>
      </c>
      <c r="B1051" s="181" t="s">
        <v>9917</v>
      </c>
      <c r="C1051" s="592" t="s">
        <v>1407</v>
      </c>
      <c r="D1051" s="499">
        <v>400985</v>
      </c>
      <c r="E1051" s="62" t="s">
        <v>36</v>
      </c>
      <c r="F1051" s="97" t="s">
        <v>9918</v>
      </c>
      <c r="G1051" s="61">
        <v>6</v>
      </c>
      <c r="H1051" s="141">
        <v>0.33333333333333331</v>
      </c>
      <c r="I1051" s="141">
        <v>0.875</v>
      </c>
      <c r="J1051" s="443">
        <v>0.33333333333333331</v>
      </c>
      <c r="K1051" s="58" t="s">
        <v>1151</v>
      </c>
      <c r="L1051" s="63" t="s">
        <v>1424</v>
      </c>
      <c r="M1051" s="63" t="s">
        <v>1355</v>
      </c>
      <c r="N1051" s="100" t="s">
        <v>1520</v>
      </c>
      <c r="O1051" s="100" t="s">
        <v>4752</v>
      </c>
      <c r="P1051" s="446">
        <v>45404</v>
      </c>
      <c r="Q1051" s="446">
        <v>45597</v>
      </c>
      <c r="R1051" s="446">
        <v>46133</v>
      </c>
      <c r="S1051" s="338">
        <v>46134</v>
      </c>
      <c r="T1051" s="61">
        <v>2017</v>
      </c>
      <c r="U1051" s="62" t="s">
        <v>441</v>
      </c>
      <c r="V1051" s="61">
        <v>2023</v>
      </c>
      <c r="W1051" s="99" t="s">
        <v>343</v>
      </c>
      <c r="X1051" s="62" t="s">
        <v>30</v>
      </c>
      <c r="Y1051" s="100" t="s">
        <v>5066</v>
      </c>
      <c r="Z1051" s="99" t="s">
        <v>9919</v>
      </c>
      <c r="AA1051" s="63" t="s">
        <v>1886</v>
      </c>
      <c r="AB1051" s="451">
        <v>45327</v>
      </c>
      <c r="AC1051" s="451">
        <v>47153</v>
      </c>
      <c r="AD1051" s="304">
        <v>9539227349</v>
      </c>
      <c r="AE1051" s="336" t="s">
        <v>9920</v>
      </c>
      <c r="AF1051" s="500" t="s">
        <v>1805</v>
      </c>
      <c r="AG1051" s="501" t="s">
        <v>9921</v>
      </c>
      <c r="AH1051" s="62" t="s">
        <v>1889</v>
      </c>
      <c r="AI1051" s="61" t="s">
        <v>9922</v>
      </c>
      <c r="AJ1051" s="493">
        <v>937056840895</v>
      </c>
      <c r="AK1051" s="63"/>
      <c r="AL1051" s="446">
        <v>45685</v>
      </c>
      <c r="AM1051" s="477" t="s">
        <v>30</v>
      </c>
      <c r="AN1051" s="541" t="s">
        <v>9923</v>
      </c>
      <c r="AO1051" s="99" t="s">
        <v>9924</v>
      </c>
      <c r="AP1051" s="61">
        <v>32</v>
      </c>
      <c r="AQ1051" s="143"/>
      <c r="AR1051" s="493"/>
      <c r="AS1051" s="515"/>
      <c r="AT1051" s="515"/>
      <c r="AU1051" s="338">
        <v>33952</v>
      </c>
      <c r="AV1051" s="62" t="s">
        <v>1389</v>
      </c>
      <c r="AW1051" s="31" t="s">
        <v>68</v>
      </c>
      <c r="AX1051" s="139">
        <v>8</v>
      </c>
      <c r="AY1051" s="58" t="s">
        <v>1895</v>
      </c>
      <c r="AZ1051" s="58" t="s">
        <v>1373</v>
      </c>
      <c r="BA1051" s="58" t="s">
        <v>151</v>
      </c>
      <c r="BB1051" s="58" t="s">
        <v>1407</v>
      </c>
      <c r="BC1051" s="58"/>
    </row>
    <row r="1052" spans="1:55" x14ac:dyDescent="0.25">
      <c r="A1052" s="10">
        <f t="shared" si="43"/>
        <v>1051</v>
      </c>
      <c r="B1052" s="181" t="s">
        <v>9925</v>
      </c>
      <c r="C1052" s="592" t="s">
        <v>1407</v>
      </c>
      <c r="D1052" s="457">
        <v>400987</v>
      </c>
      <c r="E1052" s="181" t="s">
        <v>36</v>
      </c>
      <c r="F1052" s="97" t="s">
        <v>9926</v>
      </c>
      <c r="G1052" s="139">
        <v>6</v>
      </c>
      <c r="H1052" s="469">
        <v>0.45833333333333331</v>
      </c>
      <c r="I1052" s="469">
        <v>0.54166666666666663</v>
      </c>
      <c r="J1052" s="458">
        <f>I1052-H1052</f>
        <v>8.3333333333333315E-2</v>
      </c>
      <c r="K1052" s="100" t="s">
        <v>680</v>
      </c>
      <c r="L1052" s="97" t="s">
        <v>1424</v>
      </c>
      <c r="M1052" s="63" t="s">
        <v>1355</v>
      </c>
      <c r="N1052" s="100" t="s">
        <v>1520</v>
      </c>
      <c r="O1052" s="58" t="s">
        <v>5330</v>
      </c>
      <c r="P1052" s="206">
        <v>45411</v>
      </c>
      <c r="Q1052" s="206">
        <v>45411</v>
      </c>
      <c r="R1052" s="206">
        <v>46140</v>
      </c>
      <c r="S1052" s="461">
        <v>46141</v>
      </c>
      <c r="T1052" s="139">
        <v>2014</v>
      </c>
      <c r="U1052" s="181" t="s">
        <v>589</v>
      </c>
      <c r="V1052" s="139">
        <v>2021</v>
      </c>
      <c r="W1052" s="140" t="s">
        <v>9927</v>
      </c>
      <c r="X1052" s="181" t="s">
        <v>30</v>
      </c>
      <c r="Y1052" s="58" t="s">
        <v>5066</v>
      </c>
      <c r="Z1052" s="140" t="s">
        <v>9928</v>
      </c>
      <c r="AA1052" s="470" t="s">
        <v>1841</v>
      </c>
      <c r="AB1052" s="471">
        <v>44455</v>
      </c>
      <c r="AC1052" s="471">
        <v>46280</v>
      </c>
      <c r="AD1052" s="472" t="s">
        <v>9929</v>
      </c>
      <c r="AE1052" s="473" t="s">
        <v>9930</v>
      </c>
      <c r="AF1052" s="474" t="s">
        <v>1364</v>
      </c>
      <c r="AG1052" s="475" t="s">
        <v>9931</v>
      </c>
      <c r="AH1052" s="181" t="s">
        <v>6685</v>
      </c>
      <c r="AI1052" s="139" t="s">
        <v>9932</v>
      </c>
      <c r="AJ1052" s="476">
        <v>203880360616</v>
      </c>
      <c r="AK1052" s="470"/>
      <c r="AL1052" s="206">
        <v>45413</v>
      </c>
      <c r="AM1052" s="477"/>
      <c r="AN1052" s="478"/>
      <c r="AO1052" s="140" t="s">
        <v>9933</v>
      </c>
      <c r="AP1052" s="58"/>
      <c r="AQ1052" s="140" t="s">
        <v>9933</v>
      </c>
      <c r="AR1052" s="462"/>
      <c r="AS1052" s="479">
        <v>0.45833333333333331</v>
      </c>
      <c r="AT1052" s="479">
        <v>0.54166666666666663</v>
      </c>
      <c r="AU1052" s="480">
        <v>32075</v>
      </c>
      <c r="AV1052" s="181" t="s">
        <v>1389</v>
      </c>
      <c r="AW1052" s="31" t="s">
        <v>32</v>
      </c>
      <c r="AX1052" s="139">
        <v>2</v>
      </c>
      <c r="AY1052" s="58" t="s">
        <v>2189</v>
      </c>
      <c r="AZ1052" s="58" t="s">
        <v>1373</v>
      </c>
      <c r="BA1052" s="58" t="s">
        <v>151</v>
      </c>
      <c r="BB1052" s="58" t="s">
        <v>1407</v>
      </c>
      <c r="BC1052" s="58"/>
    </row>
    <row r="1053" spans="1:55" x14ac:dyDescent="0.25">
      <c r="A1053" s="10">
        <f t="shared" si="43"/>
        <v>1052</v>
      </c>
      <c r="B1053" s="181" t="s">
        <v>9934</v>
      </c>
      <c r="C1053" s="592" t="s">
        <v>1407</v>
      </c>
      <c r="D1053" s="499">
        <v>400927</v>
      </c>
      <c r="E1053" s="181" t="s">
        <v>9124</v>
      </c>
      <c r="F1053" s="97" t="s">
        <v>9935</v>
      </c>
      <c r="G1053" s="61">
        <v>6</v>
      </c>
      <c r="H1053" s="141" t="s">
        <v>9936</v>
      </c>
      <c r="I1053" s="141" t="s">
        <v>9937</v>
      </c>
      <c r="J1053" s="141">
        <v>0.33333333333333331</v>
      </c>
      <c r="K1053" s="100" t="s">
        <v>563</v>
      </c>
      <c r="L1053" s="63" t="s">
        <v>9938</v>
      </c>
      <c r="M1053" s="63" t="s">
        <v>26</v>
      </c>
      <c r="N1053" s="100" t="s">
        <v>38</v>
      </c>
      <c r="O1053" s="143" t="s">
        <v>5710</v>
      </c>
      <c r="P1053" s="446">
        <v>45313</v>
      </c>
      <c r="Q1053" s="446">
        <v>45313</v>
      </c>
      <c r="R1053" s="446">
        <v>46043</v>
      </c>
      <c r="S1053" s="338">
        <v>46044</v>
      </c>
      <c r="T1053" s="61">
        <v>2016</v>
      </c>
      <c r="U1053" s="62" t="s">
        <v>4355</v>
      </c>
      <c r="V1053" s="61">
        <v>2021</v>
      </c>
      <c r="W1053" s="63" t="s">
        <v>3048</v>
      </c>
      <c r="X1053" s="62" t="s">
        <v>30</v>
      </c>
      <c r="Y1053" s="100" t="s">
        <v>5066</v>
      </c>
      <c r="Z1053" s="99" t="s">
        <v>9939</v>
      </c>
      <c r="AA1053" s="63" t="s">
        <v>1886</v>
      </c>
      <c r="AB1053" s="451">
        <v>44728</v>
      </c>
      <c r="AC1053" s="451">
        <v>46553</v>
      </c>
      <c r="AD1053" s="304">
        <v>7207364736</v>
      </c>
      <c r="AE1053" s="336" t="s">
        <v>9940</v>
      </c>
      <c r="AF1053" s="500" t="s">
        <v>1430</v>
      </c>
      <c r="AG1053" s="501" t="s">
        <v>9941</v>
      </c>
      <c r="AH1053" s="62" t="s">
        <v>5567</v>
      </c>
      <c r="AI1053" s="61" t="s">
        <v>9942</v>
      </c>
      <c r="AJ1053" s="493">
        <v>331391264725</v>
      </c>
      <c r="AK1053" s="63"/>
      <c r="AL1053" s="545">
        <v>45686</v>
      </c>
      <c r="AM1053" s="477" t="s">
        <v>30</v>
      </c>
      <c r="AN1053" s="541" t="s">
        <v>9943</v>
      </c>
      <c r="AO1053" s="63" t="s">
        <v>9944</v>
      </c>
      <c r="AP1053" s="61">
        <v>32</v>
      </c>
      <c r="AQ1053" s="143"/>
      <c r="AR1053" s="493"/>
      <c r="AS1053" s="515"/>
      <c r="AT1053" s="515"/>
      <c r="AU1053" s="453">
        <v>34053</v>
      </c>
      <c r="AV1053" s="62" t="s">
        <v>1352</v>
      </c>
      <c r="AW1053" s="31" t="s">
        <v>68</v>
      </c>
      <c r="AX1053" s="139">
        <v>8</v>
      </c>
      <c r="AY1053" s="58" t="s">
        <v>1895</v>
      </c>
      <c r="AZ1053" s="58" t="s">
        <v>26</v>
      </c>
      <c r="BA1053" s="58" t="s">
        <v>151</v>
      </c>
      <c r="BB1053" s="58" t="s">
        <v>1407</v>
      </c>
      <c r="BC1053" s="58"/>
    </row>
    <row r="1054" spans="1:55" x14ac:dyDescent="0.25">
      <c r="A1054" s="10">
        <f t="shared" si="43"/>
        <v>1053</v>
      </c>
      <c r="B1054" s="181" t="s">
        <v>5381</v>
      </c>
      <c r="C1054" s="592" t="s">
        <v>1407</v>
      </c>
      <c r="D1054" s="457">
        <v>400990</v>
      </c>
      <c r="E1054" s="181" t="s">
        <v>36</v>
      </c>
      <c r="F1054" s="97" t="s">
        <v>5382</v>
      </c>
      <c r="G1054" s="139">
        <v>6</v>
      </c>
      <c r="H1054" s="469" t="s">
        <v>5222</v>
      </c>
      <c r="I1054" s="469" t="s">
        <v>8486</v>
      </c>
      <c r="J1054" s="458">
        <f>I1054-H1054</f>
        <v>0.16666666666666663</v>
      </c>
      <c r="K1054" s="58" t="s">
        <v>1224</v>
      </c>
      <c r="L1054" s="97" t="s">
        <v>9945</v>
      </c>
      <c r="M1054" s="97" t="s">
        <v>26</v>
      </c>
      <c r="N1054" s="58" t="s">
        <v>38</v>
      </c>
      <c r="O1054" s="58" t="s">
        <v>5063</v>
      </c>
      <c r="P1054" s="206">
        <v>45414</v>
      </c>
      <c r="Q1054" s="206">
        <v>45414</v>
      </c>
      <c r="R1054" s="206">
        <v>46143</v>
      </c>
      <c r="S1054" s="461">
        <v>46144</v>
      </c>
      <c r="T1054" s="139">
        <v>2014</v>
      </c>
      <c r="U1054" s="181" t="s">
        <v>343</v>
      </c>
      <c r="V1054" s="139">
        <v>2018</v>
      </c>
      <c r="W1054" s="140" t="s">
        <v>5384</v>
      </c>
      <c r="X1054" s="181" t="s">
        <v>30</v>
      </c>
      <c r="Y1054" s="58" t="s">
        <v>7156</v>
      </c>
      <c r="Z1054" s="140" t="s">
        <v>5385</v>
      </c>
      <c r="AA1054" s="470" t="s">
        <v>1886</v>
      </c>
      <c r="AB1054" s="471"/>
      <c r="AC1054" s="471"/>
      <c r="AD1054" s="472">
        <v>9177880430</v>
      </c>
      <c r="AE1054" s="473" t="s">
        <v>5386</v>
      </c>
      <c r="AF1054" s="474" t="s">
        <v>1430</v>
      </c>
      <c r="AG1054" s="475" t="s">
        <v>5387</v>
      </c>
      <c r="AH1054" s="181" t="s">
        <v>5388</v>
      </c>
      <c r="AI1054" s="139" t="s">
        <v>5389</v>
      </c>
      <c r="AJ1054" s="476">
        <v>859782197136</v>
      </c>
      <c r="AK1054" s="470"/>
      <c r="AL1054" s="461"/>
      <c r="AM1054" s="477"/>
      <c r="AN1054" s="478"/>
      <c r="AO1054" s="97" t="s">
        <v>9946</v>
      </c>
      <c r="AP1054" s="58"/>
      <c r="AQ1054" s="462"/>
      <c r="AR1054" s="462"/>
      <c r="AS1054" s="479">
        <v>0.375</v>
      </c>
      <c r="AT1054" s="479">
        <v>0.54166666666666663</v>
      </c>
      <c r="AU1054" s="480">
        <v>32774</v>
      </c>
      <c r="AV1054" s="181" t="s">
        <v>1352</v>
      </c>
      <c r="AW1054" s="31" t="s">
        <v>32</v>
      </c>
      <c r="AX1054" s="139">
        <v>4</v>
      </c>
      <c r="AY1054" s="58" t="s">
        <v>2006</v>
      </c>
      <c r="AZ1054" s="58" t="s">
        <v>26</v>
      </c>
      <c r="BA1054" s="58" t="s">
        <v>151</v>
      </c>
      <c r="BB1054" s="58" t="s">
        <v>1407</v>
      </c>
      <c r="BC1054" s="58"/>
    </row>
    <row r="1055" spans="1:55" x14ac:dyDescent="0.25">
      <c r="A1055" s="10">
        <f t="shared" si="43"/>
        <v>1054</v>
      </c>
      <c r="B1055" s="181" t="s">
        <v>9947</v>
      </c>
      <c r="C1055" s="592" t="s">
        <v>1407</v>
      </c>
      <c r="D1055" s="499">
        <v>401005</v>
      </c>
      <c r="E1055" s="62" t="s">
        <v>36</v>
      </c>
      <c r="F1055" s="97" t="s">
        <v>9948</v>
      </c>
      <c r="G1055" s="61">
        <v>6</v>
      </c>
      <c r="H1055" s="141">
        <v>0.35416666666666669</v>
      </c>
      <c r="I1055" s="141">
        <v>0.52083333333333337</v>
      </c>
      <c r="J1055" s="141">
        <v>0.16666666666666666</v>
      </c>
      <c r="K1055" s="100" t="s">
        <v>819</v>
      </c>
      <c r="L1055" s="63" t="s">
        <v>9949</v>
      </c>
      <c r="M1055" s="63" t="s">
        <v>26</v>
      </c>
      <c r="N1055" s="100" t="s">
        <v>38</v>
      </c>
      <c r="O1055" s="143" t="s">
        <v>5710</v>
      </c>
      <c r="P1055" s="338">
        <v>45450</v>
      </c>
      <c r="Q1055" s="338">
        <v>45450</v>
      </c>
      <c r="R1055" s="338">
        <v>46179</v>
      </c>
      <c r="S1055" s="338">
        <v>46180</v>
      </c>
      <c r="T1055" s="61">
        <v>2018</v>
      </c>
      <c r="U1055" s="63" t="s">
        <v>9950</v>
      </c>
      <c r="V1055" s="61">
        <v>2021</v>
      </c>
      <c r="W1055" s="100" t="s">
        <v>2542</v>
      </c>
      <c r="X1055" s="62" t="s">
        <v>30</v>
      </c>
      <c r="Y1055" s="100" t="s">
        <v>1611</v>
      </c>
      <c r="Z1055" s="99" t="s">
        <v>9951</v>
      </c>
      <c r="AA1055" s="63" t="s">
        <v>1841</v>
      </c>
      <c r="AB1055" s="451">
        <v>45474</v>
      </c>
      <c r="AC1055" s="451">
        <v>47299</v>
      </c>
      <c r="AD1055" s="304">
        <v>8125230774</v>
      </c>
      <c r="AE1055" s="336" t="s">
        <v>9952</v>
      </c>
      <c r="AF1055" s="500" t="s">
        <v>1805</v>
      </c>
      <c r="AG1055" s="501">
        <v>107910100069152</v>
      </c>
      <c r="AH1055" s="62" t="s">
        <v>3669</v>
      </c>
      <c r="AI1055" s="61" t="s">
        <v>9953</v>
      </c>
      <c r="AJ1055" s="501" t="s">
        <v>9954</v>
      </c>
      <c r="AK1055" s="63" t="s">
        <v>9955</v>
      </c>
      <c r="AL1055" s="514">
        <v>45688</v>
      </c>
      <c r="AM1055" s="477">
        <v>45642</v>
      </c>
      <c r="AN1055" s="502" t="s">
        <v>9956</v>
      </c>
      <c r="AO1055" s="63" t="s">
        <v>9957</v>
      </c>
      <c r="AP1055" s="61">
        <v>30</v>
      </c>
      <c r="AQ1055" s="143"/>
      <c r="AR1055" s="493"/>
      <c r="AS1055" s="515"/>
      <c r="AT1055" s="515"/>
      <c r="AU1055" s="338">
        <v>34711</v>
      </c>
      <c r="AV1055" s="62" t="s">
        <v>1352</v>
      </c>
      <c r="AW1055" s="31" t="s">
        <v>32</v>
      </c>
      <c r="AX1055" s="139">
        <v>4</v>
      </c>
      <c r="AY1055" s="58" t="s">
        <v>2189</v>
      </c>
      <c r="AZ1055" s="58" t="s">
        <v>26</v>
      </c>
      <c r="BA1055" s="58" t="s">
        <v>151</v>
      </c>
      <c r="BB1055" s="58" t="s">
        <v>1407</v>
      </c>
      <c r="BC1055" s="58"/>
    </row>
    <row r="1056" spans="1:55" x14ac:dyDescent="0.25">
      <c r="A1056" s="10">
        <f t="shared" si="43"/>
        <v>1055</v>
      </c>
      <c r="B1056" s="181"/>
      <c r="C1056" s="592" t="s">
        <v>1407</v>
      </c>
      <c r="D1056" s="457">
        <v>400993</v>
      </c>
      <c r="E1056" s="181" t="s">
        <v>36</v>
      </c>
      <c r="F1056" s="97" t="s">
        <v>9958</v>
      </c>
      <c r="G1056" s="139">
        <v>6</v>
      </c>
      <c r="H1056" s="469" t="s">
        <v>9959</v>
      </c>
      <c r="I1056" s="469" t="s">
        <v>9960</v>
      </c>
      <c r="J1056" s="458">
        <f>I1056-H1056</f>
        <v>8.3333333333333315E-2</v>
      </c>
      <c r="K1056" s="58" t="s">
        <v>446</v>
      </c>
      <c r="L1056" s="97" t="s">
        <v>1424</v>
      </c>
      <c r="M1056" s="97" t="s">
        <v>1376</v>
      </c>
      <c r="N1056" s="58" t="s">
        <v>1393</v>
      </c>
      <c r="O1056" s="58" t="s">
        <v>1424</v>
      </c>
      <c r="P1056" s="206">
        <v>45422</v>
      </c>
      <c r="Q1056" s="206">
        <v>45422</v>
      </c>
      <c r="R1056" s="206">
        <v>46151</v>
      </c>
      <c r="S1056" s="461">
        <v>46152</v>
      </c>
      <c r="T1056" s="139">
        <v>2023</v>
      </c>
      <c r="U1056" s="181" t="s">
        <v>169</v>
      </c>
      <c r="V1056" s="139" t="s">
        <v>1424</v>
      </c>
      <c r="W1056" s="140" t="s">
        <v>1424</v>
      </c>
      <c r="X1056" s="181" t="s">
        <v>30</v>
      </c>
      <c r="Y1056" s="58" t="s">
        <v>226</v>
      </c>
      <c r="Z1056" s="140" t="s">
        <v>9961</v>
      </c>
      <c r="AA1056" s="470" t="s">
        <v>1841</v>
      </c>
      <c r="AB1056" s="471">
        <v>44862</v>
      </c>
      <c r="AC1056" s="471">
        <v>46687</v>
      </c>
      <c r="AD1056" s="472">
        <v>8688293062</v>
      </c>
      <c r="AE1056" s="473" t="s">
        <v>9962</v>
      </c>
      <c r="AF1056" s="474"/>
      <c r="AG1056" s="475"/>
      <c r="AH1056" s="181"/>
      <c r="AI1056" s="139" t="s">
        <v>9963</v>
      </c>
      <c r="AJ1056" s="476">
        <v>346215165443</v>
      </c>
      <c r="AK1056" s="470"/>
      <c r="AL1056" s="206">
        <v>45430</v>
      </c>
      <c r="AM1056" s="477" t="s">
        <v>30</v>
      </c>
      <c r="AN1056" s="519" t="s">
        <v>5072</v>
      </c>
      <c r="AO1056" s="140" t="s">
        <v>9964</v>
      </c>
      <c r="AP1056" s="58"/>
      <c r="AQ1056" s="140" t="s">
        <v>9964</v>
      </c>
      <c r="AR1056" s="462"/>
      <c r="AS1056" s="479">
        <v>0.35416666666666669</v>
      </c>
      <c r="AT1056" s="479">
        <v>0.4375</v>
      </c>
      <c r="AU1056" s="480">
        <v>36383</v>
      </c>
      <c r="AV1056" s="181" t="s">
        <v>1389</v>
      </c>
      <c r="AW1056" s="31" t="s">
        <v>32</v>
      </c>
      <c r="AX1056" s="139">
        <v>2</v>
      </c>
      <c r="AY1056" s="58" t="s">
        <v>1849</v>
      </c>
      <c r="AZ1056" s="58" t="s">
        <v>1390</v>
      </c>
      <c r="BA1056" s="58" t="s">
        <v>151</v>
      </c>
      <c r="BB1056" s="58" t="s">
        <v>1407</v>
      </c>
      <c r="BC1056" s="58"/>
    </row>
    <row r="1057" spans="1:55" x14ac:dyDescent="0.25">
      <c r="A1057" s="10">
        <f t="shared" si="43"/>
        <v>1056</v>
      </c>
      <c r="B1057" s="181" t="s">
        <v>6934</v>
      </c>
      <c r="C1057" s="592" t="s">
        <v>1407</v>
      </c>
      <c r="D1057" s="499">
        <v>401023</v>
      </c>
      <c r="E1057" s="62" t="s">
        <v>36</v>
      </c>
      <c r="F1057" s="97" t="s">
        <v>6935</v>
      </c>
      <c r="G1057" s="61">
        <v>6</v>
      </c>
      <c r="H1057" s="141">
        <v>0.41666666666666669</v>
      </c>
      <c r="I1057" s="141">
        <v>0.58333333333333337</v>
      </c>
      <c r="J1057" s="141">
        <v>0.16666666666666666</v>
      </c>
      <c r="K1057" s="100" t="s">
        <v>563</v>
      </c>
      <c r="L1057" s="99" t="s">
        <v>9965</v>
      </c>
      <c r="M1057" s="63" t="s">
        <v>26</v>
      </c>
      <c r="N1057" s="100" t="s">
        <v>38</v>
      </c>
      <c r="O1057" s="143" t="s">
        <v>5710</v>
      </c>
      <c r="P1057" s="338">
        <v>45474</v>
      </c>
      <c r="Q1057" s="338">
        <v>45474</v>
      </c>
      <c r="R1057" s="338">
        <v>46203</v>
      </c>
      <c r="S1057" s="338">
        <v>46204</v>
      </c>
      <c r="T1057" s="61">
        <v>2013</v>
      </c>
      <c r="U1057" s="63" t="s">
        <v>715</v>
      </c>
      <c r="V1057" s="61">
        <v>2019</v>
      </c>
      <c r="W1057" s="100" t="s">
        <v>430</v>
      </c>
      <c r="X1057" s="62" t="s">
        <v>30</v>
      </c>
      <c r="Y1057" s="100" t="s">
        <v>9508</v>
      </c>
      <c r="Z1057" s="99" t="s">
        <v>6938</v>
      </c>
      <c r="AA1057" s="99" t="s">
        <v>1886</v>
      </c>
      <c r="AB1057" s="453">
        <v>45516</v>
      </c>
      <c r="AC1057" s="453">
        <v>46976</v>
      </c>
      <c r="AD1057" s="61" t="s">
        <v>6939</v>
      </c>
      <c r="AE1057" s="540" t="s">
        <v>6940</v>
      </c>
      <c r="AF1057" s="500" t="s">
        <v>1833</v>
      </c>
      <c r="AG1057" s="501" t="s">
        <v>6941</v>
      </c>
      <c r="AH1057" s="61" t="s">
        <v>2660</v>
      </c>
      <c r="AI1057" s="61" t="s">
        <v>6942</v>
      </c>
      <c r="AJ1057" s="493" t="s">
        <v>6943</v>
      </c>
      <c r="AK1057" s="99" t="s">
        <v>9966</v>
      </c>
      <c r="AL1057" s="514">
        <v>45688</v>
      </c>
      <c r="AM1057" s="477">
        <v>45628</v>
      </c>
      <c r="AN1057" s="502" t="s">
        <v>1592</v>
      </c>
      <c r="AO1057" s="99"/>
      <c r="AP1057" s="61">
        <v>34</v>
      </c>
      <c r="AQ1057" s="143"/>
      <c r="AR1057" s="493"/>
      <c r="AS1057" s="515"/>
      <c r="AT1057" s="515"/>
      <c r="AU1057" s="338">
        <v>33433</v>
      </c>
      <c r="AV1057" s="61" t="s">
        <v>1389</v>
      </c>
      <c r="AW1057" s="31" t="s">
        <v>32</v>
      </c>
      <c r="AX1057" s="139">
        <v>4</v>
      </c>
      <c r="AY1057" s="58" t="s">
        <v>1895</v>
      </c>
      <c r="AZ1057" s="58" t="s">
        <v>26</v>
      </c>
      <c r="BA1057" s="58" t="s">
        <v>151</v>
      </c>
      <c r="BB1057" s="58" t="s">
        <v>1407</v>
      </c>
      <c r="BC1057" s="58"/>
    </row>
    <row r="1058" spans="1:55" x14ac:dyDescent="0.25">
      <c r="A1058" s="10">
        <f t="shared" si="43"/>
        <v>1057</v>
      </c>
      <c r="B1058" s="181" t="s">
        <v>9967</v>
      </c>
      <c r="C1058" s="592" t="s">
        <v>1407</v>
      </c>
      <c r="D1058" s="499">
        <v>401073</v>
      </c>
      <c r="E1058" s="62" t="s">
        <v>36</v>
      </c>
      <c r="F1058" s="97" t="s">
        <v>9968</v>
      </c>
      <c r="G1058" s="61">
        <v>6</v>
      </c>
      <c r="H1058" s="141">
        <v>0.375</v>
      </c>
      <c r="I1058" s="141">
        <v>0.41666666666666669</v>
      </c>
      <c r="J1058" s="458">
        <v>4.1666666666666664E-2</v>
      </c>
      <c r="K1058" s="100" t="s">
        <v>860</v>
      </c>
      <c r="L1058" s="63" t="s">
        <v>30</v>
      </c>
      <c r="M1058" s="97" t="s">
        <v>1376</v>
      </c>
      <c r="N1058" s="58" t="s">
        <v>1393</v>
      </c>
      <c r="O1058" s="100" t="s">
        <v>30</v>
      </c>
      <c r="P1058" s="273">
        <v>45546</v>
      </c>
      <c r="Q1058" s="273">
        <v>45546</v>
      </c>
      <c r="R1058" s="273">
        <v>46275</v>
      </c>
      <c r="S1058" s="273">
        <v>46276</v>
      </c>
      <c r="T1058" s="61">
        <v>2022</v>
      </c>
      <c r="U1058" s="99" t="s">
        <v>141</v>
      </c>
      <c r="V1058" s="61" t="s">
        <v>30</v>
      </c>
      <c r="W1058" s="143" t="s">
        <v>30</v>
      </c>
      <c r="X1058" s="62" t="s">
        <v>30</v>
      </c>
      <c r="Y1058" s="100" t="s">
        <v>226</v>
      </c>
      <c r="Z1058" s="99" t="s">
        <v>9969</v>
      </c>
      <c r="AA1058" s="63" t="s">
        <v>1841</v>
      </c>
      <c r="AB1058" s="451">
        <v>45216</v>
      </c>
      <c r="AC1058" s="451">
        <v>47042</v>
      </c>
      <c r="AD1058" s="304">
        <v>9121771863</v>
      </c>
      <c r="AE1058" s="336" t="s">
        <v>9970</v>
      </c>
      <c r="AF1058" s="100" t="s">
        <v>1833</v>
      </c>
      <c r="AG1058" s="501" t="s">
        <v>9971</v>
      </c>
      <c r="AH1058" s="62" t="s">
        <v>4549</v>
      </c>
      <c r="AI1058" s="61" t="s">
        <v>9972</v>
      </c>
      <c r="AJ1058" s="493">
        <v>361529315785</v>
      </c>
      <c r="AK1058" s="63" t="s">
        <v>9973</v>
      </c>
      <c r="AL1058" s="446">
        <v>45688</v>
      </c>
      <c r="AM1058" s="446">
        <v>45657</v>
      </c>
      <c r="AN1058" s="63" t="s">
        <v>9340</v>
      </c>
      <c r="AO1058" s="539" t="s">
        <v>9974</v>
      </c>
      <c r="AP1058" s="61">
        <v>25</v>
      </c>
      <c r="AQ1058" s="143"/>
      <c r="AR1058" s="493"/>
      <c r="AS1058" s="515"/>
      <c r="AT1058" s="515"/>
      <c r="AU1058" s="338">
        <v>36452</v>
      </c>
      <c r="AV1058" s="62" t="s">
        <v>1352</v>
      </c>
      <c r="AW1058" s="31" t="s">
        <v>32</v>
      </c>
      <c r="AX1058" s="139">
        <v>1</v>
      </c>
      <c r="AY1058" s="58" t="s">
        <v>2469</v>
      </c>
      <c r="AZ1058" s="58" t="s">
        <v>1390</v>
      </c>
      <c r="BA1058" s="58" t="s">
        <v>151</v>
      </c>
      <c r="BB1058" s="58" t="s">
        <v>1407</v>
      </c>
      <c r="BC1058" s="58"/>
    </row>
    <row r="1059" spans="1:55" x14ac:dyDescent="0.25">
      <c r="A1059" s="10">
        <f t="shared" si="43"/>
        <v>1058</v>
      </c>
      <c r="B1059" s="181" t="s">
        <v>138</v>
      </c>
      <c r="C1059" s="592" t="s">
        <v>1407</v>
      </c>
      <c r="D1059" s="499">
        <v>401097</v>
      </c>
      <c r="E1059" s="62" t="s">
        <v>36</v>
      </c>
      <c r="F1059" s="97" t="s">
        <v>139</v>
      </c>
      <c r="G1059" s="61">
        <v>6</v>
      </c>
      <c r="H1059" s="141">
        <v>0.75</v>
      </c>
      <c r="I1059" s="141">
        <v>0.83333333333333337</v>
      </c>
      <c r="J1059" s="141">
        <v>8.3333333333333329E-2</v>
      </c>
      <c r="K1059" s="462" t="s">
        <v>6991</v>
      </c>
      <c r="L1059" s="99" t="s">
        <v>9975</v>
      </c>
      <c r="M1059" s="63" t="s">
        <v>26</v>
      </c>
      <c r="N1059" s="100" t="s">
        <v>38</v>
      </c>
      <c r="O1059" s="143" t="s">
        <v>5710</v>
      </c>
      <c r="P1059" s="273">
        <v>45572</v>
      </c>
      <c r="Q1059" s="273">
        <v>45572</v>
      </c>
      <c r="R1059" s="273">
        <v>46301</v>
      </c>
      <c r="S1059" s="273">
        <v>46302</v>
      </c>
      <c r="T1059" s="61">
        <v>2019</v>
      </c>
      <c r="U1059" s="99" t="s">
        <v>141</v>
      </c>
      <c r="V1059" s="61">
        <v>2023</v>
      </c>
      <c r="W1059" s="143" t="s">
        <v>142</v>
      </c>
      <c r="X1059" s="61" t="s">
        <v>30</v>
      </c>
      <c r="Y1059" s="100" t="s">
        <v>97</v>
      </c>
      <c r="Z1059" s="99" t="s">
        <v>9976</v>
      </c>
      <c r="AA1059" s="99" t="s">
        <v>1841</v>
      </c>
      <c r="AB1059" s="451">
        <v>45167</v>
      </c>
      <c r="AC1059" s="451">
        <v>46993</v>
      </c>
      <c r="AD1059" s="61">
        <v>8008047489</v>
      </c>
      <c r="AE1059" s="540" t="s">
        <v>9977</v>
      </c>
      <c r="AF1059" s="100" t="s">
        <v>1833</v>
      </c>
      <c r="AG1059" s="501" t="s">
        <v>1834</v>
      </c>
      <c r="AH1059" s="62" t="s">
        <v>1835</v>
      </c>
      <c r="AI1059" s="61" t="s">
        <v>1836</v>
      </c>
      <c r="AJ1059" s="493">
        <v>831166665626</v>
      </c>
      <c r="AK1059" s="63" t="s">
        <v>1838</v>
      </c>
      <c r="AL1059" s="338">
        <v>45688</v>
      </c>
      <c r="AM1059" s="446" t="s">
        <v>30</v>
      </c>
      <c r="AN1059" s="541" t="s">
        <v>9978</v>
      </c>
      <c r="AO1059" s="539" t="s">
        <v>1839</v>
      </c>
      <c r="AP1059" s="61">
        <v>29</v>
      </c>
      <c r="AQ1059" s="143"/>
      <c r="AR1059" s="493"/>
      <c r="AS1059" s="515"/>
      <c r="AT1059" s="515"/>
      <c r="AU1059" s="338">
        <v>35040</v>
      </c>
      <c r="AV1059" s="62" t="s">
        <v>1389</v>
      </c>
      <c r="AW1059" s="31" t="s">
        <v>32</v>
      </c>
      <c r="AX1059" s="139">
        <v>2</v>
      </c>
      <c r="AY1059" s="58" t="s">
        <v>2006</v>
      </c>
      <c r="AZ1059" s="58" t="s">
        <v>26</v>
      </c>
      <c r="BA1059" s="58" t="s">
        <v>151</v>
      </c>
      <c r="BB1059" s="58" t="s">
        <v>1407</v>
      </c>
      <c r="BC1059" s="58"/>
    </row>
    <row r="1060" spans="1:55" x14ac:dyDescent="0.25">
      <c r="A1060" s="10">
        <f t="shared" si="43"/>
        <v>1059</v>
      </c>
      <c r="B1060" s="181" t="s">
        <v>9967</v>
      </c>
      <c r="C1060" s="592" t="s">
        <v>1407</v>
      </c>
      <c r="D1060" s="499">
        <v>401150</v>
      </c>
      <c r="E1060" s="62" t="s">
        <v>36</v>
      </c>
      <c r="F1060" s="97" t="s">
        <v>9968</v>
      </c>
      <c r="G1060" s="61">
        <v>6</v>
      </c>
      <c r="H1060" s="141">
        <v>0.4375</v>
      </c>
      <c r="I1060" s="141">
        <v>0.47916666666666669</v>
      </c>
      <c r="J1060" s="458">
        <v>4.1666666666666664E-2</v>
      </c>
      <c r="K1060" s="58" t="s">
        <v>693</v>
      </c>
      <c r="L1060" s="63" t="s">
        <v>30</v>
      </c>
      <c r="M1060" s="97" t="s">
        <v>1376</v>
      </c>
      <c r="N1060" s="58" t="s">
        <v>1393</v>
      </c>
      <c r="O1060" s="100" t="s">
        <v>30</v>
      </c>
      <c r="P1060" s="273">
        <v>45642</v>
      </c>
      <c r="Q1060" s="273">
        <v>45642</v>
      </c>
      <c r="R1060" s="273">
        <v>46371</v>
      </c>
      <c r="S1060" s="273">
        <v>46372</v>
      </c>
      <c r="T1060" s="61">
        <v>2022</v>
      </c>
      <c r="U1060" s="99" t="s">
        <v>141</v>
      </c>
      <c r="V1060" s="61" t="s">
        <v>30</v>
      </c>
      <c r="W1060" s="143" t="s">
        <v>30</v>
      </c>
      <c r="X1060" s="62" t="s">
        <v>30</v>
      </c>
      <c r="Y1060" s="100" t="s">
        <v>226</v>
      </c>
      <c r="Z1060" s="99" t="s">
        <v>9969</v>
      </c>
      <c r="AA1060" s="63" t="s">
        <v>1841</v>
      </c>
      <c r="AB1060" s="451">
        <v>45216</v>
      </c>
      <c r="AC1060" s="451">
        <v>47042</v>
      </c>
      <c r="AD1060" s="304">
        <v>9121771863</v>
      </c>
      <c r="AE1060" s="336" t="s">
        <v>9970</v>
      </c>
      <c r="AF1060" s="100" t="s">
        <v>1833</v>
      </c>
      <c r="AG1060" s="501" t="s">
        <v>9971</v>
      </c>
      <c r="AH1060" s="62" t="s">
        <v>4549</v>
      </c>
      <c r="AI1060" s="61" t="s">
        <v>9972</v>
      </c>
      <c r="AJ1060" s="493">
        <v>361529315785</v>
      </c>
      <c r="AK1060" s="63" t="s">
        <v>9973</v>
      </c>
      <c r="AL1060" s="446">
        <v>45688</v>
      </c>
      <c r="AM1060" s="446">
        <v>45657</v>
      </c>
      <c r="AN1060" s="63" t="s">
        <v>9340</v>
      </c>
      <c r="AO1060" s="539" t="s">
        <v>9974</v>
      </c>
      <c r="AP1060" s="61">
        <v>25</v>
      </c>
      <c r="AQ1060" s="143"/>
      <c r="AR1060" s="493"/>
      <c r="AS1060" s="515"/>
      <c r="AT1060" s="515"/>
      <c r="AU1060" s="338">
        <v>36452</v>
      </c>
      <c r="AV1060" s="62" t="s">
        <v>1352</v>
      </c>
      <c r="AW1060" s="31" t="s">
        <v>32</v>
      </c>
      <c r="AX1060" s="139">
        <v>1</v>
      </c>
      <c r="AY1060" s="58" t="s">
        <v>2469</v>
      </c>
      <c r="AZ1060" s="58" t="s">
        <v>1390</v>
      </c>
      <c r="BA1060" s="58" t="s">
        <v>151</v>
      </c>
      <c r="BB1060" s="58" t="s">
        <v>1407</v>
      </c>
      <c r="BC1060" s="58"/>
    </row>
    <row r="1061" spans="1:55" x14ac:dyDescent="0.25">
      <c r="A1061" s="10">
        <f t="shared" si="43"/>
        <v>1060</v>
      </c>
      <c r="B1061" s="181" t="s">
        <v>9979</v>
      </c>
      <c r="C1061" s="592" t="s">
        <v>1407</v>
      </c>
      <c r="D1061" s="499">
        <v>400996</v>
      </c>
      <c r="E1061" s="62" t="s">
        <v>36</v>
      </c>
      <c r="F1061" s="97" t="s">
        <v>9980</v>
      </c>
      <c r="G1061" s="61">
        <v>6</v>
      </c>
      <c r="H1061" s="141">
        <v>0.375</v>
      </c>
      <c r="I1061" s="141">
        <v>0.41666666666666669</v>
      </c>
      <c r="J1061" s="458">
        <v>4.1666666666666664E-2</v>
      </c>
      <c r="K1061" s="143" t="s">
        <v>802</v>
      </c>
      <c r="L1061" s="63" t="s">
        <v>1424</v>
      </c>
      <c r="M1061" s="97" t="s">
        <v>1376</v>
      </c>
      <c r="N1061" s="58" t="s">
        <v>1393</v>
      </c>
      <c r="O1061" s="100" t="s">
        <v>30</v>
      </c>
      <c r="P1061" s="446">
        <v>45425</v>
      </c>
      <c r="Q1061" s="446">
        <v>45425</v>
      </c>
      <c r="R1061" s="446">
        <v>46154</v>
      </c>
      <c r="S1061" s="338">
        <v>46155</v>
      </c>
      <c r="T1061" s="61">
        <v>2022</v>
      </c>
      <c r="U1061" s="62" t="s">
        <v>3416</v>
      </c>
      <c r="V1061" s="61" t="s">
        <v>1424</v>
      </c>
      <c r="W1061" s="63" t="s">
        <v>1424</v>
      </c>
      <c r="X1061" s="62" t="s">
        <v>30</v>
      </c>
      <c r="Y1061" s="100" t="s">
        <v>226</v>
      </c>
      <c r="Z1061" s="99" t="s">
        <v>9981</v>
      </c>
      <c r="AA1061" s="63" t="s">
        <v>1841</v>
      </c>
      <c r="AB1061" s="451">
        <v>44865</v>
      </c>
      <c r="AC1061" s="451">
        <v>46690</v>
      </c>
      <c r="AD1061" s="304">
        <v>9705907625</v>
      </c>
      <c r="AE1061" s="336" t="s">
        <v>9982</v>
      </c>
      <c r="AF1061" s="100" t="s">
        <v>1833</v>
      </c>
      <c r="AG1061" s="493">
        <v>43040777207</v>
      </c>
      <c r="AH1061" s="62" t="s">
        <v>5274</v>
      </c>
      <c r="AI1061" s="62" t="s">
        <v>9983</v>
      </c>
      <c r="AJ1061" s="493">
        <v>535771061282</v>
      </c>
      <c r="AK1061" s="63"/>
      <c r="AL1061" s="446">
        <v>45694</v>
      </c>
      <c r="AM1061" s="477">
        <v>45666</v>
      </c>
      <c r="AN1061" s="502" t="s">
        <v>9984</v>
      </c>
      <c r="AO1061" s="63" t="s">
        <v>9985</v>
      </c>
      <c r="AP1061" s="61">
        <v>28</v>
      </c>
      <c r="AQ1061" s="143"/>
      <c r="AR1061" s="493"/>
      <c r="AS1061" s="515"/>
      <c r="AT1061" s="515"/>
      <c r="AU1061" s="338">
        <v>35683</v>
      </c>
      <c r="AV1061" s="62" t="s">
        <v>1389</v>
      </c>
      <c r="AW1061" s="31" t="s">
        <v>32</v>
      </c>
      <c r="AX1061" s="139">
        <v>1</v>
      </c>
      <c r="AY1061" s="58" t="s">
        <v>2469</v>
      </c>
      <c r="AZ1061" s="58" t="s">
        <v>1390</v>
      </c>
      <c r="BA1061" s="58" t="s">
        <v>151</v>
      </c>
      <c r="BB1061" s="58" t="s">
        <v>1407</v>
      </c>
      <c r="BC1061" s="58"/>
    </row>
    <row r="1062" spans="1:55" x14ac:dyDescent="0.25">
      <c r="A1062" s="10">
        <f t="shared" si="43"/>
        <v>1061</v>
      </c>
      <c r="B1062" s="181" t="s">
        <v>9986</v>
      </c>
      <c r="C1062" s="592" t="s">
        <v>1407</v>
      </c>
      <c r="D1062" s="499">
        <v>401165</v>
      </c>
      <c r="E1062" s="62" t="s">
        <v>36</v>
      </c>
      <c r="F1062" s="97" t="s">
        <v>9987</v>
      </c>
      <c r="G1062" s="61">
        <v>6</v>
      </c>
      <c r="H1062" s="141">
        <v>0.375</v>
      </c>
      <c r="I1062" s="141">
        <v>0.70833333333333337</v>
      </c>
      <c r="J1062" s="141">
        <v>0.33333333333333331</v>
      </c>
      <c r="K1062" s="100" t="s">
        <v>866</v>
      </c>
      <c r="L1062" s="140" t="s">
        <v>9988</v>
      </c>
      <c r="M1062" s="63" t="s">
        <v>26</v>
      </c>
      <c r="N1062" s="100" t="s">
        <v>38</v>
      </c>
      <c r="O1062" s="143" t="s">
        <v>5710</v>
      </c>
      <c r="P1062" s="338">
        <v>45677</v>
      </c>
      <c r="Q1062" s="338">
        <v>45677</v>
      </c>
      <c r="R1062" s="338">
        <v>46406</v>
      </c>
      <c r="S1062" s="338">
        <v>46407</v>
      </c>
      <c r="T1062" s="61">
        <v>2017</v>
      </c>
      <c r="U1062" s="140" t="s">
        <v>251</v>
      </c>
      <c r="V1062" s="61">
        <v>2023</v>
      </c>
      <c r="W1062" s="58" t="s">
        <v>250</v>
      </c>
      <c r="X1062" s="62" t="s">
        <v>30</v>
      </c>
      <c r="Y1062" s="143" t="s">
        <v>5078</v>
      </c>
      <c r="Z1062" s="140" t="s">
        <v>9989</v>
      </c>
      <c r="AA1062" s="63" t="s">
        <v>1841</v>
      </c>
      <c r="AB1062" s="451">
        <v>45650</v>
      </c>
      <c r="AC1062" s="451">
        <v>47475</v>
      </c>
      <c r="AD1062" s="139">
        <v>8951374426</v>
      </c>
      <c r="AE1062" s="467" t="s">
        <v>9990</v>
      </c>
      <c r="AF1062" s="100" t="s">
        <v>1690</v>
      </c>
      <c r="AG1062" s="337" t="s">
        <v>9991</v>
      </c>
      <c r="AH1062" s="62" t="s">
        <v>9992</v>
      </c>
      <c r="AI1062" s="62" t="s">
        <v>9993</v>
      </c>
      <c r="AJ1062" s="493">
        <v>885992719888</v>
      </c>
      <c r="AK1062" s="63" t="s">
        <v>9994</v>
      </c>
      <c r="AL1062" s="338">
        <v>45695</v>
      </c>
      <c r="AM1062" s="446" t="s">
        <v>30</v>
      </c>
      <c r="AN1062" s="100" t="s">
        <v>9995</v>
      </c>
      <c r="AO1062" s="63" t="s">
        <v>9996</v>
      </c>
      <c r="AP1062" s="61">
        <v>33</v>
      </c>
      <c r="AQ1062" s="100"/>
      <c r="AR1062" s="143"/>
      <c r="AS1062" s="338"/>
      <c r="AT1062" s="338"/>
      <c r="AU1062" s="453">
        <v>33673</v>
      </c>
      <c r="AV1062" s="62" t="s">
        <v>1352</v>
      </c>
      <c r="AW1062" s="31" t="s">
        <v>68</v>
      </c>
      <c r="AX1062" s="139">
        <v>8</v>
      </c>
      <c r="AY1062" s="58" t="s">
        <v>2189</v>
      </c>
      <c r="AZ1062" s="58" t="s">
        <v>26</v>
      </c>
      <c r="BA1062" s="58" t="s">
        <v>151</v>
      </c>
      <c r="BB1062" s="58" t="s">
        <v>1407</v>
      </c>
      <c r="BC1062" s="58"/>
    </row>
    <row r="1063" spans="1:55" x14ac:dyDescent="0.25">
      <c r="A1063" s="10">
        <f t="shared" si="43"/>
        <v>1062</v>
      </c>
      <c r="B1063" s="181" t="s">
        <v>9997</v>
      </c>
      <c r="C1063" s="592" t="s">
        <v>1407</v>
      </c>
      <c r="D1063" s="457">
        <v>401003</v>
      </c>
      <c r="E1063" s="181" t="s">
        <v>42</v>
      </c>
      <c r="F1063" s="97" t="s">
        <v>9998</v>
      </c>
      <c r="G1063" s="139">
        <v>6</v>
      </c>
      <c r="H1063" s="469" t="s">
        <v>9959</v>
      </c>
      <c r="I1063" s="469" t="s">
        <v>9999</v>
      </c>
      <c r="J1063" s="458">
        <f>I1063-H1063</f>
        <v>0.33333333333333331</v>
      </c>
      <c r="K1063" s="58" t="s">
        <v>147</v>
      </c>
      <c r="L1063" s="97" t="s">
        <v>10000</v>
      </c>
      <c r="M1063" s="97" t="s">
        <v>26</v>
      </c>
      <c r="N1063" s="58" t="s">
        <v>38</v>
      </c>
      <c r="O1063" s="58" t="s">
        <v>5076</v>
      </c>
      <c r="P1063" s="206">
        <v>45441</v>
      </c>
      <c r="Q1063" s="206">
        <v>45441</v>
      </c>
      <c r="R1063" s="206">
        <v>46170</v>
      </c>
      <c r="S1063" s="461">
        <v>46171</v>
      </c>
      <c r="T1063" s="139">
        <v>2016</v>
      </c>
      <c r="U1063" s="181" t="s">
        <v>10001</v>
      </c>
      <c r="V1063" s="139" t="s">
        <v>10002</v>
      </c>
      <c r="W1063" s="97" t="s">
        <v>223</v>
      </c>
      <c r="X1063" s="181" t="s">
        <v>30</v>
      </c>
      <c r="Y1063" s="58" t="s">
        <v>10003</v>
      </c>
      <c r="Z1063" s="140" t="s">
        <v>10004</v>
      </c>
      <c r="AA1063" s="470" t="s">
        <v>1841</v>
      </c>
      <c r="AB1063" s="471">
        <v>44692</v>
      </c>
      <c r="AC1063" s="471">
        <v>46517</v>
      </c>
      <c r="AD1063" s="472">
        <v>7760658995</v>
      </c>
      <c r="AE1063" s="473" t="s">
        <v>10005</v>
      </c>
      <c r="AF1063" s="474" t="s">
        <v>1430</v>
      </c>
      <c r="AG1063" s="475" t="s">
        <v>10006</v>
      </c>
      <c r="AH1063" s="181" t="s">
        <v>3805</v>
      </c>
      <c r="AI1063" s="139" t="s">
        <v>10007</v>
      </c>
      <c r="AJ1063" s="476">
        <v>831394009487</v>
      </c>
      <c r="AK1063" s="470"/>
      <c r="AL1063" s="461"/>
      <c r="AM1063" s="477"/>
      <c r="AN1063" s="478"/>
      <c r="AO1063" s="140" t="s">
        <v>10008</v>
      </c>
      <c r="AP1063" s="58"/>
      <c r="AQ1063" s="97" t="s">
        <v>10008</v>
      </c>
      <c r="AR1063" s="462"/>
      <c r="AS1063" s="479"/>
      <c r="AT1063" s="479"/>
      <c r="AU1063" s="480">
        <v>34034</v>
      </c>
      <c r="AV1063" s="181" t="s">
        <v>1352</v>
      </c>
      <c r="AW1063" s="31" t="s">
        <v>68</v>
      </c>
      <c r="AX1063" s="139">
        <v>8</v>
      </c>
      <c r="AY1063" s="58" t="s">
        <v>1849</v>
      </c>
      <c r="AZ1063" s="58" t="s">
        <v>26</v>
      </c>
      <c r="BA1063" s="58" t="s">
        <v>151</v>
      </c>
      <c r="BB1063" s="58" t="s">
        <v>1407</v>
      </c>
      <c r="BC1063" s="58"/>
    </row>
    <row r="1064" spans="1:55" x14ac:dyDescent="0.25">
      <c r="A1064" s="10">
        <f t="shared" si="43"/>
        <v>1063</v>
      </c>
      <c r="B1064" s="181"/>
      <c r="C1064" s="592" t="s">
        <v>1407</v>
      </c>
      <c r="D1064" s="457">
        <v>401004</v>
      </c>
      <c r="E1064" s="181" t="s">
        <v>36</v>
      </c>
      <c r="F1064" s="97" t="s">
        <v>10009</v>
      </c>
      <c r="G1064" s="139" t="s">
        <v>4045</v>
      </c>
      <c r="H1064" s="469"/>
      <c r="I1064" s="469"/>
      <c r="J1064" s="458"/>
      <c r="K1064" s="58"/>
      <c r="L1064" s="97"/>
      <c r="M1064" s="97" t="s">
        <v>30</v>
      </c>
      <c r="N1064" s="58"/>
      <c r="O1064" s="58"/>
      <c r="P1064" s="206"/>
      <c r="Q1064" s="206"/>
      <c r="R1064" s="206"/>
      <c r="S1064" s="461"/>
      <c r="T1064" s="139"/>
      <c r="U1064" s="181"/>
      <c r="V1064" s="139"/>
      <c r="W1064" s="97"/>
      <c r="X1064" s="181"/>
      <c r="Y1064" s="58"/>
      <c r="Z1064" s="140"/>
      <c r="AA1064" s="470"/>
      <c r="AB1064" s="471"/>
      <c r="AC1064" s="471"/>
      <c r="AD1064" s="472"/>
      <c r="AE1064" s="473"/>
      <c r="AF1064" s="474"/>
      <c r="AG1064" s="475"/>
      <c r="AH1064" s="181"/>
      <c r="AI1064" s="139"/>
      <c r="AJ1064" s="476"/>
      <c r="AK1064" s="470"/>
      <c r="AL1064" s="206"/>
      <c r="AM1064" s="477"/>
      <c r="AN1064" s="478"/>
      <c r="AO1064" s="470"/>
      <c r="AP1064" s="58"/>
      <c r="AQ1064" s="58"/>
      <c r="AR1064" s="462"/>
      <c r="AS1064" s="479"/>
      <c r="AT1064" s="479"/>
      <c r="AU1064" s="480" t="s">
        <v>4045</v>
      </c>
      <c r="AV1064" s="181" t="s">
        <v>1389</v>
      </c>
      <c r="AW1064" s="181" t="s">
        <v>4045</v>
      </c>
      <c r="AX1064" s="139"/>
      <c r="AY1064" s="58"/>
      <c r="AZ1064" s="58"/>
      <c r="BA1064" s="58" t="s">
        <v>151</v>
      </c>
      <c r="BB1064" s="58" t="s">
        <v>1407</v>
      </c>
      <c r="BC1064" s="58"/>
    </row>
    <row r="1065" spans="1:55" x14ac:dyDescent="0.25">
      <c r="A1065" s="10">
        <f t="shared" si="43"/>
        <v>1064</v>
      </c>
      <c r="B1065" s="181"/>
      <c r="C1065" s="592" t="s">
        <v>1407</v>
      </c>
      <c r="D1065" s="459">
        <v>401006</v>
      </c>
      <c r="E1065" s="181"/>
      <c r="F1065" s="97" t="s">
        <v>1558</v>
      </c>
      <c r="G1065" s="462"/>
      <c r="H1065" s="458"/>
      <c r="I1065" s="458"/>
      <c r="J1065" s="458"/>
      <c r="K1065" s="58"/>
      <c r="L1065" s="97"/>
      <c r="M1065" s="97" t="s">
        <v>30</v>
      </c>
      <c r="N1065" s="58"/>
      <c r="O1065" s="58"/>
      <c r="P1065" s="460"/>
      <c r="Q1065" s="460"/>
      <c r="R1065" s="460"/>
      <c r="S1065" s="461"/>
      <c r="T1065" s="139"/>
      <c r="U1065" s="139"/>
      <c r="V1065" s="139"/>
      <c r="W1065" s="462"/>
      <c r="X1065" s="139"/>
      <c r="Y1065" s="462"/>
      <c r="Z1065" s="140"/>
      <c r="AA1065" s="465"/>
      <c r="AB1065" s="460"/>
      <c r="AC1065" s="139"/>
      <c r="AD1065" s="139"/>
      <c r="AE1065" s="140"/>
      <c r="AF1065" s="486"/>
      <c r="AG1065" s="139"/>
      <c r="AH1065" s="139"/>
      <c r="AI1065" s="464"/>
      <c r="AJ1065" s="139"/>
      <c r="AK1065" s="140"/>
      <c r="AL1065" s="206"/>
      <c r="AM1065" s="477"/>
      <c r="AN1065" s="140"/>
      <c r="AO1065" s="140"/>
      <c r="AP1065" s="462"/>
      <c r="AQ1065" s="58"/>
      <c r="AR1065" s="489"/>
      <c r="AS1065" s="458"/>
      <c r="AT1065" s="181"/>
      <c r="AU1065" s="181"/>
      <c r="AV1065" s="461"/>
      <c r="AW1065" s="181"/>
      <c r="AX1065" s="139"/>
      <c r="AY1065" s="58"/>
      <c r="AZ1065" s="58"/>
      <c r="BA1065" s="58" t="s">
        <v>151</v>
      </c>
      <c r="BB1065" s="58" t="s">
        <v>1407</v>
      </c>
      <c r="BC1065" s="58"/>
    </row>
    <row r="1066" spans="1:55" x14ac:dyDescent="0.25">
      <c r="A1066" s="10">
        <f t="shared" si="43"/>
        <v>1065</v>
      </c>
      <c r="B1066" s="181" t="s">
        <v>10010</v>
      </c>
      <c r="C1066" s="592" t="s">
        <v>1407</v>
      </c>
      <c r="D1066" s="499">
        <v>400965</v>
      </c>
      <c r="E1066" s="62" t="s">
        <v>36</v>
      </c>
      <c r="F1066" s="97" t="s">
        <v>10011</v>
      </c>
      <c r="G1066" s="61">
        <v>6</v>
      </c>
      <c r="H1066" s="141">
        <v>0.35416666666666669</v>
      </c>
      <c r="I1066" s="141">
        <v>0.52083333333333337</v>
      </c>
      <c r="J1066" s="141">
        <v>0.16666666666666666</v>
      </c>
      <c r="K1066" s="143" t="s">
        <v>378</v>
      </c>
      <c r="L1066" s="99" t="s">
        <v>10012</v>
      </c>
      <c r="M1066" s="63" t="s">
        <v>26</v>
      </c>
      <c r="N1066" s="100" t="s">
        <v>38</v>
      </c>
      <c r="O1066" s="143" t="s">
        <v>5710</v>
      </c>
      <c r="P1066" s="446">
        <v>45365</v>
      </c>
      <c r="Q1066" s="206">
        <v>45621</v>
      </c>
      <c r="R1066" s="446">
        <v>46094</v>
      </c>
      <c r="S1066" s="338">
        <v>46095</v>
      </c>
      <c r="T1066" s="61">
        <v>2018</v>
      </c>
      <c r="U1066" s="62" t="s">
        <v>8487</v>
      </c>
      <c r="V1066" s="61">
        <v>2023</v>
      </c>
      <c r="W1066" s="63" t="s">
        <v>642</v>
      </c>
      <c r="X1066" s="62" t="s">
        <v>30</v>
      </c>
      <c r="Y1066" s="100" t="s">
        <v>49</v>
      </c>
      <c r="Z1066" s="99" t="s">
        <v>10013</v>
      </c>
      <c r="AA1066" s="63" t="s">
        <v>1841</v>
      </c>
      <c r="AB1066" s="451">
        <v>45349</v>
      </c>
      <c r="AC1066" s="451">
        <v>47175</v>
      </c>
      <c r="AD1066" s="220">
        <v>9100043555</v>
      </c>
      <c r="AE1066" s="336" t="s">
        <v>10014</v>
      </c>
      <c r="AF1066" s="100" t="s">
        <v>1430</v>
      </c>
      <c r="AG1066" s="337" t="s">
        <v>10015</v>
      </c>
      <c r="AH1066" s="62" t="s">
        <v>10016</v>
      </c>
      <c r="AI1066" s="62" t="s">
        <v>10017</v>
      </c>
      <c r="AJ1066" s="493">
        <v>736147696423</v>
      </c>
      <c r="AK1066" s="63"/>
      <c r="AL1066" s="338">
        <v>45709</v>
      </c>
      <c r="AM1066" s="477" t="s">
        <v>30</v>
      </c>
      <c r="AN1066" s="63" t="s">
        <v>10018</v>
      </c>
      <c r="AO1066" s="63" t="s">
        <v>10019</v>
      </c>
      <c r="AP1066" s="61">
        <v>29</v>
      </c>
      <c r="AQ1066" s="100"/>
      <c r="AR1066" s="143"/>
      <c r="AS1066" s="338"/>
      <c r="AT1066" s="338"/>
      <c r="AU1066" s="453">
        <v>35109</v>
      </c>
      <c r="AV1066" s="62" t="s">
        <v>1389</v>
      </c>
      <c r="AW1066" s="31" t="s">
        <v>32</v>
      </c>
      <c r="AX1066" s="139">
        <v>4</v>
      </c>
      <c r="AY1066" s="58" t="s">
        <v>2469</v>
      </c>
      <c r="AZ1066" s="58" t="s">
        <v>26</v>
      </c>
      <c r="BA1066" s="58" t="s">
        <v>151</v>
      </c>
      <c r="BB1066" s="58" t="s">
        <v>1407</v>
      </c>
      <c r="BC1066" s="58"/>
    </row>
    <row r="1067" spans="1:55" x14ac:dyDescent="0.25">
      <c r="A1067" s="10">
        <f t="shared" si="43"/>
        <v>1066</v>
      </c>
      <c r="B1067" s="181" t="s">
        <v>573</v>
      </c>
      <c r="C1067" s="592" t="s">
        <v>1407</v>
      </c>
      <c r="D1067" s="499">
        <v>401014</v>
      </c>
      <c r="E1067" s="61" t="s">
        <v>42</v>
      </c>
      <c r="F1067" s="97" t="s">
        <v>574</v>
      </c>
      <c r="G1067" s="61">
        <v>6</v>
      </c>
      <c r="H1067" s="141" t="s">
        <v>7708</v>
      </c>
      <c r="I1067" s="141" t="s">
        <v>10020</v>
      </c>
      <c r="J1067" s="141">
        <v>0.33333333333333331</v>
      </c>
      <c r="K1067" s="143" t="s">
        <v>1266</v>
      </c>
      <c r="L1067" s="63" t="s">
        <v>575</v>
      </c>
      <c r="M1067" s="63" t="s">
        <v>26</v>
      </c>
      <c r="N1067" s="100" t="s">
        <v>38</v>
      </c>
      <c r="O1067" s="143" t="s">
        <v>5710</v>
      </c>
      <c r="P1067" s="338">
        <v>45460</v>
      </c>
      <c r="Q1067" s="338">
        <v>45460</v>
      </c>
      <c r="R1067" s="338">
        <v>46189</v>
      </c>
      <c r="S1067" s="338">
        <v>46190</v>
      </c>
      <c r="T1067" s="61">
        <v>2016</v>
      </c>
      <c r="U1067" s="63" t="s">
        <v>576</v>
      </c>
      <c r="V1067" s="61">
        <v>2020</v>
      </c>
      <c r="W1067" s="100" t="s">
        <v>577</v>
      </c>
      <c r="X1067" s="62" t="s">
        <v>30</v>
      </c>
      <c r="Y1067" s="100" t="s">
        <v>1611</v>
      </c>
      <c r="Z1067" s="99" t="s">
        <v>3014</v>
      </c>
      <c r="AA1067" s="63" t="s">
        <v>1886</v>
      </c>
      <c r="AB1067" s="451">
        <v>44137</v>
      </c>
      <c r="AC1067" s="451">
        <v>45962</v>
      </c>
      <c r="AD1067" s="220">
        <v>9488852324</v>
      </c>
      <c r="AE1067" s="336" t="s">
        <v>578</v>
      </c>
      <c r="AF1067" s="100" t="s">
        <v>1833</v>
      </c>
      <c r="AG1067" s="337" t="s">
        <v>3015</v>
      </c>
      <c r="AH1067" s="62" t="s">
        <v>3016</v>
      </c>
      <c r="AI1067" s="62" t="s">
        <v>3017</v>
      </c>
      <c r="AJ1067" s="493">
        <v>301032335024</v>
      </c>
      <c r="AK1067" s="63" t="s">
        <v>3019</v>
      </c>
      <c r="AL1067" s="338">
        <v>45716</v>
      </c>
      <c r="AM1067" s="477">
        <v>45668</v>
      </c>
      <c r="AN1067" s="63" t="s">
        <v>1592</v>
      </c>
      <c r="AO1067" s="63" t="s">
        <v>3020</v>
      </c>
      <c r="AP1067" s="61">
        <v>32</v>
      </c>
      <c r="AQ1067" s="100"/>
      <c r="AR1067" s="143"/>
      <c r="AS1067" s="338"/>
      <c r="AT1067" s="338"/>
      <c r="AU1067" s="446">
        <v>33932</v>
      </c>
      <c r="AV1067" s="61" t="s">
        <v>1352</v>
      </c>
      <c r="AW1067" s="31" t="s">
        <v>68</v>
      </c>
      <c r="AX1067" s="139">
        <v>8</v>
      </c>
      <c r="AY1067" s="58" t="s">
        <v>1904</v>
      </c>
      <c r="AZ1067" s="58" t="s">
        <v>26</v>
      </c>
      <c r="BA1067" s="58" t="s">
        <v>151</v>
      </c>
      <c r="BB1067" s="58" t="s">
        <v>1407</v>
      </c>
      <c r="BC1067" s="58"/>
    </row>
    <row r="1068" spans="1:55" x14ac:dyDescent="0.25">
      <c r="A1068" s="10">
        <f t="shared" si="43"/>
        <v>1067</v>
      </c>
      <c r="B1068" s="181" t="s">
        <v>10021</v>
      </c>
      <c r="C1068" s="592" t="s">
        <v>1407</v>
      </c>
      <c r="D1068" s="499">
        <v>401079</v>
      </c>
      <c r="E1068" s="62" t="s">
        <v>36</v>
      </c>
      <c r="F1068" s="97" t="s">
        <v>10022</v>
      </c>
      <c r="G1068" s="61">
        <v>6</v>
      </c>
      <c r="H1068" s="141">
        <v>0.33333333333333331</v>
      </c>
      <c r="I1068" s="141">
        <v>0.875</v>
      </c>
      <c r="J1068" s="443">
        <v>0.33333333333333331</v>
      </c>
      <c r="K1068" s="100" t="s">
        <v>287</v>
      </c>
      <c r="L1068" s="63" t="s">
        <v>30</v>
      </c>
      <c r="M1068" s="63" t="s">
        <v>1355</v>
      </c>
      <c r="N1068" s="100" t="s">
        <v>1520</v>
      </c>
      <c r="O1068" s="100" t="s">
        <v>4752</v>
      </c>
      <c r="P1068" s="273">
        <v>45553</v>
      </c>
      <c r="Q1068" s="338">
        <v>45553</v>
      </c>
      <c r="R1068" s="338">
        <v>46282</v>
      </c>
      <c r="S1068" s="338">
        <v>46283</v>
      </c>
      <c r="T1068" s="61">
        <v>2017</v>
      </c>
      <c r="U1068" s="99" t="s">
        <v>1154</v>
      </c>
      <c r="V1068" s="61">
        <v>2022</v>
      </c>
      <c r="W1068" s="143" t="s">
        <v>196</v>
      </c>
      <c r="X1068" s="61" t="s">
        <v>30</v>
      </c>
      <c r="Y1068" s="100" t="s">
        <v>1360</v>
      </c>
      <c r="Z1068" s="99" t="s">
        <v>10023</v>
      </c>
      <c r="AA1068" s="63" t="s">
        <v>1841</v>
      </c>
      <c r="AB1068" s="451">
        <v>45075</v>
      </c>
      <c r="AC1068" s="451">
        <v>46901</v>
      </c>
      <c r="AD1068" s="61">
        <v>9959260586</v>
      </c>
      <c r="AE1068" s="540" t="s">
        <v>10024</v>
      </c>
      <c r="AF1068" s="100" t="s">
        <v>1833</v>
      </c>
      <c r="AG1068" s="337" t="s">
        <v>10025</v>
      </c>
      <c r="AH1068" s="62" t="s">
        <v>10026</v>
      </c>
      <c r="AI1068" s="62" t="s">
        <v>10027</v>
      </c>
      <c r="AJ1068" s="493">
        <v>722934563168</v>
      </c>
      <c r="AK1068" s="63" t="s">
        <v>10028</v>
      </c>
      <c r="AL1068" s="446">
        <v>45716</v>
      </c>
      <c r="AM1068" s="446">
        <v>45708</v>
      </c>
      <c r="AN1068" s="63" t="s">
        <v>10029</v>
      </c>
      <c r="AO1068" s="63" t="s">
        <v>10030</v>
      </c>
      <c r="AP1068" s="61">
        <v>33</v>
      </c>
      <c r="AQ1068" s="100"/>
      <c r="AR1068" s="143"/>
      <c r="AS1068" s="338"/>
      <c r="AT1068" s="338"/>
      <c r="AU1068" s="453">
        <v>33721</v>
      </c>
      <c r="AV1068" s="62" t="s">
        <v>1389</v>
      </c>
      <c r="AW1068" s="31" t="s">
        <v>68</v>
      </c>
      <c r="AX1068" s="139">
        <v>8</v>
      </c>
      <c r="AY1068" s="58" t="s">
        <v>1881</v>
      </c>
      <c r="AZ1068" s="58" t="s">
        <v>1373</v>
      </c>
      <c r="BA1068" s="58" t="s">
        <v>151</v>
      </c>
      <c r="BB1068" s="58" t="s">
        <v>1407</v>
      </c>
      <c r="BC1068" s="58"/>
    </row>
    <row r="1069" spans="1:55" x14ac:dyDescent="0.25">
      <c r="A1069" s="10">
        <f t="shared" si="43"/>
        <v>1068</v>
      </c>
      <c r="B1069" s="181" t="s">
        <v>10031</v>
      </c>
      <c r="C1069" s="592" t="s">
        <v>1407</v>
      </c>
      <c r="D1069" s="499">
        <v>401126</v>
      </c>
      <c r="E1069" s="62" t="s">
        <v>36</v>
      </c>
      <c r="F1069" s="97" t="s">
        <v>10032</v>
      </c>
      <c r="G1069" s="61">
        <v>6</v>
      </c>
      <c r="H1069" s="141">
        <v>0.79166666666666663</v>
      </c>
      <c r="I1069" s="141">
        <v>0.875</v>
      </c>
      <c r="J1069" s="141">
        <v>8.3333333333333329E-2</v>
      </c>
      <c r="K1069" s="100" t="s">
        <v>713</v>
      </c>
      <c r="L1069" s="63" t="s">
        <v>1424</v>
      </c>
      <c r="M1069" s="63" t="s">
        <v>1355</v>
      </c>
      <c r="N1069" s="100" t="s">
        <v>1520</v>
      </c>
      <c r="O1069" s="100" t="s">
        <v>4752</v>
      </c>
      <c r="P1069" s="273">
        <v>45614</v>
      </c>
      <c r="Q1069" s="338">
        <v>45614</v>
      </c>
      <c r="R1069" s="338">
        <v>46343</v>
      </c>
      <c r="S1069" s="338">
        <v>46344</v>
      </c>
      <c r="T1069" s="61">
        <v>2010</v>
      </c>
      <c r="U1069" s="99" t="s">
        <v>10033</v>
      </c>
      <c r="V1069" s="61">
        <v>2020</v>
      </c>
      <c r="W1069" s="143" t="s">
        <v>10034</v>
      </c>
      <c r="X1069" s="64" t="s">
        <v>30</v>
      </c>
      <c r="Y1069" s="100" t="s">
        <v>1360</v>
      </c>
      <c r="Z1069" s="99">
        <v>70099</v>
      </c>
      <c r="AA1069" s="63" t="s">
        <v>1886</v>
      </c>
      <c r="AB1069" s="451">
        <v>44511</v>
      </c>
      <c r="AC1069" s="451">
        <v>46336</v>
      </c>
      <c r="AD1069" s="220">
        <v>9848497720</v>
      </c>
      <c r="AE1069" s="336" t="s">
        <v>10035</v>
      </c>
      <c r="AF1069" s="100" t="s">
        <v>10036</v>
      </c>
      <c r="AG1069" s="337" t="s">
        <v>10037</v>
      </c>
      <c r="AH1069" s="62" t="s">
        <v>10038</v>
      </c>
      <c r="AI1069" s="62" t="s">
        <v>10039</v>
      </c>
      <c r="AJ1069" s="493">
        <v>507012735877</v>
      </c>
      <c r="AK1069" s="63" t="s">
        <v>10040</v>
      </c>
      <c r="AL1069" s="446">
        <v>45719</v>
      </c>
      <c r="AM1069" s="446">
        <v>45708</v>
      </c>
      <c r="AN1069" s="63" t="s">
        <v>1592</v>
      </c>
      <c r="AO1069" s="63" t="s">
        <v>10041</v>
      </c>
      <c r="AP1069" s="61">
        <v>38</v>
      </c>
      <c r="AQ1069" s="100"/>
      <c r="AR1069" s="143"/>
      <c r="AS1069" s="338"/>
      <c r="AT1069" s="338"/>
      <c r="AU1069" s="453">
        <v>31942</v>
      </c>
      <c r="AV1069" s="62" t="s">
        <v>1389</v>
      </c>
      <c r="AW1069" s="31" t="s">
        <v>32</v>
      </c>
      <c r="AX1069" s="139">
        <v>2</v>
      </c>
      <c r="AY1069" s="58" t="s">
        <v>2262</v>
      </c>
      <c r="AZ1069" s="58" t="s">
        <v>1373</v>
      </c>
      <c r="BA1069" s="58" t="s">
        <v>151</v>
      </c>
      <c r="BB1069" s="58" t="s">
        <v>1407</v>
      </c>
      <c r="BC1069" s="58"/>
    </row>
    <row r="1070" spans="1:55" x14ac:dyDescent="0.25">
      <c r="A1070" s="10">
        <f t="shared" si="43"/>
        <v>1069</v>
      </c>
      <c r="B1070" s="181" t="s">
        <v>10042</v>
      </c>
      <c r="C1070" s="592" t="s">
        <v>1407</v>
      </c>
      <c r="D1070" s="499">
        <v>401158</v>
      </c>
      <c r="E1070" s="62" t="s">
        <v>36</v>
      </c>
      <c r="F1070" s="97" t="s">
        <v>10043</v>
      </c>
      <c r="G1070" s="61">
        <v>6</v>
      </c>
      <c r="H1070" s="141">
        <v>0.375</v>
      </c>
      <c r="I1070" s="141">
        <v>0.70833333333333337</v>
      </c>
      <c r="J1070" s="141">
        <v>0.33333333333333331</v>
      </c>
      <c r="K1070" s="58" t="s">
        <v>147</v>
      </c>
      <c r="L1070" s="63" t="s">
        <v>30</v>
      </c>
      <c r="M1070" s="97" t="s">
        <v>1376</v>
      </c>
      <c r="N1070" s="58" t="s">
        <v>1393</v>
      </c>
      <c r="O1070" s="100" t="s">
        <v>30</v>
      </c>
      <c r="P1070" s="338">
        <v>45658</v>
      </c>
      <c r="Q1070" s="338">
        <v>45658</v>
      </c>
      <c r="R1070" s="338">
        <v>46387</v>
      </c>
      <c r="S1070" s="338">
        <v>46388</v>
      </c>
      <c r="T1070" s="61">
        <v>1994</v>
      </c>
      <c r="U1070" s="63" t="s">
        <v>10044</v>
      </c>
      <c r="V1070" s="61" t="s">
        <v>30</v>
      </c>
      <c r="W1070" s="143" t="s">
        <v>30</v>
      </c>
      <c r="X1070" s="62" t="s">
        <v>30</v>
      </c>
      <c r="Y1070" s="100" t="s">
        <v>226</v>
      </c>
      <c r="Z1070" s="99">
        <v>37751</v>
      </c>
      <c r="AA1070" s="63" t="s">
        <v>1841</v>
      </c>
      <c r="AB1070" s="451">
        <v>44286</v>
      </c>
      <c r="AC1070" s="451">
        <v>46111</v>
      </c>
      <c r="AD1070" s="220">
        <v>9704234362</v>
      </c>
      <c r="AE1070" s="336" t="s">
        <v>10045</v>
      </c>
      <c r="AF1070" s="100" t="s">
        <v>1805</v>
      </c>
      <c r="AG1070" s="337" t="s">
        <v>10046</v>
      </c>
      <c r="AH1070" s="62" t="s">
        <v>10047</v>
      </c>
      <c r="AI1070" s="62" t="s">
        <v>10048</v>
      </c>
      <c r="AJ1070" s="493">
        <v>613543178657</v>
      </c>
      <c r="AK1070" s="63" t="s">
        <v>10049</v>
      </c>
      <c r="AL1070" s="446">
        <v>45720</v>
      </c>
      <c r="AM1070" s="446" t="s">
        <v>30</v>
      </c>
      <c r="AN1070" s="100" t="s">
        <v>1765</v>
      </c>
      <c r="AO1070" s="63" t="s">
        <v>10050</v>
      </c>
      <c r="AP1070" s="61">
        <v>61</v>
      </c>
      <c r="AQ1070" s="100"/>
      <c r="AR1070" s="143"/>
      <c r="AS1070" s="338"/>
      <c r="AT1070" s="338"/>
      <c r="AU1070" s="453">
        <v>23609</v>
      </c>
      <c r="AV1070" s="62" t="s">
        <v>1352</v>
      </c>
      <c r="AW1070" s="31" t="s">
        <v>68</v>
      </c>
      <c r="AX1070" s="139">
        <v>8</v>
      </c>
      <c r="AY1070" s="58" t="s">
        <v>1849</v>
      </c>
      <c r="AZ1070" s="58" t="s">
        <v>1390</v>
      </c>
      <c r="BA1070" s="58" t="s">
        <v>151</v>
      </c>
      <c r="BB1070" s="58" t="s">
        <v>1407</v>
      </c>
      <c r="BC1070" s="58"/>
    </row>
    <row r="1071" spans="1:55" x14ac:dyDescent="0.25">
      <c r="A1071" s="10">
        <f t="shared" si="43"/>
        <v>1070</v>
      </c>
      <c r="B1071" s="181" t="s">
        <v>10051</v>
      </c>
      <c r="C1071" s="592" t="s">
        <v>1407</v>
      </c>
      <c r="D1071" s="499">
        <v>401159</v>
      </c>
      <c r="E1071" s="62" t="s">
        <v>36</v>
      </c>
      <c r="F1071" s="97" t="s">
        <v>10052</v>
      </c>
      <c r="G1071" s="61">
        <v>6</v>
      </c>
      <c r="H1071" s="141">
        <v>0.375</v>
      </c>
      <c r="I1071" s="141">
        <v>0.41666666666666669</v>
      </c>
      <c r="J1071" s="458">
        <v>4.1666666666666664E-2</v>
      </c>
      <c r="K1071" s="143" t="s">
        <v>220</v>
      </c>
      <c r="L1071" s="63" t="s">
        <v>30</v>
      </c>
      <c r="M1071" s="97" t="s">
        <v>1376</v>
      </c>
      <c r="N1071" s="58" t="s">
        <v>1393</v>
      </c>
      <c r="O1071" s="100" t="s">
        <v>30</v>
      </c>
      <c r="P1071" s="338">
        <v>45663</v>
      </c>
      <c r="Q1071" s="338">
        <v>45663</v>
      </c>
      <c r="R1071" s="338">
        <v>46392</v>
      </c>
      <c r="S1071" s="338">
        <v>46393</v>
      </c>
      <c r="T1071" s="61">
        <v>2022</v>
      </c>
      <c r="U1071" s="63" t="s">
        <v>10053</v>
      </c>
      <c r="V1071" s="61" t="s">
        <v>30</v>
      </c>
      <c r="W1071" s="143" t="s">
        <v>30</v>
      </c>
      <c r="X1071" s="62" t="s">
        <v>30</v>
      </c>
      <c r="Y1071" s="100" t="s">
        <v>226</v>
      </c>
      <c r="Z1071" s="99" t="s">
        <v>10054</v>
      </c>
      <c r="AA1071" s="63" t="s">
        <v>1841</v>
      </c>
      <c r="AB1071" s="451">
        <v>45321</v>
      </c>
      <c r="AC1071" s="451">
        <v>47149</v>
      </c>
      <c r="AD1071" s="220">
        <v>9492428249</v>
      </c>
      <c r="AE1071" s="336" t="s">
        <v>10055</v>
      </c>
      <c r="AF1071" s="100" t="s">
        <v>1430</v>
      </c>
      <c r="AG1071" s="337" t="s">
        <v>10056</v>
      </c>
      <c r="AH1071" s="62" t="s">
        <v>10057</v>
      </c>
      <c r="AI1071" s="62" t="s">
        <v>10058</v>
      </c>
      <c r="AJ1071" s="493">
        <v>844513456464</v>
      </c>
      <c r="AK1071" s="63" t="s">
        <v>10059</v>
      </c>
      <c r="AL1071" s="446">
        <v>45721</v>
      </c>
      <c r="AM1071" s="446" t="s">
        <v>30</v>
      </c>
      <c r="AN1071" s="100" t="s">
        <v>1592</v>
      </c>
      <c r="AO1071" s="63" t="s">
        <v>10060</v>
      </c>
      <c r="AP1071" s="61">
        <v>27</v>
      </c>
      <c r="AQ1071" s="100"/>
      <c r="AR1071" s="143"/>
      <c r="AS1071" s="338"/>
      <c r="AT1071" s="338"/>
      <c r="AU1071" s="453">
        <v>35855</v>
      </c>
      <c r="AV1071" s="62" t="s">
        <v>1389</v>
      </c>
      <c r="AW1071" s="31" t="s">
        <v>32</v>
      </c>
      <c r="AX1071" s="139">
        <v>1</v>
      </c>
      <c r="AY1071" s="58" t="s">
        <v>2006</v>
      </c>
      <c r="AZ1071" s="58" t="s">
        <v>1390</v>
      </c>
      <c r="BA1071" s="58" t="s">
        <v>151</v>
      </c>
      <c r="BB1071" s="58" t="s">
        <v>1407</v>
      </c>
      <c r="BC1071" s="58"/>
    </row>
    <row r="1072" spans="1:55" x14ac:dyDescent="0.25">
      <c r="A1072" s="10">
        <f t="shared" si="43"/>
        <v>1071</v>
      </c>
      <c r="B1072" s="181" t="s">
        <v>10061</v>
      </c>
      <c r="C1072" s="592" t="s">
        <v>1407</v>
      </c>
      <c r="D1072" s="499">
        <v>400934</v>
      </c>
      <c r="E1072" s="62" t="s">
        <v>36</v>
      </c>
      <c r="F1072" s="97" t="s">
        <v>10062</v>
      </c>
      <c r="G1072" s="61">
        <v>6</v>
      </c>
      <c r="H1072" s="141">
        <v>0.33333333333333331</v>
      </c>
      <c r="I1072" s="141">
        <v>0.875</v>
      </c>
      <c r="J1072" s="443">
        <v>0.33333333333333331</v>
      </c>
      <c r="K1072" s="100" t="s">
        <v>563</v>
      </c>
      <c r="L1072" s="63" t="s">
        <v>1424</v>
      </c>
      <c r="M1072" s="97" t="s">
        <v>1544</v>
      </c>
      <c r="N1072" s="58" t="s">
        <v>1992</v>
      </c>
      <c r="O1072" s="100" t="s">
        <v>4752</v>
      </c>
      <c r="P1072" s="446">
        <v>45327</v>
      </c>
      <c r="Q1072" s="446">
        <v>45327</v>
      </c>
      <c r="R1072" s="446">
        <v>46057</v>
      </c>
      <c r="S1072" s="338">
        <v>46058</v>
      </c>
      <c r="T1072" s="61">
        <v>2016</v>
      </c>
      <c r="U1072" s="62" t="s">
        <v>5787</v>
      </c>
      <c r="V1072" s="61">
        <v>2023</v>
      </c>
      <c r="W1072" s="99" t="s">
        <v>4449</v>
      </c>
      <c r="X1072" s="62" t="s">
        <v>30</v>
      </c>
      <c r="Y1072" s="100" t="s">
        <v>5066</v>
      </c>
      <c r="Z1072" s="99" t="s">
        <v>10063</v>
      </c>
      <c r="AA1072" s="63" t="s">
        <v>1886</v>
      </c>
      <c r="AB1072" s="451">
        <v>45062</v>
      </c>
      <c r="AC1072" s="451">
        <v>46888</v>
      </c>
      <c r="AD1072" s="220">
        <v>6300861303</v>
      </c>
      <c r="AE1072" s="336" t="s">
        <v>10064</v>
      </c>
      <c r="AF1072" s="100" t="s">
        <v>1805</v>
      </c>
      <c r="AG1072" s="337" t="s">
        <v>10065</v>
      </c>
      <c r="AH1072" s="62" t="s">
        <v>3174</v>
      </c>
      <c r="AI1072" s="62" t="s">
        <v>10066</v>
      </c>
      <c r="AJ1072" s="493">
        <v>681715746365</v>
      </c>
      <c r="AK1072" s="63"/>
      <c r="AL1072" s="446">
        <v>45727</v>
      </c>
      <c r="AM1072" s="477" t="s">
        <v>30</v>
      </c>
      <c r="AN1072" s="100" t="s">
        <v>10067</v>
      </c>
      <c r="AO1072" s="63" t="s">
        <v>10068</v>
      </c>
      <c r="AP1072" s="61">
        <v>34</v>
      </c>
      <c r="AQ1072" s="100"/>
      <c r="AR1072" s="143"/>
      <c r="AS1072" s="338"/>
      <c r="AT1072" s="338"/>
      <c r="AU1072" s="453">
        <v>33470</v>
      </c>
      <c r="AV1072" s="62" t="s">
        <v>1352</v>
      </c>
      <c r="AW1072" s="31" t="s">
        <v>68</v>
      </c>
      <c r="AX1072" s="139">
        <v>8</v>
      </c>
      <c r="AY1072" s="58" t="s">
        <v>1895</v>
      </c>
      <c r="AZ1072" s="58" t="s">
        <v>1373</v>
      </c>
      <c r="BA1072" s="58" t="s">
        <v>151</v>
      </c>
      <c r="BB1072" s="58" t="s">
        <v>1407</v>
      </c>
      <c r="BC1072" s="58"/>
    </row>
    <row r="1073" spans="1:55" x14ac:dyDescent="0.25">
      <c r="A1073" s="10">
        <f t="shared" si="43"/>
        <v>1072</v>
      </c>
      <c r="B1073" s="181" t="s">
        <v>10069</v>
      </c>
      <c r="C1073" s="592" t="s">
        <v>1407</v>
      </c>
      <c r="D1073" s="96">
        <v>401112</v>
      </c>
      <c r="E1073" s="62" t="s">
        <v>36</v>
      </c>
      <c r="F1073" s="97" t="s">
        <v>10070</v>
      </c>
      <c r="G1073" s="61">
        <v>6</v>
      </c>
      <c r="H1073" s="141">
        <v>0.75</v>
      </c>
      <c r="I1073" s="141">
        <v>0.875</v>
      </c>
      <c r="J1073" s="141">
        <v>0.125</v>
      </c>
      <c r="K1073" s="143" t="s">
        <v>255</v>
      </c>
      <c r="L1073" s="63" t="s">
        <v>10071</v>
      </c>
      <c r="M1073" s="63" t="s">
        <v>26</v>
      </c>
      <c r="N1073" s="100" t="s">
        <v>38</v>
      </c>
      <c r="O1073" s="143" t="s">
        <v>5710</v>
      </c>
      <c r="P1073" s="273">
        <v>45602</v>
      </c>
      <c r="Q1073" s="338">
        <v>45602</v>
      </c>
      <c r="R1073" s="338">
        <v>46331</v>
      </c>
      <c r="S1073" s="338">
        <v>46332</v>
      </c>
      <c r="T1073" s="61">
        <v>2017</v>
      </c>
      <c r="U1073" s="99" t="s">
        <v>10072</v>
      </c>
      <c r="V1073" s="61">
        <v>2023</v>
      </c>
      <c r="W1073" s="143" t="s">
        <v>10073</v>
      </c>
      <c r="X1073" s="62" t="s">
        <v>30</v>
      </c>
      <c r="Y1073" s="100" t="s">
        <v>49</v>
      </c>
      <c r="Z1073" s="99" t="s">
        <v>10074</v>
      </c>
      <c r="AA1073" s="63" t="s">
        <v>1841</v>
      </c>
      <c r="AB1073" s="451">
        <v>45565</v>
      </c>
      <c r="AC1073" s="451">
        <v>47390</v>
      </c>
      <c r="AD1073" s="61">
        <v>9966620008</v>
      </c>
      <c r="AE1073" s="540" t="s">
        <v>10075</v>
      </c>
      <c r="AF1073" s="100" t="s">
        <v>1364</v>
      </c>
      <c r="AG1073" s="337" t="s">
        <v>10076</v>
      </c>
      <c r="AH1073" s="62" t="s">
        <v>10077</v>
      </c>
      <c r="AI1073" s="62" t="s">
        <v>10078</v>
      </c>
      <c r="AJ1073" s="493">
        <v>505171831450</v>
      </c>
      <c r="AK1073" s="63" t="s">
        <v>10079</v>
      </c>
      <c r="AL1073" s="338">
        <v>45727</v>
      </c>
      <c r="AM1073" s="446" t="s">
        <v>30</v>
      </c>
      <c r="AN1073" s="100" t="s">
        <v>9144</v>
      </c>
      <c r="AO1073" s="63" t="s">
        <v>10080</v>
      </c>
      <c r="AP1073" s="61">
        <v>30</v>
      </c>
      <c r="AQ1073" s="100"/>
      <c r="AR1073" s="143"/>
      <c r="AS1073" s="338"/>
      <c r="AT1073" s="338"/>
      <c r="AU1073" s="453">
        <v>34928</v>
      </c>
      <c r="AV1073" s="62" t="s">
        <v>1389</v>
      </c>
      <c r="AW1073" s="31" t="s">
        <v>32</v>
      </c>
      <c r="AX1073" s="139">
        <v>3</v>
      </c>
      <c r="AY1073" s="58" t="s">
        <v>2068</v>
      </c>
      <c r="AZ1073" s="58" t="s">
        <v>26</v>
      </c>
      <c r="BA1073" s="58" t="s">
        <v>151</v>
      </c>
      <c r="BB1073" s="58" t="s">
        <v>1407</v>
      </c>
      <c r="BC1073" s="58"/>
    </row>
    <row r="1074" spans="1:55" x14ac:dyDescent="0.25">
      <c r="A1074" s="10">
        <f t="shared" si="43"/>
        <v>1073</v>
      </c>
      <c r="B1074" s="181" t="s">
        <v>10081</v>
      </c>
      <c r="C1074" s="592" t="s">
        <v>1407</v>
      </c>
      <c r="D1074" s="499">
        <v>400951</v>
      </c>
      <c r="E1074" s="62" t="s">
        <v>36</v>
      </c>
      <c r="F1074" s="97" t="s">
        <v>10082</v>
      </c>
      <c r="G1074" s="61">
        <v>6</v>
      </c>
      <c r="H1074" s="141">
        <v>0.75</v>
      </c>
      <c r="I1074" s="141">
        <v>0.83333333333333337</v>
      </c>
      <c r="J1074" s="141">
        <v>8.3333333333333329E-2</v>
      </c>
      <c r="K1074" s="100" t="s">
        <v>1187</v>
      </c>
      <c r="L1074" s="63" t="s">
        <v>10083</v>
      </c>
      <c r="M1074" s="63" t="s">
        <v>26</v>
      </c>
      <c r="N1074" s="100" t="s">
        <v>38</v>
      </c>
      <c r="O1074" s="143" t="s">
        <v>5710</v>
      </c>
      <c r="P1074" s="446">
        <v>45343</v>
      </c>
      <c r="Q1074" s="446">
        <v>45343</v>
      </c>
      <c r="R1074" s="446">
        <v>46073</v>
      </c>
      <c r="S1074" s="338">
        <v>46074</v>
      </c>
      <c r="T1074" s="61">
        <v>2018</v>
      </c>
      <c r="U1074" s="62" t="s">
        <v>10084</v>
      </c>
      <c r="V1074" s="61">
        <v>2023</v>
      </c>
      <c r="W1074" s="63" t="s">
        <v>10085</v>
      </c>
      <c r="X1074" s="62" t="s">
        <v>30</v>
      </c>
      <c r="Y1074" s="100" t="s">
        <v>49</v>
      </c>
      <c r="Z1074" s="99" t="s">
        <v>10086</v>
      </c>
      <c r="AA1074" s="63" t="s">
        <v>1841</v>
      </c>
      <c r="AB1074" s="451">
        <v>45190</v>
      </c>
      <c r="AC1074" s="451">
        <v>47016</v>
      </c>
      <c r="AD1074" s="220">
        <v>9542494444</v>
      </c>
      <c r="AE1074" s="336" t="s">
        <v>10087</v>
      </c>
      <c r="AF1074" s="100" t="s">
        <v>1364</v>
      </c>
      <c r="AG1074" s="337" t="s">
        <v>10088</v>
      </c>
      <c r="AH1074" s="62" t="s">
        <v>10089</v>
      </c>
      <c r="AI1074" s="62" t="s">
        <v>10090</v>
      </c>
      <c r="AJ1074" s="493">
        <v>702493427299</v>
      </c>
      <c r="AK1074" s="63"/>
      <c r="AL1074" s="338">
        <v>45730</v>
      </c>
      <c r="AM1074" s="477">
        <v>45710</v>
      </c>
      <c r="AN1074" s="63" t="s">
        <v>10091</v>
      </c>
      <c r="AO1074" s="63" t="s">
        <v>10092</v>
      </c>
      <c r="AP1074" s="61">
        <v>29</v>
      </c>
      <c r="AQ1074" s="100"/>
      <c r="AR1074" s="143"/>
      <c r="AS1074" s="338"/>
      <c r="AT1074" s="338"/>
      <c r="AU1074" s="453">
        <v>35088</v>
      </c>
      <c r="AV1074" s="62" t="s">
        <v>1352</v>
      </c>
      <c r="AW1074" s="31" t="s">
        <v>32</v>
      </c>
      <c r="AX1074" s="139">
        <v>2</v>
      </c>
      <c r="AY1074" s="58" t="s">
        <v>2006</v>
      </c>
      <c r="AZ1074" s="58" t="s">
        <v>26</v>
      </c>
      <c r="BA1074" s="58" t="s">
        <v>151</v>
      </c>
      <c r="BB1074" s="58" t="s">
        <v>1407</v>
      </c>
      <c r="BC1074" s="58"/>
    </row>
    <row r="1075" spans="1:55" x14ac:dyDescent="0.25">
      <c r="A1075" s="10">
        <f t="shared" si="43"/>
        <v>1074</v>
      </c>
      <c r="B1075" s="181" t="s">
        <v>10093</v>
      </c>
      <c r="C1075" s="592" t="s">
        <v>1407</v>
      </c>
      <c r="D1075" s="499">
        <v>400991</v>
      </c>
      <c r="E1075" s="62" t="s">
        <v>36</v>
      </c>
      <c r="F1075" s="97" t="s">
        <v>10094</v>
      </c>
      <c r="G1075" s="61">
        <v>6</v>
      </c>
      <c r="H1075" s="141">
        <v>0.39583333333333331</v>
      </c>
      <c r="I1075" s="141">
        <v>0.60416666666666663</v>
      </c>
      <c r="J1075" s="141">
        <v>0.20833333333333334</v>
      </c>
      <c r="K1075" s="143" t="s">
        <v>899</v>
      </c>
      <c r="L1075" s="63" t="s">
        <v>10095</v>
      </c>
      <c r="M1075" s="63" t="s">
        <v>26</v>
      </c>
      <c r="N1075" s="100" t="s">
        <v>38</v>
      </c>
      <c r="O1075" s="143" t="s">
        <v>5710</v>
      </c>
      <c r="P1075" s="446">
        <v>45415</v>
      </c>
      <c r="Q1075" s="446">
        <v>45415</v>
      </c>
      <c r="R1075" s="446">
        <v>46144</v>
      </c>
      <c r="S1075" s="338">
        <v>46145</v>
      </c>
      <c r="T1075" s="61">
        <v>2017</v>
      </c>
      <c r="U1075" s="62" t="s">
        <v>565</v>
      </c>
      <c r="V1075" s="61">
        <v>2020</v>
      </c>
      <c r="W1075" s="99" t="s">
        <v>456</v>
      </c>
      <c r="X1075" s="62" t="s">
        <v>30</v>
      </c>
      <c r="Y1075" s="143" t="s">
        <v>66</v>
      </c>
      <c r="Z1075" s="99" t="s">
        <v>10096</v>
      </c>
      <c r="AA1075" s="63" t="s">
        <v>1841</v>
      </c>
      <c r="AB1075" s="451">
        <v>44629</v>
      </c>
      <c r="AC1075" s="451">
        <v>46454</v>
      </c>
      <c r="AD1075" s="220">
        <v>8886211666</v>
      </c>
      <c r="AE1075" s="336" t="s">
        <v>10097</v>
      </c>
      <c r="AF1075" s="100" t="s">
        <v>1833</v>
      </c>
      <c r="AG1075" s="337" t="s">
        <v>10098</v>
      </c>
      <c r="AH1075" s="62" t="s">
        <v>10099</v>
      </c>
      <c r="AI1075" s="62" t="s">
        <v>10100</v>
      </c>
      <c r="AJ1075" s="493">
        <v>739804876948</v>
      </c>
      <c r="AK1075" s="63"/>
      <c r="AL1075" s="338">
        <v>45731</v>
      </c>
      <c r="AM1075" s="477">
        <v>45673</v>
      </c>
      <c r="AN1075" s="63" t="s">
        <v>10101</v>
      </c>
      <c r="AO1075" s="63" t="s">
        <v>10102</v>
      </c>
      <c r="AP1075" s="61">
        <v>33</v>
      </c>
      <c r="AQ1075" s="100" t="s">
        <v>1371</v>
      </c>
      <c r="AR1075" s="143" t="s">
        <v>10103</v>
      </c>
      <c r="AS1075" s="338">
        <v>45411</v>
      </c>
      <c r="AT1075" s="338">
        <v>45775</v>
      </c>
      <c r="AU1075" s="453">
        <v>33805</v>
      </c>
      <c r="AV1075" s="62" t="s">
        <v>1389</v>
      </c>
      <c r="AW1075" s="31" t="s">
        <v>32</v>
      </c>
      <c r="AX1075" s="139">
        <v>5</v>
      </c>
      <c r="AY1075" s="58" t="s">
        <v>2006</v>
      </c>
      <c r="AZ1075" s="58" t="s">
        <v>26</v>
      </c>
      <c r="BA1075" s="58" t="s">
        <v>151</v>
      </c>
      <c r="BB1075" s="58" t="s">
        <v>1407</v>
      </c>
      <c r="BC1075" s="58"/>
    </row>
    <row r="1076" spans="1:55" x14ac:dyDescent="0.25">
      <c r="A1076" s="10">
        <f t="shared" si="43"/>
        <v>1075</v>
      </c>
      <c r="B1076" s="181" t="s">
        <v>10104</v>
      </c>
      <c r="C1076" s="592" t="s">
        <v>1407</v>
      </c>
      <c r="D1076" s="499">
        <v>401078</v>
      </c>
      <c r="E1076" s="62" t="s">
        <v>36</v>
      </c>
      <c r="F1076" s="97" t="s">
        <v>10105</v>
      </c>
      <c r="G1076" s="61">
        <v>6</v>
      </c>
      <c r="H1076" s="141">
        <v>0.77083333333333337</v>
      </c>
      <c r="I1076" s="141">
        <v>0.875</v>
      </c>
      <c r="J1076" s="141">
        <v>0.10416666666666667</v>
      </c>
      <c r="K1076" s="100" t="s">
        <v>154</v>
      </c>
      <c r="L1076" s="99" t="s">
        <v>10106</v>
      </c>
      <c r="M1076" s="63" t="s">
        <v>26</v>
      </c>
      <c r="N1076" s="100" t="s">
        <v>38</v>
      </c>
      <c r="O1076" s="143" t="s">
        <v>5710</v>
      </c>
      <c r="P1076" s="273">
        <v>45553</v>
      </c>
      <c r="Q1076" s="338">
        <v>45553</v>
      </c>
      <c r="R1076" s="338">
        <v>46282</v>
      </c>
      <c r="S1076" s="338">
        <v>46283</v>
      </c>
      <c r="T1076" s="61">
        <v>2012</v>
      </c>
      <c r="U1076" s="99" t="s">
        <v>3416</v>
      </c>
      <c r="V1076" s="61">
        <v>2022</v>
      </c>
      <c r="W1076" s="143" t="s">
        <v>10107</v>
      </c>
      <c r="X1076" s="61" t="s">
        <v>30</v>
      </c>
      <c r="Y1076" s="100" t="s">
        <v>49</v>
      </c>
      <c r="Z1076" s="99" t="s">
        <v>10108</v>
      </c>
      <c r="AA1076" s="63" t="s">
        <v>1841</v>
      </c>
      <c r="AB1076" s="451">
        <v>45070</v>
      </c>
      <c r="AC1076" s="451">
        <v>46896</v>
      </c>
      <c r="AD1076" s="61">
        <v>8247856241</v>
      </c>
      <c r="AE1076" s="540" t="s">
        <v>10109</v>
      </c>
      <c r="AF1076" s="100" t="s">
        <v>1833</v>
      </c>
      <c r="AG1076" s="337" t="s">
        <v>10110</v>
      </c>
      <c r="AH1076" s="62" t="s">
        <v>6745</v>
      </c>
      <c r="AI1076" s="62" t="s">
        <v>10111</v>
      </c>
      <c r="AJ1076" s="493">
        <v>942184503286</v>
      </c>
      <c r="AK1076" s="63" t="s">
        <v>10112</v>
      </c>
      <c r="AL1076" s="338">
        <v>45736</v>
      </c>
      <c r="AM1076" s="446" t="s">
        <v>30</v>
      </c>
      <c r="AN1076" s="100" t="s">
        <v>1765</v>
      </c>
      <c r="AO1076" s="63" t="s">
        <v>10113</v>
      </c>
      <c r="AP1076" s="61">
        <v>37</v>
      </c>
      <c r="AQ1076" s="100"/>
      <c r="AR1076" s="143"/>
      <c r="AS1076" s="338"/>
      <c r="AT1076" s="338"/>
      <c r="AU1076" s="453">
        <v>32070</v>
      </c>
      <c r="AV1076" s="62" t="s">
        <v>1352</v>
      </c>
      <c r="AW1076" s="31" t="s">
        <v>32</v>
      </c>
      <c r="AX1076" s="139">
        <v>2.5</v>
      </c>
      <c r="AY1076" s="58" t="s">
        <v>1904</v>
      </c>
      <c r="AZ1076" s="58" t="s">
        <v>26</v>
      </c>
      <c r="BA1076" s="58" t="s">
        <v>151</v>
      </c>
      <c r="BB1076" s="58" t="s">
        <v>1407</v>
      </c>
      <c r="BC1076" s="58"/>
    </row>
    <row r="1077" spans="1:55" x14ac:dyDescent="0.25">
      <c r="A1077" s="10">
        <f t="shared" si="43"/>
        <v>1076</v>
      </c>
      <c r="B1077" s="181" t="s">
        <v>10114</v>
      </c>
      <c r="C1077" s="592" t="s">
        <v>1407</v>
      </c>
      <c r="D1077" s="499">
        <v>401083</v>
      </c>
      <c r="E1077" s="62" t="s">
        <v>36</v>
      </c>
      <c r="F1077" s="97" t="s">
        <v>10115</v>
      </c>
      <c r="G1077" s="61">
        <v>6</v>
      </c>
      <c r="H1077" s="141">
        <v>0.70833333333333337</v>
      </c>
      <c r="I1077" s="141">
        <v>0.83333333333333337</v>
      </c>
      <c r="J1077" s="141">
        <v>0.125</v>
      </c>
      <c r="K1077" s="100" t="s">
        <v>866</v>
      </c>
      <c r="L1077" s="99" t="s">
        <v>10116</v>
      </c>
      <c r="M1077" s="63" t="s">
        <v>26</v>
      </c>
      <c r="N1077" s="100" t="s">
        <v>38</v>
      </c>
      <c r="O1077" s="143" t="s">
        <v>5710</v>
      </c>
      <c r="P1077" s="273">
        <v>45558</v>
      </c>
      <c r="Q1077" s="338">
        <v>45558</v>
      </c>
      <c r="R1077" s="338">
        <v>46288</v>
      </c>
      <c r="S1077" s="338">
        <v>46287</v>
      </c>
      <c r="T1077" s="61">
        <v>2009</v>
      </c>
      <c r="U1077" s="99" t="s">
        <v>296</v>
      </c>
      <c r="V1077" s="61">
        <v>2023</v>
      </c>
      <c r="W1077" s="143" t="s">
        <v>499</v>
      </c>
      <c r="X1077" s="61" t="s">
        <v>30</v>
      </c>
      <c r="Y1077" s="100" t="s">
        <v>49</v>
      </c>
      <c r="Z1077" s="99">
        <v>69558</v>
      </c>
      <c r="AA1077" s="63" t="s">
        <v>1841</v>
      </c>
      <c r="AB1077" s="451">
        <v>45302</v>
      </c>
      <c r="AC1077" s="451">
        <v>47128</v>
      </c>
      <c r="AD1077" s="220">
        <v>9989174345</v>
      </c>
      <c r="AE1077" s="336" t="s">
        <v>10117</v>
      </c>
      <c r="AF1077" s="100" t="s">
        <v>1833</v>
      </c>
      <c r="AG1077" s="337" t="s">
        <v>10118</v>
      </c>
      <c r="AH1077" s="62" t="s">
        <v>10119</v>
      </c>
      <c r="AI1077" s="62" t="s">
        <v>10120</v>
      </c>
      <c r="AJ1077" s="493">
        <v>845830244474</v>
      </c>
      <c r="AK1077" s="63" t="s">
        <v>10121</v>
      </c>
      <c r="AL1077" s="338">
        <v>45743</v>
      </c>
      <c r="AM1077" s="446">
        <v>45685</v>
      </c>
      <c r="AN1077" s="63" t="s">
        <v>4856</v>
      </c>
      <c r="AO1077" s="63" t="s">
        <v>10122</v>
      </c>
      <c r="AP1077" s="61">
        <v>39</v>
      </c>
      <c r="AQ1077" s="100" t="s">
        <v>1371</v>
      </c>
      <c r="AR1077" s="143" t="s">
        <v>10123</v>
      </c>
      <c r="AS1077" s="338">
        <v>45548</v>
      </c>
      <c r="AT1077" s="338">
        <v>45912</v>
      </c>
      <c r="AU1077" s="453">
        <v>31637</v>
      </c>
      <c r="AV1077" s="62" t="s">
        <v>1352</v>
      </c>
      <c r="AW1077" s="31" t="s">
        <v>32</v>
      </c>
      <c r="AX1077" s="139">
        <v>3</v>
      </c>
      <c r="AY1077" s="58" t="s">
        <v>2189</v>
      </c>
      <c r="AZ1077" s="58" t="s">
        <v>26</v>
      </c>
      <c r="BA1077" s="58" t="s">
        <v>151</v>
      </c>
      <c r="BB1077" s="58" t="s">
        <v>1407</v>
      </c>
      <c r="BC1077" s="58"/>
    </row>
    <row r="1078" spans="1:55" x14ac:dyDescent="0.25">
      <c r="A1078" s="10">
        <f t="shared" si="43"/>
        <v>1077</v>
      </c>
      <c r="B1078" s="181" t="s">
        <v>10124</v>
      </c>
      <c r="C1078" s="592" t="s">
        <v>1407</v>
      </c>
      <c r="D1078" s="499">
        <v>400794</v>
      </c>
      <c r="E1078" s="62" t="s">
        <v>36</v>
      </c>
      <c r="F1078" s="97" t="s">
        <v>10125</v>
      </c>
      <c r="G1078" s="61">
        <v>6</v>
      </c>
      <c r="H1078" s="141">
        <v>0.41666666666666669</v>
      </c>
      <c r="I1078" s="141">
        <v>0.58333333333333337</v>
      </c>
      <c r="J1078" s="141">
        <v>0.16666666666666666</v>
      </c>
      <c r="K1078" s="100" t="s">
        <v>563</v>
      </c>
      <c r="L1078" s="63" t="s">
        <v>1424</v>
      </c>
      <c r="M1078" s="63" t="s">
        <v>2097</v>
      </c>
      <c r="N1078" s="58" t="s">
        <v>2098</v>
      </c>
      <c r="O1078" s="100" t="s">
        <v>4752</v>
      </c>
      <c r="P1078" s="446">
        <v>45114</v>
      </c>
      <c r="Q1078" s="446">
        <v>45114</v>
      </c>
      <c r="R1078" s="446">
        <v>45844</v>
      </c>
      <c r="S1078" s="338">
        <v>45845</v>
      </c>
      <c r="T1078" s="61">
        <v>1977</v>
      </c>
      <c r="U1078" s="62" t="s">
        <v>10126</v>
      </c>
      <c r="V1078" s="61">
        <v>2004</v>
      </c>
      <c r="W1078" s="63" t="s">
        <v>10126</v>
      </c>
      <c r="X1078" s="61" t="s">
        <v>1424</v>
      </c>
      <c r="Y1078" s="100" t="s">
        <v>4862</v>
      </c>
      <c r="Z1078" s="99" t="s">
        <v>10127</v>
      </c>
      <c r="AA1078" s="63" t="s">
        <v>1841</v>
      </c>
      <c r="AB1078" s="451">
        <v>44181</v>
      </c>
      <c r="AC1078" s="451">
        <v>46006</v>
      </c>
      <c r="AD1078" s="220">
        <v>9849303941</v>
      </c>
      <c r="AE1078" s="336" t="s">
        <v>10128</v>
      </c>
      <c r="AF1078" s="100" t="s">
        <v>1805</v>
      </c>
      <c r="AG1078" s="337" t="s">
        <v>10129</v>
      </c>
      <c r="AH1078" s="62" t="s">
        <v>1889</v>
      </c>
      <c r="AI1078" s="62" t="s">
        <v>10130</v>
      </c>
      <c r="AJ1078" s="493">
        <v>554052906234</v>
      </c>
      <c r="AK1078" s="63"/>
      <c r="AL1078" s="446">
        <v>45747</v>
      </c>
      <c r="AM1078" s="477">
        <v>45741</v>
      </c>
      <c r="AN1078" s="63" t="s">
        <v>1499</v>
      </c>
      <c r="AO1078" s="63"/>
      <c r="AP1078" s="61">
        <v>72</v>
      </c>
      <c r="AQ1078" s="100"/>
      <c r="AR1078" s="143"/>
      <c r="AS1078" s="338"/>
      <c r="AT1078" s="338"/>
      <c r="AU1078" s="453">
        <v>19541</v>
      </c>
      <c r="AV1078" s="62" t="s">
        <v>1352</v>
      </c>
      <c r="AW1078" s="31" t="s">
        <v>32</v>
      </c>
      <c r="AX1078" s="139">
        <v>4</v>
      </c>
      <c r="AY1078" s="58" t="s">
        <v>1895</v>
      </c>
      <c r="AZ1078" s="58" t="s">
        <v>1373</v>
      </c>
      <c r="BA1078" s="58" t="s">
        <v>151</v>
      </c>
      <c r="BB1078" s="58" t="s">
        <v>1407</v>
      </c>
      <c r="BC1078" s="58"/>
    </row>
    <row r="1079" spans="1:55" x14ac:dyDescent="0.25">
      <c r="A1079" s="10">
        <f t="shared" si="43"/>
        <v>1078</v>
      </c>
      <c r="B1079" s="181" t="s">
        <v>10131</v>
      </c>
      <c r="C1079" s="592" t="s">
        <v>1407</v>
      </c>
      <c r="D1079" s="499">
        <v>400938</v>
      </c>
      <c r="E1079" s="62" t="s">
        <v>36</v>
      </c>
      <c r="F1079" s="97" t="s">
        <v>10132</v>
      </c>
      <c r="G1079" s="61">
        <v>6</v>
      </c>
      <c r="H1079" s="141">
        <v>0.33333333333333331</v>
      </c>
      <c r="I1079" s="141">
        <v>0.875</v>
      </c>
      <c r="J1079" s="443">
        <v>0.33333333333333331</v>
      </c>
      <c r="K1079" s="58" t="s">
        <v>147</v>
      </c>
      <c r="L1079" s="63" t="s">
        <v>1424</v>
      </c>
      <c r="M1079" s="63" t="s">
        <v>1355</v>
      </c>
      <c r="N1079" s="100" t="s">
        <v>1520</v>
      </c>
      <c r="O1079" s="100" t="s">
        <v>4752</v>
      </c>
      <c r="P1079" s="446">
        <v>45334</v>
      </c>
      <c r="Q1079" s="446">
        <v>45334</v>
      </c>
      <c r="R1079" s="446">
        <v>46064</v>
      </c>
      <c r="S1079" s="338">
        <v>46065</v>
      </c>
      <c r="T1079" s="61">
        <v>2020</v>
      </c>
      <c r="U1079" s="62" t="s">
        <v>10133</v>
      </c>
      <c r="V1079" s="61">
        <v>2023</v>
      </c>
      <c r="W1079" s="63" t="s">
        <v>10134</v>
      </c>
      <c r="X1079" s="62" t="s">
        <v>30</v>
      </c>
      <c r="Y1079" s="143" t="s">
        <v>1360</v>
      </c>
      <c r="Z1079" s="99" t="s">
        <v>10135</v>
      </c>
      <c r="AA1079" s="63" t="s">
        <v>1841</v>
      </c>
      <c r="AB1079" s="451">
        <v>45372</v>
      </c>
      <c r="AC1079" s="451">
        <v>47197</v>
      </c>
      <c r="AD1079" s="220">
        <v>7003664801</v>
      </c>
      <c r="AE1079" s="336" t="s">
        <v>10136</v>
      </c>
      <c r="AF1079" s="100" t="s">
        <v>5086</v>
      </c>
      <c r="AG1079" s="337" t="s">
        <v>10137</v>
      </c>
      <c r="AH1079" s="62" t="s">
        <v>10138</v>
      </c>
      <c r="AI1079" s="62" t="s">
        <v>10139</v>
      </c>
      <c r="AJ1079" s="493">
        <v>826800508505</v>
      </c>
      <c r="AK1079" s="63"/>
      <c r="AL1079" s="446">
        <v>45747</v>
      </c>
      <c r="AM1079" s="477">
        <v>45723</v>
      </c>
      <c r="AN1079" s="63" t="s">
        <v>10140</v>
      </c>
      <c r="AO1079" s="63" t="s">
        <v>10141</v>
      </c>
      <c r="AP1079" s="61">
        <v>29</v>
      </c>
      <c r="AQ1079" s="100"/>
      <c r="AR1079" s="143"/>
      <c r="AS1079" s="338"/>
      <c r="AT1079" s="338"/>
      <c r="AU1079" s="453">
        <v>35121</v>
      </c>
      <c r="AV1079" s="62" t="s">
        <v>1389</v>
      </c>
      <c r="AW1079" s="31" t="s">
        <v>68</v>
      </c>
      <c r="AX1079" s="139">
        <v>8</v>
      </c>
      <c r="AY1079" s="58" t="s">
        <v>1849</v>
      </c>
      <c r="AZ1079" s="58" t="s">
        <v>1373</v>
      </c>
      <c r="BA1079" s="58" t="s">
        <v>151</v>
      </c>
      <c r="BB1079" s="58" t="s">
        <v>1407</v>
      </c>
      <c r="BC1079" s="58"/>
    </row>
    <row r="1080" spans="1:55" x14ac:dyDescent="0.25">
      <c r="A1080" s="10">
        <f t="shared" si="43"/>
        <v>1079</v>
      </c>
      <c r="B1080" s="181" t="s">
        <v>10142</v>
      </c>
      <c r="C1080" s="592" t="s">
        <v>1407</v>
      </c>
      <c r="D1080" s="499">
        <v>400989</v>
      </c>
      <c r="E1080" s="62" t="s">
        <v>42</v>
      </c>
      <c r="F1080" s="97" t="s">
        <v>10143</v>
      </c>
      <c r="G1080" s="61">
        <v>6</v>
      </c>
      <c r="H1080" s="141">
        <v>0.45833333333333331</v>
      </c>
      <c r="I1080" s="141">
        <v>0.75</v>
      </c>
      <c r="J1080" s="141">
        <v>0.29166666666666669</v>
      </c>
      <c r="K1080" s="100" t="s">
        <v>287</v>
      </c>
      <c r="L1080" s="63" t="s">
        <v>10144</v>
      </c>
      <c r="M1080" s="63" t="s">
        <v>26</v>
      </c>
      <c r="N1080" s="100" t="s">
        <v>38</v>
      </c>
      <c r="O1080" s="143" t="s">
        <v>5710</v>
      </c>
      <c r="P1080" s="446">
        <v>45413</v>
      </c>
      <c r="Q1080" s="446">
        <v>45413</v>
      </c>
      <c r="R1080" s="446">
        <v>46142</v>
      </c>
      <c r="S1080" s="338">
        <v>46143</v>
      </c>
      <c r="T1080" s="61">
        <v>2001</v>
      </c>
      <c r="U1080" s="62" t="s">
        <v>326</v>
      </c>
      <c r="V1080" s="61">
        <v>2011</v>
      </c>
      <c r="W1080" s="99" t="s">
        <v>10145</v>
      </c>
      <c r="X1080" s="62" t="s">
        <v>30</v>
      </c>
      <c r="Y1080" s="100" t="s">
        <v>49</v>
      </c>
      <c r="Z1080" s="99">
        <v>47491</v>
      </c>
      <c r="AA1080" s="63" t="s">
        <v>1841</v>
      </c>
      <c r="AB1080" s="451">
        <v>44141</v>
      </c>
      <c r="AC1080" s="451">
        <v>45966</v>
      </c>
      <c r="AD1080" s="220">
        <v>9441886364</v>
      </c>
      <c r="AE1080" s="336" t="s">
        <v>10146</v>
      </c>
      <c r="AF1080" s="100" t="s">
        <v>1805</v>
      </c>
      <c r="AG1080" s="337" t="s">
        <v>10147</v>
      </c>
      <c r="AH1080" s="62" t="s">
        <v>10148</v>
      </c>
      <c r="AI1080" s="62" t="s">
        <v>10149</v>
      </c>
      <c r="AJ1080" s="493">
        <v>624373663889</v>
      </c>
      <c r="AK1080" s="63"/>
      <c r="AL1080" s="338">
        <v>45747</v>
      </c>
      <c r="AM1080" s="477">
        <v>45738</v>
      </c>
      <c r="AN1080" s="63" t="s">
        <v>10150</v>
      </c>
      <c r="AO1080" s="63" t="s">
        <v>10151</v>
      </c>
      <c r="AP1080" s="61">
        <v>48</v>
      </c>
      <c r="AQ1080" s="100" t="s">
        <v>1371</v>
      </c>
      <c r="AR1080" s="143" t="s">
        <v>10152</v>
      </c>
      <c r="AS1080" s="338">
        <v>45381</v>
      </c>
      <c r="AT1080" s="338">
        <v>45745</v>
      </c>
      <c r="AU1080" s="453">
        <v>28029</v>
      </c>
      <c r="AV1080" s="62" t="s">
        <v>1352</v>
      </c>
      <c r="AW1080" s="31" t="s">
        <v>32</v>
      </c>
      <c r="AX1080" s="139">
        <v>7</v>
      </c>
      <c r="AY1080" s="58" t="s">
        <v>1881</v>
      </c>
      <c r="AZ1080" s="58" t="s">
        <v>26</v>
      </c>
      <c r="BA1080" s="58" t="s">
        <v>151</v>
      </c>
      <c r="BB1080" s="58" t="s">
        <v>1407</v>
      </c>
      <c r="BC1080" s="58"/>
    </row>
    <row r="1081" spans="1:55" x14ac:dyDescent="0.25">
      <c r="A1081" s="10">
        <f t="shared" si="43"/>
        <v>1080</v>
      </c>
      <c r="B1081" s="181" t="s">
        <v>10153</v>
      </c>
      <c r="C1081" s="592" t="s">
        <v>1407</v>
      </c>
      <c r="D1081" s="499">
        <v>401008</v>
      </c>
      <c r="E1081" s="62" t="s">
        <v>36</v>
      </c>
      <c r="F1081" s="97" t="s">
        <v>10154</v>
      </c>
      <c r="G1081" s="61">
        <v>6</v>
      </c>
      <c r="H1081" s="141">
        <v>0.54166666666666663</v>
      </c>
      <c r="I1081" s="141">
        <v>0.875</v>
      </c>
      <c r="J1081" s="141">
        <v>0.33333333333333331</v>
      </c>
      <c r="K1081" s="100" t="s">
        <v>713</v>
      </c>
      <c r="L1081" s="99" t="s">
        <v>10155</v>
      </c>
      <c r="M1081" s="63" t="s">
        <v>26</v>
      </c>
      <c r="N1081" s="100" t="s">
        <v>38</v>
      </c>
      <c r="O1081" s="143" t="s">
        <v>5710</v>
      </c>
      <c r="P1081" s="338">
        <v>45446</v>
      </c>
      <c r="Q1081" s="338">
        <v>45446</v>
      </c>
      <c r="R1081" s="338">
        <v>46175</v>
      </c>
      <c r="S1081" s="338">
        <v>46176</v>
      </c>
      <c r="T1081" s="61">
        <v>2010</v>
      </c>
      <c r="U1081" s="63" t="s">
        <v>534</v>
      </c>
      <c r="V1081" s="61">
        <v>2019</v>
      </c>
      <c r="W1081" s="100" t="s">
        <v>10156</v>
      </c>
      <c r="X1081" s="62" t="s">
        <v>30</v>
      </c>
      <c r="Y1081" s="100" t="s">
        <v>49</v>
      </c>
      <c r="Z1081" s="99">
        <v>69683</v>
      </c>
      <c r="AA1081" s="63" t="s">
        <v>1886</v>
      </c>
      <c r="AB1081" s="451">
        <v>45302</v>
      </c>
      <c r="AC1081" s="451">
        <v>47128</v>
      </c>
      <c r="AD1081" s="220">
        <v>9121823646</v>
      </c>
      <c r="AE1081" s="336" t="s">
        <v>10157</v>
      </c>
      <c r="AF1081" s="100" t="s">
        <v>1364</v>
      </c>
      <c r="AG1081" s="337" t="s">
        <v>10158</v>
      </c>
      <c r="AH1081" s="62" t="s">
        <v>10159</v>
      </c>
      <c r="AI1081" s="62" t="s">
        <v>10160</v>
      </c>
      <c r="AJ1081" s="493">
        <v>715529859076</v>
      </c>
      <c r="AK1081" s="63"/>
      <c r="AL1081" s="338">
        <v>45747</v>
      </c>
      <c r="AM1081" s="477">
        <v>45687</v>
      </c>
      <c r="AN1081" s="63" t="s">
        <v>1592</v>
      </c>
      <c r="AO1081" s="63" t="s">
        <v>10161</v>
      </c>
      <c r="AP1081" s="61">
        <v>38</v>
      </c>
      <c r="AQ1081" s="100"/>
      <c r="AR1081" s="143"/>
      <c r="AS1081" s="338"/>
      <c r="AT1081" s="338"/>
      <c r="AU1081" s="453">
        <v>31902</v>
      </c>
      <c r="AV1081" s="62" t="s">
        <v>1352</v>
      </c>
      <c r="AW1081" s="31" t="s">
        <v>68</v>
      </c>
      <c r="AX1081" s="139">
        <v>8</v>
      </c>
      <c r="AY1081" s="58" t="s">
        <v>2262</v>
      </c>
      <c r="AZ1081" s="58" t="s">
        <v>26</v>
      </c>
      <c r="BA1081" s="58" t="s">
        <v>151</v>
      </c>
      <c r="BB1081" s="58" t="s">
        <v>1407</v>
      </c>
      <c r="BC1081" s="58"/>
    </row>
    <row r="1082" spans="1:55" x14ac:dyDescent="0.25">
      <c r="A1082" s="10">
        <f t="shared" si="43"/>
        <v>1081</v>
      </c>
      <c r="B1082" s="181" t="s">
        <v>10162</v>
      </c>
      <c r="C1082" s="592" t="s">
        <v>1407</v>
      </c>
      <c r="D1082" s="499">
        <v>401074</v>
      </c>
      <c r="E1082" s="62" t="s">
        <v>9821</v>
      </c>
      <c r="F1082" s="97" t="s">
        <v>10163</v>
      </c>
      <c r="G1082" s="61">
        <v>6</v>
      </c>
      <c r="H1082" s="141">
        <v>0.375</v>
      </c>
      <c r="I1082" s="141">
        <v>0.70833333333333337</v>
      </c>
      <c r="J1082" s="141">
        <v>0.33333333333333331</v>
      </c>
      <c r="K1082" s="58" t="s">
        <v>1151</v>
      </c>
      <c r="L1082" s="63" t="s">
        <v>10164</v>
      </c>
      <c r="M1082" s="63" t="s">
        <v>26</v>
      </c>
      <c r="N1082" s="100" t="s">
        <v>38</v>
      </c>
      <c r="O1082" s="143" t="s">
        <v>5710</v>
      </c>
      <c r="P1082" s="273">
        <v>45551</v>
      </c>
      <c r="Q1082" s="338">
        <v>45551</v>
      </c>
      <c r="R1082" s="338">
        <v>46280</v>
      </c>
      <c r="S1082" s="338">
        <v>46281</v>
      </c>
      <c r="T1082" s="61">
        <v>2017</v>
      </c>
      <c r="U1082" s="99" t="s">
        <v>343</v>
      </c>
      <c r="V1082" s="61">
        <v>2023</v>
      </c>
      <c r="W1082" s="143" t="s">
        <v>695</v>
      </c>
      <c r="X1082" s="62" t="s">
        <v>30</v>
      </c>
      <c r="Y1082" s="100" t="s">
        <v>49</v>
      </c>
      <c r="Z1082" s="99" t="s">
        <v>10165</v>
      </c>
      <c r="AA1082" s="63" t="s">
        <v>1886</v>
      </c>
      <c r="AB1082" s="451">
        <v>45190</v>
      </c>
      <c r="AC1082" s="451">
        <v>47016</v>
      </c>
      <c r="AD1082" s="61">
        <v>9553427369</v>
      </c>
      <c r="AE1082" s="540" t="s">
        <v>10166</v>
      </c>
      <c r="AF1082" s="100" t="s">
        <v>1833</v>
      </c>
      <c r="AG1082" s="337" t="s">
        <v>10167</v>
      </c>
      <c r="AH1082" s="62" t="s">
        <v>3001</v>
      </c>
      <c r="AI1082" s="62" t="s">
        <v>10168</v>
      </c>
      <c r="AJ1082" s="493">
        <v>900786273111</v>
      </c>
      <c r="AK1082" s="63" t="s">
        <v>10169</v>
      </c>
      <c r="AL1082" s="338">
        <v>45747</v>
      </c>
      <c r="AM1082" s="446">
        <v>45680</v>
      </c>
      <c r="AN1082" s="63" t="s">
        <v>895</v>
      </c>
      <c r="AO1082" s="63" t="s">
        <v>10170</v>
      </c>
      <c r="AP1082" s="61">
        <v>30</v>
      </c>
      <c r="AQ1082" s="100" t="s">
        <v>1371</v>
      </c>
      <c r="AR1082" s="143" t="s">
        <v>10171</v>
      </c>
      <c r="AS1082" s="338">
        <v>45523</v>
      </c>
      <c r="AT1082" s="338">
        <v>45887</v>
      </c>
      <c r="AU1082" s="453">
        <v>34685</v>
      </c>
      <c r="AV1082" s="62" t="s">
        <v>1389</v>
      </c>
      <c r="AW1082" s="31" t="s">
        <v>68</v>
      </c>
      <c r="AX1082" s="139">
        <v>8</v>
      </c>
      <c r="AY1082" s="58" t="s">
        <v>1895</v>
      </c>
      <c r="AZ1082" s="58" t="s">
        <v>26</v>
      </c>
      <c r="BA1082" s="58" t="s">
        <v>151</v>
      </c>
      <c r="BB1082" s="58" t="s">
        <v>1407</v>
      </c>
      <c r="BC1082" s="58"/>
    </row>
    <row r="1083" spans="1:55" x14ac:dyDescent="0.25">
      <c r="A1083" s="10">
        <f t="shared" si="43"/>
        <v>1082</v>
      </c>
      <c r="B1083" s="181" t="s">
        <v>10172</v>
      </c>
      <c r="C1083" s="592" t="s">
        <v>1407</v>
      </c>
      <c r="D1083" s="96">
        <v>401164</v>
      </c>
      <c r="E1083" s="62" t="s">
        <v>36</v>
      </c>
      <c r="F1083" s="97" t="s">
        <v>10173</v>
      </c>
      <c r="G1083" s="61">
        <v>6</v>
      </c>
      <c r="H1083" s="141">
        <v>0.41666666666666669</v>
      </c>
      <c r="I1083" s="141">
        <v>0.54166666666666663</v>
      </c>
      <c r="J1083" s="443">
        <v>0.125</v>
      </c>
      <c r="K1083" s="143" t="s">
        <v>314</v>
      </c>
      <c r="L1083" s="99" t="s">
        <v>10174</v>
      </c>
      <c r="M1083" s="63" t="s">
        <v>26</v>
      </c>
      <c r="N1083" s="100" t="s">
        <v>38</v>
      </c>
      <c r="O1083" s="143" t="s">
        <v>5710</v>
      </c>
      <c r="P1083" s="338">
        <v>45673</v>
      </c>
      <c r="Q1083" s="338">
        <v>45673</v>
      </c>
      <c r="R1083" s="338">
        <v>46402</v>
      </c>
      <c r="S1083" s="338">
        <v>46403</v>
      </c>
      <c r="T1083" s="61">
        <v>2018</v>
      </c>
      <c r="U1083" s="99" t="s">
        <v>10175</v>
      </c>
      <c r="V1083" s="61">
        <v>2022</v>
      </c>
      <c r="W1083" s="100" t="s">
        <v>326</v>
      </c>
      <c r="X1083" s="62" t="s">
        <v>30</v>
      </c>
      <c r="Y1083" s="100" t="s">
        <v>49</v>
      </c>
      <c r="Z1083" s="99">
        <v>123081</v>
      </c>
      <c r="AA1083" s="63" t="s">
        <v>1560</v>
      </c>
      <c r="AB1083" s="451">
        <v>44746</v>
      </c>
      <c r="AC1083" s="451">
        <v>46571</v>
      </c>
      <c r="AD1083" s="61" t="s">
        <v>10176</v>
      </c>
      <c r="AE1083" s="99" t="s">
        <v>10177</v>
      </c>
      <c r="AF1083" s="100" t="s">
        <v>1364</v>
      </c>
      <c r="AG1083" s="337" t="s">
        <v>10178</v>
      </c>
      <c r="AH1083" s="62" t="s">
        <v>10179</v>
      </c>
      <c r="AI1083" s="62" t="s">
        <v>10180</v>
      </c>
      <c r="AJ1083" s="493">
        <v>357775710875</v>
      </c>
      <c r="AK1083" s="63" t="s">
        <v>10181</v>
      </c>
      <c r="AL1083" s="338">
        <v>45747</v>
      </c>
      <c r="AM1083" s="446">
        <v>45762</v>
      </c>
      <c r="AN1083" s="63" t="s">
        <v>1592</v>
      </c>
      <c r="AO1083" s="63" t="s">
        <v>10182</v>
      </c>
      <c r="AP1083" s="61">
        <v>30</v>
      </c>
      <c r="AQ1083" s="100" t="s">
        <v>1371</v>
      </c>
      <c r="AR1083" s="143" t="s">
        <v>10183</v>
      </c>
      <c r="AS1083" s="338">
        <v>45664</v>
      </c>
      <c r="AT1083" s="338">
        <v>46758</v>
      </c>
      <c r="AU1083" s="453">
        <v>34632</v>
      </c>
      <c r="AV1083" s="62" t="s">
        <v>1389</v>
      </c>
      <c r="AW1083" s="31" t="s">
        <v>32</v>
      </c>
      <c r="AX1083" s="139">
        <v>3</v>
      </c>
      <c r="AY1083" s="58" t="s">
        <v>2270</v>
      </c>
      <c r="AZ1083" s="58" t="s">
        <v>26</v>
      </c>
      <c r="BA1083" s="58" t="s">
        <v>151</v>
      </c>
      <c r="BB1083" s="58" t="s">
        <v>1407</v>
      </c>
      <c r="BC1083" s="58"/>
    </row>
    <row r="1084" spans="1:55" x14ac:dyDescent="0.25">
      <c r="A1084" s="10">
        <f t="shared" si="43"/>
        <v>1083</v>
      </c>
      <c r="B1084" s="181" t="s">
        <v>10184</v>
      </c>
      <c r="C1084" s="592" t="s">
        <v>1407</v>
      </c>
      <c r="D1084" s="96">
        <v>401176</v>
      </c>
      <c r="E1084" s="62" t="s">
        <v>36</v>
      </c>
      <c r="F1084" s="97" t="s">
        <v>10185</v>
      </c>
      <c r="G1084" s="61">
        <v>6</v>
      </c>
      <c r="H1084" s="458">
        <v>0.35416666666666669</v>
      </c>
      <c r="I1084" s="458">
        <v>0.39583333333333331</v>
      </c>
      <c r="J1084" s="458">
        <v>4.1666666666666664E-2</v>
      </c>
      <c r="K1084" s="100" t="s">
        <v>840</v>
      </c>
      <c r="L1084" s="63" t="s">
        <v>30</v>
      </c>
      <c r="M1084" s="97" t="s">
        <v>1376</v>
      </c>
      <c r="N1084" s="58" t="s">
        <v>1393</v>
      </c>
      <c r="O1084" s="100" t="s">
        <v>30</v>
      </c>
      <c r="P1084" s="273">
        <v>45699</v>
      </c>
      <c r="Q1084" s="273">
        <v>45699</v>
      </c>
      <c r="R1084" s="273">
        <v>46428</v>
      </c>
      <c r="S1084" s="273">
        <v>46429</v>
      </c>
      <c r="T1084" s="61">
        <v>2021</v>
      </c>
      <c r="U1084" s="63" t="s">
        <v>250</v>
      </c>
      <c r="V1084" s="61" t="s">
        <v>30</v>
      </c>
      <c r="W1084" s="143" t="s">
        <v>30</v>
      </c>
      <c r="X1084" s="62" t="s">
        <v>30</v>
      </c>
      <c r="Y1084" s="100" t="s">
        <v>226</v>
      </c>
      <c r="Z1084" s="140" t="s">
        <v>10186</v>
      </c>
      <c r="AA1084" s="63" t="s">
        <v>1841</v>
      </c>
      <c r="AB1084" s="451">
        <v>44938</v>
      </c>
      <c r="AC1084" s="451">
        <v>46763</v>
      </c>
      <c r="AD1084" s="139">
        <v>8897611976</v>
      </c>
      <c r="AE1084" s="467" t="s">
        <v>10187</v>
      </c>
      <c r="AF1084" s="100" t="s">
        <v>1690</v>
      </c>
      <c r="AG1084" s="337" t="s">
        <v>10188</v>
      </c>
      <c r="AH1084" s="62" t="s">
        <v>10189</v>
      </c>
      <c r="AI1084" s="62" t="s">
        <v>10190</v>
      </c>
      <c r="AJ1084" s="493">
        <v>234220751111</v>
      </c>
      <c r="AK1084" s="63" t="s">
        <v>10191</v>
      </c>
      <c r="AL1084" s="446">
        <v>45747</v>
      </c>
      <c r="AM1084" s="446">
        <v>45754</v>
      </c>
      <c r="AN1084" s="63" t="s">
        <v>10192</v>
      </c>
      <c r="AO1084" s="63" t="s">
        <v>10193</v>
      </c>
      <c r="AP1084" s="61">
        <v>30</v>
      </c>
      <c r="AQ1084" s="100"/>
      <c r="AR1084" s="143"/>
      <c r="AS1084" s="338"/>
      <c r="AT1084" s="338"/>
      <c r="AU1084" s="453">
        <v>34808</v>
      </c>
      <c r="AV1084" s="62" t="s">
        <v>1352</v>
      </c>
      <c r="AW1084" s="31" t="s">
        <v>32</v>
      </c>
      <c r="AX1084" s="139">
        <v>1</v>
      </c>
      <c r="AY1084" s="58" t="s">
        <v>2006</v>
      </c>
      <c r="AZ1084" s="58" t="s">
        <v>1390</v>
      </c>
      <c r="BA1084" s="58" t="s">
        <v>151</v>
      </c>
      <c r="BB1084" s="58" t="s">
        <v>1407</v>
      </c>
      <c r="BC1084" s="58"/>
    </row>
    <row r="1085" spans="1:55" x14ac:dyDescent="0.25">
      <c r="A1085" s="10">
        <f t="shared" si="43"/>
        <v>1084</v>
      </c>
      <c r="B1085" s="181" t="s">
        <v>10194</v>
      </c>
      <c r="C1085" s="592" t="s">
        <v>1407</v>
      </c>
      <c r="D1085" s="96">
        <v>401157</v>
      </c>
      <c r="E1085" s="62" t="s">
        <v>36</v>
      </c>
      <c r="F1085" s="97" t="s">
        <v>10195</v>
      </c>
      <c r="G1085" s="61">
        <v>6</v>
      </c>
      <c r="H1085" s="141">
        <v>0.70833333333333337</v>
      </c>
      <c r="I1085" s="141">
        <v>0.79166666666666663</v>
      </c>
      <c r="J1085" s="141">
        <v>8.3333333333333329E-2</v>
      </c>
      <c r="K1085" s="100" t="s">
        <v>819</v>
      </c>
      <c r="L1085" s="99" t="s">
        <v>10196</v>
      </c>
      <c r="M1085" s="63" t="s">
        <v>26</v>
      </c>
      <c r="N1085" s="100" t="s">
        <v>38</v>
      </c>
      <c r="O1085" s="143" t="s">
        <v>5710</v>
      </c>
      <c r="P1085" s="273">
        <v>45656</v>
      </c>
      <c r="Q1085" s="338">
        <v>45656</v>
      </c>
      <c r="R1085" s="338">
        <v>46385</v>
      </c>
      <c r="S1085" s="338">
        <v>46386</v>
      </c>
      <c r="T1085" s="61">
        <v>2019</v>
      </c>
      <c r="U1085" s="99" t="s">
        <v>3709</v>
      </c>
      <c r="V1085" s="61">
        <v>2023</v>
      </c>
      <c r="W1085" s="100" t="s">
        <v>10197</v>
      </c>
      <c r="X1085" s="62" t="s">
        <v>30</v>
      </c>
      <c r="Y1085" s="100" t="s">
        <v>49</v>
      </c>
      <c r="Z1085" s="99" t="s">
        <v>10198</v>
      </c>
      <c r="AA1085" s="63" t="s">
        <v>1841</v>
      </c>
      <c r="AB1085" s="451">
        <v>45187</v>
      </c>
      <c r="AC1085" s="451">
        <v>47013</v>
      </c>
      <c r="AD1085" s="61">
        <v>8959510702</v>
      </c>
      <c r="AE1085" s="540" t="s">
        <v>10199</v>
      </c>
      <c r="AF1085" s="100" t="s">
        <v>1833</v>
      </c>
      <c r="AG1085" s="337" t="s">
        <v>10200</v>
      </c>
      <c r="AH1085" s="62" t="s">
        <v>10201</v>
      </c>
      <c r="AI1085" s="62" t="s">
        <v>10202</v>
      </c>
      <c r="AJ1085" s="493">
        <v>571212352443</v>
      </c>
      <c r="AK1085" s="63" t="s">
        <v>10203</v>
      </c>
      <c r="AL1085" s="338">
        <v>45750</v>
      </c>
      <c r="AM1085" s="446">
        <v>45692</v>
      </c>
      <c r="AN1085" s="63" t="s">
        <v>895</v>
      </c>
      <c r="AO1085" s="63" t="s">
        <v>10204</v>
      </c>
      <c r="AP1085" s="61">
        <v>28</v>
      </c>
      <c r="AQ1085" s="100"/>
      <c r="AR1085" s="143"/>
      <c r="AS1085" s="338"/>
      <c r="AT1085" s="338"/>
      <c r="AU1085" s="453">
        <v>35517</v>
      </c>
      <c r="AV1085" s="62" t="s">
        <v>1389</v>
      </c>
      <c r="AW1085" s="31" t="s">
        <v>32</v>
      </c>
      <c r="AX1085" s="139">
        <v>2</v>
      </c>
      <c r="AY1085" s="58" t="s">
        <v>2189</v>
      </c>
      <c r="AZ1085" s="58" t="s">
        <v>26</v>
      </c>
      <c r="BA1085" s="58" t="s">
        <v>151</v>
      </c>
      <c r="BB1085" s="58" t="s">
        <v>1407</v>
      </c>
      <c r="BC1085" s="58"/>
    </row>
    <row r="1086" spans="1:55" x14ac:dyDescent="0.25">
      <c r="A1086" s="10">
        <f t="shared" si="43"/>
        <v>1085</v>
      </c>
      <c r="B1086" s="181" t="s">
        <v>10205</v>
      </c>
      <c r="C1086" s="592" t="s">
        <v>1407</v>
      </c>
      <c r="D1086" s="96">
        <v>400962</v>
      </c>
      <c r="E1086" s="62" t="s">
        <v>36</v>
      </c>
      <c r="F1086" s="97" t="s">
        <v>10206</v>
      </c>
      <c r="G1086" s="61">
        <v>6</v>
      </c>
      <c r="H1086" s="141">
        <v>0.6875</v>
      </c>
      <c r="I1086" s="141">
        <v>0.77083333333333337</v>
      </c>
      <c r="J1086" s="141">
        <v>8.3333333333333329E-2</v>
      </c>
      <c r="K1086" s="143" t="s">
        <v>207</v>
      </c>
      <c r="L1086" s="63" t="s">
        <v>1424</v>
      </c>
      <c r="M1086" s="97" t="s">
        <v>1376</v>
      </c>
      <c r="N1086" s="58" t="s">
        <v>1393</v>
      </c>
      <c r="O1086" s="100" t="s">
        <v>30</v>
      </c>
      <c r="P1086" s="446">
        <v>45357</v>
      </c>
      <c r="Q1086" s="446">
        <v>45357</v>
      </c>
      <c r="R1086" s="446">
        <v>46086</v>
      </c>
      <c r="S1086" s="338">
        <v>46087</v>
      </c>
      <c r="T1086" s="61">
        <v>2019</v>
      </c>
      <c r="U1086" s="62" t="s">
        <v>10207</v>
      </c>
      <c r="V1086" s="61" t="s">
        <v>30</v>
      </c>
      <c r="W1086" s="63" t="s">
        <v>1424</v>
      </c>
      <c r="X1086" s="62" t="s">
        <v>30</v>
      </c>
      <c r="Y1086" s="100" t="s">
        <v>226</v>
      </c>
      <c r="Z1086" s="99" t="s">
        <v>10208</v>
      </c>
      <c r="AA1086" s="63" t="s">
        <v>1886</v>
      </c>
      <c r="AB1086" s="451">
        <v>44518</v>
      </c>
      <c r="AC1086" s="451">
        <v>46343</v>
      </c>
      <c r="AD1086" s="220">
        <v>9182086633</v>
      </c>
      <c r="AE1086" s="336" t="s">
        <v>10209</v>
      </c>
      <c r="AF1086" s="100" t="s">
        <v>5086</v>
      </c>
      <c r="AG1086" s="337" t="s">
        <v>10210</v>
      </c>
      <c r="AH1086" s="62" t="s">
        <v>10211</v>
      </c>
      <c r="AI1086" s="62" t="s">
        <v>10212</v>
      </c>
      <c r="AJ1086" s="493">
        <v>517285761307</v>
      </c>
      <c r="AK1086" s="63"/>
      <c r="AL1086" s="446">
        <v>45751</v>
      </c>
      <c r="AM1086" s="477" t="s">
        <v>30</v>
      </c>
      <c r="AN1086" s="100" t="s">
        <v>10213</v>
      </c>
      <c r="AO1086" s="63" t="s">
        <v>10214</v>
      </c>
      <c r="AP1086" s="61">
        <v>29</v>
      </c>
      <c r="AQ1086" s="100"/>
      <c r="AR1086" s="143"/>
      <c r="AS1086" s="338"/>
      <c r="AT1086" s="338"/>
      <c r="AU1086" s="453">
        <v>35305</v>
      </c>
      <c r="AV1086" s="62" t="s">
        <v>1389</v>
      </c>
      <c r="AW1086" s="31" t="s">
        <v>32</v>
      </c>
      <c r="AX1086" s="139">
        <v>2</v>
      </c>
      <c r="AY1086" s="58" t="s">
        <v>1920</v>
      </c>
      <c r="AZ1086" s="58" t="s">
        <v>1390</v>
      </c>
      <c r="BA1086" s="58" t="s">
        <v>151</v>
      </c>
      <c r="BB1086" s="58" t="s">
        <v>1407</v>
      </c>
      <c r="BC1086" s="58"/>
    </row>
    <row r="1087" spans="1:55" x14ac:dyDescent="0.25">
      <c r="A1087" s="10">
        <f t="shared" si="43"/>
        <v>1086</v>
      </c>
      <c r="B1087" s="181" t="s">
        <v>3822</v>
      </c>
      <c r="C1087" s="592" t="s">
        <v>1407</v>
      </c>
      <c r="D1087" s="499">
        <v>401058</v>
      </c>
      <c r="E1087" s="62" t="s">
        <v>36</v>
      </c>
      <c r="F1087" s="97" t="s">
        <v>3823</v>
      </c>
      <c r="G1087" s="61">
        <v>6</v>
      </c>
      <c r="H1087" s="141">
        <v>0.33333333333333331</v>
      </c>
      <c r="I1087" s="141">
        <v>0.875</v>
      </c>
      <c r="J1087" s="443">
        <v>0.33333333333333331</v>
      </c>
      <c r="K1087" s="143" t="s">
        <v>513</v>
      </c>
      <c r="L1087" s="63" t="s">
        <v>30</v>
      </c>
      <c r="M1087" s="63" t="s">
        <v>1355</v>
      </c>
      <c r="N1087" s="100" t="s">
        <v>1520</v>
      </c>
      <c r="O1087" s="100" t="s">
        <v>4752</v>
      </c>
      <c r="P1087" s="273">
        <v>45527</v>
      </c>
      <c r="Q1087" s="338">
        <v>45527</v>
      </c>
      <c r="R1087" s="338">
        <v>46256</v>
      </c>
      <c r="S1087" s="338">
        <v>46257</v>
      </c>
      <c r="T1087" s="79">
        <v>2013</v>
      </c>
      <c r="U1087" s="99" t="s">
        <v>703</v>
      </c>
      <c r="V1087" s="61">
        <v>2019</v>
      </c>
      <c r="W1087" s="143" t="s">
        <v>197</v>
      </c>
      <c r="X1087" s="62" t="s">
        <v>30</v>
      </c>
      <c r="Y1087" s="100" t="s">
        <v>10215</v>
      </c>
      <c r="Z1087" s="63" t="s">
        <v>10216</v>
      </c>
      <c r="AA1087" s="63" t="s">
        <v>1841</v>
      </c>
      <c r="AB1087" s="451">
        <v>45523</v>
      </c>
      <c r="AC1087" s="451">
        <v>47348</v>
      </c>
      <c r="AD1087" s="61">
        <v>9632544229</v>
      </c>
      <c r="AE1087" s="336" t="s">
        <v>10217</v>
      </c>
      <c r="AF1087" s="100" t="s">
        <v>1410</v>
      </c>
      <c r="AG1087" s="337" t="s">
        <v>3825</v>
      </c>
      <c r="AH1087" s="62" t="s">
        <v>3826</v>
      </c>
      <c r="AI1087" s="62" t="s">
        <v>3827</v>
      </c>
      <c r="AJ1087" s="493">
        <v>795318628185</v>
      </c>
      <c r="AK1087" s="63" t="s">
        <v>3829</v>
      </c>
      <c r="AL1087" s="446">
        <v>45751</v>
      </c>
      <c r="AM1087" s="446">
        <v>45693</v>
      </c>
      <c r="AN1087" s="63" t="s">
        <v>10218</v>
      </c>
      <c r="AO1087" s="63" t="s">
        <v>3830</v>
      </c>
      <c r="AP1087" s="61">
        <v>34</v>
      </c>
      <c r="AQ1087" s="100"/>
      <c r="AR1087" s="143"/>
      <c r="AS1087" s="338"/>
      <c r="AT1087" s="338"/>
      <c r="AU1087" s="453">
        <v>33171</v>
      </c>
      <c r="AV1087" s="62" t="s">
        <v>1389</v>
      </c>
      <c r="AW1087" s="31" t="s">
        <v>68</v>
      </c>
      <c r="AX1087" s="139">
        <v>8</v>
      </c>
      <c r="AY1087" s="58" t="s">
        <v>1959</v>
      </c>
      <c r="AZ1087" s="58" t="s">
        <v>1373</v>
      </c>
      <c r="BA1087" s="58" t="s">
        <v>151</v>
      </c>
      <c r="BB1087" s="58" t="s">
        <v>1407</v>
      </c>
      <c r="BC1087" s="58"/>
    </row>
    <row r="1088" spans="1:55" x14ac:dyDescent="0.25">
      <c r="A1088" s="10">
        <f t="shared" si="43"/>
        <v>1087</v>
      </c>
      <c r="B1088" s="181" t="s">
        <v>10219</v>
      </c>
      <c r="C1088" s="592" t="s">
        <v>1407</v>
      </c>
      <c r="D1088" s="96">
        <v>400866</v>
      </c>
      <c r="E1088" s="62" t="s">
        <v>36</v>
      </c>
      <c r="F1088" s="97" t="s">
        <v>10220</v>
      </c>
      <c r="G1088" s="61">
        <v>6</v>
      </c>
      <c r="H1088" s="141">
        <v>0.75</v>
      </c>
      <c r="I1088" s="141">
        <v>0.83333333333333337</v>
      </c>
      <c r="J1088" s="141">
        <v>8.3333333333333329E-2</v>
      </c>
      <c r="K1088" s="100" t="s">
        <v>174</v>
      </c>
      <c r="L1088" s="63" t="s">
        <v>5119</v>
      </c>
      <c r="M1088" s="63" t="s">
        <v>26</v>
      </c>
      <c r="N1088" s="100" t="s">
        <v>38</v>
      </c>
      <c r="O1088" s="143" t="s">
        <v>5710</v>
      </c>
      <c r="P1088" s="446">
        <v>45218</v>
      </c>
      <c r="Q1088" s="206">
        <v>45428</v>
      </c>
      <c r="R1088" s="446">
        <v>45948</v>
      </c>
      <c r="S1088" s="338">
        <v>45949</v>
      </c>
      <c r="T1088" s="61">
        <v>2018</v>
      </c>
      <c r="U1088" s="62" t="s">
        <v>8060</v>
      </c>
      <c r="V1088" s="61">
        <v>2022</v>
      </c>
      <c r="W1088" s="99" t="s">
        <v>8337</v>
      </c>
      <c r="X1088" s="62" t="s">
        <v>30</v>
      </c>
      <c r="Y1088" s="100" t="s">
        <v>49</v>
      </c>
      <c r="Z1088" s="99" t="s">
        <v>10221</v>
      </c>
      <c r="AA1088" s="63" t="s">
        <v>1841</v>
      </c>
      <c r="AB1088" s="451">
        <v>44893</v>
      </c>
      <c r="AC1088" s="451">
        <v>46718</v>
      </c>
      <c r="AD1088" s="220">
        <v>7569059490</v>
      </c>
      <c r="AE1088" s="336" t="s">
        <v>10222</v>
      </c>
      <c r="AF1088" s="100" t="s">
        <v>1805</v>
      </c>
      <c r="AG1088" s="337" t="s">
        <v>10223</v>
      </c>
      <c r="AH1088" s="62" t="s">
        <v>10224</v>
      </c>
      <c r="AI1088" s="62" t="s">
        <v>10225</v>
      </c>
      <c r="AJ1088" s="493">
        <v>337990410562</v>
      </c>
      <c r="AK1088" s="63"/>
      <c r="AL1088" s="338">
        <v>45759</v>
      </c>
      <c r="AM1088" s="477" t="s">
        <v>30</v>
      </c>
      <c r="AN1088" s="100" t="s">
        <v>1765</v>
      </c>
      <c r="AO1088" s="63" t="s">
        <v>10226</v>
      </c>
      <c r="AP1088" s="61">
        <v>30</v>
      </c>
      <c r="AQ1088" s="100"/>
      <c r="AR1088" s="143"/>
      <c r="AS1088" s="338"/>
      <c r="AT1088" s="338"/>
      <c r="AU1088" s="453">
        <v>34648</v>
      </c>
      <c r="AV1088" s="62" t="s">
        <v>1352</v>
      </c>
      <c r="AW1088" s="31" t="s">
        <v>32</v>
      </c>
      <c r="AX1088" s="139">
        <v>2</v>
      </c>
      <c r="AY1088" s="58" t="s">
        <v>1849</v>
      </c>
      <c r="AZ1088" s="58" t="s">
        <v>26</v>
      </c>
      <c r="BA1088" s="58" t="s">
        <v>151</v>
      </c>
      <c r="BB1088" s="58" t="s">
        <v>1407</v>
      </c>
      <c r="BC1088" s="58"/>
    </row>
    <row r="1089" spans="1:55" x14ac:dyDescent="0.25">
      <c r="A1089" s="10">
        <f t="shared" si="43"/>
        <v>1088</v>
      </c>
      <c r="B1089" s="181" t="s">
        <v>10227</v>
      </c>
      <c r="C1089" s="592" t="s">
        <v>1407</v>
      </c>
      <c r="D1089" s="96">
        <v>401044</v>
      </c>
      <c r="E1089" s="62" t="s">
        <v>36</v>
      </c>
      <c r="F1089" s="97" t="s">
        <v>10228</v>
      </c>
      <c r="G1089" s="64">
        <v>6</v>
      </c>
      <c r="H1089" s="141">
        <v>0.33333333333333331</v>
      </c>
      <c r="I1089" s="141">
        <v>0.875</v>
      </c>
      <c r="J1089" s="443">
        <v>0.33333333333333331</v>
      </c>
      <c r="K1089" s="143" t="s">
        <v>513</v>
      </c>
      <c r="L1089" s="63" t="s">
        <v>30</v>
      </c>
      <c r="M1089" s="63" t="s">
        <v>1355</v>
      </c>
      <c r="N1089" s="100" t="s">
        <v>1520</v>
      </c>
      <c r="O1089" s="100" t="s">
        <v>4752</v>
      </c>
      <c r="P1089" s="273">
        <v>45511</v>
      </c>
      <c r="Q1089" s="338">
        <v>45511</v>
      </c>
      <c r="R1089" s="338">
        <v>46240</v>
      </c>
      <c r="S1089" s="338">
        <v>46241</v>
      </c>
      <c r="T1089" s="61">
        <v>2014</v>
      </c>
      <c r="U1089" s="63" t="s">
        <v>5180</v>
      </c>
      <c r="V1089" s="61">
        <v>2022</v>
      </c>
      <c r="W1089" s="100" t="s">
        <v>8326</v>
      </c>
      <c r="X1089" s="62" t="s">
        <v>30</v>
      </c>
      <c r="Y1089" s="143" t="s">
        <v>1360</v>
      </c>
      <c r="Z1089" s="99" t="s">
        <v>10229</v>
      </c>
      <c r="AA1089" s="63" t="s">
        <v>1841</v>
      </c>
      <c r="AB1089" s="451">
        <v>45510</v>
      </c>
      <c r="AC1089" s="451">
        <v>47335</v>
      </c>
      <c r="AD1089" s="220">
        <v>9632419104</v>
      </c>
      <c r="AE1089" s="336" t="s">
        <v>10230</v>
      </c>
      <c r="AF1089" s="100" t="s">
        <v>1364</v>
      </c>
      <c r="AG1089" s="337" t="s">
        <v>10231</v>
      </c>
      <c r="AH1089" s="62" t="s">
        <v>5534</v>
      </c>
      <c r="AI1089" s="62" t="s">
        <v>10232</v>
      </c>
      <c r="AJ1089" s="493">
        <v>655129711019</v>
      </c>
      <c r="AK1089" s="63" t="s">
        <v>10233</v>
      </c>
      <c r="AL1089" s="446">
        <v>45759</v>
      </c>
      <c r="AM1089" s="446">
        <v>45701</v>
      </c>
      <c r="AN1089" s="63" t="s">
        <v>1592</v>
      </c>
      <c r="AO1089" s="63" t="s">
        <v>10234</v>
      </c>
      <c r="AP1089" s="61">
        <v>34</v>
      </c>
      <c r="AQ1089" s="100"/>
      <c r="AR1089" s="143"/>
      <c r="AS1089" s="338"/>
      <c r="AT1089" s="338"/>
      <c r="AU1089" s="453">
        <v>33441</v>
      </c>
      <c r="AV1089" s="62" t="s">
        <v>1389</v>
      </c>
      <c r="AW1089" s="31" t="s">
        <v>68</v>
      </c>
      <c r="AX1089" s="139">
        <v>8</v>
      </c>
      <c r="AY1089" s="58" t="s">
        <v>1959</v>
      </c>
      <c r="AZ1089" s="58" t="s">
        <v>1373</v>
      </c>
      <c r="BA1089" s="58" t="s">
        <v>151</v>
      </c>
      <c r="BB1089" s="58" t="s">
        <v>1407</v>
      </c>
      <c r="BC1089" s="58"/>
    </row>
    <row r="1090" spans="1:55" x14ac:dyDescent="0.25">
      <c r="A1090" s="10">
        <f t="shared" si="43"/>
        <v>1089</v>
      </c>
      <c r="B1090" s="181" t="s">
        <v>10235</v>
      </c>
      <c r="C1090" s="592" t="s">
        <v>1407</v>
      </c>
      <c r="D1090" s="96">
        <v>400648</v>
      </c>
      <c r="E1090" s="62" t="s">
        <v>36</v>
      </c>
      <c r="F1090" s="97" t="s">
        <v>10236</v>
      </c>
      <c r="G1090" s="61">
        <v>6</v>
      </c>
      <c r="H1090" s="141">
        <v>0.375</v>
      </c>
      <c r="I1090" s="141">
        <v>0.70833333333333337</v>
      </c>
      <c r="J1090" s="141">
        <v>0.33333333333333331</v>
      </c>
      <c r="K1090" s="100" t="s">
        <v>961</v>
      </c>
      <c r="L1090" s="63" t="s">
        <v>8624</v>
      </c>
      <c r="M1090" s="63" t="s">
        <v>26</v>
      </c>
      <c r="N1090" s="100" t="s">
        <v>38</v>
      </c>
      <c r="O1090" s="143" t="s">
        <v>5710</v>
      </c>
      <c r="P1090" s="446">
        <v>44996</v>
      </c>
      <c r="Q1090" s="206">
        <v>45727</v>
      </c>
      <c r="R1090" s="206">
        <v>46456</v>
      </c>
      <c r="S1090" s="461">
        <v>46457</v>
      </c>
      <c r="T1090" s="61">
        <v>2010</v>
      </c>
      <c r="U1090" s="62" t="s">
        <v>8625</v>
      </c>
      <c r="V1090" s="61">
        <v>2017</v>
      </c>
      <c r="W1090" s="99" t="s">
        <v>413</v>
      </c>
      <c r="X1090" s="62" t="s">
        <v>30</v>
      </c>
      <c r="Y1090" s="100" t="s">
        <v>49</v>
      </c>
      <c r="Z1090" s="99" t="s">
        <v>8626</v>
      </c>
      <c r="AA1090" s="63" t="s">
        <v>1841</v>
      </c>
      <c r="AB1090" s="451">
        <v>44693</v>
      </c>
      <c r="AC1090" s="451">
        <v>46518</v>
      </c>
      <c r="AD1090" s="220">
        <v>9949145145</v>
      </c>
      <c r="AE1090" s="336" t="s">
        <v>8627</v>
      </c>
      <c r="AF1090" s="100" t="s">
        <v>1430</v>
      </c>
      <c r="AG1090" s="337" t="s">
        <v>8628</v>
      </c>
      <c r="AH1090" s="62" t="s">
        <v>1971</v>
      </c>
      <c r="AI1090" s="62" t="s">
        <v>10237</v>
      </c>
      <c r="AJ1090" s="493" t="s">
        <v>8630</v>
      </c>
      <c r="AK1090" s="63" t="s">
        <v>10238</v>
      </c>
      <c r="AL1090" s="338">
        <v>45766</v>
      </c>
      <c r="AM1090" s="477" t="s">
        <v>30</v>
      </c>
      <c r="AN1090" s="100" t="s">
        <v>10239</v>
      </c>
      <c r="AO1090" s="63" t="s">
        <v>8632</v>
      </c>
      <c r="AP1090" s="61">
        <v>39</v>
      </c>
      <c r="AQ1090" s="100"/>
      <c r="AR1090" s="143" t="s">
        <v>10240</v>
      </c>
      <c r="AS1090" s="338">
        <v>45226</v>
      </c>
      <c r="AT1090" s="338">
        <v>45591</v>
      </c>
      <c r="AU1090" s="453">
        <v>31597</v>
      </c>
      <c r="AV1090" s="62" t="s">
        <v>1352</v>
      </c>
      <c r="AW1090" s="31" t="s">
        <v>68</v>
      </c>
      <c r="AX1090" s="139">
        <v>8</v>
      </c>
      <c r="AY1090" s="58" t="s">
        <v>1849</v>
      </c>
      <c r="AZ1090" s="58" t="s">
        <v>26</v>
      </c>
      <c r="BA1090" s="58" t="s">
        <v>151</v>
      </c>
      <c r="BB1090" s="58" t="s">
        <v>1407</v>
      </c>
      <c r="BC1090" s="58"/>
    </row>
    <row r="1091" spans="1:55" x14ac:dyDescent="0.25">
      <c r="A1091" s="10">
        <f t="shared" si="43"/>
        <v>1090</v>
      </c>
      <c r="B1091" s="181" t="s">
        <v>10081</v>
      </c>
      <c r="C1091" s="592" t="s">
        <v>1407</v>
      </c>
      <c r="D1091" s="96">
        <v>400939</v>
      </c>
      <c r="E1091" s="62" t="s">
        <v>36</v>
      </c>
      <c r="F1091" s="97" t="s">
        <v>10082</v>
      </c>
      <c r="G1091" s="61">
        <v>6</v>
      </c>
      <c r="H1091" s="141">
        <v>0.35416666666666669</v>
      </c>
      <c r="I1091" s="141">
        <v>0.5625</v>
      </c>
      <c r="J1091" s="141">
        <v>0.20833333333333334</v>
      </c>
      <c r="K1091" s="462" t="s">
        <v>6991</v>
      </c>
      <c r="L1091" s="63" t="s">
        <v>10083</v>
      </c>
      <c r="M1091" s="63" t="s">
        <v>26</v>
      </c>
      <c r="N1091" s="100" t="s">
        <v>38</v>
      </c>
      <c r="O1091" s="143" t="s">
        <v>5710</v>
      </c>
      <c r="P1091" s="446">
        <v>45337</v>
      </c>
      <c r="Q1091" s="446">
        <v>45337</v>
      </c>
      <c r="R1091" s="446">
        <v>46067</v>
      </c>
      <c r="S1091" s="338">
        <v>46068</v>
      </c>
      <c r="T1091" s="61">
        <v>2018</v>
      </c>
      <c r="U1091" s="62" t="s">
        <v>10084</v>
      </c>
      <c r="V1091" s="61">
        <v>2023</v>
      </c>
      <c r="W1091" s="63" t="s">
        <v>10085</v>
      </c>
      <c r="X1091" s="62" t="s">
        <v>30</v>
      </c>
      <c r="Y1091" s="100" t="s">
        <v>49</v>
      </c>
      <c r="Z1091" s="99" t="s">
        <v>10086</v>
      </c>
      <c r="AA1091" s="63" t="s">
        <v>1841</v>
      </c>
      <c r="AB1091" s="451">
        <v>45190</v>
      </c>
      <c r="AC1091" s="451">
        <v>47016</v>
      </c>
      <c r="AD1091" s="220">
        <v>9542494444</v>
      </c>
      <c r="AE1091" s="336" t="s">
        <v>10087</v>
      </c>
      <c r="AF1091" s="100" t="s">
        <v>1364</v>
      </c>
      <c r="AG1091" s="337" t="s">
        <v>10088</v>
      </c>
      <c r="AH1091" s="62" t="s">
        <v>10089</v>
      </c>
      <c r="AI1091" s="62" t="s">
        <v>10090</v>
      </c>
      <c r="AJ1091" s="493">
        <v>702493427299</v>
      </c>
      <c r="AK1091" s="63"/>
      <c r="AL1091" s="338">
        <v>45766</v>
      </c>
      <c r="AM1091" s="477">
        <v>45710</v>
      </c>
      <c r="AN1091" s="63" t="s">
        <v>4856</v>
      </c>
      <c r="AO1091" s="63" t="s">
        <v>10092</v>
      </c>
      <c r="AP1091" s="61">
        <v>29</v>
      </c>
      <c r="AQ1091" s="100"/>
      <c r="AR1091" s="143"/>
      <c r="AS1091" s="338"/>
      <c r="AT1091" s="338"/>
      <c r="AU1091" s="453">
        <v>35088</v>
      </c>
      <c r="AV1091" s="62" t="s">
        <v>1352</v>
      </c>
      <c r="AW1091" s="31" t="s">
        <v>32</v>
      </c>
      <c r="AX1091" s="139">
        <v>5</v>
      </c>
      <c r="AY1091" s="58" t="s">
        <v>2006</v>
      </c>
      <c r="AZ1091" s="58" t="s">
        <v>26</v>
      </c>
      <c r="BA1091" s="58" t="s">
        <v>151</v>
      </c>
      <c r="BB1091" s="58" t="s">
        <v>1407</v>
      </c>
      <c r="BC1091" s="58"/>
    </row>
    <row r="1092" spans="1:55" x14ac:dyDescent="0.25">
      <c r="A1092" s="10">
        <f t="shared" ref="A1092:A1155" si="44">A1091+1</f>
        <v>1091</v>
      </c>
      <c r="B1092" s="181" t="s">
        <v>10241</v>
      </c>
      <c r="C1092" s="592" t="s">
        <v>1407</v>
      </c>
      <c r="D1092" s="96">
        <v>401108</v>
      </c>
      <c r="E1092" s="62" t="s">
        <v>9821</v>
      </c>
      <c r="F1092" s="97" t="s">
        <v>10242</v>
      </c>
      <c r="G1092" s="61">
        <v>6</v>
      </c>
      <c r="H1092" s="141">
        <v>0.35416666666666669</v>
      </c>
      <c r="I1092" s="141">
        <v>0.6875</v>
      </c>
      <c r="J1092" s="141">
        <v>0.33333333333333331</v>
      </c>
      <c r="K1092" s="143" t="s">
        <v>255</v>
      </c>
      <c r="L1092" s="63" t="s">
        <v>10243</v>
      </c>
      <c r="M1092" s="63" t="s">
        <v>26</v>
      </c>
      <c r="N1092" s="100" t="s">
        <v>38</v>
      </c>
      <c r="O1092" s="143" t="s">
        <v>5710</v>
      </c>
      <c r="P1092" s="273">
        <v>45600</v>
      </c>
      <c r="Q1092" s="338">
        <v>45600</v>
      </c>
      <c r="R1092" s="338">
        <v>46329</v>
      </c>
      <c r="S1092" s="338">
        <v>46330</v>
      </c>
      <c r="T1092" s="61">
        <v>2013</v>
      </c>
      <c r="U1092" s="63" t="s">
        <v>141</v>
      </c>
      <c r="V1092" s="61">
        <v>2023</v>
      </c>
      <c r="W1092" s="143" t="s">
        <v>250</v>
      </c>
      <c r="X1092" s="62" t="s">
        <v>30</v>
      </c>
      <c r="Y1092" s="100" t="s">
        <v>49</v>
      </c>
      <c r="Z1092" s="99" t="s">
        <v>10244</v>
      </c>
      <c r="AA1092" s="63" t="s">
        <v>1841</v>
      </c>
      <c r="AB1092" s="451">
        <v>45581</v>
      </c>
      <c r="AC1092" s="451">
        <v>47406</v>
      </c>
      <c r="AD1092" s="220">
        <v>9603087279</v>
      </c>
      <c r="AE1092" s="63" t="s">
        <v>10245</v>
      </c>
      <c r="AF1092" s="100" t="s">
        <v>1833</v>
      </c>
      <c r="AG1092" s="337" t="s">
        <v>10246</v>
      </c>
      <c r="AH1092" s="62" t="s">
        <v>3953</v>
      </c>
      <c r="AI1092" s="62" t="s">
        <v>10247</v>
      </c>
      <c r="AJ1092" s="493">
        <v>723334493679</v>
      </c>
      <c r="AK1092" s="63" t="s">
        <v>10248</v>
      </c>
      <c r="AL1092" s="338">
        <v>45766</v>
      </c>
      <c r="AM1092" s="446" t="s">
        <v>30</v>
      </c>
      <c r="AN1092" s="100" t="s">
        <v>1765</v>
      </c>
      <c r="AO1092" s="63" t="s">
        <v>10249</v>
      </c>
      <c r="AP1092" s="61">
        <v>36</v>
      </c>
      <c r="AQ1092" s="100"/>
      <c r="AR1092" s="143"/>
      <c r="AS1092" s="338"/>
      <c r="AT1092" s="338"/>
      <c r="AU1092" s="453">
        <v>32735</v>
      </c>
      <c r="AV1092" s="62" t="s">
        <v>1352</v>
      </c>
      <c r="AW1092" s="31" t="s">
        <v>68</v>
      </c>
      <c r="AX1092" s="139">
        <v>8</v>
      </c>
      <c r="AY1092" s="58" t="s">
        <v>2068</v>
      </c>
      <c r="AZ1092" s="58" t="s">
        <v>26</v>
      </c>
      <c r="BA1092" s="58" t="s">
        <v>151</v>
      </c>
      <c r="BB1092" s="58" t="s">
        <v>1407</v>
      </c>
      <c r="BC1092" s="58"/>
    </row>
    <row r="1093" spans="1:55" x14ac:dyDescent="0.25">
      <c r="A1093" s="10">
        <f t="shared" si="44"/>
        <v>1092</v>
      </c>
      <c r="B1093" s="61" t="s">
        <v>10250</v>
      </c>
      <c r="C1093" s="592" t="s">
        <v>1407</v>
      </c>
      <c r="D1093" s="96">
        <v>400950</v>
      </c>
      <c r="E1093" s="62" t="s">
        <v>36</v>
      </c>
      <c r="F1093" s="97" t="s">
        <v>10251</v>
      </c>
      <c r="G1093" s="61">
        <v>6</v>
      </c>
      <c r="H1093" s="141">
        <v>0.66666666666666663</v>
      </c>
      <c r="I1093" s="141">
        <v>0.79166666666666663</v>
      </c>
      <c r="J1093" s="458">
        <f>I1093-H1093</f>
        <v>0.125</v>
      </c>
      <c r="K1093" s="143" t="s">
        <v>477</v>
      </c>
      <c r="L1093" s="63" t="s">
        <v>1424</v>
      </c>
      <c r="M1093" s="97" t="s">
        <v>1544</v>
      </c>
      <c r="N1093" s="58" t="s">
        <v>1992</v>
      </c>
      <c r="O1093" s="100" t="s">
        <v>4752</v>
      </c>
      <c r="P1093" s="446">
        <v>45343</v>
      </c>
      <c r="Q1093" s="446">
        <v>45444</v>
      </c>
      <c r="R1093" s="446">
        <v>46073</v>
      </c>
      <c r="S1093" s="338">
        <v>46074</v>
      </c>
      <c r="T1093" s="61">
        <v>2016</v>
      </c>
      <c r="U1093" s="63" t="s">
        <v>3416</v>
      </c>
      <c r="V1093" s="61">
        <v>2023</v>
      </c>
      <c r="W1093" s="63" t="s">
        <v>196</v>
      </c>
      <c r="X1093" s="62" t="s">
        <v>30</v>
      </c>
      <c r="Y1093" s="100" t="s">
        <v>1549</v>
      </c>
      <c r="Z1093" s="99" t="s">
        <v>10252</v>
      </c>
      <c r="AA1093" s="63" t="s">
        <v>1841</v>
      </c>
      <c r="AB1093" s="451">
        <v>45334</v>
      </c>
      <c r="AC1093" s="451">
        <v>47160</v>
      </c>
      <c r="AD1093" s="220">
        <v>8374143394</v>
      </c>
      <c r="AE1093" s="336" t="s">
        <v>10253</v>
      </c>
      <c r="AF1093" s="100" t="s">
        <v>5086</v>
      </c>
      <c r="AG1093" s="337" t="s">
        <v>10254</v>
      </c>
      <c r="AH1093" s="62" t="s">
        <v>10255</v>
      </c>
      <c r="AI1093" s="62" t="s">
        <v>10256</v>
      </c>
      <c r="AJ1093" s="337" t="s">
        <v>10257</v>
      </c>
      <c r="AK1093" s="63"/>
      <c r="AL1093" s="446">
        <v>45772</v>
      </c>
      <c r="AM1093" s="477" t="s">
        <v>30</v>
      </c>
      <c r="AN1093" s="100" t="s">
        <v>10258</v>
      </c>
      <c r="AO1093" s="63" t="s">
        <v>10259</v>
      </c>
      <c r="AP1093" s="61">
        <v>32</v>
      </c>
      <c r="AQ1093" s="100"/>
      <c r="AR1093" s="143"/>
      <c r="AS1093" s="338"/>
      <c r="AT1093" s="338"/>
      <c r="AU1093" s="453">
        <v>34173</v>
      </c>
      <c r="AV1093" s="62" t="s">
        <v>1389</v>
      </c>
      <c r="AW1093" s="31" t="s">
        <v>32</v>
      </c>
      <c r="AX1093" s="139">
        <v>3</v>
      </c>
      <c r="AY1093" s="58" t="s">
        <v>2053</v>
      </c>
      <c r="AZ1093" s="58" t="s">
        <v>1373</v>
      </c>
      <c r="BA1093" s="58" t="s">
        <v>151</v>
      </c>
      <c r="BB1093" s="58" t="s">
        <v>1407</v>
      </c>
      <c r="BC1093" s="58"/>
    </row>
    <row r="1094" spans="1:55" x14ac:dyDescent="0.25">
      <c r="A1094" s="10">
        <f t="shared" si="44"/>
        <v>1093</v>
      </c>
      <c r="B1094" s="181" t="s">
        <v>10260</v>
      </c>
      <c r="C1094" s="592" t="s">
        <v>1407</v>
      </c>
      <c r="D1094" s="499">
        <v>401069</v>
      </c>
      <c r="E1094" s="62" t="s">
        <v>36</v>
      </c>
      <c r="F1094" s="97" t="s">
        <v>10261</v>
      </c>
      <c r="G1094" s="61">
        <v>6</v>
      </c>
      <c r="H1094" s="141">
        <v>0.66666666666666663</v>
      </c>
      <c r="I1094" s="141">
        <v>0.875</v>
      </c>
      <c r="J1094" s="141">
        <v>0.20833333333333334</v>
      </c>
      <c r="K1094" s="58" t="s">
        <v>147</v>
      </c>
      <c r="L1094" s="63" t="s">
        <v>1424</v>
      </c>
      <c r="M1094" s="63" t="s">
        <v>1355</v>
      </c>
      <c r="N1094" s="100" t="s">
        <v>1520</v>
      </c>
      <c r="O1094" s="100" t="s">
        <v>4752</v>
      </c>
      <c r="P1094" s="273">
        <v>45541</v>
      </c>
      <c r="Q1094" s="338">
        <v>45541</v>
      </c>
      <c r="R1094" s="338">
        <v>46270</v>
      </c>
      <c r="S1094" s="338">
        <v>46271</v>
      </c>
      <c r="T1094" s="79">
        <v>2009</v>
      </c>
      <c r="U1094" s="63" t="s">
        <v>197</v>
      </c>
      <c r="V1094" s="61">
        <v>2016</v>
      </c>
      <c r="W1094" s="100" t="s">
        <v>10262</v>
      </c>
      <c r="X1094" s="62" t="s">
        <v>10263</v>
      </c>
      <c r="Y1094" s="100" t="s">
        <v>10215</v>
      </c>
      <c r="Z1094" s="63" t="s">
        <v>10264</v>
      </c>
      <c r="AA1094" s="63" t="s">
        <v>1841</v>
      </c>
      <c r="AB1094" s="451">
        <v>45540</v>
      </c>
      <c r="AC1094" s="451">
        <v>47365</v>
      </c>
      <c r="AD1094" s="220">
        <v>8828291729</v>
      </c>
      <c r="AE1094" s="510" t="s">
        <v>10265</v>
      </c>
      <c r="AF1094" s="100" t="s">
        <v>1833</v>
      </c>
      <c r="AG1094" s="337" t="s">
        <v>10266</v>
      </c>
      <c r="AH1094" s="62" t="s">
        <v>10267</v>
      </c>
      <c r="AI1094" s="62" t="s">
        <v>10268</v>
      </c>
      <c r="AJ1094" s="493">
        <v>416248567710</v>
      </c>
      <c r="AK1094" s="63" t="s">
        <v>10269</v>
      </c>
      <c r="AL1094" s="446">
        <v>45772</v>
      </c>
      <c r="AM1094" s="446">
        <v>45713</v>
      </c>
      <c r="AN1094" s="63" t="s">
        <v>10270</v>
      </c>
      <c r="AO1094" s="63" t="s">
        <v>10271</v>
      </c>
      <c r="AP1094" s="61">
        <v>38</v>
      </c>
      <c r="AQ1094" s="100"/>
      <c r="AR1094" s="143"/>
      <c r="AS1094" s="338"/>
      <c r="AT1094" s="338"/>
      <c r="AU1094" s="453">
        <v>31932</v>
      </c>
      <c r="AV1094" s="62" t="s">
        <v>1352</v>
      </c>
      <c r="AW1094" s="31" t="s">
        <v>32</v>
      </c>
      <c r="AX1094" s="139">
        <v>5</v>
      </c>
      <c r="AY1094" s="58" t="s">
        <v>1849</v>
      </c>
      <c r="AZ1094" s="58" t="s">
        <v>1373</v>
      </c>
      <c r="BA1094" s="58" t="s">
        <v>151</v>
      </c>
      <c r="BB1094" s="58" t="s">
        <v>1407</v>
      </c>
      <c r="BC1094" s="58"/>
    </row>
    <row r="1095" spans="1:55" x14ac:dyDescent="0.25">
      <c r="A1095" s="10">
        <f t="shared" si="44"/>
        <v>1094</v>
      </c>
      <c r="B1095" s="181" t="s">
        <v>5766</v>
      </c>
      <c r="C1095" s="592" t="s">
        <v>1407</v>
      </c>
      <c r="D1095" s="96">
        <v>400813</v>
      </c>
      <c r="E1095" s="62" t="s">
        <v>36</v>
      </c>
      <c r="F1095" s="97" t="s">
        <v>10272</v>
      </c>
      <c r="G1095" s="61">
        <v>6</v>
      </c>
      <c r="H1095" s="443" t="s">
        <v>6635</v>
      </c>
      <c r="I1095" s="141">
        <v>0.5</v>
      </c>
      <c r="J1095" s="141">
        <v>0.10416666666666667</v>
      </c>
      <c r="K1095" s="143" t="s">
        <v>7112</v>
      </c>
      <c r="L1095" s="63" t="s">
        <v>5768</v>
      </c>
      <c r="M1095" s="63" t="s">
        <v>26</v>
      </c>
      <c r="N1095" s="100" t="s">
        <v>38</v>
      </c>
      <c r="O1095" s="143" t="s">
        <v>5710</v>
      </c>
      <c r="P1095" s="446">
        <v>45139</v>
      </c>
      <c r="Q1095" s="446">
        <v>45139</v>
      </c>
      <c r="R1095" s="446">
        <v>45869</v>
      </c>
      <c r="S1095" s="338">
        <v>45870</v>
      </c>
      <c r="T1095" s="61">
        <v>2013</v>
      </c>
      <c r="U1095" s="62" t="s">
        <v>209</v>
      </c>
      <c r="V1095" s="61">
        <v>2020</v>
      </c>
      <c r="W1095" s="99" t="s">
        <v>856</v>
      </c>
      <c r="X1095" s="61" t="s">
        <v>1424</v>
      </c>
      <c r="Y1095" s="100" t="s">
        <v>183</v>
      </c>
      <c r="Z1095" s="99" t="s">
        <v>5769</v>
      </c>
      <c r="AA1095" s="63" t="s">
        <v>1841</v>
      </c>
      <c r="AB1095" s="451">
        <v>44146</v>
      </c>
      <c r="AC1095" s="451">
        <v>45971</v>
      </c>
      <c r="AD1095" s="220">
        <v>8008844664</v>
      </c>
      <c r="AE1095" s="336" t="s">
        <v>5770</v>
      </c>
      <c r="AF1095" s="100" t="s">
        <v>1430</v>
      </c>
      <c r="AG1095" s="337" t="s">
        <v>10273</v>
      </c>
      <c r="AH1095" s="62" t="s">
        <v>4098</v>
      </c>
      <c r="AI1095" s="62" t="s">
        <v>5773</v>
      </c>
      <c r="AJ1095" s="493">
        <v>834324330767</v>
      </c>
      <c r="AK1095" s="63"/>
      <c r="AL1095" s="338">
        <v>45777</v>
      </c>
      <c r="AM1095" s="477" t="s">
        <v>30</v>
      </c>
      <c r="AN1095" s="100" t="s">
        <v>1765</v>
      </c>
      <c r="AO1095" s="63" t="s">
        <v>10274</v>
      </c>
      <c r="AP1095" s="61">
        <v>36</v>
      </c>
      <c r="AQ1095" s="100"/>
      <c r="AR1095" s="143"/>
      <c r="AS1095" s="338"/>
      <c r="AT1095" s="338"/>
      <c r="AU1095" s="453">
        <v>32692</v>
      </c>
      <c r="AV1095" s="62" t="s">
        <v>1352</v>
      </c>
      <c r="AW1095" s="31" t="s">
        <v>32</v>
      </c>
      <c r="AX1095" s="139">
        <v>2.5</v>
      </c>
      <c r="AY1095" s="58" t="s">
        <v>1968</v>
      </c>
      <c r="AZ1095" s="58" t="s">
        <v>26</v>
      </c>
      <c r="BA1095" s="58" t="s">
        <v>151</v>
      </c>
      <c r="BB1095" s="58" t="s">
        <v>1407</v>
      </c>
      <c r="BC1095" s="58"/>
    </row>
    <row r="1096" spans="1:55" x14ac:dyDescent="0.25">
      <c r="A1096" s="10">
        <f t="shared" si="44"/>
        <v>1095</v>
      </c>
      <c r="B1096" s="181" t="s">
        <v>10275</v>
      </c>
      <c r="C1096" s="592" t="s">
        <v>1407</v>
      </c>
      <c r="D1096" s="96">
        <v>400898</v>
      </c>
      <c r="E1096" s="62" t="s">
        <v>36</v>
      </c>
      <c r="F1096" s="97" t="s">
        <v>10276</v>
      </c>
      <c r="G1096" s="61">
        <v>6</v>
      </c>
      <c r="H1096" s="141">
        <v>0.33333333333333331</v>
      </c>
      <c r="I1096" s="141">
        <v>0.625</v>
      </c>
      <c r="J1096" s="141">
        <v>0.29166666666666669</v>
      </c>
      <c r="K1096" s="100" t="s">
        <v>174</v>
      </c>
      <c r="L1096" s="63" t="s">
        <v>10277</v>
      </c>
      <c r="M1096" s="63" t="s">
        <v>26</v>
      </c>
      <c r="N1096" s="100" t="s">
        <v>38</v>
      </c>
      <c r="O1096" s="143" t="s">
        <v>5710</v>
      </c>
      <c r="P1096" s="446">
        <v>45264</v>
      </c>
      <c r="Q1096" s="206">
        <v>45444</v>
      </c>
      <c r="R1096" s="446">
        <v>45994</v>
      </c>
      <c r="S1096" s="338">
        <v>45995</v>
      </c>
      <c r="T1096" s="61">
        <v>2017</v>
      </c>
      <c r="U1096" s="62" t="s">
        <v>10278</v>
      </c>
      <c r="V1096" s="61">
        <v>2022</v>
      </c>
      <c r="W1096" s="99" t="s">
        <v>10279</v>
      </c>
      <c r="X1096" s="62" t="s">
        <v>30</v>
      </c>
      <c r="Y1096" s="100" t="s">
        <v>49</v>
      </c>
      <c r="Z1096" s="99" t="s">
        <v>10280</v>
      </c>
      <c r="AA1096" s="63" t="s">
        <v>1841</v>
      </c>
      <c r="AB1096" s="451">
        <v>45205</v>
      </c>
      <c r="AC1096" s="451">
        <v>47031</v>
      </c>
      <c r="AD1096" s="220">
        <v>8830132347</v>
      </c>
      <c r="AE1096" s="336" t="s">
        <v>10281</v>
      </c>
      <c r="AF1096" s="100" t="s">
        <v>5484</v>
      </c>
      <c r="AG1096" s="337" t="s">
        <v>10282</v>
      </c>
      <c r="AH1096" s="62" t="s">
        <v>10283</v>
      </c>
      <c r="AI1096" s="62" t="s">
        <v>10284</v>
      </c>
      <c r="AJ1096" s="493">
        <v>995448221291</v>
      </c>
      <c r="AK1096" s="63"/>
      <c r="AL1096" s="338">
        <v>45777</v>
      </c>
      <c r="AM1096" s="477" t="s">
        <v>30</v>
      </c>
      <c r="AN1096" s="100" t="s">
        <v>1765</v>
      </c>
      <c r="AO1096" s="63" t="s">
        <v>10285</v>
      </c>
      <c r="AP1096" s="61">
        <v>31</v>
      </c>
      <c r="AQ1096" s="100"/>
      <c r="AR1096" s="143"/>
      <c r="AS1096" s="338"/>
      <c r="AT1096" s="338"/>
      <c r="AU1096" s="453">
        <v>34511</v>
      </c>
      <c r="AV1096" s="62" t="s">
        <v>1389</v>
      </c>
      <c r="AW1096" s="31" t="s">
        <v>32</v>
      </c>
      <c r="AX1096" s="139">
        <v>7</v>
      </c>
      <c r="AY1096" s="58" t="s">
        <v>1849</v>
      </c>
      <c r="AZ1096" s="58" t="s">
        <v>26</v>
      </c>
      <c r="BA1096" s="58" t="s">
        <v>151</v>
      </c>
      <c r="BB1096" s="58" t="s">
        <v>1407</v>
      </c>
      <c r="BC1096" s="58"/>
    </row>
    <row r="1097" spans="1:55" x14ac:dyDescent="0.25">
      <c r="A1097" s="10">
        <f t="shared" si="44"/>
        <v>1096</v>
      </c>
      <c r="B1097" s="181" t="s">
        <v>10286</v>
      </c>
      <c r="C1097" s="592" t="s">
        <v>1407</v>
      </c>
      <c r="D1097" s="96">
        <v>400304</v>
      </c>
      <c r="E1097" s="62" t="s">
        <v>268</v>
      </c>
      <c r="F1097" s="97" t="s">
        <v>10287</v>
      </c>
      <c r="G1097" s="61">
        <v>6</v>
      </c>
      <c r="H1097" s="141">
        <v>0.70833333333333337</v>
      </c>
      <c r="I1097" s="141">
        <v>0.83333333333333337</v>
      </c>
      <c r="J1097" s="141">
        <v>0.125</v>
      </c>
      <c r="K1097" s="143" t="s">
        <v>850</v>
      </c>
      <c r="L1097" s="63" t="s">
        <v>5869</v>
      </c>
      <c r="M1097" s="63" t="s">
        <v>26</v>
      </c>
      <c r="N1097" s="100" t="s">
        <v>38</v>
      </c>
      <c r="O1097" s="143" t="s">
        <v>5710</v>
      </c>
      <c r="P1097" s="446">
        <v>44232</v>
      </c>
      <c r="Q1097" s="446">
        <v>45536</v>
      </c>
      <c r="R1097" s="446">
        <v>46265</v>
      </c>
      <c r="S1097" s="338">
        <v>46266</v>
      </c>
      <c r="T1097" s="61">
        <v>2011</v>
      </c>
      <c r="U1097" s="62" t="s">
        <v>492</v>
      </c>
      <c r="V1097" s="61">
        <v>2016</v>
      </c>
      <c r="W1097" s="99" t="s">
        <v>456</v>
      </c>
      <c r="X1097" s="62" t="s">
        <v>30</v>
      </c>
      <c r="Y1097" s="100" t="s">
        <v>49</v>
      </c>
      <c r="Z1097" s="99" t="s">
        <v>10288</v>
      </c>
      <c r="AA1097" s="63" t="s">
        <v>1841</v>
      </c>
      <c r="AB1097" s="451">
        <v>44939</v>
      </c>
      <c r="AC1097" s="451">
        <v>46764</v>
      </c>
      <c r="AD1097" s="220">
        <v>9052522861</v>
      </c>
      <c r="AE1097" s="336" t="s">
        <v>10289</v>
      </c>
      <c r="AF1097" s="100" t="s">
        <v>1805</v>
      </c>
      <c r="AG1097" s="337" t="s">
        <v>10290</v>
      </c>
      <c r="AH1097" s="62" t="s">
        <v>10291</v>
      </c>
      <c r="AI1097" s="62" t="s">
        <v>10292</v>
      </c>
      <c r="AJ1097" s="493" t="s">
        <v>10293</v>
      </c>
      <c r="AK1097" s="63" t="s">
        <v>10294</v>
      </c>
      <c r="AL1097" s="338">
        <v>45782</v>
      </c>
      <c r="AM1097" s="477">
        <v>45782</v>
      </c>
      <c r="AN1097" s="63" t="s">
        <v>10295</v>
      </c>
      <c r="AO1097" s="63" t="s">
        <v>10296</v>
      </c>
      <c r="AP1097" s="61">
        <v>35</v>
      </c>
      <c r="AQ1097" s="100"/>
      <c r="AR1097" s="143"/>
      <c r="AS1097" s="338"/>
      <c r="AT1097" s="338"/>
      <c r="AU1097" s="453">
        <v>32735</v>
      </c>
      <c r="AV1097" s="62" t="s">
        <v>1389</v>
      </c>
      <c r="AW1097" s="31" t="s">
        <v>32</v>
      </c>
      <c r="AX1097" s="139">
        <v>3</v>
      </c>
      <c r="AY1097" s="466" t="s">
        <v>1904</v>
      </c>
      <c r="AZ1097" s="58" t="s">
        <v>26</v>
      </c>
      <c r="BA1097" s="58" t="s">
        <v>151</v>
      </c>
      <c r="BB1097" s="58" t="s">
        <v>1407</v>
      </c>
      <c r="BC1097" s="58"/>
    </row>
    <row r="1098" spans="1:55" x14ac:dyDescent="0.25">
      <c r="A1098" s="10">
        <f t="shared" si="44"/>
        <v>1097</v>
      </c>
      <c r="B1098" s="181" t="s">
        <v>6439</v>
      </c>
      <c r="C1098" s="592" t="s">
        <v>1407</v>
      </c>
      <c r="D1098" s="96">
        <v>400463</v>
      </c>
      <c r="E1098" s="62" t="s">
        <v>36</v>
      </c>
      <c r="F1098" s="97" t="s">
        <v>10297</v>
      </c>
      <c r="G1098" s="61">
        <v>6</v>
      </c>
      <c r="H1098" s="141" t="s">
        <v>146</v>
      </c>
      <c r="I1098" s="141" t="s">
        <v>1105</v>
      </c>
      <c r="J1098" s="141">
        <v>0.125</v>
      </c>
      <c r="K1098" s="58" t="s">
        <v>446</v>
      </c>
      <c r="L1098" s="63" t="s">
        <v>6441</v>
      </c>
      <c r="M1098" s="63" t="s">
        <v>26</v>
      </c>
      <c r="N1098" s="100" t="s">
        <v>38</v>
      </c>
      <c r="O1098" s="143" t="s">
        <v>5710</v>
      </c>
      <c r="P1098" s="446">
        <v>44663</v>
      </c>
      <c r="Q1098" s="446">
        <v>45150</v>
      </c>
      <c r="R1098" s="446">
        <v>45880</v>
      </c>
      <c r="S1098" s="338">
        <v>45881</v>
      </c>
      <c r="T1098" s="61">
        <v>2009</v>
      </c>
      <c r="U1098" s="62" t="s">
        <v>10298</v>
      </c>
      <c r="V1098" s="61">
        <v>2014</v>
      </c>
      <c r="W1098" s="99" t="s">
        <v>10299</v>
      </c>
      <c r="X1098" s="62" t="s">
        <v>30</v>
      </c>
      <c r="Y1098" s="100" t="s">
        <v>49</v>
      </c>
      <c r="Z1098" s="99">
        <v>65788</v>
      </c>
      <c r="AA1098" s="63" t="s">
        <v>1841</v>
      </c>
      <c r="AB1098" s="451">
        <v>44249</v>
      </c>
      <c r="AC1098" s="451">
        <v>46075</v>
      </c>
      <c r="AD1098" s="220">
        <v>9441210456</v>
      </c>
      <c r="AE1098" s="336" t="s">
        <v>6442</v>
      </c>
      <c r="AF1098" s="100" t="s">
        <v>1833</v>
      </c>
      <c r="AG1098" s="337" t="s">
        <v>6443</v>
      </c>
      <c r="AH1098" s="62" t="s">
        <v>6444</v>
      </c>
      <c r="AI1098" s="62" t="s">
        <v>6445</v>
      </c>
      <c r="AJ1098" s="493" t="s">
        <v>6446</v>
      </c>
      <c r="AK1098" s="63"/>
      <c r="AL1098" s="338">
        <v>45782</v>
      </c>
      <c r="AM1098" s="477">
        <v>45722</v>
      </c>
      <c r="AN1098" s="63" t="s">
        <v>10300</v>
      </c>
      <c r="AO1098" s="63" t="s">
        <v>10301</v>
      </c>
      <c r="AP1098" s="61">
        <v>39</v>
      </c>
      <c r="AQ1098" s="100" t="s">
        <v>1371</v>
      </c>
      <c r="AR1098" s="143" t="s">
        <v>10302</v>
      </c>
      <c r="AS1098" s="338">
        <v>45511</v>
      </c>
      <c r="AT1098" s="338">
        <v>45875</v>
      </c>
      <c r="AU1098" s="453">
        <v>31432</v>
      </c>
      <c r="AV1098" s="62" t="s">
        <v>1352</v>
      </c>
      <c r="AW1098" s="31" t="s">
        <v>32</v>
      </c>
      <c r="AX1098" s="139">
        <v>3</v>
      </c>
      <c r="AY1098" s="466" t="s">
        <v>1849</v>
      </c>
      <c r="AZ1098" s="58" t="s">
        <v>26</v>
      </c>
      <c r="BA1098" s="58" t="s">
        <v>151</v>
      </c>
      <c r="BB1098" s="58" t="s">
        <v>1407</v>
      </c>
      <c r="BC1098" s="58"/>
    </row>
    <row r="1099" spans="1:55" x14ac:dyDescent="0.25">
      <c r="A1099" s="10">
        <f t="shared" si="44"/>
        <v>1098</v>
      </c>
      <c r="B1099" s="181" t="s">
        <v>10303</v>
      </c>
      <c r="C1099" s="592" t="s">
        <v>1407</v>
      </c>
      <c r="D1099" s="96">
        <v>400658</v>
      </c>
      <c r="E1099" s="62" t="s">
        <v>36</v>
      </c>
      <c r="F1099" s="97" t="s">
        <v>10304</v>
      </c>
      <c r="G1099" s="61">
        <v>6</v>
      </c>
      <c r="H1099" s="141">
        <v>0.70833333333333337</v>
      </c>
      <c r="I1099" s="141">
        <v>0.83333333333333337</v>
      </c>
      <c r="J1099" s="141">
        <v>0.125</v>
      </c>
      <c r="K1099" s="143" t="s">
        <v>4996</v>
      </c>
      <c r="L1099" s="63" t="s">
        <v>10305</v>
      </c>
      <c r="M1099" s="63" t="s">
        <v>26</v>
      </c>
      <c r="N1099" s="100" t="s">
        <v>38</v>
      </c>
      <c r="O1099" s="143" t="s">
        <v>5710</v>
      </c>
      <c r="P1099" s="446">
        <v>45033</v>
      </c>
      <c r="Q1099" s="446">
        <v>45033</v>
      </c>
      <c r="R1099" s="446">
        <v>45763</v>
      </c>
      <c r="S1099" s="338">
        <v>45764</v>
      </c>
      <c r="T1099" s="61">
        <v>2014</v>
      </c>
      <c r="U1099" s="62" t="s">
        <v>10306</v>
      </c>
      <c r="V1099" s="61">
        <v>2022</v>
      </c>
      <c r="W1099" s="99" t="s">
        <v>2564</v>
      </c>
      <c r="X1099" s="62" t="s">
        <v>30</v>
      </c>
      <c r="Y1099" s="100" t="s">
        <v>49</v>
      </c>
      <c r="Z1099" s="99" t="s">
        <v>10307</v>
      </c>
      <c r="AA1099" s="63" t="s">
        <v>1841</v>
      </c>
      <c r="AB1099" s="451">
        <v>45009</v>
      </c>
      <c r="AC1099" s="451">
        <v>46835</v>
      </c>
      <c r="AD1099" s="220" t="s">
        <v>10308</v>
      </c>
      <c r="AE1099" s="336" t="s">
        <v>10309</v>
      </c>
      <c r="AF1099" s="100" t="s">
        <v>1364</v>
      </c>
      <c r="AG1099" s="337" t="s">
        <v>10310</v>
      </c>
      <c r="AH1099" s="62" t="s">
        <v>10311</v>
      </c>
      <c r="AI1099" s="62" t="s">
        <v>10312</v>
      </c>
      <c r="AJ1099" s="493">
        <v>597638441630</v>
      </c>
      <c r="AK1099" s="63"/>
      <c r="AL1099" s="338">
        <v>45782</v>
      </c>
      <c r="AM1099" s="477">
        <v>45722</v>
      </c>
      <c r="AN1099" s="63" t="s">
        <v>10313</v>
      </c>
      <c r="AO1099" s="63" t="s">
        <v>10314</v>
      </c>
      <c r="AP1099" s="61">
        <v>33</v>
      </c>
      <c r="AQ1099" s="100"/>
      <c r="AR1099" s="143"/>
      <c r="AS1099" s="338"/>
      <c r="AT1099" s="338"/>
      <c r="AU1099" s="453">
        <v>33615</v>
      </c>
      <c r="AV1099" s="62" t="s">
        <v>1352</v>
      </c>
      <c r="AW1099" s="31" t="s">
        <v>32</v>
      </c>
      <c r="AX1099" s="139">
        <v>3</v>
      </c>
      <c r="AY1099" s="58" t="s">
        <v>1904</v>
      </c>
      <c r="AZ1099" s="58" t="s">
        <v>26</v>
      </c>
      <c r="BA1099" s="58" t="s">
        <v>151</v>
      </c>
      <c r="BB1099" s="58" t="s">
        <v>1407</v>
      </c>
      <c r="BC1099" s="58"/>
    </row>
    <row r="1100" spans="1:55" x14ac:dyDescent="0.25">
      <c r="A1100" s="10">
        <f t="shared" si="44"/>
        <v>1099</v>
      </c>
      <c r="B1100" s="181" t="s">
        <v>10303</v>
      </c>
      <c r="C1100" s="592" t="s">
        <v>1407</v>
      </c>
      <c r="D1100" s="96">
        <v>400808</v>
      </c>
      <c r="E1100" s="62" t="s">
        <v>36</v>
      </c>
      <c r="F1100" s="97" t="s">
        <v>10304</v>
      </c>
      <c r="G1100" s="61">
        <v>6</v>
      </c>
      <c r="H1100" s="141">
        <v>0.33333333333333331</v>
      </c>
      <c r="I1100" s="141">
        <v>0.5</v>
      </c>
      <c r="J1100" s="141">
        <v>0.16666666666666666</v>
      </c>
      <c r="K1100" s="58" t="s">
        <v>6751</v>
      </c>
      <c r="L1100" s="63" t="s">
        <v>10305</v>
      </c>
      <c r="M1100" s="63" t="s">
        <v>26</v>
      </c>
      <c r="N1100" s="100" t="s">
        <v>38</v>
      </c>
      <c r="O1100" s="143" t="s">
        <v>5710</v>
      </c>
      <c r="P1100" s="446">
        <v>45132</v>
      </c>
      <c r="Q1100" s="446">
        <v>45132</v>
      </c>
      <c r="R1100" s="446">
        <v>45862</v>
      </c>
      <c r="S1100" s="338">
        <v>45863</v>
      </c>
      <c r="T1100" s="61">
        <v>2014</v>
      </c>
      <c r="U1100" s="62" t="s">
        <v>10306</v>
      </c>
      <c r="V1100" s="61">
        <v>2022</v>
      </c>
      <c r="W1100" s="99" t="s">
        <v>2564</v>
      </c>
      <c r="X1100" s="61" t="s">
        <v>1424</v>
      </c>
      <c r="Y1100" s="100" t="s">
        <v>49</v>
      </c>
      <c r="Z1100" s="99" t="s">
        <v>10307</v>
      </c>
      <c r="AA1100" s="63" t="s">
        <v>1841</v>
      </c>
      <c r="AB1100" s="451">
        <v>45009</v>
      </c>
      <c r="AC1100" s="451">
        <v>46835</v>
      </c>
      <c r="AD1100" s="220" t="s">
        <v>10308</v>
      </c>
      <c r="AE1100" s="336" t="s">
        <v>10309</v>
      </c>
      <c r="AF1100" s="100" t="s">
        <v>1364</v>
      </c>
      <c r="AG1100" s="337" t="s">
        <v>10310</v>
      </c>
      <c r="AH1100" s="62" t="s">
        <v>10311</v>
      </c>
      <c r="AI1100" s="62" t="s">
        <v>10312</v>
      </c>
      <c r="AJ1100" s="493">
        <v>597638441630</v>
      </c>
      <c r="AK1100" s="63"/>
      <c r="AL1100" s="338">
        <v>45782</v>
      </c>
      <c r="AM1100" s="477">
        <v>45722</v>
      </c>
      <c r="AN1100" s="63" t="s">
        <v>10313</v>
      </c>
      <c r="AO1100" s="63" t="s">
        <v>10314</v>
      </c>
      <c r="AP1100" s="61">
        <v>33</v>
      </c>
      <c r="AQ1100" s="100"/>
      <c r="AR1100" s="143"/>
      <c r="AS1100" s="338"/>
      <c r="AT1100" s="338"/>
      <c r="AU1100" s="453">
        <v>33615</v>
      </c>
      <c r="AV1100" s="62" t="s">
        <v>1352</v>
      </c>
      <c r="AW1100" s="31" t="s">
        <v>32</v>
      </c>
      <c r="AX1100" s="139">
        <v>4</v>
      </c>
      <c r="AY1100" s="58" t="s">
        <v>1904</v>
      </c>
      <c r="AZ1100" s="58" t="s">
        <v>26</v>
      </c>
      <c r="BA1100" s="58" t="s">
        <v>151</v>
      </c>
      <c r="BB1100" s="58" t="s">
        <v>1407</v>
      </c>
      <c r="BC1100" s="58"/>
    </row>
    <row r="1101" spans="1:55" x14ac:dyDescent="0.25">
      <c r="A1101" s="10">
        <f t="shared" si="44"/>
        <v>1100</v>
      </c>
      <c r="B1101" s="181" t="s">
        <v>10315</v>
      </c>
      <c r="C1101" s="592" t="s">
        <v>1407</v>
      </c>
      <c r="D1101" s="96">
        <v>401201</v>
      </c>
      <c r="E1101" s="62" t="s">
        <v>36</v>
      </c>
      <c r="F1101" s="97" t="s">
        <v>10316</v>
      </c>
      <c r="G1101" s="61">
        <v>6</v>
      </c>
      <c r="H1101" s="141">
        <v>0.45833333333333331</v>
      </c>
      <c r="I1101" s="141">
        <v>0.54166666666666663</v>
      </c>
      <c r="J1101" s="141">
        <v>8.3333333333333329E-2</v>
      </c>
      <c r="K1101" s="100" t="s">
        <v>680</v>
      </c>
      <c r="L1101" s="63" t="s">
        <v>30</v>
      </c>
      <c r="M1101" s="63" t="s">
        <v>1355</v>
      </c>
      <c r="N1101" s="100" t="s">
        <v>1520</v>
      </c>
      <c r="O1101" s="100" t="s">
        <v>4752</v>
      </c>
      <c r="P1101" s="273">
        <v>45752</v>
      </c>
      <c r="Q1101" s="273">
        <v>45752</v>
      </c>
      <c r="R1101" s="273">
        <v>46481</v>
      </c>
      <c r="S1101" s="273">
        <v>46482</v>
      </c>
      <c r="T1101" s="61">
        <v>2014</v>
      </c>
      <c r="U1101" s="63" t="s">
        <v>10317</v>
      </c>
      <c r="V1101" s="61">
        <v>2023</v>
      </c>
      <c r="W1101" s="100" t="s">
        <v>10318</v>
      </c>
      <c r="X1101" s="62" t="s">
        <v>30</v>
      </c>
      <c r="Y1101" s="143" t="s">
        <v>1360</v>
      </c>
      <c r="Z1101" s="63" t="s">
        <v>10319</v>
      </c>
      <c r="AA1101" s="63" t="s">
        <v>1841</v>
      </c>
      <c r="AB1101" s="451">
        <v>45397</v>
      </c>
      <c r="AC1101" s="451">
        <v>47222</v>
      </c>
      <c r="AD1101" s="61">
        <v>7032460638</v>
      </c>
      <c r="AE1101" s="336" t="s">
        <v>10320</v>
      </c>
      <c r="AF1101" s="100" t="s">
        <v>10321</v>
      </c>
      <c r="AG1101" s="337" t="s">
        <v>10322</v>
      </c>
      <c r="AH1101" s="62" t="s">
        <v>10323</v>
      </c>
      <c r="AI1101" s="62" t="s">
        <v>10324</v>
      </c>
      <c r="AJ1101" s="493">
        <v>541487428931</v>
      </c>
      <c r="AK1101" s="63" t="s">
        <v>10325</v>
      </c>
      <c r="AL1101" s="446">
        <v>45787</v>
      </c>
      <c r="AM1101" s="446" t="s">
        <v>30</v>
      </c>
      <c r="AN1101" s="100" t="s">
        <v>10326</v>
      </c>
      <c r="AO1101" s="63" t="s">
        <v>10327</v>
      </c>
      <c r="AP1101" s="61">
        <v>35</v>
      </c>
      <c r="AQ1101" s="100"/>
      <c r="AR1101" s="143"/>
      <c r="AS1101" s="338"/>
      <c r="AT1101" s="338"/>
      <c r="AU1101" s="453">
        <v>33110</v>
      </c>
      <c r="AV1101" s="62" t="s">
        <v>1389</v>
      </c>
      <c r="AW1101" s="31" t="s">
        <v>32</v>
      </c>
      <c r="AX1101" s="139">
        <v>2</v>
      </c>
      <c r="AY1101" s="58" t="s">
        <v>2189</v>
      </c>
      <c r="AZ1101" s="58" t="s">
        <v>1373</v>
      </c>
      <c r="BA1101" s="58" t="s">
        <v>151</v>
      </c>
      <c r="BB1101" s="58" t="s">
        <v>1407</v>
      </c>
      <c r="BC1101" s="58"/>
    </row>
    <row r="1102" spans="1:55" x14ac:dyDescent="0.25">
      <c r="A1102" s="10">
        <f t="shared" si="44"/>
        <v>1101</v>
      </c>
      <c r="B1102" s="181"/>
      <c r="C1102" s="592" t="s">
        <v>1407</v>
      </c>
      <c r="D1102" s="96">
        <v>401225</v>
      </c>
      <c r="E1102" s="62" t="s">
        <v>36</v>
      </c>
      <c r="F1102" s="97" t="s">
        <v>10328</v>
      </c>
      <c r="G1102" s="61">
        <v>6</v>
      </c>
      <c r="H1102" s="141">
        <v>0.41666666666666669</v>
      </c>
      <c r="I1102" s="443" t="s">
        <v>948</v>
      </c>
      <c r="J1102" s="141">
        <v>0.33333333333333331</v>
      </c>
      <c r="K1102" s="100" t="s">
        <v>174</v>
      </c>
      <c r="L1102" s="63" t="s">
        <v>10329</v>
      </c>
      <c r="M1102" s="63" t="s">
        <v>26</v>
      </c>
      <c r="N1102" s="100" t="s">
        <v>38</v>
      </c>
      <c r="O1102" s="143" t="s">
        <v>5710</v>
      </c>
      <c r="P1102" s="273">
        <v>45778</v>
      </c>
      <c r="Q1102" s="273">
        <v>45778</v>
      </c>
      <c r="R1102" s="273">
        <v>46507</v>
      </c>
      <c r="S1102" s="273">
        <v>46508</v>
      </c>
      <c r="T1102" s="61">
        <v>2020</v>
      </c>
      <c r="U1102" s="140" t="s">
        <v>4589</v>
      </c>
      <c r="V1102" s="61">
        <v>2025</v>
      </c>
      <c r="W1102" s="100" t="s">
        <v>10330</v>
      </c>
      <c r="X1102" s="62" t="s">
        <v>30</v>
      </c>
      <c r="Y1102" s="100" t="s">
        <v>97</v>
      </c>
      <c r="Z1102" s="333" t="s">
        <v>10331</v>
      </c>
      <c r="AA1102" s="63" t="s">
        <v>1841</v>
      </c>
      <c r="AB1102" s="451"/>
      <c r="AC1102" s="451"/>
      <c r="AD1102" s="61">
        <v>8897387132</v>
      </c>
      <c r="AE1102" s="336" t="s">
        <v>10332</v>
      </c>
      <c r="AF1102" s="100"/>
      <c r="AG1102" s="177"/>
      <c r="AH1102" s="62"/>
      <c r="AI1102" s="62" t="s">
        <v>10333</v>
      </c>
      <c r="AJ1102" s="493">
        <v>370016173856</v>
      </c>
      <c r="AK1102" s="63" t="s">
        <v>10334</v>
      </c>
      <c r="AL1102" s="338">
        <v>45787</v>
      </c>
      <c r="AM1102" s="446" t="s">
        <v>30</v>
      </c>
      <c r="AN1102" s="100" t="s">
        <v>1592</v>
      </c>
      <c r="AO1102" s="63" t="s">
        <v>10335</v>
      </c>
      <c r="AP1102" s="61">
        <v>28</v>
      </c>
      <c r="AQ1102" s="100"/>
      <c r="AR1102" s="143"/>
      <c r="AS1102" s="338"/>
      <c r="AT1102" s="338"/>
      <c r="AU1102" s="453">
        <v>35670</v>
      </c>
      <c r="AV1102" s="62" t="s">
        <v>1389</v>
      </c>
      <c r="AW1102" s="31" t="s">
        <v>68</v>
      </c>
      <c r="AX1102" s="139">
        <v>8</v>
      </c>
      <c r="AY1102" s="58" t="s">
        <v>1849</v>
      </c>
      <c r="AZ1102" s="58" t="s">
        <v>26</v>
      </c>
      <c r="BA1102" s="58" t="s">
        <v>151</v>
      </c>
      <c r="BB1102" s="58" t="s">
        <v>1407</v>
      </c>
      <c r="BC1102" s="100"/>
    </row>
    <row r="1103" spans="1:55" x14ac:dyDescent="0.25">
      <c r="A1103" s="10">
        <f t="shared" si="44"/>
        <v>1102</v>
      </c>
      <c r="B1103" s="181" t="s">
        <v>10336</v>
      </c>
      <c r="C1103" s="592" t="s">
        <v>1407</v>
      </c>
      <c r="D1103" s="96">
        <v>401012</v>
      </c>
      <c r="E1103" s="62" t="s">
        <v>36</v>
      </c>
      <c r="F1103" s="97" t="s">
        <v>10337</v>
      </c>
      <c r="G1103" s="61">
        <v>6</v>
      </c>
      <c r="H1103" s="141">
        <v>0.39583333333333331</v>
      </c>
      <c r="I1103" s="141">
        <v>0.60416666666666663</v>
      </c>
      <c r="J1103" s="141">
        <v>0.20833333333333334</v>
      </c>
      <c r="K1103" s="143" t="s">
        <v>4961</v>
      </c>
      <c r="L1103" s="63" t="s">
        <v>10338</v>
      </c>
      <c r="M1103" s="63" t="s">
        <v>26</v>
      </c>
      <c r="N1103" s="100" t="s">
        <v>38</v>
      </c>
      <c r="O1103" s="143" t="s">
        <v>5710</v>
      </c>
      <c r="P1103" s="338">
        <v>45455</v>
      </c>
      <c r="Q1103" s="338">
        <v>45717</v>
      </c>
      <c r="R1103" s="338">
        <v>46184</v>
      </c>
      <c r="S1103" s="338">
        <v>46185</v>
      </c>
      <c r="T1103" s="61">
        <v>2014</v>
      </c>
      <c r="U1103" s="63" t="s">
        <v>10339</v>
      </c>
      <c r="V1103" s="61">
        <v>2021</v>
      </c>
      <c r="W1103" s="100" t="s">
        <v>10340</v>
      </c>
      <c r="X1103" s="62" t="s">
        <v>30</v>
      </c>
      <c r="Y1103" s="100" t="s">
        <v>183</v>
      </c>
      <c r="Z1103" s="99" t="s">
        <v>10341</v>
      </c>
      <c r="AA1103" s="63" t="s">
        <v>1841</v>
      </c>
      <c r="AB1103" s="451">
        <v>45057</v>
      </c>
      <c r="AC1103" s="451">
        <v>46883</v>
      </c>
      <c r="AD1103" s="220">
        <v>9841510424</v>
      </c>
      <c r="AE1103" s="336" t="s">
        <v>10342</v>
      </c>
      <c r="AF1103" s="100" t="s">
        <v>1364</v>
      </c>
      <c r="AG1103" s="337" t="s">
        <v>10343</v>
      </c>
      <c r="AH1103" s="62" t="s">
        <v>10344</v>
      </c>
      <c r="AI1103" s="62" t="s">
        <v>10345</v>
      </c>
      <c r="AJ1103" s="493">
        <v>275933447563</v>
      </c>
      <c r="AK1103" s="63" t="s">
        <v>10346</v>
      </c>
      <c r="AL1103" s="338">
        <v>45788</v>
      </c>
      <c r="AM1103" s="477">
        <v>45728</v>
      </c>
      <c r="AN1103" s="63" t="s">
        <v>895</v>
      </c>
      <c r="AO1103" s="63" t="s">
        <v>10347</v>
      </c>
      <c r="AP1103" s="61">
        <v>33</v>
      </c>
      <c r="AQ1103" s="100"/>
      <c r="AR1103" s="143"/>
      <c r="AS1103" s="338"/>
      <c r="AT1103" s="338"/>
      <c r="AU1103" s="453">
        <v>33455</v>
      </c>
      <c r="AV1103" s="61" t="s">
        <v>1389</v>
      </c>
      <c r="AW1103" s="31" t="s">
        <v>32</v>
      </c>
      <c r="AX1103" s="139">
        <v>5</v>
      </c>
      <c r="AY1103" s="58" t="s">
        <v>2189</v>
      </c>
      <c r="AZ1103" s="58" t="s">
        <v>26</v>
      </c>
      <c r="BA1103" s="58" t="s">
        <v>151</v>
      </c>
      <c r="BB1103" s="58" t="s">
        <v>1407</v>
      </c>
      <c r="BC1103" s="58"/>
    </row>
    <row r="1104" spans="1:55" x14ac:dyDescent="0.25">
      <c r="A1104" s="10">
        <f t="shared" si="44"/>
        <v>1103</v>
      </c>
      <c r="B1104" s="181" t="s">
        <v>10348</v>
      </c>
      <c r="C1104" s="592" t="s">
        <v>1407</v>
      </c>
      <c r="D1104" s="96">
        <v>401068</v>
      </c>
      <c r="E1104" s="62" t="s">
        <v>36</v>
      </c>
      <c r="F1104" s="97" t="s">
        <v>10349</v>
      </c>
      <c r="G1104" s="61">
        <v>6</v>
      </c>
      <c r="H1104" s="141">
        <v>0.33333333333333331</v>
      </c>
      <c r="I1104" s="141">
        <v>0.875</v>
      </c>
      <c r="J1104" s="443">
        <v>0.33333333333333331</v>
      </c>
      <c r="K1104" s="58" t="s">
        <v>147</v>
      </c>
      <c r="L1104" s="63" t="s">
        <v>30</v>
      </c>
      <c r="M1104" s="63" t="s">
        <v>3643</v>
      </c>
      <c r="N1104" s="100" t="s">
        <v>1520</v>
      </c>
      <c r="O1104" s="100" t="s">
        <v>4752</v>
      </c>
      <c r="P1104" s="273">
        <v>45541</v>
      </c>
      <c r="Q1104" s="338">
        <v>45541</v>
      </c>
      <c r="R1104" s="338">
        <v>46270</v>
      </c>
      <c r="S1104" s="338">
        <v>46271</v>
      </c>
      <c r="T1104" s="79">
        <v>2018</v>
      </c>
      <c r="U1104" s="63" t="s">
        <v>906</v>
      </c>
      <c r="V1104" s="61">
        <v>2023</v>
      </c>
      <c r="W1104" s="100" t="s">
        <v>196</v>
      </c>
      <c r="X1104" s="62" t="s">
        <v>30</v>
      </c>
      <c r="Y1104" s="143" t="s">
        <v>1360</v>
      </c>
      <c r="Z1104" s="99" t="s">
        <v>10350</v>
      </c>
      <c r="AA1104" s="63" t="s">
        <v>1841</v>
      </c>
      <c r="AB1104" s="451">
        <v>45484</v>
      </c>
      <c r="AC1104" s="451">
        <v>47309</v>
      </c>
      <c r="AD1104" s="220">
        <v>9959348168</v>
      </c>
      <c r="AE1104" s="510" t="s">
        <v>10351</v>
      </c>
      <c r="AF1104" s="100" t="s">
        <v>1805</v>
      </c>
      <c r="AG1104" s="337" t="s">
        <v>10352</v>
      </c>
      <c r="AH1104" s="62" t="s">
        <v>10353</v>
      </c>
      <c r="AI1104" s="62" t="s">
        <v>10354</v>
      </c>
      <c r="AJ1104" s="493">
        <v>721156961471</v>
      </c>
      <c r="AK1104" s="63" t="s">
        <v>10355</v>
      </c>
      <c r="AL1104" s="446">
        <v>45791</v>
      </c>
      <c r="AM1104" s="446">
        <v>45731</v>
      </c>
      <c r="AN1104" s="63" t="s">
        <v>3793</v>
      </c>
      <c r="AO1104" s="63" t="s">
        <v>10356</v>
      </c>
      <c r="AP1104" s="61">
        <v>31</v>
      </c>
      <c r="AQ1104" s="100"/>
      <c r="AR1104" s="143"/>
      <c r="AS1104" s="338"/>
      <c r="AT1104" s="338"/>
      <c r="AU1104" s="453">
        <v>34278</v>
      </c>
      <c r="AV1104" s="62" t="s">
        <v>1389</v>
      </c>
      <c r="AW1104" s="31" t="s">
        <v>68</v>
      </c>
      <c r="AX1104" s="139">
        <v>8</v>
      </c>
      <c r="AY1104" s="58" t="s">
        <v>1849</v>
      </c>
      <c r="AZ1104" s="58" t="s">
        <v>1373</v>
      </c>
      <c r="BA1104" s="58" t="s">
        <v>151</v>
      </c>
      <c r="BB1104" s="58" t="s">
        <v>1407</v>
      </c>
      <c r="BC1104" s="58"/>
    </row>
    <row r="1105" spans="1:55" x14ac:dyDescent="0.25">
      <c r="A1105" s="10">
        <f t="shared" si="44"/>
        <v>1104</v>
      </c>
      <c r="B1105" s="181" t="s">
        <v>10357</v>
      </c>
      <c r="C1105" s="592" t="s">
        <v>1407</v>
      </c>
      <c r="D1105" s="96">
        <v>401106</v>
      </c>
      <c r="E1105" s="62" t="s">
        <v>268</v>
      </c>
      <c r="F1105" s="97" t="s">
        <v>10358</v>
      </c>
      <c r="G1105" s="61">
        <v>6</v>
      </c>
      <c r="H1105" s="141">
        <v>0.72916666666666663</v>
      </c>
      <c r="I1105" s="141">
        <v>0.875</v>
      </c>
      <c r="J1105" s="141">
        <v>0.14583333333333334</v>
      </c>
      <c r="K1105" s="100" t="s">
        <v>563</v>
      </c>
      <c r="L1105" s="63" t="s">
        <v>10359</v>
      </c>
      <c r="M1105" s="63" t="s">
        <v>26</v>
      </c>
      <c r="N1105" s="100" t="s">
        <v>38</v>
      </c>
      <c r="O1105" s="143" t="s">
        <v>5710</v>
      </c>
      <c r="P1105" s="273">
        <v>45597</v>
      </c>
      <c r="Q1105" s="338">
        <v>45597</v>
      </c>
      <c r="R1105" s="338">
        <v>46326</v>
      </c>
      <c r="S1105" s="338">
        <v>46327</v>
      </c>
      <c r="T1105" s="61">
        <v>2013</v>
      </c>
      <c r="U1105" s="99" t="s">
        <v>715</v>
      </c>
      <c r="V1105" s="61">
        <v>2020</v>
      </c>
      <c r="W1105" s="143" t="s">
        <v>786</v>
      </c>
      <c r="X1105" s="62" t="s">
        <v>30</v>
      </c>
      <c r="Y1105" s="100" t="s">
        <v>49</v>
      </c>
      <c r="Z1105" s="99" t="s">
        <v>10360</v>
      </c>
      <c r="AA1105" s="63" t="s">
        <v>1841</v>
      </c>
      <c r="AB1105" s="451">
        <v>45281</v>
      </c>
      <c r="AC1105" s="451">
        <v>47107</v>
      </c>
      <c r="AD1105" s="220">
        <v>9704882606</v>
      </c>
      <c r="AE1105" s="540" t="s">
        <v>10361</v>
      </c>
      <c r="AF1105" s="100" t="s">
        <v>10362</v>
      </c>
      <c r="AG1105" s="337" t="s">
        <v>10363</v>
      </c>
      <c r="AH1105" s="62" t="s">
        <v>5416</v>
      </c>
      <c r="AI1105" s="62" t="s">
        <v>10364</v>
      </c>
      <c r="AJ1105" s="493">
        <v>848722426166</v>
      </c>
      <c r="AK1105" s="63" t="s">
        <v>10365</v>
      </c>
      <c r="AL1105" s="338">
        <v>45800</v>
      </c>
      <c r="AM1105" s="446">
        <v>45771</v>
      </c>
      <c r="AN1105" s="63" t="s">
        <v>10366</v>
      </c>
      <c r="AO1105" s="63" t="s">
        <v>10367</v>
      </c>
      <c r="AP1105" s="61">
        <v>38</v>
      </c>
      <c r="AQ1105" s="100"/>
      <c r="AR1105" s="143"/>
      <c r="AS1105" s="338"/>
      <c r="AT1105" s="338"/>
      <c r="AU1105" s="453">
        <v>31746</v>
      </c>
      <c r="AV1105" s="62" t="s">
        <v>1352</v>
      </c>
      <c r="AW1105" s="31" t="s">
        <v>32</v>
      </c>
      <c r="AX1105" s="139">
        <v>3.5</v>
      </c>
      <c r="AY1105" s="58" t="s">
        <v>1895</v>
      </c>
      <c r="AZ1105" s="58" t="s">
        <v>26</v>
      </c>
      <c r="BA1105" s="58" t="s">
        <v>151</v>
      </c>
      <c r="BB1105" s="58" t="s">
        <v>1407</v>
      </c>
      <c r="BC1105" s="58"/>
    </row>
    <row r="1106" spans="1:55" x14ac:dyDescent="0.25">
      <c r="A1106" s="10">
        <f t="shared" si="44"/>
        <v>1105</v>
      </c>
      <c r="B1106" s="181" t="s">
        <v>10368</v>
      </c>
      <c r="C1106" s="592" t="s">
        <v>1407</v>
      </c>
      <c r="D1106" s="96">
        <v>401110</v>
      </c>
      <c r="E1106" s="62" t="s">
        <v>36</v>
      </c>
      <c r="F1106" s="97" t="s">
        <v>10369</v>
      </c>
      <c r="G1106" s="61">
        <v>6</v>
      </c>
      <c r="H1106" s="141">
        <v>0.70833333333333337</v>
      </c>
      <c r="I1106" s="141">
        <v>0.83333333333333337</v>
      </c>
      <c r="J1106" s="141">
        <v>0.125</v>
      </c>
      <c r="K1106" s="58" t="s">
        <v>1151</v>
      </c>
      <c r="L1106" s="63" t="s">
        <v>30</v>
      </c>
      <c r="M1106" s="63" t="s">
        <v>1355</v>
      </c>
      <c r="N1106" s="100" t="s">
        <v>1520</v>
      </c>
      <c r="O1106" s="100" t="s">
        <v>4752</v>
      </c>
      <c r="P1106" s="273">
        <v>45600</v>
      </c>
      <c r="Q1106" s="338">
        <v>45600</v>
      </c>
      <c r="R1106" s="338">
        <v>46329</v>
      </c>
      <c r="S1106" s="338">
        <v>46330</v>
      </c>
      <c r="T1106" s="61">
        <v>2013</v>
      </c>
      <c r="U1106" s="63" t="s">
        <v>715</v>
      </c>
      <c r="V1106" s="61">
        <v>2019</v>
      </c>
      <c r="W1106" s="143" t="s">
        <v>7368</v>
      </c>
      <c r="X1106" s="62" t="s">
        <v>30</v>
      </c>
      <c r="Y1106" s="143" t="s">
        <v>1360</v>
      </c>
      <c r="Z1106" s="99" t="s">
        <v>10370</v>
      </c>
      <c r="AA1106" s="63" t="s">
        <v>1886</v>
      </c>
      <c r="AB1106" s="451">
        <v>44013</v>
      </c>
      <c r="AC1106" s="451">
        <v>45838</v>
      </c>
      <c r="AD1106" s="220">
        <v>6301944603</v>
      </c>
      <c r="AE1106" s="336" t="s">
        <v>10371</v>
      </c>
      <c r="AF1106" s="100" t="s">
        <v>1833</v>
      </c>
      <c r="AG1106" s="337" t="s">
        <v>10372</v>
      </c>
      <c r="AH1106" s="62" t="s">
        <v>10373</v>
      </c>
      <c r="AI1106" s="62" t="s">
        <v>10374</v>
      </c>
      <c r="AJ1106" s="493">
        <v>931401057516</v>
      </c>
      <c r="AK1106" s="63" t="s">
        <v>10375</v>
      </c>
      <c r="AL1106" s="446">
        <v>45800</v>
      </c>
      <c r="AM1106" s="446">
        <v>45739</v>
      </c>
      <c r="AN1106" s="63" t="s">
        <v>895</v>
      </c>
      <c r="AO1106" s="63" t="s">
        <v>10376</v>
      </c>
      <c r="AP1106" s="61">
        <v>34</v>
      </c>
      <c r="AQ1106" s="100"/>
      <c r="AR1106" s="143"/>
      <c r="AS1106" s="338"/>
      <c r="AT1106" s="338"/>
      <c r="AU1106" s="453">
        <v>33058</v>
      </c>
      <c r="AV1106" s="62" t="s">
        <v>1389</v>
      </c>
      <c r="AW1106" s="31" t="s">
        <v>32</v>
      </c>
      <c r="AX1106" s="139">
        <v>3</v>
      </c>
      <c r="AY1106" s="58" t="s">
        <v>1895</v>
      </c>
      <c r="AZ1106" s="58" t="s">
        <v>1373</v>
      </c>
      <c r="BA1106" s="58" t="s">
        <v>151</v>
      </c>
      <c r="BB1106" s="58" t="s">
        <v>1407</v>
      </c>
      <c r="BC1106" s="58"/>
    </row>
    <row r="1107" spans="1:55" x14ac:dyDescent="0.25">
      <c r="A1107" s="10">
        <f t="shared" si="44"/>
        <v>1106</v>
      </c>
      <c r="B1107" s="181" t="s">
        <v>10377</v>
      </c>
      <c r="C1107" s="592" t="s">
        <v>1407</v>
      </c>
      <c r="D1107" s="96">
        <v>401146</v>
      </c>
      <c r="E1107" s="62" t="s">
        <v>36</v>
      </c>
      <c r="F1107" s="97" t="s">
        <v>10378</v>
      </c>
      <c r="G1107" s="61">
        <v>6</v>
      </c>
      <c r="H1107" s="141">
        <v>0.375</v>
      </c>
      <c r="I1107" s="141">
        <v>0.41666666666666669</v>
      </c>
      <c r="J1107" s="458">
        <v>4.1666666666666664E-2</v>
      </c>
      <c r="K1107" s="100" t="s">
        <v>680</v>
      </c>
      <c r="L1107" s="63" t="s">
        <v>30</v>
      </c>
      <c r="M1107" s="97" t="s">
        <v>1376</v>
      </c>
      <c r="N1107" s="58" t="s">
        <v>1393</v>
      </c>
      <c r="O1107" s="100" t="s">
        <v>30</v>
      </c>
      <c r="P1107" s="273">
        <v>45636</v>
      </c>
      <c r="Q1107" s="338">
        <v>45636</v>
      </c>
      <c r="R1107" s="338">
        <v>46365</v>
      </c>
      <c r="S1107" s="338">
        <v>46366</v>
      </c>
      <c r="T1107" s="61">
        <v>2021</v>
      </c>
      <c r="U1107" s="63" t="s">
        <v>10379</v>
      </c>
      <c r="V1107" s="61" t="s">
        <v>30</v>
      </c>
      <c r="W1107" s="143" t="s">
        <v>30</v>
      </c>
      <c r="X1107" s="62" t="s">
        <v>30</v>
      </c>
      <c r="Y1107" s="100" t="s">
        <v>226</v>
      </c>
      <c r="Z1107" s="99" t="s">
        <v>10380</v>
      </c>
      <c r="AA1107" s="63" t="s">
        <v>1841</v>
      </c>
      <c r="AB1107" s="451">
        <v>45017</v>
      </c>
      <c r="AC1107" s="451">
        <v>46843</v>
      </c>
      <c r="AD1107" s="61">
        <v>8897618886</v>
      </c>
      <c r="AE1107" s="540" t="s">
        <v>10381</v>
      </c>
      <c r="AF1107" s="100" t="s">
        <v>1430</v>
      </c>
      <c r="AG1107" s="337" t="s">
        <v>10382</v>
      </c>
      <c r="AH1107" s="62" t="s">
        <v>10383</v>
      </c>
      <c r="AI1107" s="62" t="s">
        <v>10384</v>
      </c>
      <c r="AJ1107" s="493">
        <v>9166197504178160</v>
      </c>
      <c r="AK1107" s="63" t="s">
        <v>10385</v>
      </c>
      <c r="AL1107" s="446">
        <v>45800</v>
      </c>
      <c r="AM1107" s="446">
        <v>45740</v>
      </c>
      <c r="AN1107" s="63" t="s">
        <v>10386</v>
      </c>
      <c r="AO1107" s="63" t="s">
        <v>10387</v>
      </c>
      <c r="AP1107" s="61">
        <v>25</v>
      </c>
      <c r="AQ1107" s="100"/>
      <c r="AR1107" s="143"/>
      <c r="AS1107" s="338"/>
      <c r="AT1107" s="338"/>
      <c r="AU1107" s="453">
        <v>36459</v>
      </c>
      <c r="AV1107" s="62" t="s">
        <v>1352</v>
      </c>
      <c r="AW1107" s="31" t="s">
        <v>32</v>
      </c>
      <c r="AX1107" s="139">
        <v>1</v>
      </c>
      <c r="AY1107" s="58" t="s">
        <v>2189</v>
      </c>
      <c r="AZ1107" s="58" t="s">
        <v>1390</v>
      </c>
      <c r="BA1107" s="58" t="s">
        <v>151</v>
      </c>
      <c r="BB1107" s="58" t="s">
        <v>1407</v>
      </c>
      <c r="BC1107" s="58"/>
    </row>
    <row r="1108" spans="1:55" x14ac:dyDescent="0.25">
      <c r="A1108" s="10">
        <f t="shared" si="44"/>
        <v>1107</v>
      </c>
      <c r="B1108" s="181" t="s">
        <v>1264</v>
      </c>
      <c r="C1108" s="592" t="s">
        <v>1407</v>
      </c>
      <c r="D1108" s="96">
        <v>401094</v>
      </c>
      <c r="E1108" s="62" t="s">
        <v>36</v>
      </c>
      <c r="F1108" s="97" t="s">
        <v>1265</v>
      </c>
      <c r="G1108" s="61">
        <v>6</v>
      </c>
      <c r="H1108" s="141">
        <v>0.375</v>
      </c>
      <c r="I1108" s="141">
        <v>0.70833333333333337</v>
      </c>
      <c r="J1108" s="141">
        <v>0.33333333333333331</v>
      </c>
      <c r="K1108" s="143" t="s">
        <v>538</v>
      </c>
      <c r="L1108" s="99" t="s">
        <v>10388</v>
      </c>
      <c r="M1108" s="63" t="s">
        <v>26</v>
      </c>
      <c r="N1108" s="100" t="s">
        <v>38</v>
      </c>
      <c r="O1108" s="143" t="s">
        <v>5710</v>
      </c>
      <c r="P1108" s="273">
        <v>45568</v>
      </c>
      <c r="Q1108" s="338">
        <v>45568</v>
      </c>
      <c r="R1108" s="338">
        <v>46297</v>
      </c>
      <c r="S1108" s="338">
        <v>46298</v>
      </c>
      <c r="T1108" s="61">
        <v>2018</v>
      </c>
      <c r="U1108" s="99" t="s">
        <v>675</v>
      </c>
      <c r="V1108" s="61">
        <v>2023</v>
      </c>
      <c r="W1108" s="143" t="s">
        <v>1268</v>
      </c>
      <c r="X1108" s="61" t="s">
        <v>30</v>
      </c>
      <c r="Y1108" s="100" t="s">
        <v>49</v>
      </c>
      <c r="Z1108" s="99" t="s">
        <v>10389</v>
      </c>
      <c r="AA1108" s="99" t="s">
        <v>1841</v>
      </c>
      <c r="AB1108" s="451">
        <v>45532</v>
      </c>
      <c r="AC1108" s="451">
        <v>47357</v>
      </c>
      <c r="AD1108" s="220">
        <v>9573326226</v>
      </c>
      <c r="AE1108" s="336" t="s">
        <v>1269</v>
      </c>
      <c r="AF1108" s="100" t="s">
        <v>1833</v>
      </c>
      <c r="AG1108" s="337" t="s">
        <v>10390</v>
      </c>
      <c r="AH1108" s="62" t="s">
        <v>10391</v>
      </c>
      <c r="AI1108" s="62" t="s">
        <v>10392</v>
      </c>
      <c r="AJ1108" s="493">
        <v>228227583553</v>
      </c>
      <c r="AK1108" s="63" t="s">
        <v>10393</v>
      </c>
      <c r="AL1108" s="338">
        <v>45801</v>
      </c>
      <c r="AM1108" s="446">
        <v>45789</v>
      </c>
      <c r="AN1108" s="63" t="s">
        <v>10394</v>
      </c>
      <c r="AO1108" s="63" t="s">
        <v>10395</v>
      </c>
      <c r="AP1108" s="61">
        <v>29</v>
      </c>
      <c r="AQ1108" s="100" t="s">
        <v>1371</v>
      </c>
      <c r="AR1108" s="143" t="s">
        <v>10396</v>
      </c>
      <c r="AS1108" s="338">
        <v>45603</v>
      </c>
      <c r="AT1108" s="338">
        <v>45967</v>
      </c>
      <c r="AU1108" s="453">
        <v>35182</v>
      </c>
      <c r="AV1108" s="62" t="s">
        <v>1389</v>
      </c>
      <c r="AW1108" s="31" t="s">
        <v>68</v>
      </c>
      <c r="AX1108" s="139">
        <v>8</v>
      </c>
      <c r="AY1108" s="58" t="s">
        <v>1904</v>
      </c>
      <c r="AZ1108" s="58" t="s">
        <v>26</v>
      </c>
      <c r="BA1108" s="58" t="s">
        <v>151</v>
      </c>
      <c r="BB1108" s="58" t="s">
        <v>1407</v>
      </c>
      <c r="BC1108" s="58"/>
    </row>
    <row r="1109" spans="1:55" x14ac:dyDescent="0.25">
      <c r="A1109" s="10">
        <f t="shared" si="44"/>
        <v>1108</v>
      </c>
      <c r="B1109" s="181" t="s">
        <v>10397</v>
      </c>
      <c r="C1109" s="592" t="s">
        <v>1407</v>
      </c>
      <c r="D1109" s="96">
        <v>400897</v>
      </c>
      <c r="E1109" s="62" t="s">
        <v>36</v>
      </c>
      <c r="F1109" s="97" t="s">
        <v>10398</v>
      </c>
      <c r="G1109" s="61">
        <v>6</v>
      </c>
      <c r="H1109" s="141">
        <v>0.41666666666666669</v>
      </c>
      <c r="I1109" s="141">
        <v>0.5</v>
      </c>
      <c r="J1109" s="141">
        <v>8.3333333333333329E-2</v>
      </c>
      <c r="K1109" s="143" t="s">
        <v>802</v>
      </c>
      <c r="L1109" s="63" t="s">
        <v>1424</v>
      </c>
      <c r="M1109" s="63" t="s">
        <v>1355</v>
      </c>
      <c r="N1109" s="100" t="s">
        <v>1520</v>
      </c>
      <c r="O1109" s="100" t="s">
        <v>4752</v>
      </c>
      <c r="P1109" s="446">
        <v>45264</v>
      </c>
      <c r="Q1109" s="446">
        <v>45264</v>
      </c>
      <c r="R1109" s="446">
        <v>45994</v>
      </c>
      <c r="S1109" s="338">
        <v>45995</v>
      </c>
      <c r="T1109" s="61">
        <v>2011</v>
      </c>
      <c r="U1109" s="62" t="s">
        <v>499</v>
      </c>
      <c r="V1109" s="61">
        <v>2016</v>
      </c>
      <c r="W1109" s="99" t="s">
        <v>400</v>
      </c>
      <c r="X1109" s="62" t="s">
        <v>30</v>
      </c>
      <c r="Y1109" s="143" t="s">
        <v>1360</v>
      </c>
      <c r="Z1109" s="99">
        <v>73800</v>
      </c>
      <c r="AA1109" s="63" t="s">
        <v>1841</v>
      </c>
      <c r="AB1109" s="451">
        <v>44933</v>
      </c>
      <c r="AC1109" s="451">
        <v>46758</v>
      </c>
      <c r="AD1109" s="220">
        <v>9985075799</v>
      </c>
      <c r="AE1109" s="336" t="s">
        <v>10399</v>
      </c>
      <c r="AF1109" s="100" t="s">
        <v>1430</v>
      </c>
      <c r="AG1109" s="337" t="s">
        <v>10400</v>
      </c>
      <c r="AH1109" s="62" t="s">
        <v>5837</v>
      </c>
      <c r="AI1109" s="62" t="s">
        <v>10401</v>
      </c>
      <c r="AJ1109" s="493">
        <v>547350879561</v>
      </c>
      <c r="AK1109" s="63"/>
      <c r="AL1109" s="446">
        <v>45807</v>
      </c>
      <c r="AM1109" s="477" t="s">
        <v>30</v>
      </c>
      <c r="AN1109" s="100" t="s">
        <v>10402</v>
      </c>
      <c r="AO1109" s="63" t="s">
        <v>10403</v>
      </c>
      <c r="AP1109" s="61">
        <v>37</v>
      </c>
      <c r="AQ1109" s="100"/>
      <c r="AR1109" s="143"/>
      <c r="AS1109" s="338"/>
      <c r="AT1109" s="338"/>
      <c r="AU1109" s="453">
        <v>32061</v>
      </c>
      <c r="AV1109" s="62" t="s">
        <v>1389</v>
      </c>
      <c r="AW1109" s="31" t="s">
        <v>32</v>
      </c>
      <c r="AX1109" s="139">
        <v>2</v>
      </c>
      <c r="AY1109" s="58" t="s">
        <v>2469</v>
      </c>
      <c r="AZ1109" s="58" t="s">
        <v>1373</v>
      </c>
      <c r="BA1109" s="58" t="s">
        <v>151</v>
      </c>
      <c r="BB1109" s="58" t="s">
        <v>1407</v>
      </c>
      <c r="BC1109" s="58"/>
    </row>
    <row r="1110" spans="1:55" x14ac:dyDescent="0.25">
      <c r="A1110" s="10">
        <f t="shared" si="44"/>
        <v>1109</v>
      </c>
      <c r="B1110" s="181" t="s">
        <v>10404</v>
      </c>
      <c r="C1110" s="592" t="s">
        <v>1407</v>
      </c>
      <c r="D1110" s="457">
        <v>400823</v>
      </c>
      <c r="E1110" s="181" t="s">
        <v>36</v>
      </c>
      <c r="F1110" s="97" t="s">
        <v>10405</v>
      </c>
      <c r="G1110" s="139">
        <v>6</v>
      </c>
      <c r="H1110" s="469" t="s">
        <v>235</v>
      </c>
      <c r="I1110" s="469" t="s">
        <v>978</v>
      </c>
      <c r="J1110" s="458">
        <v>0.33333333333333331</v>
      </c>
      <c r="K1110" s="143" t="s">
        <v>513</v>
      </c>
      <c r="L1110" s="97" t="s">
        <v>1424</v>
      </c>
      <c r="M1110" s="63" t="s">
        <v>1355</v>
      </c>
      <c r="N1110" s="100" t="s">
        <v>1520</v>
      </c>
      <c r="O1110" s="58" t="s">
        <v>5330</v>
      </c>
      <c r="P1110" s="206">
        <v>45148</v>
      </c>
      <c r="Q1110" s="206">
        <v>45148</v>
      </c>
      <c r="R1110" s="206">
        <v>45878</v>
      </c>
      <c r="S1110" s="461">
        <v>45879</v>
      </c>
      <c r="T1110" s="139">
        <v>2016</v>
      </c>
      <c r="U1110" s="181" t="s">
        <v>10406</v>
      </c>
      <c r="V1110" s="139">
        <v>2023</v>
      </c>
      <c r="W1110" s="140" t="s">
        <v>4449</v>
      </c>
      <c r="X1110" s="139" t="s">
        <v>1424</v>
      </c>
      <c r="Y1110" s="58" t="s">
        <v>1611</v>
      </c>
      <c r="Z1110" s="140" t="s">
        <v>10407</v>
      </c>
      <c r="AA1110" s="97" t="s">
        <v>1886</v>
      </c>
      <c r="AB1110" s="471">
        <v>45145</v>
      </c>
      <c r="AC1110" s="471">
        <v>46971</v>
      </c>
      <c r="AD1110" s="472">
        <v>9666002168</v>
      </c>
      <c r="AE1110" s="473" t="s">
        <v>10408</v>
      </c>
      <c r="AF1110" s="97" t="s">
        <v>5086</v>
      </c>
      <c r="AG1110" s="482">
        <v>40553667363</v>
      </c>
      <c r="AH1110" s="181" t="s">
        <v>10409</v>
      </c>
      <c r="AI1110" s="139" t="s">
        <v>10410</v>
      </c>
      <c r="AJ1110" s="464">
        <v>956711368651</v>
      </c>
      <c r="AK1110" s="97"/>
      <c r="AL1110" s="206"/>
      <c r="AM1110" s="477" t="s">
        <v>30</v>
      </c>
      <c r="AN1110" s="465" t="s">
        <v>1592</v>
      </c>
      <c r="AO1110" s="140" t="s">
        <v>10411</v>
      </c>
      <c r="AP1110" s="58"/>
      <c r="AQ1110" s="483" t="s">
        <v>10411</v>
      </c>
      <c r="AR1110" s="462"/>
      <c r="AS1110" s="479">
        <v>0.33333333333333331</v>
      </c>
      <c r="AT1110" s="479">
        <v>0.66666666666666663</v>
      </c>
      <c r="AU1110" s="461">
        <v>34134</v>
      </c>
      <c r="AV1110" s="181" t="s">
        <v>1389</v>
      </c>
      <c r="AW1110" s="31" t="s">
        <v>68</v>
      </c>
      <c r="AX1110" s="139">
        <v>8</v>
      </c>
      <c r="AY1110" s="58" t="s">
        <v>1959</v>
      </c>
      <c r="AZ1110" s="58" t="s">
        <v>1373</v>
      </c>
      <c r="BA1110" s="58" t="s">
        <v>151</v>
      </c>
      <c r="BB1110" s="58" t="s">
        <v>1407</v>
      </c>
      <c r="BC1110" s="58"/>
    </row>
    <row r="1111" spans="1:55" x14ac:dyDescent="0.25">
      <c r="A1111" s="10">
        <f t="shared" si="44"/>
        <v>1110</v>
      </c>
      <c r="B1111" s="61" t="s">
        <v>10412</v>
      </c>
      <c r="C1111" s="592" t="s">
        <v>1407</v>
      </c>
      <c r="D1111" s="96">
        <v>400900</v>
      </c>
      <c r="E1111" s="62" t="s">
        <v>36</v>
      </c>
      <c r="F1111" s="97" t="s">
        <v>10413</v>
      </c>
      <c r="G1111" s="61">
        <v>6</v>
      </c>
      <c r="H1111" s="141">
        <v>0.70833333333333337</v>
      </c>
      <c r="I1111" s="141">
        <v>0.79166666666666663</v>
      </c>
      <c r="J1111" s="458">
        <f>I1111-H1111</f>
        <v>8.3333333333333259E-2</v>
      </c>
      <c r="K1111" s="143" t="s">
        <v>587</v>
      </c>
      <c r="L1111" s="63" t="s">
        <v>1424</v>
      </c>
      <c r="M1111" s="97" t="s">
        <v>1544</v>
      </c>
      <c r="N1111" s="58" t="s">
        <v>1992</v>
      </c>
      <c r="O1111" s="100" t="s">
        <v>4752</v>
      </c>
      <c r="P1111" s="446">
        <v>45271</v>
      </c>
      <c r="Q1111" s="446">
        <v>45271</v>
      </c>
      <c r="R1111" s="446">
        <v>46001</v>
      </c>
      <c r="S1111" s="338">
        <v>46002</v>
      </c>
      <c r="T1111" s="61">
        <v>2012</v>
      </c>
      <c r="U1111" s="63" t="s">
        <v>1044</v>
      </c>
      <c r="V1111" s="61">
        <v>2019</v>
      </c>
      <c r="W1111" s="99" t="s">
        <v>380</v>
      </c>
      <c r="X1111" s="62" t="s">
        <v>30</v>
      </c>
      <c r="Y1111" s="100" t="s">
        <v>1549</v>
      </c>
      <c r="Z1111" s="99" t="s">
        <v>10414</v>
      </c>
      <c r="AA1111" s="63" t="s">
        <v>1841</v>
      </c>
      <c r="AB1111" s="451">
        <v>43704</v>
      </c>
      <c r="AC1111" s="451">
        <v>45530</v>
      </c>
      <c r="AD1111" s="220">
        <v>9000029193</v>
      </c>
      <c r="AE1111" s="336" t="s">
        <v>10415</v>
      </c>
      <c r="AF1111" s="100" t="s">
        <v>2284</v>
      </c>
      <c r="AG1111" s="337" t="s">
        <v>10416</v>
      </c>
      <c r="AH1111" s="62" t="s">
        <v>10417</v>
      </c>
      <c r="AI1111" s="62" t="s">
        <v>10418</v>
      </c>
      <c r="AJ1111" s="337" t="s">
        <v>10419</v>
      </c>
      <c r="AK1111" s="63"/>
      <c r="AL1111" s="446">
        <v>45808</v>
      </c>
      <c r="AM1111" s="477" t="s">
        <v>30</v>
      </c>
      <c r="AN1111" s="100" t="s">
        <v>8749</v>
      </c>
      <c r="AO1111" s="63" t="s">
        <v>10420</v>
      </c>
      <c r="AP1111" s="61">
        <v>37</v>
      </c>
      <c r="AQ1111" s="100"/>
      <c r="AR1111" s="143"/>
      <c r="AS1111" s="338"/>
      <c r="AT1111" s="338"/>
      <c r="AU1111" s="453">
        <v>32377</v>
      </c>
      <c r="AV1111" s="62" t="s">
        <v>1389</v>
      </c>
      <c r="AW1111" s="31" t="s">
        <v>32</v>
      </c>
      <c r="AX1111" s="139">
        <v>2</v>
      </c>
      <c r="AY1111" s="58" t="s">
        <v>2053</v>
      </c>
      <c r="AZ1111" s="58" t="s">
        <v>1373</v>
      </c>
      <c r="BA1111" s="58" t="s">
        <v>151</v>
      </c>
      <c r="BB1111" s="58" t="s">
        <v>1407</v>
      </c>
      <c r="BC1111" s="58"/>
    </row>
    <row r="1112" spans="1:55" x14ac:dyDescent="0.25">
      <c r="A1112" s="10">
        <f t="shared" si="44"/>
        <v>1111</v>
      </c>
      <c r="B1112" s="181" t="s">
        <v>432</v>
      </c>
      <c r="C1112" s="592" t="s">
        <v>1407</v>
      </c>
      <c r="D1112" s="96">
        <v>400911</v>
      </c>
      <c r="E1112" s="62" t="s">
        <v>36</v>
      </c>
      <c r="F1112" s="97" t="s">
        <v>433</v>
      </c>
      <c r="G1112" s="61">
        <v>6</v>
      </c>
      <c r="H1112" s="141">
        <v>0.35416666666666669</v>
      </c>
      <c r="I1112" s="141">
        <v>0.47916666666666669</v>
      </c>
      <c r="J1112" s="141">
        <v>0.125</v>
      </c>
      <c r="K1112" s="143" t="s">
        <v>255</v>
      </c>
      <c r="L1112" s="63" t="s">
        <v>434</v>
      </c>
      <c r="M1112" s="63" t="s">
        <v>26</v>
      </c>
      <c r="N1112" s="100" t="s">
        <v>38</v>
      </c>
      <c r="O1112" s="143" t="s">
        <v>5710</v>
      </c>
      <c r="P1112" s="446">
        <v>45292</v>
      </c>
      <c r="Q1112" s="446">
        <v>45292</v>
      </c>
      <c r="R1112" s="446">
        <v>46022</v>
      </c>
      <c r="S1112" s="338">
        <v>46023</v>
      </c>
      <c r="T1112" s="61">
        <v>2016</v>
      </c>
      <c r="U1112" s="62" t="s">
        <v>435</v>
      </c>
      <c r="V1112" s="61">
        <v>2020</v>
      </c>
      <c r="W1112" s="99" t="s">
        <v>436</v>
      </c>
      <c r="X1112" s="62" t="s">
        <v>30</v>
      </c>
      <c r="Y1112" s="100" t="s">
        <v>49</v>
      </c>
      <c r="Z1112" s="99" t="s">
        <v>2636</v>
      </c>
      <c r="AA1112" s="63" t="s">
        <v>1841</v>
      </c>
      <c r="AB1112" s="451">
        <v>45054</v>
      </c>
      <c r="AC1112" s="451">
        <v>46880</v>
      </c>
      <c r="AD1112" s="220">
        <v>9742185991</v>
      </c>
      <c r="AE1112" s="336" t="s">
        <v>437</v>
      </c>
      <c r="AF1112" s="100" t="s">
        <v>1430</v>
      </c>
      <c r="AG1112" s="337" t="s">
        <v>2637</v>
      </c>
      <c r="AH1112" s="62" t="s">
        <v>2638</v>
      </c>
      <c r="AI1112" s="62" t="s">
        <v>2639</v>
      </c>
      <c r="AJ1112" s="493">
        <v>805760142806</v>
      </c>
      <c r="AK1112" s="63"/>
      <c r="AL1112" s="338">
        <v>45808</v>
      </c>
      <c r="AM1112" s="477" t="s">
        <v>30</v>
      </c>
      <c r="AN1112" s="100" t="s">
        <v>10421</v>
      </c>
      <c r="AO1112" s="63" t="s">
        <v>10422</v>
      </c>
      <c r="AP1112" s="61">
        <v>35</v>
      </c>
      <c r="AQ1112" s="100"/>
      <c r="AR1112" s="143"/>
      <c r="AS1112" s="338"/>
      <c r="AT1112" s="338"/>
      <c r="AU1112" s="453">
        <v>32666</v>
      </c>
      <c r="AV1112" s="62" t="s">
        <v>1352</v>
      </c>
      <c r="AW1112" s="31" t="s">
        <v>32</v>
      </c>
      <c r="AX1112" s="139">
        <v>3</v>
      </c>
      <c r="AY1112" s="58" t="s">
        <v>2068</v>
      </c>
      <c r="AZ1112" s="58" t="s">
        <v>26</v>
      </c>
      <c r="BA1112" s="58" t="s">
        <v>151</v>
      </c>
      <c r="BB1112" s="58" t="s">
        <v>1407</v>
      </c>
      <c r="BC1112" s="58"/>
    </row>
    <row r="1113" spans="1:55" x14ac:dyDescent="0.25">
      <c r="A1113" s="10">
        <f t="shared" si="44"/>
        <v>1112</v>
      </c>
      <c r="B1113" s="181" t="s">
        <v>7686</v>
      </c>
      <c r="C1113" s="592" t="s">
        <v>1407</v>
      </c>
      <c r="D1113" s="96">
        <v>400914</v>
      </c>
      <c r="E1113" s="62" t="s">
        <v>36</v>
      </c>
      <c r="F1113" s="97" t="s">
        <v>7687</v>
      </c>
      <c r="G1113" s="61">
        <v>6</v>
      </c>
      <c r="H1113" s="141">
        <v>0.375</v>
      </c>
      <c r="I1113" s="141">
        <v>0.54166666666666663</v>
      </c>
      <c r="J1113" s="141">
        <v>0.16666666666666666</v>
      </c>
      <c r="K1113" s="143" t="s">
        <v>7792</v>
      </c>
      <c r="L1113" s="63" t="s">
        <v>7688</v>
      </c>
      <c r="M1113" s="63" t="s">
        <v>26</v>
      </c>
      <c r="N1113" s="100" t="s">
        <v>38</v>
      </c>
      <c r="O1113" s="143" t="s">
        <v>5710</v>
      </c>
      <c r="P1113" s="446">
        <v>45296</v>
      </c>
      <c r="Q1113" s="446">
        <v>45296</v>
      </c>
      <c r="R1113" s="446">
        <v>46026</v>
      </c>
      <c r="S1113" s="338">
        <v>46027</v>
      </c>
      <c r="T1113" s="61">
        <v>2017</v>
      </c>
      <c r="U1113" s="62" t="s">
        <v>7689</v>
      </c>
      <c r="V1113" s="61">
        <v>2022</v>
      </c>
      <c r="W1113" s="63" t="s">
        <v>7690</v>
      </c>
      <c r="X1113" s="62" t="s">
        <v>30</v>
      </c>
      <c r="Y1113" s="100" t="s">
        <v>49</v>
      </c>
      <c r="Z1113" s="99" t="s">
        <v>7691</v>
      </c>
      <c r="AA1113" s="63" t="s">
        <v>1841</v>
      </c>
      <c r="AB1113" s="451">
        <v>44735</v>
      </c>
      <c r="AC1113" s="451">
        <v>46560</v>
      </c>
      <c r="AD1113" s="220">
        <v>9705425828</v>
      </c>
      <c r="AE1113" s="336" t="s">
        <v>7692</v>
      </c>
      <c r="AF1113" s="100" t="s">
        <v>5183</v>
      </c>
      <c r="AG1113" s="337" t="s">
        <v>10423</v>
      </c>
      <c r="AH1113" s="62" t="s">
        <v>10424</v>
      </c>
      <c r="AI1113" s="62" t="s">
        <v>7695</v>
      </c>
      <c r="AJ1113" s="493">
        <v>314790251177</v>
      </c>
      <c r="AK1113" s="63"/>
      <c r="AL1113" s="338">
        <v>45808</v>
      </c>
      <c r="AM1113" s="477" t="s">
        <v>30</v>
      </c>
      <c r="AN1113" s="100" t="s">
        <v>1765</v>
      </c>
      <c r="AO1113" s="63" t="s">
        <v>10425</v>
      </c>
      <c r="AP1113" s="61">
        <v>30</v>
      </c>
      <c r="AQ1113" s="100"/>
      <c r="AR1113" s="143"/>
      <c r="AS1113" s="338"/>
      <c r="AT1113" s="338"/>
      <c r="AU1113" s="453">
        <v>34494</v>
      </c>
      <c r="AV1113" s="62" t="s">
        <v>1352</v>
      </c>
      <c r="AW1113" s="31" t="s">
        <v>32</v>
      </c>
      <c r="AX1113" s="139">
        <v>4</v>
      </c>
      <c r="AY1113" s="58" t="s">
        <v>1881</v>
      </c>
      <c r="AZ1113" s="58" t="s">
        <v>26</v>
      </c>
      <c r="BA1113" s="58" t="s">
        <v>151</v>
      </c>
      <c r="BB1113" s="58" t="s">
        <v>1407</v>
      </c>
      <c r="BC1113" s="58"/>
    </row>
    <row r="1114" spans="1:55" x14ac:dyDescent="0.25">
      <c r="A1114" s="10">
        <f t="shared" si="44"/>
        <v>1113</v>
      </c>
      <c r="B1114" s="181" t="s">
        <v>10426</v>
      </c>
      <c r="C1114" s="592" t="s">
        <v>1407</v>
      </c>
      <c r="D1114" s="96">
        <v>401096</v>
      </c>
      <c r="E1114" s="62" t="s">
        <v>36</v>
      </c>
      <c r="F1114" s="97" t="s">
        <v>10427</v>
      </c>
      <c r="G1114" s="61">
        <v>6</v>
      </c>
      <c r="H1114" s="141">
        <v>0.72916666666666663</v>
      </c>
      <c r="I1114" s="141">
        <v>0.8125</v>
      </c>
      <c r="J1114" s="141">
        <v>8.3333333333333329E-2</v>
      </c>
      <c r="K1114" s="100" t="s">
        <v>194</v>
      </c>
      <c r="L1114" s="99" t="s">
        <v>30</v>
      </c>
      <c r="M1114" s="63" t="s">
        <v>1355</v>
      </c>
      <c r="N1114" s="100" t="s">
        <v>1520</v>
      </c>
      <c r="O1114" s="100" t="s">
        <v>4752</v>
      </c>
      <c r="P1114" s="273">
        <v>45568</v>
      </c>
      <c r="Q1114" s="338">
        <v>45568</v>
      </c>
      <c r="R1114" s="338">
        <v>46297</v>
      </c>
      <c r="S1114" s="338">
        <v>46298</v>
      </c>
      <c r="T1114" s="61">
        <v>2012</v>
      </c>
      <c r="U1114" s="99" t="s">
        <v>455</v>
      </c>
      <c r="V1114" s="61">
        <v>2022</v>
      </c>
      <c r="W1114" s="143" t="s">
        <v>675</v>
      </c>
      <c r="X1114" s="61" t="s">
        <v>30</v>
      </c>
      <c r="Y1114" s="143" t="s">
        <v>1360</v>
      </c>
      <c r="Z1114" s="99" t="s">
        <v>10428</v>
      </c>
      <c r="AA1114" s="99" t="s">
        <v>1841</v>
      </c>
      <c r="AB1114" s="451">
        <v>44922</v>
      </c>
      <c r="AC1114" s="451">
        <v>46747</v>
      </c>
      <c r="AD1114" s="220">
        <v>8897626422</v>
      </c>
      <c r="AE1114" s="510" t="s">
        <v>10429</v>
      </c>
      <c r="AF1114" s="100" t="s">
        <v>10430</v>
      </c>
      <c r="AG1114" s="337" t="s">
        <v>10431</v>
      </c>
      <c r="AH1114" s="62" t="s">
        <v>6030</v>
      </c>
      <c r="AI1114" s="62" t="s">
        <v>10432</v>
      </c>
      <c r="AJ1114" s="493">
        <v>596934598963</v>
      </c>
      <c r="AK1114" s="63" t="s">
        <v>10433</v>
      </c>
      <c r="AL1114" s="446">
        <v>45808</v>
      </c>
      <c r="AM1114" s="446" t="s">
        <v>30</v>
      </c>
      <c r="AN1114" s="100" t="s">
        <v>10434</v>
      </c>
      <c r="AO1114" s="63" t="s">
        <v>10435</v>
      </c>
      <c r="AP1114" s="61">
        <v>37</v>
      </c>
      <c r="AQ1114" s="100"/>
      <c r="AR1114" s="143"/>
      <c r="AS1114" s="338"/>
      <c r="AT1114" s="338"/>
      <c r="AU1114" s="453">
        <v>32342</v>
      </c>
      <c r="AV1114" s="62" t="s">
        <v>1352</v>
      </c>
      <c r="AW1114" s="31" t="s">
        <v>32</v>
      </c>
      <c r="AX1114" s="139">
        <v>2</v>
      </c>
      <c r="AY1114" s="58" t="s">
        <v>1968</v>
      </c>
      <c r="AZ1114" s="58" t="s">
        <v>1373</v>
      </c>
      <c r="BA1114" s="58" t="s">
        <v>151</v>
      </c>
      <c r="BB1114" s="58" t="s">
        <v>1407</v>
      </c>
      <c r="BC1114" s="58"/>
    </row>
    <row r="1115" spans="1:55" x14ac:dyDescent="0.25">
      <c r="A1115" s="10">
        <f t="shared" si="44"/>
        <v>1114</v>
      </c>
      <c r="B1115" s="61" t="s">
        <v>10436</v>
      </c>
      <c r="C1115" s="592" t="s">
        <v>1407</v>
      </c>
      <c r="D1115" s="96">
        <v>401215</v>
      </c>
      <c r="E1115" s="62" t="s">
        <v>268</v>
      </c>
      <c r="F1115" s="97" t="s">
        <v>10437</v>
      </c>
      <c r="G1115" s="61">
        <v>6</v>
      </c>
      <c r="H1115" s="141">
        <v>0.33333333333333331</v>
      </c>
      <c r="I1115" s="141">
        <v>0.5</v>
      </c>
      <c r="J1115" s="458">
        <f>I1115-H1115</f>
        <v>0.16666666666666669</v>
      </c>
      <c r="K1115" s="35" t="s">
        <v>990</v>
      </c>
      <c r="L1115" s="99" t="s">
        <v>10438</v>
      </c>
      <c r="M1115" s="63" t="s">
        <v>26</v>
      </c>
      <c r="N1115" s="100" t="s">
        <v>38</v>
      </c>
      <c r="O1115" s="143" t="s">
        <v>1492</v>
      </c>
      <c r="P1115" s="273">
        <v>45768</v>
      </c>
      <c r="Q1115" s="273">
        <v>45768</v>
      </c>
      <c r="R1115" s="273">
        <v>46497</v>
      </c>
      <c r="S1115" s="273">
        <v>46498</v>
      </c>
      <c r="T1115" s="61">
        <v>2009</v>
      </c>
      <c r="U1115" s="63" t="s">
        <v>993</v>
      </c>
      <c r="V1115" s="61">
        <v>2014</v>
      </c>
      <c r="W1115" s="100" t="s">
        <v>10439</v>
      </c>
      <c r="X1115" s="62" t="s">
        <v>30</v>
      </c>
      <c r="Y1115" s="100" t="s">
        <v>97</v>
      </c>
      <c r="Z1115" s="333">
        <v>87951</v>
      </c>
      <c r="AA1115" s="63" t="s">
        <v>1560</v>
      </c>
      <c r="AB1115" s="451">
        <v>45749</v>
      </c>
      <c r="AC1115" s="451">
        <v>47575</v>
      </c>
      <c r="AD1115" s="61">
        <v>9535240779</v>
      </c>
      <c r="AE1115" s="336" t="s">
        <v>10440</v>
      </c>
      <c r="AF1115" s="100" t="s">
        <v>1364</v>
      </c>
      <c r="AG1115" s="177" t="s">
        <v>10441</v>
      </c>
      <c r="AH1115" s="62" t="s">
        <v>10442</v>
      </c>
      <c r="AI1115" s="62" t="s">
        <v>10443</v>
      </c>
      <c r="AJ1115" s="337" t="s">
        <v>10444</v>
      </c>
      <c r="AK1115" s="63" t="s">
        <v>10445</v>
      </c>
      <c r="AL1115" s="338">
        <v>45808</v>
      </c>
      <c r="AM1115" s="446" t="s">
        <v>30</v>
      </c>
      <c r="AN1115" s="100" t="s">
        <v>5072</v>
      </c>
      <c r="AO1115" s="63" t="s">
        <v>10446</v>
      </c>
      <c r="AP1115" s="61">
        <v>38</v>
      </c>
      <c r="AQ1115" s="100" t="s">
        <v>1371</v>
      </c>
      <c r="AR1115" s="100" t="s">
        <v>10447</v>
      </c>
      <c r="AS1115" s="62">
        <v>45705</v>
      </c>
      <c r="AT1115" s="62">
        <v>46069</v>
      </c>
      <c r="AU1115" s="453">
        <v>31967</v>
      </c>
      <c r="AV1115" s="62" t="s">
        <v>1352</v>
      </c>
      <c r="AW1115" s="31" t="s">
        <v>32</v>
      </c>
      <c r="AX1115" s="139">
        <v>4</v>
      </c>
      <c r="AY1115" s="58" t="s">
        <v>3225</v>
      </c>
      <c r="AZ1115" s="58" t="s">
        <v>26</v>
      </c>
      <c r="BA1115" s="58" t="s">
        <v>151</v>
      </c>
      <c r="BB1115" s="58" t="s">
        <v>1407</v>
      </c>
      <c r="BC1115" s="58"/>
    </row>
    <row r="1116" spans="1:55" x14ac:dyDescent="0.25">
      <c r="A1116" s="10">
        <f t="shared" si="44"/>
        <v>1115</v>
      </c>
      <c r="B1116" s="181"/>
      <c r="C1116" s="592" t="s">
        <v>1407</v>
      </c>
      <c r="D1116" s="41">
        <v>5400005</v>
      </c>
      <c r="E1116" s="40" t="s">
        <v>36</v>
      </c>
      <c r="F1116" s="43" t="s">
        <v>10448</v>
      </c>
      <c r="G1116" s="43"/>
      <c r="H1116" s="42"/>
      <c r="I1116" s="42"/>
      <c r="J1116" s="42"/>
      <c r="K1116" s="58"/>
      <c r="L1116" s="39"/>
      <c r="M1116" s="97" t="s">
        <v>1376</v>
      </c>
      <c r="N1116" s="58" t="s">
        <v>1393</v>
      </c>
      <c r="O1116" s="43" t="s">
        <v>30</v>
      </c>
      <c r="P1116" s="43"/>
      <c r="Q1116" s="43"/>
      <c r="R1116" s="43"/>
      <c r="S1116" s="546"/>
      <c r="T1116" s="87"/>
      <c r="U1116" s="39"/>
      <c r="V1116" s="40"/>
      <c r="W1116" s="39"/>
      <c r="X1116" s="40"/>
      <c r="Y1116" s="43"/>
      <c r="Z1116" s="39"/>
      <c r="AA1116" s="39"/>
      <c r="AB1116" s="40"/>
      <c r="AC1116" s="40"/>
      <c r="AD1116" s="40"/>
      <c r="AE1116" s="39"/>
      <c r="AF1116" s="43"/>
      <c r="AG1116" s="40"/>
      <c r="AH1116" s="40"/>
      <c r="AI1116" s="40"/>
      <c r="AJ1116" s="40"/>
      <c r="AK1116" s="39"/>
      <c r="AL1116" s="183">
        <v>45808</v>
      </c>
      <c r="AM1116" s="183">
        <v>45764</v>
      </c>
      <c r="AN1116" s="39" t="s">
        <v>1765</v>
      </c>
      <c r="AO1116" s="39"/>
      <c r="AP1116" s="43"/>
      <c r="AQ1116" s="43"/>
      <c r="AR1116" s="43"/>
      <c r="AS1116" s="40"/>
      <c r="AT1116" s="40"/>
      <c r="AU1116" s="43"/>
      <c r="AV1116" s="43"/>
      <c r="AW1116" s="43"/>
      <c r="AX1116" s="139"/>
      <c r="AY1116" s="58"/>
      <c r="AZ1116" s="58" t="s">
        <v>1390</v>
      </c>
      <c r="BA1116" s="58" t="s">
        <v>151</v>
      </c>
      <c r="BB1116" s="58" t="s">
        <v>1407</v>
      </c>
      <c r="BC1116" s="58"/>
    </row>
    <row r="1117" spans="1:55" x14ac:dyDescent="0.25">
      <c r="A1117" s="10">
        <f t="shared" si="44"/>
        <v>1116</v>
      </c>
      <c r="B1117" s="61" t="s">
        <v>10449</v>
      </c>
      <c r="C1117" s="592" t="s">
        <v>1407</v>
      </c>
      <c r="D1117" s="96">
        <v>400637</v>
      </c>
      <c r="E1117" s="62" t="s">
        <v>36</v>
      </c>
      <c r="F1117" s="97" t="s">
        <v>10450</v>
      </c>
      <c r="G1117" s="61">
        <v>6</v>
      </c>
      <c r="H1117" s="141">
        <v>0.72916666666666663</v>
      </c>
      <c r="I1117" s="141">
        <v>0.85416666666666663</v>
      </c>
      <c r="J1117" s="458">
        <f>I1117-H1117</f>
        <v>0.125</v>
      </c>
      <c r="K1117" s="100" t="s">
        <v>713</v>
      </c>
      <c r="L1117" s="63" t="s">
        <v>30</v>
      </c>
      <c r="M1117" s="63" t="s">
        <v>2097</v>
      </c>
      <c r="N1117" s="58" t="s">
        <v>2098</v>
      </c>
      <c r="O1117" s="100" t="s">
        <v>4752</v>
      </c>
      <c r="P1117" s="446">
        <v>44980</v>
      </c>
      <c r="Q1117" s="206">
        <v>45711</v>
      </c>
      <c r="R1117" s="206">
        <v>46440</v>
      </c>
      <c r="S1117" s="461">
        <v>46441</v>
      </c>
      <c r="T1117" s="61">
        <v>2009</v>
      </c>
      <c r="U1117" s="63" t="s">
        <v>408</v>
      </c>
      <c r="V1117" s="61">
        <v>2015</v>
      </c>
      <c r="W1117" s="99" t="s">
        <v>10451</v>
      </c>
      <c r="X1117" s="62" t="s">
        <v>30</v>
      </c>
      <c r="Y1117" s="100" t="s">
        <v>4862</v>
      </c>
      <c r="Z1117" s="99">
        <v>66848</v>
      </c>
      <c r="AA1117" s="63" t="s">
        <v>8347</v>
      </c>
      <c r="AB1117" s="451">
        <v>44481</v>
      </c>
      <c r="AC1117" s="451">
        <v>46306</v>
      </c>
      <c r="AD1117" s="220">
        <v>9494515962</v>
      </c>
      <c r="AE1117" s="336" t="s">
        <v>10452</v>
      </c>
      <c r="AF1117" s="100" t="s">
        <v>1430</v>
      </c>
      <c r="AG1117" s="337" t="s">
        <v>10453</v>
      </c>
      <c r="AH1117" s="62" t="s">
        <v>5891</v>
      </c>
      <c r="AI1117" s="62" t="s">
        <v>10454</v>
      </c>
      <c r="AJ1117" s="337" t="s">
        <v>10455</v>
      </c>
      <c r="AK1117" s="63" t="s">
        <v>10456</v>
      </c>
      <c r="AL1117" s="446">
        <v>45810</v>
      </c>
      <c r="AM1117" s="477">
        <v>45772</v>
      </c>
      <c r="AN1117" s="63" t="s">
        <v>1592</v>
      </c>
      <c r="AO1117" s="63" t="s">
        <v>10457</v>
      </c>
      <c r="AP1117" s="61">
        <v>40</v>
      </c>
      <c r="AQ1117" s="100"/>
      <c r="AR1117" s="143"/>
      <c r="AS1117" s="338"/>
      <c r="AT1117" s="338"/>
      <c r="AU1117" s="453">
        <v>31066</v>
      </c>
      <c r="AV1117" s="62" t="s">
        <v>1389</v>
      </c>
      <c r="AW1117" s="31" t="s">
        <v>32</v>
      </c>
      <c r="AX1117" s="139">
        <v>3</v>
      </c>
      <c r="AY1117" s="58" t="s">
        <v>2262</v>
      </c>
      <c r="AZ1117" s="58" t="s">
        <v>1373</v>
      </c>
      <c r="BA1117" s="58" t="s">
        <v>151</v>
      </c>
      <c r="BB1117" s="58" t="s">
        <v>1407</v>
      </c>
      <c r="BC1117" s="58"/>
    </row>
    <row r="1118" spans="1:55" x14ac:dyDescent="0.25">
      <c r="A1118" s="10">
        <f t="shared" si="44"/>
        <v>1117</v>
      </c>
      <c r="B1118" s="61" t="s">
        <v>10458</v>
      </c>
      <c r="C1118" s="592" t="s">
        <v>1407</v>
      </c>
      <c r="D1118" s="96">
        <v>401070</v>
      </c>
      <c r="E1118" s="62" t="s">
        <v>36</v>
      </c>
      <c r="F1118" s="97" t="s">
        <v>10459</v>
      </c>
      <c r="G1118" s="61">
        <v>6</v>
      </c>
      <c r="H1118" s="141">
        <v>0.375</v>
      </c>
      <c r="I1118" s="141">
        <v>0.45833333333333331</v>
      </c>
      <c r="J1118" s="458">
        <f>I1118-H1118</f>
        <v>8.3333333333333315E-2</v>
      </c>
      <c r="K1118" s="100" t="s">
        <v>922</v>
      </c>
      <c r="L1118" s="63" t="s">
        <v>9823</v>
      </c>
      <c r="M1118" s="63" t="s">
        <v>26</v>
      </c>
      <c r="N1118" s="100" t="s">
        <v>38</v>
      </c>
      <c r="O1118" s="143" t="s">
        <v>1492</v>
      </c>
      <c r="P1118" s="273">
        <v>45541</v>
      </c>
      <c r="Q1118" s="338">
        <v>45541</v>
      </c>
      <c r="R1118" s="338">
        <v>46270</v>
      </c>
      <c r="S1118" s="338">
        <v>46271</v>
      </c>
      <c r="T1118" s="61">
        <v>2017</v>
      </c>
      <c r="U1118" s="99" t="s">
        <v>350</v>
      </c>
      <c r="V1118" s="61">
        <v>2023</v>
      </c>
      <c r="W1118" s="143" t="s">
        <v>169</v>
      </c>
      <c r="X1118" s="62" t="s">
        <v>30</v>
      </c>
      <c r="Y1118" s="100" t="s">
        <v>49</v>
      </c>
      <c r="Z1118" s="99" t="s">
        <v>10460</v>
      </c>
      <c r="AA1118" s="63" t="s">
        <v>1841</v>
      </c>
      <c r="AB1118" s="451">
        <v>45170</v>
      </c>
      <c r="AC1118" s="451">
        <v>46996</v>
      </c>
      <c r="AD1118" s="220">
        <v>9398931088</v>
      </c>
      <c r="AE1118" s="336" t="s">
        <v>10461</v>
      </c>
      <c r="AF1118" s="100" t="s">
        <v>1833</v>
      </c>
      <c r="AG1118" s="337" t="s">
        <v>10462</v>
      </c>
      <c r="AH1118" s="62" t="s">
        <v>10463</v>
      </c>
      <c r="AI1118" s="62" t="s">
        <v>10464</v>
      </c>
      <c r="AJ1118" s="337" t="s">
        <v>10465</v>
      </c>
      <c r="AK1118" s="63" t="s">
        <v>10466</v>
      </c>
      <c r="AL1118" s="338">
        <v>45811</v>
      </c>
      <c r="AM1118" s="446">
        <v>45811</v>
      </c>
      <c r="AN1118" s="63" t="s">
        <v>4831</v>
      </c>
      <c r="AO1118" s="63" t="s">
        <v>10467</v>
      </c>
      <c r="AP1118" s="61">
        <v>31</v>
      </c>
      <c r="AQ1118" s="100" t="s">
        <v>1371</v>
      </c>
      <c r="AR1118" s="143" t="s">
        <v>10468</v>
      </c>
      <c r="AS1118" s="338">
        <v>45328</v>
      </c>
      <c r="AT1118" s="338">
        <v>45693</v>
      </c>
      <c r="AU1118" s="453">
        <v>34574</v>
      </c>
      <c r="AV1118" s="62" t="s">
        <v>1389</v>
      </c>
      <c r="AW1118" s="31" t="s">
        <v>32</v>
      </c>
      <c r="AX1118" s="139">
        <v>2</v>
      </c>
      <c r="AY1118" s="58" t="s">
        <v>2053</v>
      </c>
      <c r="AZ1118" s="58" t="s">
        <v>26</v>
      </c>
      <c r="BA1118" s="58" t="s">
        <v>151</v>
      </c>
      <c r="BB1118" s="58" t="s">
        <v>1407</v>
      </c>
      <c r="BC1118" s="58"/>
    </row>
    <row r="1119" spans="1:55" x14ac:dyDescent="0.25">
      <c r="A1119" s="10">
        <f t="shared" si="44"/>
        <v>1118</v>
      </c>
      <c r="B1119" s="61" t="s">
        <v>10469</v>
      </c>
      <c r="C1119" s="592" t="s">
        <v>1407</v>
      </c>
      <c r="D1119" s="96">
        <v>400798</v>
      </c>
      <c r="E1119" s="62" t="s">
        <v>36</v>
      </c>
      <c r="F1119" s="97" t="s">
        <v>10470</v>
      </c>
      <c r="G1119" s="61">
        <v>6</v>
      </c>
      <c r="H1119" s="141">
        <v>0.33333333333333331</v>
      </c>
      <c r="I1119" s="141">
        <v>0.875</v>
      </c>
      <c r="J1119" s="458">
        <v>0.33333333333333331</v>
      </c>
      <c r="K1119" s="58" t="s">
        <v>147</v>
      </c>
      <c r="L1119" s="63" t="s">
        <v>1424</v>
      </c>
      <c r="M1119" s="63" t="s">
        <v>2097</v>
      </c>
      <c r="N1119" s="58" t="s">
        <v>2098</v>
      </c>
      <c r="O1119" s="100" t="s">
        <v>4752</v>
      </c>
      <c r="P1119" s="446">
        <v>45117</v>
      </c>
      <c r="Q1119" s="446">
        <v>45117</v>
      </c>
      <c r="R1119" s="446">
        <v>45847</v>
      </c>
      <c r="S1119" s="338">
        <v>45848</v>
      </c>
      <c r="T1119" s="61">
        <v>2016</v>
      </c>
      <c r="U1119" s="63" t="s">
        <v>10471</v>
      </c>
      <c r="V1119" s="61">
        <v>2021</v>
      </c>
      <c r="W1119" s="99" t="s">
        <v>10472</v>
      </c>
      <c r="X1119" s="61" t="s">
        <v>1424</v>
      </c>
      <c r="Y1119" s="100" t="s">
        <v>4862</v>
      </c>
      <c r="Z1119" s="99" t="s">
        <v>10473</v>
      </c>
      <c r="AA1119" s="63" t="s">
        <v>1841</v>
      </c>
      <c r="AB1119" s="451">
        <v>44460</v>
      </c>
      <c r="AC1119" s="451">
        <v>46285</v>
      </c>
      <c r="AD1119" s="220">
        <v>7799547087</v>
      </c>
      <c r="AE1119" s="336" t="s">
        <v>10474</v>
      </c>
      <c r="AF1119" s="100" t="s">
        <v>1364</v>
      </c>
      <c r="AG1119" s="337" t="s">
        <v>10475</v>
      </c>
      <c r="AH1119" s="62" t="s">
        <v>10476</v>
      </c>
      <c r="AI1119" s="62" t="s">
        <v>10477</v>
      </c>
      <c r="AJ1119" s="337" t="s">
        <v>10478</v>
      </c>
      <c r="AK1119" s="63"/>
      <c r="AL1119" s="446">
        <v>45812</v>
      </c>
      <c r="AM1119" s="477">
        <v>45752</v>
      </c>
      <c r="AN1119" s="63" t="s">
        <v>1592</v>
      </c>
      <c r="AO1119" s="63"/>
      <c r="AP1119" s="61">
        <v>35</v>
      </c>
      <c r="AQ1119" s="100"/>
      <c r="AR1119" s="143"/>
      <c r="AS1119" s="338"/>
      <c r="AT1119" s="338"/>
      <c r="AU1119" s="453">
        <v>32867</v>
      </c>
      <c r="AV1119" s="62" t="s">
        <v>1352</v>
      </c>
      <c r="AW1119" s="31" t="s">
        <v>68</v>
      </c>
      <c r="AX1119" s="139">
        <v>8</v>
      </c>
      <c r="AY1119" s="58" t="s">
        <v>1849</v>
      </c>
      <c r="AZ1119" s="58" t="s">
        <v>1373</v>
      </c>
      <c r="BA1119" s="58" t="s">
        <v>151</v>
      </c>
      <c r="BB1119" s="58" t="s">
        <v>1407</v>
      </c>
      <c r="BC1119" s="58"/>
    </row>
    <row r="1120" spans="1:55" x14ac:dyDescent="0.25">
      <c r="A1120" s="10">
        <f t="shared" si="44"/>
        <v>1119</v>
      </c>
      <c r="B1120" s="181" t="s">
        <v>2905</v>
      </c>
      <c r="C1120" s="592" t="s">
        <v>1407</v>
      </c>
      <c r="D1120" s="96">
        <v>400954</v>
      </c>
      <c r="E1120" s="62" t="s">
        <v>36</v>
      </c>
      <c r="F1120" s="97" t="s">
        <v>2906</v>
      </c>
      <c r="G1120" s="61">
        <v>6</v>
      </c>
      <c r="H1120" s="141">
        <v>0.66666666666666663</v>
      </c>
      <c r="I1120" s="141">
        <v>0.83333333333333337</v>
      </c>
      <c r="J1120" s="141">
        <v>0.16666666666666666</v>
      </c>
      <c r="K1120" s="58" t="s">
        <v>826</v>
      </c>
      <c r="L1120" s="63" t="s">
        <v>1424</v>
      </c>
      <c r="M1120" s="63" t="s">
        <v>1355</v>
      </c>
      <c r="N1120" s="100" t="s">
        <v>1520</v>
      </c>
      <c r="O1120" s="100" t="s">
        <v>4752</v>
      </c>
      <c r="P1120" s="446">
        <v>45348</v>
      </c>
      <c r="Q1120" s="446">
        <v>45348</v>
      </c>
      <c r="R1120" s="446">
        <v>46078</v>
      </c>
      <c r="S1120" s="338">
        <v>46079</v>
      </c>
      <c r="T1120" s="61">
        <v>2001</v>
      </c>
      <c r="U1120" s="62" t="s">
        <v>2907</v>
      </c>
      <c r="V1120" s="61">
        <v>2020</v>
      </c>
      <c r="W1120" s="99" t="s">
        <v>2908</v>
      </c>
      <c r="X1120" s="62" t="s">
        <v>30</v>
      </c>
      <c r="Y1120" s="143" t="s">
        <v>1360</v>
      </c>
      <c r="Z1120" s="99" t="s">
        <v>2909</v>
      </c>
      <c r="AA1120" s="63" t="s">
        <v>2910</v>
      </c>
      <c r="AB1120" s="451">
        <v>44186</v>
      </c>
      <c r="AC1120" s="451">
        <v>46011</v>
      </c>
      <c r="AD1120" s="220">
        <v>9650180810</v>
      </c>
      <c r="AE1120" s="336" t="s">
        <v>2911</v>
      </c>
      <c r="AF1120" s="100" t="s">
        <v>5086</v>
      </c>
      <c r="AG1120" s="337" t="s">
        <v>2912</v>
      </c>
      <c r="AH1120" s="62" t="s">
        <v>2913</v>
      </c>
      <c r="AI1120" s="62" t="s">
        <v>2914</v>
      </c>
      <c r="AJ1120" s="493">
        <v>204515481975</v>
      </c>
      <c r="AK1120" s="63"/>
      <c r="AL1120" s="446">
        <v>45812</v>
      </c>
      <c r="AM1120" s="477">
        <v>45752</v>
      </c>
      <c r="AN1120" s="63" t="s">
        <v>10479</v>
      </c>
      <c r="AO1120" s="63" t="s">
        <v>2916</v>
      </c>
      <c r="AP1120" s="61">
        <v>48</v>
      </c>
      <c r="AQ1120" s="100"/>
      <c r="AR1120" s="143"/>
      <c r="AS1120" s="338"/>
      <c r="AT1120" s="338"/>
      <c r="AU1120" s="453">
        <v>28371</v>
      </c>
      <c r="AV1120" s="62" t="s">
        <v>1352</v>
      </c>
      <c r="AW1120" s="31" t="s">
        <v>32</v>
      </c>
      <c r="AX1120" s="139">
        <v>4</v>
      </c>
      <c r="AY1120" s="58" t="s">
        <v>2251</v>
      </c>
      <c r="AZ1120" s="58" t="s">
        <v>1373</v>
      </c>
      <c r="BA1120" s="58" t="s">
        <v>151</v>
      </c>
      <c r="BB1120" s="58" t="s">
        <v>1407</v>
      </c>
      <c r="BC1120" s="58"/>
    </row>
    <row r="1121" spans="1:55" x14ac:dyDescent="0.25">
      <c r="A1121" s="10">
        <f t="shared" si="44"/>
        <v>1120</v>
      </c>
      <c r="B1121" s="181" t="s">
        <v>10162</v>
      </c>
      <c r="C1121" s="592" t="s">
        <v>1407</v>
      </c>
      <c r="D1121" s="96">
        <v>401118</v>
      </c>
      <c r="E1121" s="62" t="s">
        <v>192</v>
      </c>
      <c r="F1121" s="97" t="s">
        <v>10163</v>
      </c>
      <c r="G1121" s="61"/>
      <c r="H1121" s="141"/>
      <c r="I1121" s="141"/>
      <c r="J1121" s="141"/>
      <c r="K1121" s="21" t="s">
        <v>334</v>
      </c>
      <c r="L1121" s="63" t="s">
        <v>10164</v>
      </c>
      <c r="M1121" s="63" t="s">
        <v>26</v>
      </c>
      <c r="N1121" s="100" t="s">
        <v>38</v>
      </c>
      <c r="O1121" s="143" t="s">
        <v>5710</v>
      </c>
      <c r="P1121" s="273">
        <v>45607</v>
      </c>
      <c r="Q1121" s="338">
        <v>45607</v>
      </c>
      <c r="R1121" s="338">
        <v>46336</v>
      </c>
      <c r="S1121" s="338">
        <v>46337</v>
      </c>
      <c r="T1121" s="61">
        <v>2017</v>
      </c>
      <c r="U1121" s="99" t="s">
        <v>343</v>
      </c>
      <c r="V1121" s="61">
        <v>2023</v>
      </c>
      <c r="W1121" s="143" t="s">
        <v>695</v>
      </c>
      <c r="X1121" s="62" t="s">
        <v>30</v>
      </c>
      <c r="Y1121" s="100" t="s">
        <v>49</v>
      </c>
      <c r="Z1121" s="99" t="s">
        <v>10165</v>
      </c>
      <c r="AA1121" s="63" t="s">
        <v>1886</v>
      </c>
      <c r="AB1121" s="451">
        <v>45190</v>
      </c>
      <c r="AC1121" s="451">
        <v>47016</v>
      </c>
      <c r="AD1121" s="61">
        <v>9553427369</v>
      </c>
      <c r="AE1121" s="547" t="s">
        <v>10166</v>
      </c>
      <c r="AF1121" s="100" t="s">
        <v>1833</v>
      </c>
      <c r="AG1121" s="337" t="s">
        <v>10167</v>
      </c>
      <c r="AH1121" s="62" t="s">
        <v>3001</v>
      </c>
      <c r="AI1121" s="62" t="s">
        <v>10168</v>
      </c>
      <c r="AJ1121" s="493">
        <v>900786273111</v>
      </c>
      <c r="AK1121" s="63" t="s">
        <v>10169</v>
      </c>
      <c r="AL1121" s="338" t="s">
        <v>5711</v>
      </c>
      <c r="AM1121" s="446" t="s">
        <v>30</v>
      </c>
      <c r="AN1121" s="100" t="s">
        <v>5712</v>
      </c>
      <c r="AO1121" s="63" t="s">
        <v>10170</v>
      </c>
      <c r="AP1121" s="61">
        <v>30</v>
      </c>
      <c r="AQ1121" s="100" t="s">
        <v>1371</v>
      </c>
      <c r="AR1121" s="143" t="s">
        <v>10171</v>
      </c>
      <c r="AS1121" s="338">
        <v>45523</v>
      </c>
      <c r="AT1121" s="338">
        <v>45887</v>
      </c>
      <c r="AU1121" s="453">
        <v>34685</v>
      </c>
      <c r="AV1121" s="62" t="s">
        <v>1389</v>
      </c>
      <c r="AW1121" s="62" t="s">
        <v>32</v>
      </c>
      <c r="AX1121" s="139"/>
      <c r="AY1121" s="58" t="s">
        <v>30</v>
      </c>
      <c r="AZ1121" s="58" t="s">
        <v>26</v>
      </c>
      <c r="BA1121" s="58" t="s">
        <v>151</v>
      </c>
      <c r="BB1121" s="58" t="s">
        <v>1407</v>
      </c>
      <c r="BC1121" s="58"/>
    </row>
    <row r="1122" spans="1:55" x14ac:dyDescent="0.25">
      <c r="A1122" s="10">
        <f t="shared" si="44"/>
        <v>1121</v>
      </c>
      <c r="B1122" s="181" t="s">
        <v>7652</v>
      </c>
      <c r="C1122" s="592" t="s">
        <v>1407</v>
      </c>
      <c r="D1122" s="96">
        <v>401120</v>
      </c>
      <c r="E1122" s="62" t="s">
        <v>192</v>
      </c>
      <c r="F1122" s="97" t="s">
        <v>9447</v>
      </c>
      <c r="G1122" s="61"/>
      <c r="H1122" s="141"/>
      <c r="I1122" s="141"/>
      <c r="J1122" s="141"/>
      <c r="K1122" s="21" t="s">
        <v>334</v>
      </c>
      <c r="L1122" s="63" t="s">
        <v>9448</v>
      </c>
      <c r="M1122" s="63" t="s">
        <v>26</v>
      </c>
      <c r="N1122" s="100" t="s">
        <v>38</v>
      </c>
      <c r="O1122" s="143" t="s">
        <v>5710</v>
      </c>
      <c r="P1122" s="273">
        <v>45608</v>
      </c>
      <c r="Q1122" s="338">
        <v>45608</v>
      </c>
      <c r="R1122" s="338">
        <v>46337</v>
      </c>
      <c r="S1122" s="338">
        <v>46338</v>
      </c>
      <c r="T1122" s="61">
        <v>2014</v>
      </c>
      <c r="U1122" s="63" t="s">
        <v>7338</v>
      </c>
      <c r="V1122" s="61">
        <v>2022</v>
      </c>
      <c r="W1122" s="143" t="s">
        <v>7657</v>
      </c>
      <c r="X1122" s="62" t="s">
        <v>30</v>
      </c>
      <c r="Y1122" s="100" t="s">
        <v>49</v>
      </c>
      <c r="Z1122" s="99" t="s">
        <v>7658</v>
      </c>
      <c r="AA1122" s="63" t="s">
        <v>1841</v>
      </c>
      <c r="AB1122" s="451">
        <v>44805</v>
      </c>
      <c r="AC1122" s="451">
        <v>46630</v>
      </c>
      <c r="AD1122" s="220">
        <v>9618949027</v>
      </c>
      <c r="AE1122" s="510" t="s">
        <v>7659</v>
      </c>
      <c r="AF1122" s="100" t="s">
        <v>1430</v>
      </c>
      <c r="AG1122" s="337" t="s">
        <v>7660</v>
      </c>
      <c r="AH1122" s="62" t="s">
        <v>7661</v>
      </c>
      <c r="AI1122" s="62" t="s">
        <v>7662</v>
      </c>
      <c r="AJ1122" s="493">
        <v>783219738106</v>
      </c>
      <c r="AK1122" s="63" t="s">
        <v>7663</v>
      </c>
      <c r="AL1122" s="338" t="s">
        <v>5711</v>
      </c>
      <c r="AM1122" s="446" t="s">
        <v>30</v>
      </c>
      <c r="AN1122" s="100" t="s">
        <v>5712</v>
      </c>
      <c r="AO1122" s="63" t="s">
        <v>9450</v>
      </c>
      <c r="AP1122" s="61">
        <v>32</v>
      </c>
      <c r="AQ1122" s="100" t="s">
        <v>3376</v>
      </c>
      <c r="AR1122" s="143" t="s">
        <v>10480</v>
      </c>
      <c r="AS1122" s="338">
        <v>45492</v>
      </c>
      <c r="AT1122" s="338">
        <v>45856</v>
      </c>
      <c r="AU1122" s="453">
        <v>33922</v>
      </c>
      <c r="AV1122" s="62" t="s">
        <v>1389</v>
      </c>
      <c r="AW1122" s="62" t="s">
        <v>32</v>
      </c>
      <c r="AX1122" s="139"/>
      <c r="AY1122" s="58" t="s">
        <v>30</v>
      </c>
      <c r="AZ1122" s="58" t="s">
        <v>26</v>
      </c>
      <c r="BA1122" s="58" t="s">
        <v>151</v>
      </c>
      <c r="BB1122" s="58" t="s">
        <v>1407</v>
      </c>
      <c r="BC1122" s="58"/>
    </row>
    <row r="1123" spans="1:55" x14ac:dyDescent="0.25">
      <c r="A1123" s="10">
        <f t="shared" si="44"/>
        <v>1122</v>
      </c>
      <c r="B1123" s="181" t="s">
        <v>10481</v>
      </c>
      <c r="C1123" s="592" t="s">
        <v>1407</v>
      </c>
      <c r="D1123" s="96">
        <v>401121</v>
      </c>
      <c r="E1123" s="62" t="s">
        <v>192</v>
      </c>
      <c r="F1123" s="97" t="s">
        <v>10482</v>
      </c>
      <c r="G1123" s="61"/>
      <c r="H1123" s="141"/>
      <c r="I1123" s="141"/>
      <c r="J1123" s="141"/>
      <c r="K1123" s="21" t="s">
        <v>334</v>
      </c>
      <c r="L1123" s="63" t="s">
        <v>623</v>
      </c>
      <c r="M1123" s="63" t="s">
        <v>26</v>
      </c>
      <c r="N1123" s="100" t="s">
        <v>38</v>
      </c>
      <c r="O1123" s="143" t="s">
        <v>5710</v>
      </c>
      <c r="P1123" s="273">
        <v>45608</v>
      </c>
      <c r="Q1123" s="338">
        <v>45608</v>
      </c>
      <c r="R1123" s="338">
        <v>46337</v>
      </c>
      <c r="S1123" s="338">
        <v>46338</v>
      </c>
      <c r="T1123" s="61">
        <v>2009</v>
      </c>
      <c r="U1123" s="63" t="s">
        <v>10483</v>
      </c>
      <c r="V1123" s="61">
        <v>2016</v>
      </c>
      <c r="W1123" s="143" t="s">
        <v>10484</v>
      </c>
      <c r="X1123" s="62" t="s">
        <v>10485</v>
      </c>
      <c r="Y1123" s="100" t="s">
        <v>10486</v>
      </c>
      <c r="Z1123" s="99">
        <v>64895</v>
      </c>
      <c r="AA1123" s="63" t="s">
        <v>1323</v>
      </c>
      <c r="AB1123" s="451">
        <v>45387</v>
      </c>
      <c r="AC1123" s="62"/>
      <c r="AD1123" s="220">
        <v>9932336559</v>
      </c>
      <c r="AE1123" s="336" t="s">
        <v>10487</v>
      </c>
      <c r="AF1123" s="100" t="s">
        <v>1410</v>
      </c>
      <c r="AG1123" s="337" t="s">
        <v>10488</v>
      </c>
      <c r="AH1123" s="62" t="s">
        <v>10489</v>
      </c>
      <c r="AI1123" s="62" t="s">
        <v>10490</v>
      </c>
      <c r="AJ1123" s="493">
        <v>286372020395</v>
      </c>
      <c r="AK1123" s="63" t="s">
        <v>10491</v>
      </c>
      <c r="AL1123" s="338" t="s">
        <v>5711</v>
      </c>
      <c r="AM1123" s="446" t="s">
        <v>30</v>
      </c>
      <c r="AN1123" s="100" t="s">
        <v>5712</v>
      </c>
      <c r="AO1123" s="63" t="s">
        <v>10492</v>
      </c>
      <c r="AP1123" s="61">
        <v>42</v>
      </c>
      <c r="AQ1123" s="100"/>
      <c r="AR1123" s="143"/>
      <c r="AS1123" s="338"/>
      <c r="AT1123" s="338"/>
      <c r="AU1123" s="453">
        <v>30249</v>
      </c>
      <c r="AV1123" s="62" t="s">
        <v>1352</v>
      </c>
      <c r="AW1123" s="62" t="s">
        <v>32</v>
      </c>
      <c r="AX1123" s="139"/>
      <c r="AY1123" s="58" t="s">
        <v>30</v>
      </c>
      <c r="AZ1123" s="58" t="s">
        <v>26</v>
      </c>
      <c r="BA1123" s="58" t="s">
        <v>151</v>
      </c>
      <c r="BB1123" s="58" t="s">
        <v>1407</v>
      </c>
      <c r="BC1123" s="58"/>
    </row>
    <row r="1124" spans="1:55" x14ac:dyDescent="0.25">
      <c r="A1124" s="10">
        <f t="shared" si="44"/>
        <v>1123</v>
      </c>
      <c r="B1124" s="181" t="s">
        <v>10493</v>
      </c>
      <c r="C1124" s="592" t="s">
        <v>1407</v>
      </c>
      <c r="D1124" s="96">
        <v>401122</v>
      </c>
      <c r="E1124" s="62" t="s">
        <v>192</v>
      </c>
      <c r="F1124" s="97" t="s">
        <v>10494</v>
      </c>
      <c r="G1124" s="61"/>
      <c r="H1124" s="141"/>
      <c r="I1124" s="141"/>
      <c r="J1124" s="141"/>
      <c r="K1124" s="21" t="s">
        <v>334</v>
      </c>
      <c r="L1124" s="63" t="s">
        <v>10495</v>
      </c>
      <c r="M1124" s="63" t="s">
        <v>26</v>
      </c>
      <c r="N1124" s="100" t="s">
        <v>38</v>
      </c>
      <c r="O1124" s="143" t="s">
        <v>5710</v>
      </c>
      <c r="P1124" s="273">
        <v>45609</v>
      </c>
      <c r="Q1124" s="338">
        <v>45609</v>
      </c>
      <c r="R1124" s="338">
        <v>46338</v>
      </c>
      <c r="S1124" s="338">
        <v>46339</v>
      </c>
      <c r="T1124" s="61">
        <v>1990</v>
      </c>
      <c r="U1124" s="63" t="s">
        <v>10496</v>
      </c>
      <c r="V1124" s="61">
        <v>1995</v>
      </c>
      <c r="W1124" s="143" t="s">
        <v>10497</v>
      </c>
      <c r="X1124" s="62" t="s">
        <v>3207</v>
      </c>
      <c r="Y1124" s="100" t="s">
        <v>394</v>
      </c>
      <c r="Z1124" s="99">
        <v>32723</v>
      </c>
      <c r="AA1124" s="63" t="s">
        <v>1560</v>
      </c>
      <c r="AB1124" s="451">
        <v>42578</v>
      </c>
      <c r="AC1124" s="451"/>
      <c r="AD1124" s="220">
        <v>9945057779</v>
      </c>
      <c r="AE1124" s="336" t="s">
        <v>10498</v>
      </c>
      <c r="AF1124" s="100" t="s">
        <v>1833</v>
      </c>
      <c r="AG1124" s="337" t="s">
        <v>10499</v>
      </c>
      <c r="AH1124" s="62" t="s">
        <v>10500</v>
      </c>
      <c r="AI1124" s="62" t="s">
        <v>10501</v>
      </c>
      <c r="AJ1124" s="493">
        <v>644231279498</v>
      </c>
      <c r="AK1124" s="63" t="s">
        <v>10502</v>
      </c>
      <c r="AL1124" s="338" t="s">
        <v>5711</v>
      </c>
      <c r="AM1124" s="446" t="s">
        <v>30</v>
      </c>
      <c r="AN1124" s="100" t="s">
        <v>5712</v>
      </c>
      <c r="AO1124" s="63" t="s">
        <v>10503</v>
      </c>
      <c r="AP1124" s="61">
        <v>58</v>
      </c>
      <c r="AQ1124" s="100" t="s">
        <v>1371</v>
      </c>
      <c r="AR1124" s="143" t="s">
        <v>10504</v>
      </c>
      <c r="AS1124" s="338">
        <v>45548</v>
      </c>
      <c r="AT1124" s="338">
        <v>45912</v>
      </c>
      <c r="AU1124" s="453">
        <v>24605</v>
      </c>
      <c r="AV1124" s="62" t="s">
        <v>1352</v>
      </c>
      <c r="AW1124" s="62" t="s">
        <v>32</v>
      </c>
      <c r="AX1124" s="139"/>
      <c r="AY1124" s="58" t="s">
        <v>30</v>
      </c>
      <c r="AZ1124" s="58" t="s">
        <v>26</v>
      </c>
      <c r="BA1124" s="58" t="s">
        <v>151</v>
      </c>
      <c r="BB1124" s="58" t="s">
        <v>1407</v>
      </c>
      <c r="BC1124" s="58"/>
    </row>
    <row r="1125" spans="1:55" x14ac:dyDescent="0.25">
      <c r="A1125" s="10">
        <f t="shared" si="44"/>
        <v>1124</v>
      </c>
      <c r="B1125" s="181" t="s">
        <v>10505</v>
      </c>
      <c r="C1125" s="592" t="s">
        <v>1407</v>
      </c>
      <c r="D1125" s="499">
        <v>401123</v>
      </c>
      <c r="E1125" s="62" t="s">
        <v>192</v>
      </c>
      <c r="F1125" s="97" t="s">
        <v>10506</v>
      </c>
      <c r="G1125" s="61"/>
      <c r="H1125" s="141"/>
      <c r="I1125" s="141"/>
      <c r="J1125" s="141"/>
      <c r="K1125" s="21" t="s">
        <v>334</v>
      </c>
      <c r="L1125" s="63" t="s">
        <v>623</v>
      </c>
      <c r="M1125" s="63" t="s">
        <v>26</v>
      </c>
      <c r="N1125" s="100" t="s">
        <v>38</v>
      </c>
      <c r="O1125" s="143" t="s">
        <v>5710</v>
      </c>
      <c r="P1125" s="273">
        <v>45609</v>
      </c>
      <c r="Q1125" s="273">
        <v>45609</v>
      </c>
      <c r="R1125" s="273">
        <v>46338</v>
      </c>
      <c r="S1125" s="273">
        <v>46339</v>
      </c>
      <c r="T1125" s="61">
        <v>2003</v>
      </c>
      <c r="U1125" s="63" t="s">
        <v>10507</v>
      </c>
      <c r="V1125" s="61">
        <v>2010</v>
      </c>
      <c r="W1125" s="143" t="s">
        <v>10508</v>
      </c>
      <c r="X1125" s="62" t="s">
        <v>4103</v>
      </c>
      <c r="Y1125" s="100" t="s">
        <v>1024</v>
      </c>
      <c r="Z1125" s="99">
        <v>68918</v>
      </c>
      <c r="AA1125" s="63" t="s">
        <v>1323</v>
      </c>
      <c r="AB1125" s="451"/>
      <c r="AC1125" s="451"/>
      <c r="AD1125" s="304">
        <v>9831323402</v>
      </c>
      <c r="AE1125" s="336" t="s">
        <v>10509</v>
      </c>
      <c r="AF1125" s="100" t="s">
        <v>1410</v>
      </c>
      <c r="AG1125" s="501" t="s">
        <v>10510</v>
      </c>
      <c r="AH1125" s="62" t="s">
        <v>2698</v>
      </c>
      <c r="AI1125" s="61" t="s">
        <v>10511</v>
      </c>
      <c r="AJ1125" s="493">
        <v>585945036563</v>
      </c>
      <c r="AK1125" s="63" t="s">
        <v>10512</v>
      </c>
      <c r="AL1125" s="338" t="s">
        <v>10513</v>
      </c>
      <c r="AM1125" s="446" t="s">
        <v>30</v>
      </c>
      <c r="AN1125" s="100"/>
      <c r="AO1125" s="539" t="s">
        <v>10514</v>
      </c>
      <c r="AP1125" s="61">
        <v>46</v>
      </c>
      <c r="AQ1125" s="143"/>
      <c r="AR1125" s="493"/>
      <c r="AS1125" s="515"/>
      <c r="AT1125" s="515"/>
      <c r="AU1125" s="338">
        <v>28814</v>
      </c>
      <c r="AV1125" s="62" t="s">
        <v>1389</v>
      </c>
      <c r="AW1125" s="62" t="s">
        <v>32</v>
      </c>
      <c r="AX1125" s="139"/>
      <c r="AY1125" s="58" t="s">
        <v>30</v>
      </c>
      <c r="AZ1125" s="58" t="s">
        <v>26</v>
      </c>
      <c r="BA1125" s="58" t="s">
        <v>151</v>
      </c>
      <c r="BB1125" s="58" t="s">
        <v>1407</v>
      </c>
      <c r="BC1125" s="58"/>
    </row>
    <row r="1126" spans="1:55" x14ac:dyDescent="0.25">
      <c r="A1126" s="10">
        <f t="shared" si="44"/>
        <v>1125</v>
      </c>
      <c r="B1126" s="181" t="s">
        <v>10515</v>
      </c>
      <c r="C1126" s="592" t="s">
        <v>1407</v>
      </c>
      <c r="D1126" s="41">
        <v>5100005</v>
      </c>
      <c r="E1126" s="40" t="s">
        <v>36</v>
      </c>
      <c r="F1126" s="39" t="s">
        <v>10516</v>
      </c>
      <c r="G1126" s="40">
        <v>6</v>
      </c>
      <c r="H1126" s="42">
        <v>0.41666666666666669</v>
      </c>
      <c r="I1126" s="42">
        <v>0.58333333333333337</v>
      </c>
      <c r="J1126" s="141">
        <v>0.16666666666666666</v>
      </c>
      <c r="K1126" s="587" t="s">
        <v>11090</v>
      </c>
      <c r="L1126" s="39"/>
      <c r="M1126" s="97" t="s">
        <v>1376</v>
      </c>
      <c r="N1126" s="43" t="s">
        <v>1377</v>
      </c>
      <c r="O1126" s="43" t="s">
        <v>30</v>
      </c>
      <c r="P1126" s="182">
        <v>43282</v>
      </c>
      <c r="Q1126" s="182">
        <v>45383</v>
      </c>
      <c r="R1126" s="182">
        <v>46112</v>
      </c>
      <c r="S1126" s="182">
        <v>46113</v>
      </c>
      <c r="T1126" s="87">
        <v>2010</v>
      </c>
      <c r="U1126" s="39" t="s">
        <v>10517</v>
      </c>
      <c r="V1126" s="40">
        <v>2016</v>
      </c>
      <c r="W1126" s="39" t="s">
        <v>10517</v>
      </c>
      <c r="X1126" s="40" t="s">
        <v>10518</v>
      </c>
      <c r="Y1126" s="43" t="s">
        <v>10519</v>
      </c>
      <c r="Z1126" s="39">
        <v>55293</v>
      </c>
      <c r="AA1126" s="39" t="s">
        <v>10520</v>
      </c>
      <c r="AB1126" s="182" t="s">
        <v>1398</v>
      </c>
      <c r="AC1126" s="182"/>
      <c r="AD1126" s="40">
        <v>8554996621</v>
      </c>
      <c r="AE1126" s="39" t="s">
        <v>10521</v>
      </c>
      <c r="AF1126" s="40" t="s">
        <v>10522</v>
      </c>
      <c r="AG1126" s="40" t="s">
        <v>10523</v>
      </c>
      <c r="AH1126" s="40" t="s">
        <v>10524</v>
      </c>
      <c r="AI1126" s="40" t="s">
        <v>10525</v>
      </c>
      <c r="AJ1126" s="44">
        <v>628112434474</v>
      </c>
      <c r="AK1126" s="39" t="s">
        <v>10526</v>
      </c>
      <c r="AL1126" s="183">
        <v>45812</v>
      </c>
      <c r="AM1126" s="183">
        <v>45752</v>
      </c>
      <c r="AN1126" s="39" t="s">
        <v>1516</v>
      </c>
      <c r="AO1126" s="39" t="s">
        <v>10527</v>
      </c>
      <c r="AP1126" s="10">
        <v>38</v>
      </c>
      <c r="AQ1126" s="10"/>
      <c r="AR1126" s="10"/>
      <c r="AS1126" s="10"/>
      <c r="AT1126" s="40"/>
      <c r="AU1126" s="182">
        <v>31951</v>
      </c>
      <c r="AV1126" s="40" t="s">
        <v>1389</v>
      </c>
      <c r="AW1126" s="31" t="s">
        <v>32</v>
      </c>
      <c r="AX1126" s="139">
        <v>4</v>
      </c>
      <c r="AY1126" s="58" t="s">
        <v>51</v>
      </c>
      <c r="AZ1126" s="58" t="s">
        <v>1390</v>
      </c>
      <c r="BA1126" s="58" t="s">
        <v>151</v>
      </c>
      <c r="BB1126" s="58" t="s">
        <v>1407</v>
      </c>
      <c r="BC1126" s="58"/>
    </row>
    <row r="1127" spans="1:55" x14ac:dyDescent="0.25">
      <c r="A1127" s="10">
        <f t="shared" si="44"/>
        <v>1126</v>
      </c>
      <c r="B1127" s="61" t="s">
        <v>10528</v>
      </c>
      <c r="C1127" s="592" t="s">
        <v>1407</v>
      </c>
      <c r="D1127" s="96">
        <v>400023</v>
      </c>
      <c r="E1127" s="62" t="s">
        <v>36</v>
      </c>
      <c r="F1127" s="97" t="s">
        <v>10529</v>
      </c>
      <c r="G1127" s="61">
        <v>5</v>
      </c>
      <c r="H1127" s="141">
        <v>0.33333333333333331</v>
      </c>
      <c r="I1127" s="141">
        <v>0.83333333333333337</v>
      </c>
      <c r="J1127" s="141">
        <v>0.33333333333333331</v>
      </c>
      <c r="K1127" s="58" t="s">
        <v>147</v>
      </c>
      <c r="L1127" s="63" t="s">
        <v>155</v>
      </c>
      <c r="M1127" s="63" t="s">
        <v>26</v>
      </c>
      <c r="N1127" s="100" t="s">
        <v>10530</v>
      </c>
      <c r="O1127" s="100" t="s">
        <v>3290</v>
      </c>
      <c r="P1127" s="446">
        <v>42401</v>
      </c>
      <c r="Q1127" s="446">
        <v>44805</v>
      </c>
      <c r="R1127" s="446">
        <v>45900</v>
      </c>
      <c r="S1127" s="338">
        <v>45901</v>
      </c>
      <c r="T1127" s="61">
        <v>1997</v>
      </c>
      <c r="U1127" s="63" t="s">
        <v>196</v>
      </c>
      <c r="V1127" s="61">
        <v>2002</v>
      </c>
      <c r="W1127" s="99" t="s">
        <v>209</v>
      </c>
      <c r="X1127" s="62" t="s">
        <v>7224</v>
      </c>
      <c r="Y1127" s="100" t="s">
        <v>394</v>
      </c>
      <c r="Z1127" s="99">
        <v>40535</v>
      </c>
      <c r="AA1127" s="63" t="s">
        <v>1841</v>
      </c>
      <c r="AB1127" s="451">
        <v>44600</v>
      </c>
      <c r="AC1127" s="451">
        <v>46425</v>
      </c>
      <c r="AD1127" s="220">
        <v>9849320032</v>
      </c>
      <c r="AE1127" s="336" t="s">
        <v>10531</v>
      </c>
      <c r="AF1127" s="100" t="s">
        <v>1805</v>
      </c>
      <c r="AG1127" s="337" t="s">
        <v>10532</v>
      </c>
      <c r="AH1127" s="62" t="s">
        <v>4531</v>
      </c>
      <c r="AI1127" s="62" t="s">
        <v>10533</v>
      </c>
      <c r="AJ1127" s="337" t="s">
        <v>10534</v>
      </c>
      <c r="AK1127" s="63" t="s">
        <v>10535</v>
      </c>
      <c r="AL1127" s="338">
        <v>45814</v>
      </c>
      <c r="AM1127" s="446" t="s">
        <v>30</v>
      </c>
      <c r="AN1127" s="100" t="s">
        <v>1592</v>
      </c>
      <c r="AO1127" s="63" t="s">
        <v>10536</v>
      </c>
      <c r="AP1127" s="61">
        <v>52</v>
      </c>
      <c r="AQ1127" s="100" t="s">
        <v>1371</v>
      </c>
      <c r="AR1127" s="143" t="s">
        <v>10537</v>
      </c>
      <c r="AS1127" s="338">
        <v>45685</v>
      </c>
      <c r="AT1127" s="338">
        <v>46779</v>
      </c>
      <c r="AU1127" s="541">
        <v>26855</v>
      </c>
      <c r="AV1127" s="62" t="s">
        <v>1352</v>
      </c>
      <c r="AW1127" s="31" t="s">
        <v>68</v>
      </c>
      <c r="AX1127" s="139">
        <v>8</v>
      </c>
      <c r="AY1127" s="466" t="s">
        <v>1849</v>
      </c>
      <c r="AZ1127" s="58" t="s">
        <v>26</v>
      </c>
      <c r="BA1127" s="58" t="s">
        <v>151</v>
      </c>
      <c r="BB1127" s="58" t="s">
        <v>1407</v>
      </c>
      <c r="BC1127" s="58"/>
    </row>
    <row r="1128" spans="1:55" x14ac:dyDescent="0.25">
      <c r="A1128" s="10">
        <f t="shared" si="44"/>
        <v>1127</v>
      </c>
      <c r="B1128" s="181" t="s">
        <v>10010</v>
      </c>
      <c r="C1128" s="592" t="s">
        <v>1407</v>
      </c>
      <c r="D1128" s="96">
        <v>401128</v>
      </c>
      <c r="E1128" s="62" t="s">
        <v>192</v>
      </c>
      <c r="F1128" s="97" t="s">
        <v>10011</v>
      </c>
      <c r="G1128" s="61"/>
      <c r="H1128" s="141"/>
      <c r="I1128" s="141"/>
      <c r="J1128" s="141"/>
      <c r="K1128" s="21" t="s">
        <v>334</v>
      </c>
      <c r="L1128" s="99" t="s">
        <v>10012</v>
      </c>
      <c r="M1128" s="63" t="s">
        <v>26</v>
      </c>
      <c r="N1128" s="100" t="s">
        <v>38</v>
      </c>
      <c r="O1128" s="143" t="s">
        <v>5710</v>
      </c>
      <c r="P1128" s="461">
        <v>45615</v>
      </c>
      <c r="Q1128" s="461">
        <v>45615</v>
      </c>
      <c r="R1128" s="461">
        <v>46344</v>
      </c>
      <c r="S1128" s="461">
        <v>46345</v>
      </c>
      <c r="T1128" s="61">
        <v>2018</v>
      </c>
      <c r="U1128" s="63" t="s">
        <v>8487</v>
      </c>
      <c r="V1128" s="61">
        <v>2023</v>
      </c>
      <c r="W1128" s="100" t="s">
        <v>642</v>
      </c>
      <c r="X1128" s="62" t="s">
        <v>30</v>
      </c>
      <c r="Y1128" s="100" t="s">
        <v>49</v>
      </c>
      <c r="Z1128" s="99" t="s">
        <v>10013</v>
      </c>
      <c r="AA1128" s="63" t="s">
        <v>1841</v>
      </c>
      <c r="AB1128" s="451">
        <v>45349</v>
      </c>
      <c r="AC1128" s="451">
        <v>47175</v>
      </c>
      <c r="AD1128" s="220">
        <v>9100043555</v>
      </c>
      <c r="AE1128" s="336" t="s">
        <v>10014</v>
      </c>
      <c r="AF1128" s="100" t="s">
        <v>1430</v>
      </c>
      <c r="AG1128" s="337" t="s">
        <v>10015</v>
      </c>
      <c r="AH1128" s="62" t="s">
        <v>10016</v>
      </c>
      <c r="AI1128" s="62" t="s">
        <v>10017</v>
      </c>
      <c r="AJ1128" s="493">
        <v>736147696423</v>
      </c>
      <c r="AK1128" s="63"/>
      <c r="AL1128" s="338" t="s">
        <v>5711</v>
      </c>
      <c r="AM1128" s="446" t="s">
        <v>30</v>
      </c>
      <c r="AN1128" s="100" t="s">
        <v>5712</v>
      </c>
      <c r="AO1128" s="63" t="s">
        <v>10019</v>
      </c>
      <c r="AP1128" s="61">
        <v>29</v>
      </c>
      <c r="AQ1128" s="100" t="s">
        <v>1398</v>
      </c>
      <c r="AR1128" s="143"/>
      <c r="AS1128" s="338"/>
      <c r="AT1128" s="338"/>
      <c r="AU1128" s="453">
        <v>35109</v>
      </c>
      <c r="AV1128" s="62" t="s">
        <v>1389</v>
      </c>
      <c r="AW1128" s="62" t="s">
        <v>32</v>
      </c>
      <c r="AX1128" s="139"/>
      <c r="AY1128" s="58" t="s">
        <v>30</v>
      </c>
      <c r="AZ1128" s="58" t="s">
        <v>26</v>
      </c>
      <c r="BA1128" s="58" t="s">
        <v>151</v>
      </c>
      <c r="BB1128" s="58" t="s">
        <v>1407</v>
      </c>
      <c r="BC1128" s="58"/>
    </row>
    <row r="1129" spans="1:55" x14ac:dyDescent="0.25">
      <c r="A1129" s="10">
        <f t="shared" si="44"/>
        <v>1128</v>
      </c>
      <c r="B1129" s="181" t="s">
        <v>9461</v>
      </c>
      <c r="C1129" s="592" t="s">
        <v>1407</v>
      </c>
      <c r="D1129" s="96">
        <v>401129</v>
      </c>
      <c r="E1129" s="62" t="s">
        <v>192</v>
      </c>
      <c r="F1129" s="97" t="s">
        <v>9462</v>
      </c>
      <c r="G1129" s="61"/>
      <c r="H1129" s="141"/>
      <c r="I1129" s="141"/>
      <c r="J1129" s="141"/>
      <c r="K1129" s="21" t="s">
        <v>334</v>
      </c>
      <c r="L1129" s="63" t="s">
        <v>9463</v>
      </c>
      <c r="M1129" s="63" t="s">
        <v>26</v>
      </c>
      <c r="N1129" s="100" t="s">
        <v>38</v>
      </c>
      <c r="O1129" s="143" t="s">
        <v>5710</v>
      </c>
      <c r="P1129" s="461">
        <v>45615</v>
      </c>
      <c r="Q1129" s="461">
        <v>45615</v>
      </c>
      <c r="R1129" s="461">
        <v>46344</v>
      </c>
      <c r="S1129" s="461">
        <v>46345</v>
      </c>
      <c r="T1129" s="61">
        <v>2018</v>
      </c>
      <c r="U1129" s="63" t="s">
        <v>2827</v>
      </c>
      <c r="V1129" s="61">
        <v>2022</v>
      </c>
      <c r="W1129" s="143" t="s">
        <v>141</v>
      </c>
      <c r="X1129" s="62" t="s">
        <v>30</v>
      </c>
      <c r="Y1129" s="100" t="s">
        <v>49</v>
      </c>
      <c r="Z1129" s="99" t="s">
        <v>9464</v>
      </c>
      <c r="AA1129" s="63" t="s">
        <v>1841</v>
      </c>
      <c r="AB1129" s="451">
        <v>44933</v>
      </c>
      <c r="AC1129" s="451">
        <v>46758</v>
      </c>
      <c r="AD1129" s="220">
        <v>9902818105</v>
      </c>
      <c r="AE1129" s="336" t="s">
        <v>9465</v>
      </c>
      <c r="AF1129" s="100" t="s">
        <v>3467</v>
      </c>
      <c r="AG1129" s="337" t="s">
        <v>10538</v>
      </c>
      <c r="AH1129" s="62" t="s">
        <v>9467</v>
      </c>
      <c r="AI1129" s="62" t="s">
        <v>9468</v>
      </c>
      <c r="AJ1129" s="493">
        <v>785716887843</v>
      </c>
      <c r="AK1129" s="63"/>
      <c r="AL1129" s="338" t="s">
        <v>5711</v>
      </c>
      <c r="AM1129" s="446" t="s">
        <v>30</v>
      </c>
      <c r="AN1129" s="100" t="s">
        <v>5712</v>
      </c>
      <c r="AO1129" s="63" t="s">
        <v>9469</v>
      </c>
      <c r="AP1129" s="61">
        <v>30</v>
      </c>
      <c r="AQ1129" s="100"/>
      <c r="AR1129" s="143"/>
      <c r="AS1129" s="338"/>
      <c r="AT1129" s="338"/>
      <c r="AU1129" s="453">
        <v>34565</v>
      </c>
      <c r="AV1129" s="62" t="s">
        <v>1352</v>
      </c>
      <c r="AW1129" s="62" t="s">
        <v>32</v>
      </c>
      <c r="AX1129" s="139"/>
      <c r="AY1129" s="58" t="s">
        <v>30</v>
      </c>
      <c r="AZ1129" s="58" t="s">
        <v>26</v>
      </c>
      <c r="BA1129" s="58" t="s">
        <v>151</v>
      </c>
      <c r="BB1129" s="58" t="s">
        <v>1407</v>
      </c>
      <c r="BC1129" s="58"/>
    </row>
    <row r="1130" spans="1:55" x14ac:dyDescent="0.25">
      <c r="A1130" s="10">
        <f t="shared" si="44"/>
        <v>1129</v>
      </c>
      <c r="B1130" s="181" t="s">
        <v>10539</v>
      </c>
      <c r="C1130" s="592" t="s">
        <v>1407</v>
      </c>
      <c r="D1130" s="96">
        <v>401131</v>
      </c>
      <c r="E1130" s="62" t="s">
        <v>192</v>
      </c>
      <c r="F1130" s="97" t="s">
        <v>10540</v>
      </c>
      <c r="G1130" s="61"/>
      <c r="H1130" s="141"/>
      <c r="I1130" s="141"/>
      <c r="J1130" s="141"/>
      <c r="K1130" s="21" t="s">
        <v>334</v>
      </c>
      <c r="L1130" s="63" t="s">
        <v>623</v>
      </c>
      <c r="M1130" s="63" t="s">
        <v>26</v>
      </c>
      <c r="N1130" s="100" t="s">
        <v>38</v>
      </c>
      <c r="O1130" s="143" t="s">
        <v>5710</v>
      </c>
      <c r="P1130" s="273">
        <v>45616</v>
      </c>
      <c r="Q1130" s="338">
        <v>45616</v>
      </c>
      <c r="R1130" s="338">
        <v>46345</v>
      </c>
      <c r="S1130" s="338">
        <v>46346</v>
      </c>
      <c r="T1130" s="61">
        <v>2016</v>
      </c>
      <c r="U1130" s="63" t="s">
        <v>10541</v>
      </c>
      <c r="V1130" s="61">
        <v>2021</v>
      </c>
      <c r="W1130" s="143" t="s">
        <v>10542</v>
      </c>
      <c r="X1130" s="62" t="s">
        <v>30</v>
      </c>
      <c r="Y1130" s="100" t="s">
        <v>49</v>
      </c>
      <c r="Z1130" s="99">
        <v>75781</v>
      </c>
      <c r="AA1130" s="63" t="s">
        <v>1323</v>
      </c>
      <c r="AB1130" s="451">
        <v>44575</v>
      </c>
      <c r="AC1130" s="62"/>
      <c r="AD1130" s="220" t="s">
        <v>10543</v>
      </c>
      <c r="AE1130" s="336" t="s">
        <v>10544</v>
      </c>
      <c r="AF1130" s="100" t="s">
        <v>1640</v>
      </c>
      <c r="AG1130" s="337" t="s">
        <v>10545</v>
      </c>
      <c r="AH1130" s="62" t="s">
        <v>10546</v>
      </c>
      <c r="AI1130" s="62" t="s">
        <v>10547</v>
      </c>
      <c r="AJ1130" s="493">
        <v>491771197554</v>
      </c>
      <c r="AK1130" s="63" t="s">
        <v>10548</v>
      </c>
      <c r="AL1130" s="338" t="s">
        <v>5711</v>
      </c>
      <c r="AM1130" s="446" t="s">
        <v>30</v>
      </c>
      <c r="AN1130" s="100" t="s">
        <v>5712</v>
      </c>
      <c r="AO1130" s="63" t="s">
        <v>10549</v>
      </c>
      <c r="AP1130" s="61">
        <v>32</v>
      </c>
      <c r="AQ1130" s="100"/>
      <c r="AR1130" s="143"/>
      <c r="AS1130" s="338"/>
      <c r="AT1130" s="338"/>
      <c r="AU1130" s="453">
        <v>34085</v>
      </c>
      <c r="AV1130" s="62" t="s">
        <v>1389</v>
      </c>
      <c r="AW1130" s="62" t="s">
        <v>32</v>
      </c>
      <c r="AX1130" s="139"/>
      <c r="AY1130" s="58" t="s">
        <v>30</v>
      </c>
      <c r="AZ1130" s="58" t="s">
        <v>26</v>
      </c>
      <c r="BA1130" s="58" t="s">
        <v>151</v>
      </c>
      <c r="BB1130" s="58" t="s">
        <v>1407</v>
      </c>
      <c r="BC1130" s="58"/>
    </row>
    <row r="1131" spans="1:55" x14ac:dyDescent="0.25">
      <c r="A1131" s="10">
        <f t="shared" si="44"/>
        <v>1130</v>
      </c>
      <c r="B1131" s="181" t="s">
        <v>376</v>
      </c>
      <c r="C1131" s="592" t="s">
        <v>1407</v>
      </c>
      <c r="D1131" s="96">
        <v>401133</v>
      </c>
      <c r="E1131" s="62" t="s">
        <v>192</v>
      </c>
      <c r="F1131" s="97" t="s">
        <v>377</v>
      </c>
      <c r="G1131" s="61"/>
      <c r="H1131" s="141"/>
      <c r="I1131" s="141"/>
      <c r="J1131" s="141"/>
      <c r="K1131" s="21" t="s">
        <v>334</v>
      </c>
      <c r="L1131" s="63" t="s">
        <v>379</v>
      </c>
      <c r="M1131" s="63" t="s">
        <v>26</v>
      </c>
      <c r="N1131" s="100" t="s">
        <v>38</v>
      </c>
      <c r="O1131" s="143" t="s">
        <v>5710</v>
      </c>
      <c r="P1131" s="273">
        <v>45618</v>
      </c>
      <c r="Q1131" s="338">
        <v>45618</v>
      </c>
      <c r="R1131" s="338">
        <v>46347</v>
      </c>
      <c r="S1131" s="338">
        <v>46348</v>
      </c>
      <c r="T1131" s="79">
        <v>2016</v>
      </c>
      <c r="U1131" s="63" t="s">
        <v>380</v>
      </c>
      <c r="V1131" s="61">
        <v>2022</v>
      </c>
      <c r="W1131" s="100" t="s">
        <v>196</v>
      </c>
      <c r="X1131" s="62" t="s">
        <v>30</v>
      </c>
      <c r="Y1131" s="100" t="s">
        <v>49</v>
      </c>
      <c r="Z1131" s="99" t="s">
        <v>2461</v>
      </c>
      <c r="AA1131" s="63" t="s">
        <v>1841</v>
      </c>
      <c r="AB1131" s="451">
        <v>44954</v>
      </c>
      <c r="AC1131" s="451">
        <v>46779</v>
      </c>
      <c r="AD1131" s="220">
        <v>7416729939</v>
      </c>
      <c r="AE1131" s="510" t="s">
        <v>381</v>
      </c>
      <c r="AF1131" s="100" t="s">
        <v>1410</v>
      </c>
      <c r="AG1131" s="337" t="s">
        <v>2462</v>
      </c>
      <c r="AH1131" s="62" t="s">
        <v>2463</v>
      </c>
      <c r="AI1131" s="62" t="s">
        <v>2464</v>
      </c>
      <c r="AJ1131" s="493">
        <v>642222891053</v>
      </c>
      <c r="AK1131" s="63" t="s">
        <v>2466</v>
      </c>
      <c r="AL1131" s="338" t="s">
        <v>5711</v>
      </c>
      <c r="AM1131" s="446" t="s">
        <v>30</v>
      </c>
      <c r="AN1131" s="100" t="s">
        <v>5712</v>
      </c>
      <c r="AO1131" s="63" t="s">
        <v>2467</v>
      </c>
      <c r="AP1131" s="61">
        <v>31</v>
      </c>
      <c r="AQ1131" s="100" t="s">
        <v>1371</v>
      </c>
      <c r="AR1131" s="339" t="s">
        <v>2468</v>
      </c>
      <c r="AS1131" s="234">
        <v>45703</v>
      </c>
      <c r="AT1131" s="234">
        <v>46067</v>
      </c>
      <c r="AU1131" s="453">
        <v>34449</v>
      </c>
      <c r="AV1131" s="62" t="s">
        <v>1352</v>
      </c>
      <c r="AW1131" s="62" t="s">
        <v>32</v>
      </c>
      <c r="AX1131" s="139"/>
      <c r="AY1131" s="58" t="s">
        <v>30</v>
      </c>
      <c r="AZ1131" s="58" t="s">
        <v>26</v>
      </c>
      <c r="BA1131" s="58" t="s">
        <v>151</v>
      </c>
      <c r="BB1131" s="58" t="s">
        <v>1407</v>
      </c>
      <c r="BC1131" s="58"/>
    </row>
    <row r="1132" spans="1:55" x14ac:dyDescent="0.25">
      <c r="A1132" s="10">
        <f t="shared" si="44"/>
        <v>1131</v>
      </c>
      <c r="B1132" s="61" t="s">
        <v>9767</v>
      </c>
      <c r="C1132" s="592" t="s">
        <v>1407</v>
      </c>
      <c r="D1132" s="96">
        <v>401031</v>
      </c>
      <c r="E1132" s="62" t="s">
        <v>36</v>
      </c>
      <c r="F1132" s="97" t="s">
        <v>9768</v>
      </c>
      <c r="G1132" s="64">
        <v>6</v>
      </c>
      <c r="H1132" s="141">
        <v>0.75</v>
      </c>
      <c r="I1132" s="141">
        <v>0.83333333333333337</v>
      </c>
      <c r="J1132" s="458">
        <f>I1132-H1132</f>
        <v>8.333333333333337E-2</v>
      </c>
      <c r="K1132" s="143" t="s">
        <v>187</v>
      </c>
      <c r="L1132" s="99" t="s">
        <v>9769</v>
      </c>
      <c r="M1132" s="63" t="s">
        <v>26</v>
      </c>
      <c r="N1132" s="100" t="s">
        <v>38</v>
      </c>
      <c r="O1132" s="143" t="s">
        <v>1492</v>
      </c>
      <c r="P1132" s="273">
        <v>45488</v>
      </c>
      <c r="Q1132" s="273">
        <v>45488</v>
      </c>
      <c r="R1132" s="273">
        <v>46217</v>
      </c>
      <c r="S1132" s="273">
        <v>46218</v>
      </c>
      <c r="T1132" s="61">
        <v>2018</v>
      </c>
      <c r="U1132" s="63" t="s">
        <v>9770</v>
      </c>
      <c r="V1132" s="61">
        <v>2023</v>
      </c>
      <c r="W1132" s="143" t="s">
        <v>642</v>
      </c>
      <c r="X1132" s="64" t="s">
        <v>30</v>
      </c>
      <c r="Y1132" s="100" t="s">
        <v>49</v>
      </c>
      <c r="Z1132" s="99" t="s">
        <v>9771</v>
      </c>
      <c r="AA1132" s="63" t="s">
        <v>9713</v>
      </c>
      <c r="AB1132" s="451">
        <v>45447</v>
      </c>
      <c r="AC1132" s="451">
        <v>47272</v>
      </c>
      <c r="AD1132" s="61">
        <v>9014112467</v>
      </c>
      <c r="AE1132" s="540" t="s">
        <v>9772</v>
      </c>
      <c r="AF1132" s="100" t="s">
        <v>1833</v>
      </c>
      <c r="AG1132" s="337" t="s">
        <v>10550</v>
      </c>
      <c r="AH1132" s="62" t="s">
        <v>9774</v>
      </c>
      <c r="AI1132" s="62" t="s">
        <v>9775</v>
      </c>
      <c r="AJ1132" s="337" t="s">
        <v>10551</v>
      </c>
      <c r="AK1132" s="63" t="s">
        <v>9776</v>
      </c>
      <c r="AL1132" s="338">
        <v>45814</v>
      </c>
      <c r="AM1132" s="446" t="s">
        <v>30</v>
      </c>
      <c r="AN1132" s="100" t="s">
        <v>10552</v>
      </c>
      <c r="AO1132" s="63" t="s">
        <v>9777</v>
      </c>
      <c r="AP1132" s="61">
        <v>30</v>
      </c>
      <c r="AQ1132" s="100"/>
      <c r="AR1132" s="143"/>
      <c r="AS1132" s="338"/>
      <c r="AT1132" s="338"/>
      <c r="AU1132" s="453">
        <v>34726</v>
      </c>
      <c r="AV1132" s="61" t="s">
        <v>1389</v>
      </c>
      <c r="AW1132" s="31" t="s">
        <v>32</v>
      </c>
      <c r="AX1132" s="139">
        <v>2</v>
      </c>
      <c r="AY1132" s="58" t="s">
        <v>1959</v>
      </c>
      <c r="AZ1132" s="58" t="s">
        <v>26</v>
      </c>
      <c r="BA1132" s="58" t="s">
        <v>151</v>
      </c>
      <c r="BB1132" s="58" t="s">
        <v>1407</v>
      </c>
      <c r="BC1132" s="58"/>
    </row>
    <row r="1133" spans="1:55" x14ac:dyDescent="0.25">
      <c r="A1133" s="10">
        <f t="shared" si="44"/>
        <v>1132</v>
      </c>
      <c r="B1133" s="61" t="s">
        <v>10553</v>
      </c>
      <c r="C1133" s="592" t="s">
        <v>1407</v>
      </c>
      <c r="D1133" s="96">
        <v>401181</v>
      </c>
      <c r="E1133" s="61" t="s">
        <v>36</v>
      </c>
      <c r="F1133" s="97" t="s">
        <v>10554</v>
      </c>
      <c r="G1133" s="61">
        <v>6</v>
      </c>
      <c r="H1133" s="141" t="s">
        <v>5491</v>
      </c>
      <c r="I1133" s="141">
        <v>0.41666666666666669</v>
      </c>
      <c r="J1133" s="458">
        <v>4.1666666666666664E-2</v>
      </c>
      <c r="K1133" s="100" t="s">
        <v>961</v>
      </c>
      <c r="L1133" s="63" t="s">
        <v>30</v>
      </c>
      <c r="M1133" s="97" t="s">
        <v>1376</v>
      </c>
      <c r="N1133" s="58" t="s">
        <v>1393</v>
      </c>
      <c r="O1133" s="100" t="s">
        <v>30</v>
      </c>
      <c r="P1133" s="273">
        <v>45719</v>
      </c>
      <c r="Q1133" s="273">
        <v>45719</v>
      </c>
      <c r="R1133" s="273">
        <v>46448</v>
      </c>
      <c r="S1133" s="273">
        <v>46449</v>
      </c>
      <c r="T1133" s="61">
        <v>2023</v>
      </c>
      <c r="U1133" s="99" t="s">
        <v>10555</v>
      </c>
      <c r="V1133" s="61" t="s">
        <v>30</v>
      </c>
      <c r="W1133" s="100" t="s">
        <v>30</v>
      </c>
      <c r="X1133" s="62" t="s">
        <v>30</v>
      </c>
      <c r="Y1133" s="100" t="s">
        <v>226</v>
      </c>
      <c r="Z1133" s="99" t="s">
        <v>10556</v>
      </c>
      <c r="AA1133" s="63" t="s">
        <v>1841</v>
      </c>
      <c r="AB1133" s="451">
        <v>45680</v>
      </c>
      <c r="AC1133" s="451">
        <v>47505</v>
      </c>
      <c r="AD1133" s="61">
        <v>7702237777</v>
      </c>
      <c r="AE1133" s="336" t="s">
        <v>10557</v>
      </c>
      <c r="AF1133" s="100" t="s">
        <v>1640</v>
      </c>
      <c r="AG1133" s="337" t="s">
        <v>10558</v>
      </c>
      <c r="AH1133" s="62" t="s">
        <v>10559</v>
      </c>
      <c r="AI1133" s="62" t="s">
        <v>10560</v>
      </c>
      <c r="AJ1133" s="337" t="s">
        <v>10561</v>
      </c>
      <c r="AK1133" s="63" t="s">
        <v>10562</v>
      </c>
      <c r="AL1133" s="446">
        <v>45815</v>
      </c>
      <c r="AM1133" s="446">
        <v>45754</v>
      </c>
      <c r="AN1133" s="63" t="s">
        <v>10563</v>
      </c>
      <c r="AO1133" s="63" t="s">
        <v>10564</v>
      </c>
      <c r="AP1133" s="61">
        <v>25</v>
      </c>
      <c r="AQ1133" s="100"/>
      <c r="AR1133" s="143"/>
      <c r="AS1133" s="338"/>
      <c r="AT1133" s="338"/>
      <c r="AU1133" s="453">
        <v>36593</v>
      </c>
      <c r="AV1133" s="62" t="s">
        <v>1352</v>
      </c>
      <c r="AW1133" s="31" t="s">
        <v>32</v>
      </c>
      <c r="AX1133" s="139">
        <v>1</v>
      </c>
      <c r="AY1133" s="58" t="s">
        <v>1849</v>
      </c>
      <c r="AZ1133" s="58" t="s">
        <v>1390</v>
      </c>
      <c r="BA1133" s="58" t="s">
        <v>151</v>
      </c>
      <c r="BB1133" s="58" t="s">
        <v>1407</v>
      </c>
      <c r="BC1133" s="58"/>
    </row>
    <row r="1134" spans="1:55" x14ac:dyDescent="0.25">
      <c r="A1134" s="10">
        <f t="shared" si="44"/>
        <v>1133</v>
      </c>
      <c r="B1134" s="61" t="s">
        <v>10565</v>
      </c>
      <c r="C1134" s="592" t="s">
        <v>1407</v>
      </c>
      <c r="D1134" s="96">
        <v>401007</v>
      </c>
      <c r="E1134" s="62" t="s">
        <v>36</v>
      </c>
      <c r="F1134" s="97" t="s">
        <v>10566</v>
      </c>
      <c r="G1134" s="61">
        <v>6</v>
      </c>
      <c r="H1134" s="141">
        <v>0.375</v>
      </c>
      <c r="I1134" s="141">
        <v>0.45833333333333331</v>
      </c>
      <c r="J1134" s="458">
        <f>I1134-H1134</f>
        <v>8.3333333333333315E-2</v>
      </c>
      <c r="K1134" s="143" t="s">
        <v>220</v>
      </c>
      <c r="L1134" s="63" t="s">
        <v>1424</v>
      </c>
      <c r="M1134" s="97" t="s">
        <v>1376</v>
      </c>
      <c r="N1134" s="58" t="s">
        <v>1393</v>
      </c>
      <c r="O1134" s="100" t="s">
        <v>30</v>
      </c>
      <c r="P1134" s="338">
        <v>45446</v>
      </c>
      <c r="Q1134" s="338">
        <v>45764</v>
      </c>
      <c r="R1134" s="338">
        <v>46175</v>
      </c>
      <c r="S1134" s="338">
        <v>46176</v>
      </c>
      <c r="T1134" s="61">
        <v>2011</v>
      </c>
      <c r="U1134" s="63" t="s">
        <v>362</v>
      </c>
      <c r="V1134" s="61" t="s">
        <v>1424</v>
      </c>
      <c r="W1134" s="100" t="s">
        <v>1424</v>
      </c>
      <c r="X1134" s="62" t="s">
        <v>30</v>
      </c>
      <c r="Y1134" s="100" t="s">
        <v>226</v>
      </c>
      <c r="Z1134" s="99" t="s">
        <v>10567</v>
      </c>
      <c r="AA1134" s="63" t="s">
        <v>1886</v>
      </c>
      <c r="AB1134" s="451">
        <v>45638</v>
      </c>
      <c r="AC1134" s="451">
        <v>47463</v>
      </c>
      <c r="AD1134" s="220">
        <v>8340967957</v>
      </c>
      <c r="AE1134" s="336" t="s">
        <v>10568</v>
      </c>
      <c r="AF1134" s="100" t="s">
        <v>1805</v>
      </c>
      <c r="AG1134" s="337" t="s">
        <v>10569</v>
      </c>
      <c r="AH1134" s="62" t="s">
        <v>10570</v>
      </c>
      <c r="AI1134" s="62" t="s">
        <v>10571</v>
      </c>
      <c r="AJ1134" s="337" t="s">
        <v>10572</v>
      </c>
      <c r="AK1134" s="63" t="s">
        <v>10573</v>
      </c>
      <c r="AL1134" s="446">
        <v>45818</v>
      </c>
      <c r="AM1134" s="477" t="s">
        <v>30</v>
      </c>
      <c r="AN1134" s="100" t="s">
        <v>5072</v>
      </c>
      <c r="AO1134" s="63" t="s">
        <v>10574</v>
      </c>
      <c r="AP1134" s="61">
        <v>37</v>
      </c>
      <c r="AQ1134" s="100"/>
      <c r="AR1134" s="143"/>
      <c r="AS1134" s="338"/>
      <c r="AT1134" s="338"/>
      <c r="AU1134" s="453">
        <v>32296</v>
      </c>
      <c r="AV1134" s="62" t="s">
        <v>1389</v>
      </c>
      <c r="AW1134" s="31" t="s">
        <v>32</v>
      </c>
      <c r="AX1134" s="139">
        <v>2</v>
      </c>
      <c r="AY1134" s="58" t="s">
        <v>2006</v>
      </c>
      <c r="AZ1134" s="58" t="s">
        <v>1390</v>
      </c>
      <c r="BA1134" s="58" t="s">
        <v>151</v>
      </c>
      <c r="BB1134" s="58" t="s">
        <v>1407</v>
      </c>
      <c r="BC1134" s="58"/>
    </row>
    <row r="1135" spans="1:55" x14ac:dyDescent="0.25">
      <c r="A1135" s="10">
        <f t="shared" si="44"/>
        <v>1134</v>
      </c>
      <c r="B1135" s="61" t="s">
        <v>10575</v>
      </c>
      <c r="C1135" s="592" t="s">
        <v>1407</v>
      </c>
      <c r="D1135" s="96">
        <v>401227</v>
      </c>
      <c r="E1135" s="62" t="s">
        <v>42</v>
      </c>
      <c r="F1135" s="97" t="s">
        <v>10576</v>
      </c>
      <c r="G1135" s="61">
        <v>6</v>
      </c>
      <c r="H1135" s="141">
        <v>0.5</v>
      </c>
      <c r="I1135" s="443" t="s">
        <v>989</v>
      </c>
      <c r="J1135" s="458">
        <f>I1135-H1135</f>
        <v>0.20833333333333337</v>
      </c>
      <c r="K1135" s="58" t="s">
        <v>826</v>
      </c>
      <c r="L1135" s="63" t="s">
        <v>10577</v>
      </c>
      <c r="M1135" s="63" t="s">
        <v>26</v>
      </c>
      <c r="N1135" s="100" t="s">
        <v>38</v>
      </c>
      <c r="O1135" s="143" t="s">
        <v>1492</v>
      </c>
      <c r="P1135" s="273">
        <v>45778</v>
      </c>
      <c r="Q1135" s="273">
        <v>45778</v>
      </c>
      <c r="R1135" s="273">
        <v>46507</v>
      </c>
      <c r="S1135" s="273">
        <v>46508</v>
      </c>
      <c r="T1135" s="61">
        <v>2013</v>
      </c>
      <c r="U1135" s="63" t="s">
        <v>4272</v>
      </c>
      <c r="V1135" s="61">
        <v>2018</v>
      </c>
      <c r="W1135" s="100" t="s">
        <v>648</v>
      </c>
      <c r="X1135" s="62" t="s">
        <v>30</v>
      </c>
      <c r="Y1135" s="100" t="s">
        <v>97</v>
      </c>
      <c r="Z1135" s="333" t="s">
        <v>10578</v>
      </c>
      <c r="AA1135" s="63" t="s">
        <v>2910</v>
      </c>
      <c r="AB1135" s="451">
        <v>45274</v>
      </c>
      <c r="AC1135" s="451">
        <v>47100</v>
      </c>
      <c r="AD1135" s="61">
        <v>9130088522</v>
      </c>
      <c r="AE1135" s="336" t="s">
        <v>10579</v>
      </c>
      <c r="AF1135" s="100" t="s">
        <v>1400</v>
      </c>
      <c r="AG1135" s="177" t="s">
        <v>10580</v>
      </c>
      <c r="AH1135" s="62" t="s">
        <v>7892</v>
      </c>
      <c r="AI1135" s="62" t="s">
        <v>10581</v>
      </c>
      <c r="AJ1135" s="337" t="s">
        <v>10582</v>
      </c>
      <c r="AK1135" s="63" t="s">
        <v>10583</v>
      </c>
      <c r="AL1135" s="338">
        <v>45818</v>
      </c>
      <c r="AM1135" s="446" t="s">
        <v>30</v>
      </c>
      <c r="AN1135" s="100" t="s">
        <v>1592</v>
      </c>
      <c r="AO1135" s="63" t="s">
        <v>10584</v>
      </c>
      <c r="AP1135" s="61">
        <v>35</v>
      </c>
      <c r="AQ1135" s="100" t="s">
        <v>1371</v>
      </c>
      <c r="AR1135" s="143"/>
      <c r="AS1135" s="338">
        <v>45727</v>
      </c>
      <c r="AT1135" s="338">
        <v>46091</v>
      </c>
      <c r="AU1135" s="453">
        <v>33009</v>
      </c>
      <c r="AV1135" s="62" t="s">
        <v>1389</v>
      </c>
      <c r="AW1135" s="31" t="s">
        <v>32</v>
      </c>
      <c r="AX1135" s="139">
        <v>5</v>
      </c>
      <c r="AY1135" s="58" t="s">
        <v>2251</v>
      </c>
      <c r="AZ1135" s="58" t="s">
        <v>26</v>
      </c>
      <c r="BA1135" s="58" t="s">
        <v>151</v>
      </c>
      <c r="BB1135" s="58" t="s">
        <v>1407</v>
      </c>
      <c r="BC1135" s="100"/>
    </row>
    <row r="1136" spans="1:55" x14ac:dyDescent="0.25">
      <c r="A1136" s="10">
        <f t="shared" si="44"/>
        <v>1135</v>
      </c>
      <c r="B1136" s="181"/>
      <c r="C1136" s="592" t="s">
        <v>1407</v>
      </c>
      <c r="D1136" s="499">
        <v>401144</v>
      </c>
      <c r="E1136" s="62" t="s">
        <v>36</v>
      </c>
      <c r="F1136" s="97" t="s">
        <v>10585</v>
      </c>
      <c r="G1136" s="61"/>
      <c r="H1136" s="141"/>
      <c r="I1136" s="141"/>
      <c r="J1136" s="141"/>
      <c r="K1136" s="58" t="s">
        <v>147</v>
      </c>
      <c r="L1136" s="63"/>
      <c r="M1136" s="63" t="s">
        <v>1582</v>
      </c>
      <c r="N1136" s="58" t="s">
        <v>1583</v>
      </c>
      <c r="O1136" s="143"/>
      <c r="P1136" s="258"/>
      <c r="Q1136" s="258"/>
      <c r="R1136" s="258"/>
      <c r="S1136" s="273"/>
      <c r="T1136" s="61"/>
      <c r="U1136" s="61"/>
      <c r="V1136" s="61"/>
      <c r="W1136" s="99"/>
      <c r="X1136" s="62"/>
      <c r="Y1136" s="100"/>
      <c r="Z1136" s="99"/>
      <c r="AA1136" s="63"/>
      <c r="AB1136" s="451"/>
      <c r="AC1136" s="451"/>
      <c r="AD1136" s="61"/>
      <c r="AE1136" s="540"/>
      <c r="AF1136" s="100"/>
      <c r="AG1136" s="501"/>
      <c r="AH1136" s="62"/>
      <c r="AI1136" s="61"/>
      <c r="AJ1136" s="493"/>
      <c r="AK1136" s="63"/>
      <c r="AL1136" s="446" t="s">
        <v>10513</v>
      </c>
      <c r="AM1136" s="446" t="s">
        <v>30</v>
      </c>
      <c r="AN1136" s="100"/>
      <c r="AO1136" s="539"/>
      <c r="AP1136" s="61"/>
      <c r="AQ1136" s="143"/>
      <c r="AR1136" s="493"/>
      <c r="AS1136" s="515"/>
      <c r="AT1136" s="515"/>
      <c r="AU1136" s="338" t="s">
        <v>10587</v>
      </c>
      <c r="AV1136" s="62" t="s">
        <v>1389</v>
      </c>
      <c r="AW1136" s="62"/>
      <c r="AX1136" s="139"/>
      <c r="AY1136" s="58" t="s">
        <v>1849</v>
      </c>
      <c r="AZ1136" s="58" t="s">
        <v>1373</v>
      </c>
      <c r="BA1136" s="58" t="s">
        <v>151</v>
      </c>
      <c r="BB1136" s="58" t="s">
        <v>1407</v>
      </c>
      <c r="BC1136" s="58"/>
    </row>
    <row r="1137" spans="1:55" x14ac:dyDescent="0.25">
      <c r="A1137" s="10">
        <f t="shared" si="44"/>
        <v>1136</v>
      </c>
      <c r="B1137" s="61" t="s">
        <v>972</v>
      </c>
      <c r="C1137" s="592" t="s">
        <v>1407</v>
      </c>
      <c r="D1137" s="96">
        <v>401236</v>
      </c>
      <c r="E1137" s="62" t="s">
        <v>192</v>
      </c>
      <c r="F1137" s="97" t="s">
        <v>973</v>
      </c>
      <c r="G1137" s="64"/>
      <c r="H1137" s="141"/>
      <c r="I1137" s="443"/>
      <c r="J1137" s="548"/>
      <c r="K1137" s="21" t="s">
        <v>334</v>
      </c>
      <c r="L1137" s="59" t="s">
        <v>974</v>
      </c>
      <c r="M1137" s="59" t="s">
        <v>26</v>
      </c>
      <c r="N1137" s="271" t="s">
        <v>38</v>
      </c>
      <c r="O1137" s="143" t="s">
        <v>1492</v>
      </c>
      <c r="P1137" s="273">
        <v>45792</v>
      </c>
      <c r="Q1137" s="273">
        <v>45792</v>
      </c>
      <c r="R1137" s="273">
        <v>46521</v>
      </c>
      <c r="S1137" s="273">
        <v>46522</v>
      </c>
      <c r="T1137" s="79">
        <v>2018</v>
      </c>
      <c r="U1137" s="59" t="s">
        <v>250</v>
      </c>
      <c r="V1137" s="64">
        <v>2023</v>
      </c>
      <c r="W1137" s="271" t="s">
        <v>499</v>
      </c>
      <c r="X1137" s="64" t="s">
        <v>30</v>
      </c>
      <c r="Y1137" s="100" t="s">
        <v>49</v>
      </c>
      <c r="Z1137" s="59" t="s">
        <v>4005</v>
      </c>
      <c r="AA1137" s="59" t="s">
        <v>1841</v>
      </c>
      <c r="AB1137" s="273">
        <v>45232</v>
      </c>
      <c r="AC1137" s="273">
        <v>47058</v>
      </c>
      <c r="AD1137" s="61">
        <v>9704553344</v>
      </c>
      <c r="AE1137" s="336" t="s">
        <v>975</v>
      </c>
      <c r="AF1137" s="100" t="s">
        <v>10588</v>
      </c>
      <c r="AG1137" s="337" t="s">
        <v>4006</v>
      </c>
      <c r="AH1137" s="62" t="s">
        <v>2638</v>
      </c>
      <c r="AI1137" s="62" t="s">
        <v>4007</v>
      </c>
      <c r="AJ1137" s="337" t="s">
        <v>4008</v>
      </c>
      <c r="AK1137" s="63" t="s">
        <v>4009</v>
      </c>
      <c r="AL1137" s="338">
        <v>45820</v>
      </c>
      <c r="AM1137" s="446" t="s">
        <v>30</v>
      </c>
      <c r="AN1137" s="100" t="s">
        <v>4856</v>
      </c>
      <c r="AO1137" s="63" t="s">
        <v>4010</v>
      </c>
      <c r="AP1137" s="61">
        <v>29</v>
      </c>
      <c r="AQ1137" s="100"/>
      <c r="AR1137" s="143"/>
      <c r="AS1137" s="338"/>
      <c r="AT1137" s="338"/>
      <c r="AU1137" s="273">
        <v>34987</v>
      </c>
      <c r="AV1137" s="64" t="s">
        <v>1352</v>
      </c>
      <c r="AW1137" s="62" t="s">
        <v>32</v>
      </c>
      <c r="AX1137" s="139"/>
      <c r="AY1137" s="58" t="s">
        <v>30</v>
      </c>
      <c r="AZ1137" s="58" t="s">
        <v>26</v>
      </c>
      <c r="BA1137" s="58" t="s">
        <v>151</v>
      </c>
      <c r="BB1137" s="58" t="s">
        <v>1407</v>
      </c>
      <c r="BC1137" s="100"/>
    </row>
    <row r="1138" spans="1:55" x14ac:dyDescent="0.25">
      <c r="A1138" s="10">
        <f t="shared" si="44"/>
        <v>1137</v>
      </c>
      <c r="B1138" s="61" t="s">
        <v>10589</v>
      </c>
      <c r="C1138" s="592" t="s">
        <v>1407</v>
      </c>
      <c r="D1138" s="96">
        <v>401080</v>
      </c>
      <c r="E1138" s="62" t="s">
        <v>36</v>
      </c>
      <c r="F1138" s="97" t="s">
        <v>10590</v>
      </c>
      <c r="G1138" s="61">
        <v>6</v>
      </c>
      <c r="H1138" s="141">
        <v>0.35416666666666669</v>
      </c>
      <c r="I1138" s="141">
        <v>0.60416666666666663</v>
      </c>
      <c r="J1138" s="458">
        <f t="shared" ref="J1138:J1143" si="45">I1138-H1138</f>
        <v>0.24999999999999994</v>
      </c>
      <c r="K1138" s="100" t="s">
        <v>1187</v>
      </c>
      <c r="L1138" s="99" t="s">
        <v>10591</v>
      </c>
      <c r="M1138" s="63" t="s">
        <v>26</v>
      </c>
      <c r="N1138" s="100" t="s">
        <v>38</v>
      </c>
      <c r="O1138" s="143" t="s">
        <v>1492</v>
      </c>
      <c r="P1138" s="273">
        <v>45555</v>
      </c>
      <c r="Q1138" s="338">
        <v>45555</v>
      </c>
      <c r="R1138" s="338">
        <v>46284</v>
      </c>
      <c r="S1138" s="338">
        <v>46285</v>
      </c>
      <c r="T1138" s="61">
        <v>2019</v>
      </c>
      <c r="U1138" s="99" t="s">
        <v>10379</v>
      </c>
      <c r="V1138" s="61">
        <v>2023</v>
      </c>
      <c r="W1138" s="143" t="s">
        <v>821</v>
      </c>
      <c r="X1138" s="61" t="s">
        <v>30</v>
      </c>
      <c r="Y1138" s="100" t="s">
        <v>49</v>
      </c>
      <c r="Z1138" s="99" t="s">
        <v>10592</v>
      </c>
      <c r="AA1138" s="63" t="s">
        <v>1841</v>
      </c>
      <c r="AB1138" s="451">
        <v>45446</v>
      </c>
      <c r="AC1138" s="451">
        <v>47271</v>
      </c>
      <c r="AD1138" s="61">
        <v>9346672838</v>
      </c>
      <c r="AE1138" s="540" t="s">
        <v>10593</v>
      </c>
      <c r="AF1138" s="100" t="s">
        <v>1805</v>
      </c>
      <c r="AG1138" s="337" t="s">
        <v>10594</v>
      </c>
      <c r="AH1138" s="62" t="s">
        <v>10291</v>
      </c>
      <c r="AI1138" s="62" t="s">
        <v>10595</v>
      </c>
      <c r="AJ1138" s="337" t="s">
        <v>10596</v>
      </c>
      <c r="AK1138" s="63" t="s">
        <v>10597</v>
      </c>
      <c r="AL1138" s="338">
        <v>45822</v>
      </c>
      <c r="AM1138" s="446">
        <v>45815</v>
      </c>
      <c r="AN1138" s="63" t="s">
        <v>4831</v>
      </c>
      <c r="AO1138" s="63" t="s">
        <v>10598</v>
      </c>
      <c r="AP1138" s="61">
        <v>28</v>
      </c>
      <c r="AQ1138" s="100"/>
      <c r="AR1138" s="143"/>
      <c r="AS1138" s="338"/>
      <c r="AT1138" s="338"/>
      <c r="AU1138" s="453">
        <v>35481</v>
      </c>
      <c r="AV1138" s="62" t="s">
        <v>1389</v>
      </c>
      <c r="AW1138" s="31" t="s">
        <v>32</v>
      </c>
      <c r="AX1138" s="139">
        <v>6</v>
      </c>
      <c r="AY1138" s="58" t="s">
        <v>2006</v>
      </c>
      <c r="AZ1138" s="58" t="s">
        <v>26</v>
      </c>
      <c r="BA1138" s="58" t="s">
        <v>151</v>
      </c>
      <c r="BB1138" s="58" t="s">
        <v>1407</v>
      </c>
      <c r="BC1138" s="58"/>
    </row>
    <row r="1139" spans="1:55" x14ac:dyDescent="0.25">
      <c r="A1139" s="10">
        <f t="shared" si="44"/>
        <v>1138</v>
      </c>
      <c r="B1139" s="61" t="s">
        <v>656</v>
      </c>
      <c r="C1139" s="592" t="s">
        <v>1407</v>
      </c>
      <c r="D1139" s="96">
        <v>401143</v>
      </c>
      <c r="E1139" s="62" t="s">
        <v>36</v>
      </c>
      <c r="F1139" s="97" t="s">
        <v>657</v>
      </c>
      <c r="G1139" s="61">
        <v>6</v>
      </c>
      <c r="H1139" s="141">
        <v>0.33333333333333331</v>
      </c>
      <c r="I1139" s="141">
        <v>0.5</v>
      </c>
      <c r="J1139" s="458">
        <f t="shared" si="45"/>
        <v>0.16666666666666669</v>
      </c>
      <c r="K1139" s="100" t="s">
        <v>850</v>
      </c>
      <c r="L1139" s="63" t="s">
        <v>658</v>
      </c>
      <c r="M1139" s="63" t="s">
        <v>26</v>
      </c>
      <c r="N1139" s="100" t="s">
        <v>38</v>
      </c>
      <c r="O1139" s="143" t="s">
        <v>1492</v>
      </c>
      <c r="P1139" s="273">
        <v>45628</v>
      </c>
      <c r="Q1139" s="338">
        <v>45628</v>
      </c>
      <c r="R1139" s="338">
        <v>46357</v>
      </c>
      <c r="S1139" s="338">
        <v>46358</v>
      </c>
      <c r="T1139" s="61">
        <v>2017</v>
      </c>
      <c r="U1139" s="99" t="s">
        <v>659</v>
      </c>
      <c r="V1139" s="61">
        <v>2023</v>
      </c>
      <c r="W1139" s="143" t="s">
        <v>163</v>
      </c>
      <c r="X1139" s="62" t="s">
        <v>30</v>
      </c>
      <c r="Y1139" s="100" t="s">
        <v>49</v>
      </c>
      <c r="Z1139" s="99" t="s">
        <v>3226</v>
      </c>
      <c r="AA1139" s="63" t="s">
        <v>1841</v>
      </c>
      <c r="AB1139" s="451">
        <v>45266</v>
      </c>
      <c r="AC1139" s="451">
        <v>47092</v>
      </c>
      <c r="AD1139" s="61">
        <v>7981149795</v>
      </c>
      <c r="AE1139" s="540" t="s">
        <v>660</v>
      </c>
      <c r="AF1139" s="100" t="s">
        <v>2284</v>
      </c>
      <c r="AG1139" s="337" t="s">
        <v>3227</v>
      </c>
      <c r="AH1139" s="62" t="s">
        <v>3228</v>
      </c>
      <c r="AI1139" s="62" t="s">
        <v>3229</v>
      </c>
      <c r="AJ1139" s="337" t="s">
        <v>3230</v>
      </c>
      <c r="AK1139" s="63" t="s">
        <v>3231</v>
      </c>
      <c r="AL1139" s="338">
        <v>45823</v>
      </c>
      <c r="AM1139" s="446">
        <v>45794</v>
      </c>
      <c r="AN1139" s="63" t="s">
        <v>10599</v>
      </c>
      <c r="AO1139" s="63" t="s">
        <v>3232</v>
      </c>
      <c r="AP1139" s="61">
        <v>31</v>
      </c>
      <c r="AQ1139" s="29" t="s">
        <v>1605</v>
      </c>
      <c r="AR1139" s="222" t="s">
        <v>3233</v>
      </c>
      <c r="AS1139" s="282">
        <v>45591</v>
      </c>
      <c r="AT1139" s="282">
        <v>46320</v>
      </c>
      <c r="AU1139" s="453">
        <v>34532</v>
      </c>
      <c r="AV1139" s="62" t="s">
        <v>1389</v>
      </c>
      <c r="AW1139" s="31" t="s">
        <v>32</v>
      </c>
      <c r="AX1139" s="139">
        <v>4</v>
      </c>
      <c r="AY1139" s="58" t="s">
        <v>1904</v>
      </c>
      <c r="AZ1139" s="58" t="s">
        <v>26</v>
      </c>
      <c r="BA1139" s="58" t="s">
        <v>151</v>
      </c>
      <c r="BB1139" s="58" t="s">
        <v>1407</v>
      </c>
      <c r="BC1139" s="58"/>
    </row>
    <row r="1140" spans="1:55" x14ac:dyDescent="0.25">
      <c r="A1140" s="10">
        <f t="shared" si="44"/>
        <v>1139</v>
      </c>
      <c r="B1140" s="61" t="s">
        <v>10600</v>
      </c>
      <c r="C1140" s="592" t="s">
        <v>1407</v>
      </c>
      <c r="D1140" s="96">
        <v>401235</v>
      </c>
      <c r="E1140" s="62" t="s">
        <v>36</v>
      </c>
      <c r="F1140" s="97" t="s">
        <v>10601</v>
      </c>
      <c r="G1140" s="64">
        <v>6</v>
      </c>
      <c r="H1140" s="141">
        <v>0.375</v>
      </c>
      <c r="I1140" s="443" t="s">
        <v>989</v>
      </c>
      <c r="J1140" s="458">
        <f t="shared" si="45"/>
        <v>0.33333333333333337</v>
      </c>
      <c r="K1140" s="58" t="s">
        <v>147</v>
      </c>
      <c r="L1140" s="59" t="s">
        <v>10602</v>
      </c>
      <c r="M1140" s="59" t="s">
        <v>26</v>
      </c>
      <c r="N1140" s="271" t="s">
        <v>38</v>
      </c>
      <c r="O1140" s="143" t="s">
        <v>1492</v>
      </c>
      <c r="P1140" s="273">
        <v>45789</v>
      </c>
      <c r="Q1140" s="273">
        <v>45789</v>
      </c>
      <c r="R1140" s="273">
        <v>46518</v>
      </c>
      <c r="S1140" s="273">
        <v>46519</v>
      </c>
      <c r="T1140" s="79">
        <v>2019</v>
      </c>
      <c r="U1140" s="59" t="s">
        <v>283</v>
      </c>
      <c r="V1140" s="64">
        <v>2024</v>
      </c>
      <c r="W1140" s="271" t="s">
        <v>283</v>
      </c>
      <c r="X1140" s="64" t="s">
        <v>30</v>
      </c>
      <c r="Y1140" s="100" t="s">
        <v>49</v>
      </c>
      <c r="Z1140" s="59" t="s">
        <v>10603</v>
      </c>
      <c r="AA1140" s="59" t="s">
        <v>1886</v>
      </c>
      <c r="AB1140" s="273">
        <v>45756</v>
      </c>
      <c r="AC1140" s="273">
        <v>47581</v>
      </c>
      <c r="AD1140" s="139">
        <v>7675989777</v>
      </c>
      <c r="AE1140" s="473" t="s">
        <v>10604</v>
      </c>
      <c r="AF1140" s="100" t="s">
        <v>1364</v>
      </c>
      <c r="AG1140" s="337" t="s">
        <v>10605</v>
      </c>
      <c r="AH1140" s="62" t="s">
        <v>10606</v>
      </c>
      <c r="AI1140" s="62" t="s">
        <v>10607</v>
      </c>
      <c r="AJ1140" s="337" t="s">
        <v>10608</v>
      </c>
      <c r="AK1140" s="63" t="s">
        <v>10609</v>
      </c>
      <c r="AL1140" s="338">
        <v>45829</v>
      </c>
      <c r="AM1140" s="446" t="s">
        <v>30</v>
      </c>
      <c r="AN1140" s="100" t="s">
        <v>10610</v>
      </c>
      <c r="AO1140" s="63" t="s">
        <v>10611</v>
      </c>
      <c r="AP1140" s="61">
        <v>28</v>
      </c>
      <c r="AQ1140" s="100"/>
      <c r="AR1140" s="143"/>
      <c r="AS1140" s="338"/>
      <c r="AT1140" s="338"/>
      <c r="AU1140" s="549">
        <v>35467</v>
      </c>
      <c r="AV1140" s="64" t="s">
        <v>1389</v>
      </c>
      <c r="AW1140" s="31" t="s">
        <v>68</v>
      </c>
      <c r="AX1140" s="139">
        <v>8</v>
      </c>
      <c r="AY1140" s="58" t="s">
        <v>1849</v>
      </c>
      <c r="AZ1140" s="58" t="s">
        <v>26</v>
      </c>
      <c r="BA1140" s="58" t="s">
        <v>151</v>
      </c>
      <c r="BB1140" s="58" t="s">
        <v>1407</v>
      </c>
      <c r="BC1140" s="100"/>
    </row>
    <row r="1141" spans="1:55" x14ac:dyDescent="0.25">
      <c r="A1141" s="10">
        <f t="shared" si="44"/>
        <v>1140</v>
      </c>
      <c r="B1141" s="61" t="s">
        <v>8519</v>
      </c>
      <c r="C1141" s="592" t="s">
        <v>1407</v>
      </c>
      <c r="D1141" s="96">
        <v>401011</v>
      </c>
      <c r="E1141" s="62" t="s">
        <v>42</v>
      </c>
      <c r="F1141" s="97" t="s">
        <v>8520</v>
      </c>
      <c r="G1141" s="61">
        <v>6</v>
      </c>
      <c r="H1141" s="141">
        <v>0.33333333333333331</v>
      </c>
      <c r="I1141" s="141">
        <v>0.66666666666666663</v>
      </c>
      <c r="J1141" s="458">
        <f t="shared" si="45"/>
        <v>0.33333333333333331</v>
      </c>
      <c r="K1141" s="58" t="s">
        <v>693</v>
      </c>
      <c r="L1141" s="63" t="s">
        <v>10612</v>
      </c>
      <c r="M1141" s="63" t="s">
        <v>26</v>
      </c>
      <c r="N1141" s="100" t="s">
        <v>38</v>
      </c>
      <c r="O1141" s="143" t="s">
        <v>1492</v>
      </c>
      <c r="P1141" s="338">
        <v>45446</v>
      </c>
      <c r="Q1141" s="338">
        <v>45778</v>
      </c>
      <c r="R1141" s="338">
        <v>46507</v>
      </c>
      <c r="S1141" s="338">
        <v>46508</v>
      </c>
      <c r="T1141" s="61">
        <v>2011</v>
      </c>
      <c r="U1141" s="63" t="s">
        <v>10613</v>
      </c>
      <c r="V1141" s="61">
        <v>2016</v>
      </c>
      <c r="W1141" s="100" t="s">
        <v>10614</v>
      </c>
      <c r="X1141" s="62" t="s">
        <v>30</v>
      </c>
      <c r="Y1141" s="143" t="s">
        <v>66</v>
      </c>
      <c r="Z1141" s="99" t="s">
        <v>8940</v>
      </c>
      <c r="AA1141" s="63" t="s">
        <v>1841</v>
      </c>
      <c r="AB1141" s="451">
        <v>45436</v>
      </c>
      <c r="AC1141" s="451">
        <v>47261</v>
      </c>
      <c r="AD1141" s="220">
        <v>7661924775</v>
      </c>
      <c r="AE1141" s="336" t="s">
        <v>8522</v>
      </c>
      <c r="AF1141" s="100" t="s">
        <v>1833</v>
      </c>
      <c r="AG1141" s="337" t="s">
        <v>10615</v>
      </c>
      <c r="AH1141" s="62" t="s">
        <v>8523</v>
      </c>
      <c r="AI1141" s="62" t="s">
        <v>8524</v>
      </c>
      <c r="AJ1141" s="337" t="s">
        <v>10616</v>
      </c>
      <c r="AK1141" s="63" t="s">
        <v>10617</v>
      </c>
      <c r="AL1141" s="338">
        <v>45831</v>
      </c>
      <c r="AM1141" s="477">
        <v>45771</v>
      </c>
      <c r="AN1141" s="63" t="s">
        <v>1592</v>
      </c>
      <c r="AO1141" s="63" t="s">
        <v>10618</v>
      </c>
      <c r="AP1141" s="61">
        <v>35</v>
      </c>
      <c r="AQ1141" s="100" t="s">
        <v>1416</v>
      </c>
      <c r="AR1141" s="143" t="s">
        <v>10619</v>
      </c>
      <c r="AS1141" s="338">
        <v>45381</v>
      </c>
      <c r="AT1141" s="338">
        <v>45745</v>
      </c>
      <c r="AU1141" s="453">
        <v>32950</v>
      </c>
      <c r="AV1141" s="62" t="s">
        <v>1352</v>
      </c>
      <c r="AW1141" s="31" t="s">
        <v>68</v>
      </c>
      <c r="AX1141" s="139">
        <v>8</v>
      </c>
      <c r="AY1141" s="58" t="s">
        <v>2469</v>
      </c>
      <c r="AZ1141" s="58" t="s">
        <v>26</v>
      </c>
      <c r="BA1141" s="58" t="s">
        <v>151</v>
      </c>
      <c r="BB1141" s="58" t="s">
        <v>1407</v>
      </c>
      <c r="BC1141" s="58"/>
    </row>
    <row r="1142" spans="1:55" x14ac:dyDescent="0.25">
      <c r="A1142" s="10">
        <f t="shared" si="44"/>
        <v>1141</v>
      </c>
      <c r="B1142" s="61" t="s">
        <v>10620</v>
      </c>
      <c r="C1142" s="592" t="s">
        <v>1407</v>
      </c>
      <c r="D1142" s="96">
        <v>401202</v>
      </c>
      <c r="E1142" s="62" t="s">
        <v>36</v>
      </c>
      <c r="F1142" s="97" t="s">
        <v>10621</v>
      </c>
      <c r="G1142" s="61">
        <v>6</v>
      </c>
      <c r="H1142" s="141">
        <v>0.625</v>
      </c>
      <c r="I1142" s="141">
        <v>0.875</v>
      </c>
      <c r="J1142" s="458">
        <f t="shared" si="45"/>
        <v>0.25</v>
      </c>
      <c r="K1142" s="35" t="s">
        <v>652</v>
      </c>
      <c r="L1142" s="99" t="s">
        <v>10622</v>
      </c>
      <c r="M1142" s="63" t="s">
        <v>26</v>
      </c>
      <c r="N1142" s="100" t="s">
        <v>38</v>
      </c>
      <c r="O1142" s="143" t="s">
        <v>1492</v>
      </c>
      <c r="P1142" s="273">
        <v>45754</v>
      </c>
      <c r="Q1142" s="273">
        <v>45754</v>
      </c>
      <c r="R1142" s="273">
        <v>46483</v>
      </c>
      <c r="S1142" s="273">
        <v>46484</v>
      </c>
      <c r="T1142" s="61">
        <v>2009</v>
      </c>
      <c r="U1142" s="99" t="s">
        <v>6302</v>
      </c>
      <c r="V1142" s="61">
        <v>2013</v>
      </c>
      <c r="W1142" s="143" t="s">
        <v>10623</v>
      </c>
      <c r="X1142" s="62" t="s">
        <v>30</v>
      </c>
      <c r="Y1142" s="100" t="s">
        <v>183</v>
      </c>
      <c r="Z1142" s="99">
        <v>86695</v>
      </c>
      <c r="AA1142" s="63" t="s">
        <v>1560</v>
      </c>
      <c r="AB1142" s="451">
        <v>45750</v>
      </c>
      <c r="AC1142" s="451">
        <v>47576</v>
      </c>
      <c r="AD1142" s="61">
        <v>9448665325</v>
      </c>
      <c r="AE1142" s="540" t="s">
        <v>10624</v>
      </c>
      <c r="AF1142" s="100" t="s">
        <v>1430</v>
      </c>
      <c r="AG1142" s="337" t="s">
        <v>10625</v>
      </c>
      <c r="AH1142" s="62" t="s">
        <v>10626</v>
      </c>
      <c r="AI1142" s="62" t="s">
        <v>10627</v>
      </c>
      <c r="AJ1142" s="337" t="s">
        <v>10628</v>
      </c>
      <c r="AK1142" s="63" t="s">
        <v>10629</v>
      </c>
      <c r="AL1142" s="338">
        <v>45836</v>
      </c>
      <c r="AM1142" s="446">
        <v>45824</v>
      </c>
      <c r="AN1142" s="63" t="s">
        <v>10630</v>
      </c>
      <c r="AO1142" s="63" t="s">
        <v>10631</v>
      </c>
      <c r="AP1142" s="61">
        <v>39</v>
      </c>
      <c r="AQ1142" s="100"/>
      <c r="AR1142" s="143"/>
      <c r="AS1142" s="338"/>
      <c r="AT1142" s="338"/>
      <c r="AU1142" s="453">
        <v>31562</v>
      </c>
      <c r="AV1142" s="62" t="s">
        <v>1352</v>
      </c>
      <c r="AW1142" s="31" t="s">
        <v>32</v>
      </c>
      <c r="AX1142" s="139">
        <v>6</v>
      </c>
      <c r="AY1142" s="58" t="s">
        <v>3225</v>
      </c>
      <c r="AZ1142" s="58" t="s">
        <v>26</v>
      </c>
      <c r="BA1142" s="58" t="s">
        <v>151</v>
      </c>
      <c r="BB1142" s="58" t="s">
        <v>1407</v>
      </c>
      <c r="BC1142" s="58"/>
    </row>
    <row r="1143" spans="1:55" x14ac:dyDescent="0.25">
      <c r="A1143" s="10">
        <f t="shared" si="44"/>
        <v>1142</v>
      </c>
      <c r="B1143" s="61" t="s">
        <v>10632</v>
      </c>
      <c r="C1143" s="592" t="s">
        <v>1407</v>
      </c>
      <c r="D1143" s="81">
        <v>401232</v>
      </c>
      <c r="E1143" s="62" t="s">
        <v>36</v>
      </c>
      <c r="F1143" s="97" t="s">
        <v>10633</v>
      </c>
      <c r="G1143" s="64">
        <v>6</v>
      </c>
      <c r="H1143" s="141">
        <v>0.375</v>
      </c>
      <c r="I1143" s="443" t="s">
        <v>747</v>
      </c>
      <c r="J1143" s="458">
        <f t="shared" si="45"/>
        <v>0.125</v>
      </c>
      <c r="K1143" s="271" t="s">
        <v>5084</v>
      </c>
      <c r="L1143" s="59" t="s">
        <v>10634</v>
      </c>
      <c r="M1143" s="59" t="s">
        <v>26</v>
      </c>
      <c r="N1143" s="271" t="s">
        <v>38</v>
      </c>
      <c r="O1143" s="143" t="s">
        <v>1492</v>
      </c>
      <c r="P1143" s="273">
        <v>45784</v>
      </c>
      <c r="Q1143" s="273">
        <v>45784</v>
      </c>
      <c r="R1143" s="273">
        <v>46513</v>
      </c>
      <c r="S1143" s="273">
        <v>46514</v>
      </c>
      <c r="T1143" s="79">
        <v>2019</v>
      </c>
      <c r="U1143" s="59" t="s">
        <v>3198</v>
      </c>
      <c r="V1143" s="64">
        <v>2025</v>
      </c>
      <c r="W1143" s="271" t="s">
        <v>5964</v>
      </c>
      <c r="X1143" s="64" t="s">
        <v>30</v>
      </c>
      <c r="Y1143" s="100" t="s">
        <v>49</v>
      </c>
      <c r="Z1143" s="59" t="s">
        <v>10635</v>
      </c>
      <c r="AA1143" s="59" t="s">
        <v>1841</v>
      </c>
      <c r="AB1143" s="273">
        <v>45783</v>
      </c>
      <c r="AC1143" s="273">
        <v>47608</v>
      </c>
      <c r="AD1143" s="64">
        <v>7032078999</v>
      </c>
      <c r="AE1143" s="540" t="s">
        <v>10636</v>
      </c>
      <c r="AF1143" s="100" t="s">
        <v>1364</v>
      </c>
      <c r="AG1143" s="491" t="s">
        <v>10637</v>
      </c>
      <c r="AH1143" s="62" t="s">
        <v>3992</v>
      </c>
      <c r="AI1143" s="62" t="s">
        <v>10638</v>
      </c>
      <c r="AJ1143" s="337" t="s">
        <v>10639</v>
      </c>
      <c r="AK1143" s="63" t="s">
        <v>10640</v>
      </c>
      <c r="AL1143" s="338">
        <v>45836</v>
      </c>
      <c r="AM1143" s="446" t="s">
        <v>30</v>
      </c>
      <c r="AN1143" s="100" t="s">
        <v>10641</v>
      </c>
      <c r="AO1143" s="63" t="s">
        <v>10642</v>
      </c>
      <c r="AP1143" s="61">
        <v>28</v>
      </c>
      <c r="AQ1143" s="100" t="s">
        <v>1371</v>
      </c>
      <c r="AR1143" s="143" t="s">
        <v>10643</v>
      </c>
      <c r="AS1143" s="338">
        <v>45783</v>
      </c>
      <c r="AT1143" s="338">
        <v>46147</v>
      </c>
      <c r="AU1143" s="273">
        <v>35426</v>
      </c>
      <c r="AV1143" s="64" t="s">
        <v>1389</v>
      </c>
      <c r="AW1143" s="31" t="s">
        <v>32</v>
      </c>
      <c r="AX1143" s="139">
        <v>3</v>
      </c>
      <c r="AY1143" s="58" t="s">
        <v>1849</v>
      </c>
      <c r="AZ1143" s="58" t="s">
        <v>26</v>
      </c>
      <c r="BA1143" s="58" t="s">
        <v>151</v>
      </c>
      <c r="BB1143" s="58" t="s">
        <v>1407</v>
      </c>
      <c r="BC1143" s="100"/>
    </row>
    <row r="1144" spans="1:55" x14ac:dyDescent="0.25">
      <c r="A1144" s="10">
        <f t="shared" si="44"/>
        <v>1143</v>
      </c>
      <c r="B1144" s="181" t="s">
        <v>10493</v>
      </c>
      <c r="C1144" s="592" t="s">
        <v>1407</v>
      </c>
      <c r="D1144" s="499">
        <v>401170</v>
      </c>
      <c r="E1144" s="181" t="s">
        <v>9124</v>
      </c>
      <c r="F1144" s="97" t="s">
        <v>10494</v>
      </c>
      <c r="G1144" s="61">
        <v>6</v>
      </c>
      <c r="H1144" s="141" t="s">
        <v>10644</v>
      </c>
      <c r="I1144" s="141" t="s">
        <v>10645</v>
      </c>
      <c r="J1144" s="141">
        <v>0.33333333333333331</v>
      </c>
      <c r="K1144" s="35" t="s">
        <v>990</v>
      </c>
      <c r="L1144" s="63" t="s">
        <v>10495</v>
      </c>
      <c r="M1144" s="63" t="s">
        <v>26</v>
      </c>
      <c r="N1144" s="100" t="s">
        <v>38</v>
      </c>
      <c r="O1144" s="143" t="s">
        <v>5710</v>
      </c>
      <c r="P1144" s="273">
        <v>45689</v>
      </c>
      <c r="Q1144" s="273">
        <v>45689</v>
      </c>
      <c r="R1144" s="338">
        <v>46418</v>
      </c>
      <c r="S1144" s="273">
        <v>46419</v>
      </c>
      <c r="T1144" s="61">
        <v>1990</v>
      </c>
      <c r="U1144" s="63" t="s">
        <v>10496</v>
      </c>
      <c r="V1144" s="61">
        <v>1995</v>
      </c>
      <c r="W1144" s="143" t="s">
        <v>10497</v>
      </c>
      <c r="X1144" s="62" t="s">
        <v>3207</v>
      </c>
      <c r="Y1144" s="100" t="s">
        <v>8033</v>
      </c>
      <c r="Z1144" s="99">
        <v>32723</v>
      </c>
      <c r="AA1144" s="63" t="s">
        <v>1560</v>
      </c>
      <c r="AB1144" s="451">
        <v>42578</v>
      </c>
      <c r="AC1144" s="451"/>
      <c r="AD1144" s="220">
        <v>9945057779</v>
      </c>
      <c r="AE1144" s="336" t="s">
        <v>10498</v>
      </c>
      <c r="AF1144" s="100" t="s">
        <v>1833</v>
      </c>
      <c r="AG1144" s="337" t="s">
        <v>10499</v>
      </c>
      <c r="AH1144" s="62" t="s">
        <v>10500</v>
      </c>
      <c r="AI1144" s="62" t="s">
        <v>10501</v>
      </c>
      <c r="AJ1144" s="493">
        <v>644231279498</v>
      </c>
      <c r="AK1144" s="63" t="s">
        <v>10502</v>
      </c>
      <c r="AL1144" s="338" t="s">
        <v>30</v>
      </c>
      <c r="AM1144" s="446" t="s">
        <v>30</v>
      </c>
      <c r="AN1144" s="100" t="s">
        <v>10646</v>
      </c>
      <c r="AO1144" s="63" t="s">
        <v>10503</v>
      </c>
      <c r="AP1144" s="61">
        <v>58</v>
      </c>
      <c r="AQ1144" s="100" t="s">
        <v>1371</v>
      </c>
      <c r="AR1144" s="143" t="s">
        <v>10504</v>
      </c>
      <c r="AS1144" s="338">
        <v>45548</v>
      </c>
      <c r="AT1144" s="338">
        <v>45912</v>
      </c>
      <c r="AU1144" s="453">
        <v>24605</v>
      </c>
      <c r="AV1144" s="62" t="s">
        <v>1352</v>
      </c>
      <c r="AW1144" s="31" t="s">
        <v>68</v>
      </c>
      <c r="AX1144" s="139">
        <v>8</v>
      </c>
      <c r="AY1144" s="58" t="s">
        <v>3225</v>
      </c>
      <c r="AZ1144" s="58" t="s">
        <v>26</v>
      </c>
      <c r="BA1144" s="58" t="s">
        <v>151</v>
      </c>
      <c r="BB1144" s="58" t="s">
        <v>1407</v>
      </c>
      <c r="BC1144" s="58"/>
    </row>
    <row r="1145" spans="1:55" x14ac:dyDescent="0.25">
      <c r="A1145" s="10">
        <f t="shared" si="44"/>
        <v>1144</v>
      </c>
      <c r="B1145" s="61" t="s">
        <v>10647</v>
      </c>
      <c r="C1145" s="592" t="s">
        <v>1407</v>
      </c>
      <c r="D1145" s="96">
        <v>401059</v>
      </c>
      <c r="E1145" s="62" t="s">
        <v>36</v>
      </c>
      <c r="F1145" s="97" t="s">
        <v>10648</v>
      </c>
      <c r="G1145" s="61">
        <v>6</v>
      </c>
      <c r="H1145" s="141">
        <v>0.375</v>
      </c>
      <c r="I1145" s="141">
        <v>0.70833333333333337</v>
      </c>
      <c r="J1145" s="458">
        <f>I1145-H1145</f>
        <v>0.33333333333333337</v>
      </c>
      <c r="K1145" s="100" t="s">
        <v>713</v>
      </c>
      <c r="L1145" s="63" t="s">
        <v>10649</v>
      </c>
      <c r="M1145" s="63" t="s">
        <v>26</v>
      </c>
      <c r="N1145" s="100" t="s">
        <v>38</v>
      </c>
      <c r="O1145" s="143" t="s">
        <v>1492</v>
      </c>
      <c r="P1145" s="273">
        <v>45532</v>
      </c>
      <c r="Q1145" s="338">
        <v>45532</v>
      </c>
      <c r="R1145" s="338">
        <v>46261</v>
      </c>
      <c r="S1145" s="338">
        <v>46262</v>
      </c>
      <c r="T1145" s="79">
        <v>2019</v>
      </c>
      <c r="U1145" s="99" t="s">
        <v>10650</v>
      </c>
      <c r="V1145" s="61">
        <v>2023</v>
      </c>
      <c r="W1145" s="143" t="s">
        <v>786</v>
      </c>
      <c r="X1145" s="62" t="s">
        <v>30</v>
      </c>
      <c r="Y1145" s="100" t="s">
        <v>49</v>
      </c>
      <c r="Z1145" s="99" t="s">
        <v>10651</v>
      </c>
      <c r="AA1145" s="99" t="s">
        <v>1886</v>
      </c>
      <c r="AB1145" s="451">
        <v>45525</v>
      </c>
      <c r="AC1145" s="451">
        <v>47357</v>
      </c>
      <c r="AD1145" s="220">
        <v>9505075833</v>
      </c>
      <c r="AE1145" s="336" t="s">
        <v>10652</v>
      </c>
      <c r="AF1145" s="100" t="s">
        <v>1833</v>
      </c>
      <c r="AG1145" s="337" t="s">
        <v>10653</v>
      </c>
      <c r="AH1145" s="62" t="s">
        <v>3550</v>
      </c>
      <c r="AI1145" s="62" t="s">
        <v>10654</v>
      </c>
      <c r="AJ1145" s="337" t="s">
        <v>10655</v>
      </c>
      <c r="AK1145" s="63" t="s">
        <v>10656</v>
      </c>
      <c r="AL1145" s="338">
        <v>45837</v>
      </c>
      <c r="AM1145" s="446">
        <v>45813</v>
      </c>
      <c r="AN1145" s="63" t="s">
        <v>10657</v>
      </c>
      <c r="AO1145" s="63" t="s">
        <v>10658</v>
      </c>
      <c r="AP1145" s="61">
        <v>30</v>
      </c>
      <c r="AQ1145" s="100"/>
      <c r="AR1145" s="143"/>
      <c r="AS1145" s="338"/>
      <c r="AT1145" s="338"/>
      <c r="AU1145" s="453">
        <v>34949</v>
      </c>
      <c r="AV1145" s="62" t="s">
        <v>1389</v>
      </c>
      <c r="AW1145" s="31" t="s">
        <v>68</v>
      </c>
      <c r="AX1145" s="139">
        <v>8</v>
      </c>
      <c r="AY1145" s="58" t="s">
        <v>2262</v>
      </c>
      <c r="AZ1145" s="58" t="s">
        <v>26</v>
      </c>
      <c r="BA1145" s="58" t="s">
        <v>151</v>
      </c>
      <c r="BB1145" s="58" t="s">
        <v>1407</v>
      </c>
      <c r="BC1145" s="58"/>
    </row>
    <row r="1146" spans="1:55" x14ac:dyDescent="0.25">
      <c r="A1146" s="10">
        <f t="shared" si="44"/>
        <v>1145</v>
      </c>
      <c r="B1146" s="61" t="s">
        <v>10458</v>
      </c>
      <c r="C1146" s="592" t="s">
        <v>1407</v>
      </c>
      <c r="D1146" s="96">
        <v>401071</v>
      </c>
      <c r="E1146" s="62" t="s">
        <v>36</v>
      </c>
      <c r="F1146" s="97" t="s">
        <v>10459</v>
      </c>
      <c r="G1146" s="61">
        <v>6</v>
      </c>
      <c r="H1146" s="141">
        <v>0.47916666666666669</v>
      </c>
      <c r="I1146" s="141">
        <v>0.72916666666666663</v>
      </c>
      <c r="J1146" s="458">
        <f>I1146-H1146</f>
        <v>0.24999999999999994</v>
      </c>
      <c r="K1146" s="143" t="s">
        <v>477</v>
      </c>
      <c r="L1146" s="63" t="s">
        <v>9823</v>
      </c>
      <c r="M1146" s="63" t="s">
        <v>26</v>
      </c>
      <c r="N1146" s="100" t="s">
        <v>38</v>
      </c>
      <c r="O1146" s="143" t="s">
        <v>1492</v>
      </c>
      <c r="P1146" s="273">
        <v>45541</v>
      </c>
      <c r="Q1146" s="338">
        <v>45541</v>
      </c>
      <c r="R1146" s="338">
        <v>46270</v>
      </c>
      <c r="S1146" s="338">
        <v>46271</v>
      </c>
      <c r="T1146" s="61">
        <v>2017</v>
      </c>
      <c r="U1146" s="99" t="s">
        <v>350</v>
      </c>
      <c r="V1146" s="61">
        <v>2023</v>
      </c>
      <c r="W1146" s="143" t="s">
        <v>169</v>
      </c>
      <c r="X1146" s="62" t="s">
        <v>30</v>
      </c>
      <c r="Y1146" s="100" t="s">
        <v>49</v>
      </c>
      <c r="Z1146" s="99" t="s">
        <v>10460</v>
      </c>
      <c r="AA1146" s="63" t="s">
        <v>1841</v>
      </c>
      <c r="AB1146" s="451">
        <v>45170</v>
      </c>
      <c r="AC1146" s="451">
        <v>46996</v>
      </c>
      <c r="AD1146" s="220">
        <v>9398931088</v>
      </c>
      <c r="AE1146" s="336" t="s">
        <v>10461</v>
      </c>
      <c r="AF1146" s="100" t="s">
        <v>1833</v>
      </c>
      <c r="AG1146" s="337" t="s">
        <v>10462</v>
      </c>
      <c r="AH1146" s="62" t="s">
        <v>10463</v>
      </c>
      <c r="AI1146" s="62" t="s">
        <v>10464</v>
      </c>
      <c r="AJ1146" s="337" t="s">
        <v>10465</v>
      </c>
      <c r="AK1146" s="63" t="s">
        <v>10466</v>
      </c>
      <c r="AL1146" s="338">
        <v>45837</v>
      </c>
      <c r="AM1146" s="446" t="s">
        <v>30</v>
      </c>
      <c r="AN1146" s="100" t="s">
        <v>10659</v>
      </c>
      <c r="AO1146" s="63" t="s">
        <v>10467</v>
      </c>
      <c r="AP1146" s="61">
        <v>31</v>
      </c>
      <c r="AQ1146" s="100" t="s">
        <v>1371</v>
      </c>
      <c r="AR1146" s="143" t="s">
        <v>10468</v>
      </c>
      <c r="AS1146" s="338">
        <v>45328</v>
      </c>
      <c r="AT1146" s="338">
        <v>45693</v>
      </c>
      <c r="AU1146" s="453">
        <v>34574</v>
      </c>
      <c r="AV1146" s="62" t="s">
        <v>1389</v>
      </c>
      <c r="AW1146" s="31" t="s">
        <v>32</v>
      </c>
      <c r="AX1146" s="139">
        <v>6</v>
      </c>
      <c r="AY1146" s="58" t="s">
        <v>2053</v>
      </c>
      <c r="AZ1146" s="58" t="s">
        <v>26</v>
      </c>
      <c r="BA1146" s="58" t="s">
        <v>151</v>
      </c>
      <c r="BB1146" s="58" t="s">
        <v>1407</v>
      </c>
      <c r="BC1146" s="58"/>
    </row>
    <row r="1147" spans="1:55" x14ac:dyDescent="0.25">
      <c r="A1147" s="10">
        <f t="shared" si="44"/>
        <v>1146</v>
      </c>
      <c r="B1147" s="61" t="s">
        <v>6971</v>
      </c>
      <c r="C1147" s="592" t="s">
        <v>1407</v>
      </c>
      <c r="D1147" s="96">
        <v>400420</v>
      </c>
      <c r="E1147" s="62" t="s">
        <v>192</v>
      </c>
      <c r="F1147" s="97" t="s">
        <v>6972</v>
      </c>
      <c r="G1147" s="61"/>
      <c r="H1147" s="141"/>
      <c r="I1147" s="141"/>
      <c r="J1147" s="141"/>
      <c r="K1147" s="100" t="s">
        <v>563</v>
      </c>
      <c r="L1147" s="63" t="s">
        <v>611</v>
      </c>
      <c r="M1147" s="63" t="s">
        <v>26</v>
      </c>
      <c r="N1147" s="100" t="s">
        <v>38</v>
      </c>
      <c r="O1147" s="143" t="s">
        <v>1492</v>
      </c>
      <c r="P1147" s="446">
        <v>44567</v>
      </c>
      <c r="Q1147" s="206">
        <v>45278</v>
      </c>
      <c r="R1147" s="206">
        <v>46008</v>
      </c>
      <c r="S1147" s="461">
        <v>46009</v>
      </c>
      <c r="T1147" s="61">
        <v>2012</v>
      </c>
      <c r="U1147" s="63" t="s">
        <v>10660</v>
      </c>
      <c r="V1147" s="61">
        <v>2017</v>
      </c>
      <c r="W1147" s="63" t="s">
        <v>343</v>
      </c>
      <c r="X1147" s="62" t="s">
        <v>30</v>
      </c>
      <c r="Y1147" s="100" t="s">
        <v>49</v>
      </c>
      <c r="Z1147" s="99" t="s">
        <v>6975</v>
      </c>
      <c r="AA1147" s="63" t="s">
        <v>1886</v>
      </c>
      <c r="AB1147" s="451">
        <v>45264</v>
      </c>
      <c r="AC1147" s="446">
        <v>47090</v>
      </c>
      <c r="AD1147" s="61">
        <v>9985736910</v>
      </c>
      <c r="AE1147" s="510" t="s">
        <v>6976</v>
      </c>
      <c r="AF1147" s="100" t="s">
        <v>7211</v>
      </c>
      <c r="AG1147" s="337" t="s">
        <v>6977</v>
      </c>
      <c r="AH1147" s="62" t="s">
        <v>6978</v>
      </c>
      <c r="AI1147" s="62" t="s">
        <v>6979</v>
      </c>
      <c r="AJ1147" s="337" t="s">
        <v>10661</v>
      </c>
      <c r="AK1147" s="63" t="e">
        <v>#N/A</v>
      </c>
      <c r="AL1147" s="338">
        <v>45838</v>
      </c>
      <c r="AM1147" s="477" t="s">
        <v>30</v>
      </c>
      <c r="AN1147" s="100" t="s">
        <v>10366</v>
      </c>
      <c r="AO1147" s="63" t="s">
        <v>10662</v>
      </c>
      <c r="AP1147" s="61">
        <v>36</v>
      </c>
      <c r="AQ1147" s="100"/>
      <c r="AR1147" s="143"/>
      <c r="AS1147" s="338"/>
      <c r="AT1147" s="338"/>
      <c r="AU1147" s="453">
        <v>32575</v>
      </c>
      <c r="AV1147" s="62" t="s">
        <v>1352</v>
      </c>
      <c r="AW1147" s="31" t="s">
        <v>32</v>
      </c>
      <c r="AX1147" s="139"/>
      <c r="AY1147" s="58" t="s">
        <v>30</v>
      </c>
      <c r="AZ1147" s="58" t="s">
        <v>26</v>
      </c>
      <c r="BA1147" s="58" t="s">
        <v>151</v>
      </c>
      <c r="BB1147" s="58" t="s">
        <v>1407</v>
      </c>
      <c r="BC1147" s="58"/>
    </row>
    <row r="1148" spans="1:55" x14ac:dyDescent="0.25">
      <c r="A1148" s="10">
        <f t="shared" si="44"/>
        <v>1147</v>
      </c>
      <c r="B1148" s="181"/>
      <c r="C1148" s="592" t="s">
        <v>1407</v>
      </c>
      <c r="D1148" s="96">
        <v>401182</v>
      </c>
      <c r="E1148" s="61" t="s">
        <v>192</v>
      </c>
      <c r="F1148" s="97" t="s">
        <v>10663</v>
      </c>
      <c r="G1148" s="61"/>
      <c r="H1148" s="141"/>
      <c r="I1148" s="141"/>
      <c r="J1148" s="141"/>
      <c r="K1148" s="21" t="s">
        <v>334</v>
      </c>
      <c r="L1148" s="63" t="s">
        <v>372</v>
      </c>
      <c r="M1148" s="63" t="s">
        <v>26</v>
      </c>
      <c r="N1148" s="100" t="s">
        <v>38</v>
      </c>
      <c r="O1148" s="100"/>
      <c r="P1148" s="258"/>
      <c r="Q1148" s="258"/>
      <c r="R1148" s="258"/>
      <c r="S1148" s="273"/>
      <c r="T1148" s="61"/>
      <c r="U1148" s="62"/>
      <c r="V1148" s="61"/>
      <c r="W1148" s="100"/>
      <c r="X1148" s="62"/>
      <c r="Y1148" s="100"/>
      <c r="Z1148" s="333"/>
      <c r="AA1148" s="63"/>
      <c r="AB1148" s="62"/>
      <c r="AC1148" s="62"/>
      <c r="AD1148" s="61"/>
      <c r="AE1148" s="63"/>
      <c r="AF1148" s="100"/>
      <c r="AG1148" s="337"/>
      <c r="AH1148" s="62"/>
      <c r="AI1148" s="62"/>
      <c r="AJ1148" s="493"/>
      <c r="AK1148" s="63"/>
      <c r="AL1148" s="338" t="s">
        <v>5711</v>
      </c>
      <c r="AM1148" s="446" t="s">
        <v>30</v>
      </c>
      <c r="AN1148" s="100" t="s">
        <v>5712</v>
      </c>
      <c r="AO1148" s="63"/>
      <c r="AP1148" s="61"/>
      <c r="AQ1148" s="100"/>
      <c r="AR1148" s="143"/>
      <c r="AS1148" s="338"/>
      <c r="AT1148" s="338"/>
      <c r="AU1148" s="453"/>
      <c r="AV1148" s="62" t="s">
        <v>1352</v>
      </c>
      <c r="AW1148" s="62" t="s">
        <v>32</v>
      </c>
      <c r="AX1148" s="139"/>
      <c r="AY1148" s="58" t="s">
        <v>30</v>
      </c>
      <c r="AZ1148" s="58" t="s">
        <v>26</v>
      </c>
      <c r="BA1148" s="58" t="s">
        <v>151</v>
      </c>
      <c r="BB1148" s="58" t="s">
        <v>1407</v>
      </c>
      <c r="BC1148" s="58"/>
    </row>
    <row r="1149" spans="1:55" x14ac:dyDescent="0.25">
      <c r="A1149" s="10">
        <f t="shared" si="44"/>
        <v>1148</v>
      </c>
      <c r="B1149" s="61" t="s">
        <v>10664</v>
      </c>
      <c r="C1149" s="592" t="s">
        <v>1407</v>
      </c>
      <c r="D1149" s="96">
        <v>400817</v>
      </c>
      <c r="E1149" s="62" t="s">
        <v>36</v>
      </c>
      <c r="F1149" s="97" t="s">
        <v>10665</v>
      </c>
      <c r="G1149" s="61">
        <v>1</v>
      </c>
      <c r="H1149" s="141" t="s">
        <v>10666</v>
      </c>
      <c r="I1149" s="141" t="s">
        <v>10666</v>
      </c>
      <c r="J1149" s="458">
        <v>4.1666666666666664E-2</v>
      </c>
      <c r="K1149" s="143" t="s">
        <v>466</v>
      </c>
      <c r="L1149" s="63" t="s">
        <v>1424</v>
      </c>
      <c r="M1149" s="97" t="s">
        <v>1544</v>
      </c>
      <c r="N1149" s="58" t="s">
        <v>1992</v>
      </c>
      <c r="O1149" s="100" t="s">
        <v>4752</v>
      </c>
      <c r="P1149" s="446">
        <v>45140</v>
      </c>
      <c r="Q1149" s="446">
        <v>45140</v>
      </c>
      <c r="R1149" s="446">
        <v>45870</v>
      </c>
      <c r="S1149" s="338">
        <v>45871</v>
      </c>
      <c r="T1149" s="61">
        <v>1993</v>
      </c>
      <c r="U1149" s="63" t="s">
        <v>935</v>
      </c>
      <c r="V1149" s="61">
        <v>1997</v>
      </c>
      <c r="W1149" s="99" t="s">
        <v>10667</v>
      </c>
      <c r="X1149" s="61" t="s">
        <v>1424</v>
      </c>
      <c r="Y1149" s="100" t="s">
        <v>1549</v>
      </c>
      <c r="Z1149" s="99">
        <v>50716</v>
      </c>
      <c r="AA1149" s="63" t="s">
        <v>2695</v>
      </c>
      <c r="AB1149" s="451">
        <v>34275</v>
      </c>
      <c r="AC1149" s="451">
        <v>55153</v>
      </c>
      <c r="AD1149" s="220" t="s">
        <v>10668</v>
      </c>
      <c r="AE1149" s="336" t="s">
        <v>10669</v>
      </c>
      <c r="AF1149" s="100" t="s">
        <v>5183</v>
      </c>
      <c r="AG1149" s="337" t="s">
        <v>10670</v>
      </c>
      <c r="AH1149" s="62" t="s">
        <v>10671</v>
      </c>
      <c r="AI1149" s="62" t="s">
        <v>10672</v>
      </c>
      <c r="AJ1149" s="337" t="s">
        <v>10673</v>
      </c>
      <c r="AK1149" s="63"/>
      <c r="AL1149" s="446">
        <v>45838</v>
      </c>
      <c r="AM1149" s="477">
        <v>45778</v>
      </c>
      <c r="AN1149" s="63" t="s">
        <v>1592</v>
      </c>
      <c r="AO1149" s="63" t="s">
        <v>10674</v>
      </c>
      <c r="AP1149" s="61">
        <v>55</v>
      </c>
      <c r="AQ1149" s="100"/>
      <c r="AR1149" s="143"/>
      <c r="AS1149" s="338"/>
      <c r="AT1149" s="338"/>
      <c r="AU1149" s="453">
        <v>25505</v>
      </c>
      <c r="AV1149" s="62" t="s">
        <v>1352</v>
      </c>
      <c r="AW1149" s="31" t="s">
        <v>32</v>
      </c>
      <c r="AX1149" s="139">
        <v>1</v>
      </c>
      <c r="AY1149" s="58" t="s">
        <v>2703</v>
      </c>
      <c r="AZ1149" s="58" t="s">
        <v>1373</v>
      </c>
      <c r="BA1149" s="58" t="s">
        <v>151</v>
      </c>
      <c r="BB1149" s="58" t="s">
        <v>1407</v>
      </c>
      <c r="BC1149" s="58"/>
    </row>
    <row r="1150" spans="1:55" x14ac:dyDescent="0.25">
      <c r="A1150" s="10">
        <f t="shared" si="44"/>
        <v>1149</v>
      </c>
      <c r="B1150" s="61" t="s">
        <v>7509</v>
      </c>
      <c r="C1150" s="592" t="s">
        <v>1407</v>
      </c>
      <c r="D1150" s="96">
        <v>400896</v>
      </c>
      <c r="E1150" s="62" t="s">
        <v>36</v>
      </c>
      <c r="F1150" s="97" t="s">
        <v>10675</v>
      </c>
      <c r="G1150" s="61">
        <v>6</v>
      </c>
      <c r="H1150" s="141">
        <v>0.70833333333333337</v>
      </c>
      <c r="I1150" s="141">
        <v>0.79166666666666663</v>
      </c>
      <c r="J1150" s="458">
        <f>I1150-H1150</f>
        <v>8.3333333333333259E-2</v>
      </c>
      <c r="K1150" s="143" t="s">
        <v>220</v>
      </c>
      <c r="L1150" s="63" t="s">
        <v>1424</v>
      </c>
      <c r="M1150" s="63" t="s">
        <v>1355</v>
      </c>
      <c r="N1150" s="100" t="s">
        <v>1520</v>
      </c>
      <c r="O1150" s="100" t="s">
        <v>4752</v>
      </c>
      <c r="P1150" s="446">
        <v>45264</v>
      </c>
      <c r="Q1150" s="446">
        <v>45264</v>
      </c>
      <c r="R1150" s="446">
        <v>45994</v>
      </c>
      <c r="S1150" s="338">
        <v>45995</v>
      </c>
      <c r="T1150" s="61">
        <v>2015</v>
      </c>
      <c r="U1150" s="63" t="s">
        <v>163</v>
      </c>
      <c r="V1150" s="61">
        <v>2022</v>
      </c>
      <c r="W1150" s="99" t="s">
        <v>209</v>
      </c>
      <c r="X1150" s="62" t="s">
        <v>30</v>
      </c>
      <c r="Y1150" s="143" t="s">
        <v>1360</v>
      </c>
      <c r="Z1150" s="99" t="s">
        <v>7511</v>
      </c>
      <c r="AA1150" s="63" t="s">
        <v>1841</v>
      </c>
      <c r="AB1150" s="451">
        <v>45052</v>
      </c>
      <c r="AC1150" s="451">
        <v>46878</v>
      </c>
      <c r="AD1150" s="220">
        <v>9959431212</v>
      </c>
      <c r="AE1150" s="336" t="s">
        <v>7512</v>
      </c>
      <c r="AF1150" s="100" t="s">
        <v>1345</v>
      </c>
      <c r="AG1150" s="337" t="s">
        <v>10676</v>
      </c>
      <c r="AH1150" s="62" t="s">
        <v>7513</v>
      </c>
      <c r="AI1150" s="62" t="s">
        <v>7514</v>
      </c>
      <c r="AJ1150" s="337" t="s">
        <v>10677</v>
      </c>
      <c r="AK1150" s="63"/>
      <c r="AL1150" s="446">
        <v>45838</v>
      </c>
      <c r="AM1150" s="477" t="s">
        <v>30</v>
      </c>
      <c r="AN1150" s="100" t="s">
        <v>10678</v>
      </c>
      <c r="AO1150" s="63" t="s">
        <v>10679</v>
      </c>
      <c r="AP1150" s="61">
        <v>35</v>
      </c>
      <c r="AQ1150" s="100"/>
      <c r="AR1150" s="143"/>
      <c r="AS1150" s="338"/>
      <c r="AT1150" s="338"/>
      <c r="AU1150" s="453">
        <v>32823</v>
      </c>
      <c r="AV1150" s="62" t="s">
        <v>1352</v>
      </c>
      <c r="AW1150" s="31" t="s">
        <v>32</v>
      </c>
      <c r="AX1150" s="139">
        <v>2</v>
      </c>
      <c r="AY1150" s="58" t="s">
        <v>2006</v>
      </c>
      <c r="AZ1150" s="58" t="s">
        <v>1373</v>
      </c>
      <c r="BA1150" s="58" t="s">
        <v>151</v>
      </c>
      <c r="BB1150" s="58" t="s">
        <v>1407</v>
      </c>
      <c r="BC1150" s="58"/>
    </row>
    <row r="1151" spans="1:55" x14ac:dyDescent="0.25">
      <c r="A1151" s="10">
        <f t="shared" si="44"/>
        <v>1150</v>
      </c>
      <c r="B1151" s="61" t="s">
        <v>10680</v>
      </c>
      <c r="C1151" s="592" t="s">
        <v>1407</v>
      </c>
      <c r="D1151" s="96">
        <v>400937</v>
      </c>
      <c r="E1151" s="62" t="s">
        <v>36</v>
      </c>
      <c r="F1151" s="97" t="s">
        <v>10681</v>
      </c>
      <c r="G1151" s="61">
        <v>6</v>
      </c>
      <c r="H1151" s="141">
        <v>0.33333333333333331</v>
      </c>
      <c r="I1151" s="141">
        <v>0.875</v>
      </c>
      <c r="J1151" s="458">
        <v>0.33333333333333331</v>
      </c>
      <c r="K1151" s="100" t="s">
        <v>287</v>
      </c>
      <c r="L1151" s="63" t="s">
        <v>1424</v>
      </c>
      <c r="M1151" s="63" t="s">
        <v>1355</v>
      </c>
      <c r="N1151" s="100" t="s">
        <v>1520</v>
      </c>
      <c r="O1151" s="100" t="s">
        <v>4752</v>
      </c>
      <c r="P1151" s="446">
        <v>45334</v>
      </c>
      <c r="Q1151" s="446">
        <v>45334</v>
      </c>
      <c r="R1151" s="446">
        <v>46064</v>
      </c>
      <c r="S1151" s="338">
        <v>46065</v>
      </c>
      <c r="T1151" s="61">
        <v>2019</v>
      </c>
      <c r="U1151" s="63" t="s">
        <v>57</v>
      </c>
      <c r="V1151" s="61">
        <v>2023</v>
      </c>
      <c r="W1151" s="63" t="s">
        <v>10134</v>
      </c>
      <c r="X1151" s="62" t="s">
        <v>30</v>
      </c>
      <c r="Y1151" s="143" t="s">
        <v>1360</v>
      </c>
      <c r="Z1151" s="99" t="s">
        <v>10682</v>
      </c>
      <c r="AA1151" s="63" t="s">
        <v>1841</v>
      </c>
      <c r="AB1151" s="451">
        <v>45388</v>
      </c>
      <c r="AC1151" s="451">
        <v>47213</v>
      </c>
      <c r="AD1151" s="220">
        <v>7989882107</v>
      </c>
      <c r="AE1151" s="336" t="s">
        <v>10683</v>
      </c>
      <c r="AF1151" s="100" t="s">
        <v>5086</v>
      </c>
      <c r="AG1151" s="337" t="s">
        <v>10684</v>
      </c>
      <c r="AH1151" s="62" t="s">
        <v>10685</v>
      </c>
      <c r="AI1151" s="62" t="s">
        <v>10686</v>
      </c>
      <c r="AJ1151" s="337" t="s">
        <v>10687</v>
      </c>
      <c r="AK1151" s="63"/>
      <c r="AL1151" s="446">
        <v>45838</v>
      </c>
      <c r="AM1151" s="477">
        <v>45811</v>
      </c>
      <c r="AN1151" s="63" t="s">
        <v>10688</v>
      </c>
      <c r="AO1151" s="63" t="s">
        <v>10689</v>
      </c>
      <c r="AP1151" s="61">
        <v>31</v>
      </c>
      <c r="AQ1151" s="100"/>
      <c r="AR1151" s="143"/>
      <c r="AS1151" s="338"/>
      <c r="AT1151" s="338"/>
      <c r="AU1151" s="453">
        <v>34538</v>
      </c>
      <c r="AV1151" s="62" t="s">
        <v>1352</v>
      </c>
      <c r="AW1151" s="31" t="s">
        <v>68</v>
      </c>
      <c r="AX1151" s="139">
        <v>8</v>
      </c>
      <c r="AY1151" s="58" t="s">
        <v>1881</v>
      </c>
      <c r="AZ1151" s="58" t="s">
        <v>1373</v>
      </c>
      <c r="BA1151" s="58" t="s">
        <v>151</v>
      </c>
      <c r="BB1151" s="58" t="s">
        <v>1407</v>
      </c>
      <c r="BC1151" s="58"/>
    </row>
    <row r="1152" spans="1:55" x14ac:dyDescent="0.25">
      <c r="A1152" s="10">
        <f t="shared" si="44"/>
        <v>1151</v>
      </c>
      <c r="B1152" s="61" t="s">
        <v>7509</v>
      </c>
      <c r="C1152" s="592" t="s">
        <v>1407</v>
      </c>
      <c r="D1152" s="96">
        <v>401000</v>
      </c>
      <c r="E1152" s="62" t="s">
        <v>36</v>
      </c>
      <c r="F1152" s="97" t="s">
        <v>10675</v>
      </c>
      <c r="G1152" s="61">
        <v>6</v>
      </c>
      <c r="H1152" s="141">
        <v>0.60416666666666663</v>
      </c>
      <c r="I1152" s="141">
        <v>0.6875</v>
      </c>
      <c r="J1152" s="458">
        <f>I1152-H1152</f>
        <v>8.333333333333337E-2</v>
      </c>
      <c r="K1152" s="143" t="s">
        <v>255</v>
      </c>
      <c r="L1152" s="63" t="s">
        <v>1424</v>
      </c>
      <c r="M1152" s="63" t="s">
        <v>1355</v>
      </c>
      <c r="N1152" s="100" t="s">
        <v>1520</v>
      </c>
      <c r="O1152" s="100" t="s">
        <v>4752</v>
      </c>
      <c r="P1152" s="446">
        <v>45429</v>
      </c>
      <c r="Q1152" s="446">
        <v>45429</v>
      </c>
      <c r="R1152" s="446">
        <v>46158</v>
      </c>
      <c r="S1152" s="338">
        <v>46159</v>
      </c>
      <c r="T1152" s="61">
        <v>2015</v>
      </c>
      <c r="U1152" s="63" t="s">
        <v>163</v>
      </c>
      <c r="V1152" s="61">
        <v>2022</v>
      </c>
      <c r="W1152" s="63" t="s">
        <v>10690</v>
      </c>
      <c r="X1152" s="62" t="s">
        <v>30</v>
      </c>
      <c r="Y1152" s="143" t="s">
        <v>1360</v>
      </c>
      <c r="Z1152" s="99" t="s">
        <v>10691</v>
      </c>
      <c r="AA1152" s="63" t="s">
        <v>1841</v>
      </c>
      <c r="AB1152" s="451">
        <v>44142</v>
      </c>
      <c r="AC1152" s="451">
        <v>45967</v>
      </c>
      <c r="AD1152" s="220">
        <v>9959431212</v>
      </c>
      <c r="AE1152" s="336" t="s">
        <v>7512</v>
      </c>
      <c r="AF1152" s="100" t="s">
        <v>1345</v>
      </c>
      <c r="AG1152" s="337" t="s">
        <v>10676</v>
      </c>
      <c r="AH1152" s="62" t="s">
        <v>7513</v>
      </c>
      <c r="AI1152" s="62" t="s">
        <v>7514</v>
      </c>
      <c r="AJ1152" s="337" t="s">
        <v>10677</v>
      </c>
      <c r="AK1152" s="63"/>
      <c r="AL1152" s="446">
        <v>45838</v>
      </c>
      <c r="AM1152" s="477" t="s">
        <v>30</v>
      </c>
      <c r="AN1152" s="100" t="s">
        <v>10678</v>
      </c>
      <c r="AO1152" s="63" t="s">
        <v>10679</v>
      </c>
      <c r="AP1152" s="61">
        <v>35</v>
      </c>
      <c r="AQ1152" s="100"/>
      <c r="AR1152" s="143"/>
      <c r="AS1152" s="338"/>
      <c r="AT1152" s="338"/>
      <c r="AU1152" s="453">
        <v>32823</v>
      </c>
      <c r="AV1152" s="62" t="s">
        <v>1352</v>
      </c>
      <c r="AW1152" s="31" t="s">
        <v>32</v>
      </c>
      <c r="AX1152" s="139">
        <v>2</v>
      </c>
      <c r="AY1152" s="58" t="s">
        <v>2068</v>
      </c>
      <c r="AZ1152" s="58" t="s">
        <v>1373</v>
      </c>
      <c r="BA1152" s="58" t="s">
        <v>151</v>
      </c>
      <c r="BB1152" s="58" t="s">
        <v>1407</v>
      </c>
      <c r="BC1152" s="58"/>
    </row>
    <row r="1153" spans="1:55" x14ac:dyDescent="0.25">
      <c r="A1153" s="10">
        <f t="shared" si="44"/>
        <v>1152</v>
      </c>
      <c r="B1153" s="61" t="s">
        <v>10692</v>
      </c>
      <c r="C1153" s="592" t="s">
        <v>1407</v>
      </c>
      <c r="D1153" s="96">
        <v>401022</v>
      </c>
      <c r="E1153" s="62" t="s">
        <v>36</v>
      </c>
      <c r="F1153" s="97" t="s">
        <v>10693</v>
      </c>
      <c r="G1153" s="61">
        <v>6</v>
      </c>
      <c r="H1153" s="141">
        <v>0.375</v>
      </c>
      <c r="I1153" s="141">
        <v>0.45833333333333331</v>
      </c>
      <c r="J1153" s="458">
        <f>I1153-H1153</f>
        <v>8.3333333333333315E-2</v>
      </c>
      <c r="K1153" s="58" t="s">
        <v>446</v>
      </c>
      <c r="L1153" s="63" t="s">
        <v>30</v>
      </c>
      <c r="M1153" s="97" t="s">
        <v>1376</v>
      </c>
      <c r="N1153" s="58" t="s">
        <v>1393</v>
      </c>
      <c r="O1153" s="100" t="s">
        <v>30</v>
      </c>
      <c r="P1153" s="338">
        <v>45474</v>
      </c>
      <c r="Q1153" s="338">
        <v>45474</v>
      </c>
      <c r="R1153" s="338">
        <v>46203</v>
      </c>
      <c r="S1153" s="338">
        <v>46204</v>
      </c>
      <c r="T1153" s="61">
        <v>2013</v>
      </c>
      <c r="U1153" s="63" t="s">
        <v>5778</v>
      </c>
      <c r="V1153" s="61" t="s">
        <v>1424</v>
      </c>
      <c r="W1153" s="143" t="s">
        <v>1424</v>
      </c>
      <c r="X1153" s="62" t="s">
        <v>30</v>
      </c>
      <c r="Y1153" s="100" t="s">
        <v>226</v>
      </c>
      <c r="Z1153" s="99" t="s">
        <v>10694</v>
      </c>
      <c r="AA1153" s="63" t="s">
        <v>1841</v>
      </c>
      <c r="AB1153" s="451">
        <v>44607</v>
      </c>
      <c r="AC1153" s="451">
        <v>46432</v>
      </c>
      <c r="AD1153" s="220">
        <v>7093648468</v>
      </c>
      <c r="AE1153" s="336" t="s">
        <v>10695</v>
      </c>
      <c r="AF1153" s="100" t="s">
        <v>5912</v>
      </c>
      <c r="AG1153" s="337" t="s">
        <v>10696</v>
      </c>
      <c r="AH1153" s="62" t="s">
        <v>5914</v>
      </c>
      <c r="AI1153" s="62" t="s">
        <v>10697</v>
      </c>
      <c r="AJ1153" s="337" t="s">
        <v>10698</v>
      </c>
      <c r="AK1153" s="63" t="s">
        <v>10699</v>
      </c>
      <c r="AL1153" s="446">
        <v>45838</v>
      </c>
      <c r="AM1153" s="477" t="s">
        <v>30</v>
      </c>
      <c r="AN1153" s="100" t="s">
        <v>10700</v>
      </c>
      <c r="AO1153" s="63" t="s">
        <v>10701</v>
      </c>
      <c r="AP1153" s="61">
        <v>36</v>
      </c>
      <c r="AQ1153" s="100"/>
      <c r="AR1153" s="143"/>
      <c r="AS1153" s="338"/>
      <c r="AT1153" s="338"/>
      <c r="AU1153" s="453">
        <v>32635</v>
      </c>
      <c r="AV1153" s="61" t="s">
        <v>1389</v>
      </c>
      <c r="AW1153" s="31" t="s">
        <v>32</v>
      </c>
      <c r="AX1153" s="139">
        <v>2</v>
      </c>
      <c r="AY1153" s="58" t="s">
        <v>1849</v>
      </c>
      <c r="AZ1153" s="58" t="s">
        <v>1390</v>
      </c>
      <c r="BA1153" s="58" t="s">
        <v>151</v>
      </c>
      <c r="BB1153" s="58" t="s">
        <v>1407</v>
      </c>
      <c r="BC1153" s="58"/>
    </row>
    <row r="1154" spans="1:55" x14ac:dyDescent="0.25">
      <c r="A1154" s="10">
        <f t="shared" si="44"/>
        <v>1153</v>
      </c>
      <c r="B1154" s="181" t="s">
        <v>897</v>
      </c>
      <c r="C1154" s="592" t="s">
        <v>1407</v>
      </c>
      <c r="D1154" s="96">
        <v>401214</v>
      </c>
      <c r="E1154" s="62" t="s">
        <v>36</v>
      </c>
      <c r="F1154" s="97" t="s">
        <v>898</v>
      </c>
      <c r="G1154" s="61">
        <v>6</v>
      </c>
      <c r="H1154" s="141">
        <v>0.70833333333333337</v>
      </c>
      <c r="I1154" s="141">
        <v>0.83333333333333337</v>
      </c>
      <c r="J1154" s="141">
        <v>0.125</v>
      </c>
      <c r="K1154" s="100" t="s">
        <v>5501</v>
      </c>
      <c r="L1154" s="63" t="s">
        <v>900</v>
      </c>
      <c r="M1154" s="63" t="s">
        <v>26</v>
      </c>
      <c r="N1154" s="100" t="s">
        <v>38</v>
      </c>
      <c r="O1154" s="143" t="s">
        <v>5710</v>
      </c>
      <c r="P1154" s="273">
        <v>45768</v>
      </c>
      <c r="Q1154" s="273">
        <v>45768</v>
      </c>
      <c r="R1154" s="273">
        <v>46497</v>
      </c>
      <c r="S1154" s="273">
        <v>46498</v>
      </c>
      <c r="T1154" s="61">
        <v>2019</v>
      </c>
      <c r="U1154" s="63" t="s">
        <v>901</v>
      </c>
      <c r="V1154" s="61">
        <v>2025</v>
      </c>
      <c r="W1154" s="100" t="s">
        <v>901</v>
      </c>
      <c r="X1154" s="62" t="s">
        <v>30</v>
      </c>
      <c r="Y1154" s="100" t="s">
        <v>97</v>
      </c>
      <c r="Z1154" s="333" t="s">
        <v>3913</v>
      </c>
      <c r="AA1154" s="63" t="s">
        <v>1841</v>
      </c>
      <c r="AB1154" s="451">
        <v>45731</v>
      </c>
      <c r="AC1154" s="451">
        <v>47556</v>
      </c>
      <c r="AD1154" s="139">
        <v>9550109796</v>
      </c>
      <c r="AE1154" s="473" t="s">
        <v>902</v>
      </c>
      <c r="AF1154" s="100" t="s">
        <v>1690</v>
      </c>
      <c r="AG1154" s="337" t="s">
        <v>3914</v>
      </c>
      <c r="AH1154" s="62" t="s">
        <v>3915</v>
      </c>
      <c r="AI1154" s="62" t="s">
        <v>3916</v>
      </c>
      <c r="AJ1154" s="493">
        <v>767559298626</v>
      </c>
      <c r="AK1154" s="63" t="s">
        <v>3918</v>
      </c>
      <c r="AL1154" s="338" t="s">
        <v>30</v>
      </c>
      <c r="AM1154" s="446" t="s">
        <v>30</v>
      </c>
      <c r="AN1154" s="100" t="s">
        <v>10702</v>
      </c>
      <c r="AO1154" s="63" t="s">
        <v>3919</v>
      </c>
      <c r="AP1154" s="61">
        <v>28</v>
      </c>
      <c r="AQ1154" s="100"/>
      <c r="AR1154" s="143"/>
      <c r="AS1154" s="338"/>
      <c r="AT1154" s="338"/>
      <c r="AU1154" s="453">
        <v>35534</v>
      </c>
      <c r="AV1154" s="62" t="s">
        <v>1389</v>
      </c>
      <c r="AW1154" s="31" t="s">
        <v>32</v>
      </c>
      <c r="AX1154" s="139">
        <v>3</v>
      </c>
      <c r="AY1154" s="58" t="s">
        <v>2006</v>
      </c>
      <c r="AZ1154" s="58" t="s">
        <v>26</v>
      </c>
      <c r="BA1154" s="58" t="s">
        <v>151</v>
      </c>
      <c r="BB1154" s="58" t="s">
        <v>1407</v>
      </c>
      <c r="BC1154" s="58"/>
    </row>
    <row r="1155" spans="1:55" x14ac:dyDescent="0.25">
      <c r="A1155" s="10">
        <f t="shared" si="44"/>
        <v>1154</v>
      </c>
      <c r="B1155" s="61" t="s">
        <v>10703</v>
      </c>
      <c r="C1155" s="592" t="s">
        <v>1407</v>
      </c>
      <c r="D1155" s="550">
        <v>401229</v>
      </c>
      <c r="E1155" s="62" t="s">
        <v>36</v>
      </c>
      <c r="F1155" s="97" t="s">
        <v>10704</v>
      </c>
      <c r="G1155" s="61">
        <v>6</v>
      </c>
      <c r="H1155" s="141">
        <v>0.375</v>
      </c>
      <c r="I1155" s="443" t="s">
        <v>989</v>
      </c>
      <c r="J1155" s="458">
        <f t="shared" ref="J1155:J1162" si="46">I1155-H1155</f>
        <v>0.33333333333333337</v>
      </c>
      <c r="K1155" s="143" t="s">
        <v>850</v>
      </c>
      <c r="L1155" s="63" t="s">
        <v>10705</v>
      </c>
      <c r="M1155" s="59" t="s">
        <v>26</v>
      </c>
      <c r="N1155" s="271" t="s">
        <v>38</v>
      </c>
      <c r="O1155" s="143" t="s">
        <v>1492</v>
      </c>
      <c r="P1155" s="273">
        <v>45779</v>
      </c>
      <c r="Q1155" s="273">
        <v>45824</v>
      </c>
      <c r="R1155" s="273">
        <v>46508</v>
      </c>
      <c r="S1155" s="273">
        <v>46509</v>
      </c>
      <c r="T1155" s="79">
        <v>2012</v>
      </c>
      <c r="U1155" s="97" t="s">
        <v>957</v>
      </c>
      <c r="V1155" s="64">
        <v>2025</v>
      </c>
      <c r="W1155" s="58" t="s">
        <v>10706</v>
      </c>
      <c r="X1155" s="64" t="s">
        <v>30</v>
      </c>
      <c r="Y1155" s="100" t="s">
        <v>49</v>
      </c>
      <c r="Z1155" s="333" t="s">
        <v>10707</v>
      </c>
      <c r="AA1155" s="59" t="s">
        <v>1841</v>
      </c>
      <c r="AB1155" s="273">
        <v>45755</v>
      </c>
      <c r="AC1155" s="273">
        <v>47580</v>
      </c>
      <c r="AD1155" s="139">
        <v>9959156572</v>
      </c>
      <c r="AE1155" s="473" t="s">
        <v>10708</v>
      </c>
      <c r="AF1155" s="100" t="s">
        <v>1805</v>
      </c>
      <c r="AG1155" s="177" t="s">
        <v>10709</v>
      </c>
      <c r="AH1155" s="62" t="s">
        <v>10710</v>
      </c>
      <c r="AI1155" s="62" t="s">
        <v>10711</v>
      </c>
      <c r="AJ1155" s="337" t="s">
        <v>10712</v>
      </c>
      <c r="AK1155" s="63" t="s">
        <v>10713</v>
      </c>
      <c r="AL1155" s="338">
        <v>45838</v>
      </c>
      <c r="AM1155" s="446" t="s">
        <v>10714</v>
      </c>
      <c r="AN1155" s="100" t="s">
        <v>1765</v>
      </c>
      <c r="AO1155" s="63" t="s">
        <v>10715</v>
      </c>
      <c r="AP1155" s="61">
        <v>36</v>
      </c>
      <c r="AQ1155" s="100" t="s">
        <v>1371</v>
      </c>
      <c r="AR1155" s="58" t="s">
        <v>10716</v>
      </c>
      <c r="AS1155" s="181">
        <v>45786</v>
      </c>
      <c r="AT1155" s="181">
        <v>46150</v>
      </c>
      <c r="AU1155" s="273">
        <v>32478</v>
      </c>
      <c r="AV1155" s="64" t="s">
        <v>1352</v>
      </c>
      <c r="AW1155" s="31" t="s">
        <v>68</v>
      </c>
      <c r="AX1155" s="139">
        <v>8</v>
      </c>
      <c r="AY1155" s="58" t="s">
        <v>1904</v>
      </c>
      <c r="AZ1155" s="58" t="s">
        <v>26</v>
      </c>
      <c r="BA1155" s="58" t="s">
        <v>151</v>
      </c>
      <c r="BB1155" s="58" t="s">
        <v>1407</v>
      </c>
      <c r="BC1155" s="58"/>
    </row>
    <row r="1156" spans="1:55" x14ac:dyDescent="0.25">
      <c r="A1156" s="10">
        <f t="shared" ref="A1156:A1204" si="47">A1155+1</f>
        <v>1155</v>
      </c>
      <c r="B1156" s="61" t="s">
        <v>10717</v>
      </c>
      <c r="C1156" s="592" t="s">
        <v>1407</v>
      </c>
      <c r="D1156" s="96">
        <v>401105</v>
      </c>
      <c r="E1156" s="62" t="s">
        <v>36</v>
      </c>
      <c r="F1156" s="97" t="s">
        <v>10718</v>
      </c>
      <c r="G1156" s="61">
        <v>6</v>
      </c>
      <c r="H1156" s="141">
        <v>0.39583333333333331</v>
      </c>
      <c r="I1156" s="141">
        <v>0.52083333333333337</v>
      </c>
      <c r="J1156" s="458">
        <f t="shared" si="46"/>
        <v>0.12500000000000006</v>
      </c>
      <c r="K1156" s="100" t="s">
        <v>1089</v>
      </c>
      <c r="L1156" s="63" t="s">
        <v>10719</v>
      </c>
      <c r="M1156" s="63" t="s">
        <v>26</v>
      </c>
      <c r="N1156" s="100" t="s">
        <v>38</v>
      </c>
      <c r="O1156" s="143" t="s">
        <v>1492</v>
      </c>
      <c r="P1156" s="273">
        <v>45597</v>
      </c>
      <c r="Q1156" s="338">
        <v>45597</v>
      </c>
      <c r="R1156" s="338">
        <v>46326</v>
      </c>
      <c r="S1156" s="338">
        <v>46327</v>
      </c>
      <c r="T1156" s="61">
        <v>2012</v>
      </c>
      <c r="U1156" s="63" t="s">
        <v>10720</v>
      </c>
      <c r="V1156" s="61">
        <v>2018</v>
      </c>
      <c r="W1156" s="143" t="s">
        <v>7690</v>
      </c>
      <c r="X1156" s="62" t="s">
        <v>3207</v>
      </c>
      <c r="Y1156" s="100" t="s">
        <v>394</v>
      </c>
      <c r="Z1156" s="99" t="s">
        <v>10721</v>
      </c>
      <c r="AA1156" s="63" t="s">
        <v>1841</v>
      </c>
      <c r="AB1156" s="451">
        <v>44987</v>
      </c>
      <c r="AC1156" s="451">
        <v>46813</v>
      </c>
      <c r="AD1156" s="220">
        <v>8801833566</v>
      </c>
      <c r="AE1156" s="336" t="s">
        <v>10722</v>
      </c>
      <c r="AF1156" s="100" t="s">
        <v>10362</v>
      </c>
      <c r="AG1156" s="337" t="s">
        <v>10723</v>
      </c>
      <c r="AH1156" s="62" t="s">
        <v>10724</v>
      </c>
      <c r="AI1156" s="62" t="s">
        <v>10725</v>
      </c>
      <c r="AJ1156" s="337" t="s">
        <v>10726</v>
      </c>
      <c r="AK1156" s="63" t="s">
        <v>10727</v>
      </c>
      <c r="AL1156" s="338">
        <v>45842</v>
      </c>
      <c r="AM1156" s="446">
        <v>45782</v>
      </c>
      <c r="AN1156" s="63" t="s">
        <v>895</v>
      </c>
      <c r="AO1156" s="63" t="s">
        <v>10728</v>
      </c>
      <c r="AP1156" s="61">
        <v>37</v>
      </c>
      <c r="AQ1156" s="100"/>
      <c r="AR1156" s="143"/>
      <c r="AS1156" s="338"/>
      <c r="AT1156" s="338"/>
      <c r="AU1156" s="453">
        <v>32344</v>
      </c>
      <c r="AV1156" s="62" t="s">
        <v>1352</v>
      </c>
      <c r="AW1156" s="31" t="s">
        <v>32</v>
      </c>
      <c r="AX1156" s="139">
        <v>3</v>
      </c>
      <c r="AY1156" s="58" t="s">
        <v>2189</v>
      </c>
      <c r="AZ1156" s="58" t="s">
        <v>26</v>
      </c>
      <c r="BA1156" s="58" t="s">
        <v>151</v>
      </c>
      <c r="BB1156" s="58" t="s">
        <v>1407</v>
      </c>
      <c r="BC1156" s="58"/>
    </row>
    <row r="1157" spans="1:55" x14ac:dyDescent="0.25">
      <c r="A1157" s="10">
        <f t="shared" si="47"/>
        <v>1156</v>
      </c>
      <c r="B1157" s="61" t="s">
        <v>10729</v>
      </c>
      <c r="C1157" s="592" t="s">
        <v>1407</v>
      </c>
      <c r="D1157" s="96">
        <v>401189</v>
      </c>
      <c r="E1157" s="62" t="s">
        <v>36</v>
      </c>
      <c r="F1157" s="97" t="s">
        <v>10730</v>
      </c>
      <c r="G1157" s="61">
        <v>6</v>
      </c>
      <c r="H1157" s="141">
        <v>0.75</v>
      </c>
      <c r="I1157" s="141">
        <v>0.83333333333333337</v>
      </c>
      <c r="J1157" s="458">
        <f t="shared" si="46"/>
        <v>8.333333333333337E-2</v>
      </c>
      <c r="K1157" s="100" t="s">
        <v>1187</v>
      </c>
      <c r="L1157" s="63" t="s">
        <v>10731</v>
      </c>
      <c r="M1157" s="63" t="s">
        <v>26</v>
      </c>
      <c r="N1157" s="100" t="s">
        <v>38</v>
      </c>
      <c r="O1157" s="143" t="s">
        <v>1492</v>
      </c>
      <c r="P1157" s="273">
        <v>45733</v>
      </c>
      <c r="Q1157" s="273">
        <v>45733</v>
      </c>
      <c r="R1157" s="273">
        <v>46462</v>
      </c>
      <c r="S1157" s="273">
        <v>46463</v>
      </c>
      <c r="T1157" s="61">
        <v>2011</v>
      </c>
      <c r="U1157" s="97" t="s">
        <v>380</v>
      </c>
      <c r="V1157" s="61">
        <v>2015</v>
      </c>
      <c r="W1157" s="462" t="s">
        <v>10732</v>
      </c>
      <c r="X1157" s="62"/>
      <c r="Y1157" s="143" t="s">
        <v>66</v>
      </c>
      <c r="Z1157" s="333" t="s">
        <v>10733</v>
      </c>
      <c r="AA1157" s="63" t="s">
        <v>1841</v>
      </c>
      <c r="AB1157" s="451">
        <v>44977</v>
      </c>
      <c r="AC1157" s="451">
        <v>46802</v>
      </c>
      <c r="AD1157" s="61">
        <v>9010160170</v>
      </c>
      <c r="AE1157" s="336" t="s">
        <v>10734</v>
      </c>
      <c r="AF1157" s="100" t="s">
        <v>1400</v>
      </c>
      <c r="AG1157" s="337" t="s">
        <v>10735</v>
      </c>
      <c r="AH1157" s="62" t="s">
        <v>10736</v>
      </c>
      <c r="AI1157" s="62" t="s">
        <v>10737</v>
      </c>
      <c r="AJ1157" s="337" t="s">
        <v>10738</v>
      </c>
      <c r="AK1157" s="63" t="s">
        <v>10739</v>
      </c>
      <c r="AL1157" s="338">
        <v>45843</v>
      </c>
      <c r="AM1157" s="446">
        <v>45821</v>
      </c>
      <c r="AN1157" s="63" t="s">
        <v>10740</v>
      </c>
      <c r="AO1157" s="63" t="s">
        <v>10741</v>
      </c>
      <c r="AP1157" s="61">
        <v>38</v>
      </c>
      <c r="AQ1157" s="100"/>
      <c r="AR1157" s="143"/>
      <c r="AS1157" s="338"/>
      <c r="AT1157" s="338"/>
      <c r="AU1157" s="453">
        <v>31816</v>
      </c>
      <c r="AV1157" s="62" t="s">
        <v>1389</v>
      </c>
      <c r="AW1157" s="31" t="s">
        <v>32</v>
      </c>
      <c r="AX1157" s="139">
        <v>2</v>
      </c>
      <c r="AY1157" s="58" t="s">
        <v>2006</v>
      </c>
      <c r="AZ1157" s="58" t="s">
        <v>26</v>
      </c>
      <c r="BA1157" s="58" t="s">
        <v>151</v>
      </c>
      <c r="BB1157" s="58" t="s">
        <v>1407</v>
      </c>
      <c r="BC1157" s="58"/>
    </row>
    <row r="1158" spans="1:55" x14ac:dyDescent="0.25">
      <c r="A1158" s="10">
        <f t="shared" si="47"/>
        <v>1157</v>
      </c>
      <c r="B1158" s="61" t="s">
        <v>9805</v>
      </c>
      <c r="C1158" s="592" t="s">
        <v>1407</v>
      </c>
      <c r="D1158" s="459">
        <v>401243</v>
      </c>
      <c r="E1158" s="62" t="s">
        <v>36</v>
      </c>
      <c r="F1158" s="97" t="s">
        <v>9806</v>
      </c>
      <c r="G1158" s="64">
        <v>6</v>
      </c>
      <c r="H1158" s="141">
        <v>0.375</v>
      </c>
      <c r="I1158" s="443" t="s">
        <v>989</v>
      </c>
      <c r="J1158" s="458">
        <f t="shared" si="46"/>
        <v>0.33333333333333337</v>
      </c>
      <c r="K1158" s="58" t="s">
        <v>1151</v>
      </c>
      <c r="L1158" s="59" t="s">
        <v>30</v>
      </c>
      <c r="M1158" s="63" t="s">
        <v>1355</v>
      </c>
      <c r="N1158" s="100" t="s">
        <v>1520</v>
      </c>
      <c r="O1158" s="143" t="s">
        <v>4752</v>
      </c>
      <c r="P1158" s="273">
        <v>45798</v>
      </c>
      <c r="Q1158" s="273">
        <v>45798</v>
      </c>
      <c r="R1158" s="273">
        <v>46527</v>
      </c>
      <c r="S1158" s="273">
        <v>46528</v>
      </c>
      <c r="T1158" s="79">
        <v>2017</v>
      </c>
      <c r="U1158" s="140" t="s">
        <v>715</v>
      </c>
      <c r="V1158" s="64">
        <v>2023</v>
      </c>
      <c r="W1158" s="271" t="s">
        <v>695</v>
      </c>
      <c r="X1158" s="64" t="s">
        <v>30</v>
      </c>
      <c r="Y1158" s="100" t="s">
        <v>1360</v>
      </c>
      <c r="Z1158" s="59" t="s">
        <v>9807</v>
      </c>
      <c r="AA1158" s="59" t="s">
        <v>1886</v>
      </c>
      <c r="AB1158" s="273">
        <v>45352</v>
      </c>
      <c r="AC1158" s="273">
        <v>47177</v>
      </c>
      <c r="AD1158" s="220">
        <v>8332921179</v>
      </c>
      <c r="AE1158" s="336" t="s">
        <v>10742</v>
      </c>
      <c r="AF1158" s="100" t="s">
        <v>1345</v>
      </c>
      <c r="AG1158" s="337" t="s">
        <v>10743</v>
      </c>
      <c r="AH1158" s="62" t="s">
        <v>4441</v>
      </c>
      <c r="AI1158" s="62" t="s">
        <v>9809</v>
      </c>
      <c r="AJ1158" s="337" t="s">
        <v>10744</v>
      </c>
      <c r="AK1158" s="63" t="s">
        <v>10745</v>
      </c>
      <c r="AL1158" s="446">
        <v>45844</v>
      </c>
      <c r="AM1158" s="446" t="s">
        <v>30</v>
      </c>
      <c r="AN1158" s="100" t="s">
        <v>4363</v>
      </c>
      <c r="AO1158" s="63" t="s">
        <v>10746</v>
      </c>
      <c r="AP1158" s="61">
        <v>30</v>
      </c>
      <c r="AQ1158" s="100"/>
      <c r="AR1158" s="143"/>
      <c r="AS1158" s="338"/>
      <c r="AT1158" s="338"/>
      <c r="AU1158" s="273">
        <v>34855</v>
      </c>
      <c r="AV1158" s="64" t="s">
        <v>1389</v>
      </c>
      <c r="AW1158" s="31" t="s">
        <v>68</v>
      </c>
      <c r="AX1158" s="139">
        <v>8</v>
      </c>
      <c r="AY1158" s="58" t="s">
        <v>1895</v>
      </c>
      <c r="AZ1158" s="58" t="s">
        <v>1373</v>
      </c>
      <c r="BA1158" s="58" t="s">
        <v>151</v>
      </c>
      <c r="BB1158" s="58" t="s">
        <v>1407</v>
      </c>
      <c r="BC1158" s="100"/>
    </row>
    <row r="1159" spans="1:55" x14ac:dyDescent="0.25">
      <c r="A1159" s="10">
        <f t="shared" si="47"/>
        <v>1158</v>
      </c>
      <c r="B1159" s="61" t="s">
        <v>10747</v>
      </c>
      <c r="C1159" s="592" t="s">
        <v>1407</v>
      </c>
      <c r="D1159" s="96">
        <v>401198</v>
      </c>
      <c r="E1159" s="62" t="s">
        <v>36</v>
      </c>
      <c r="F1159" s="97" t="s">
        <v>10748</v>
      </c>
      <c r="G1159" s="61">
        <v>6</v>
      </c>
      <c r="H1159" s="141">
        <v>0.375</v>
      </c>
      <c r="I1159" s="141">
        <v>0.70833333333333337</v>
      </c>
      <c r="J1159" s="458">
        <f t="shared" si="46"/>
        <v>0.33333333333333337</v>
      </c>
      <c r="K1159" s="462" t="s">
        <v>6991</v>
      </c>
      <c r="L1159" s="140" t="s">
        <v>10749</v>
      </c>
      <c r="M1159" s="63" t="s">
        <v>26</v>
      </c>
      <c r="N1159" s="100" t="s">
        <v>38</v>
      </c>
      <c r="O1159" s="143" t="s">
        <v>1492</v>
      </c>
      <c r="P1159" s="273">
        <v>45749</v>
      </c>
      <c r="Q1159" s="273">
        <v>45749</v>
      </c>
      <c r="R1159" s="273">
        <v>46478</v>
      </c>
      <c r="S1159" s="273">
        <v>46479</v>
      </c>
      <c r="T1159" s="61">
        <v>2018</v>
      </c>
      <c r="U1159" s="140" t="s">
        <v>10750</v>
      </c>
      <c r="V1159" s="61">
        <v>2024</v>
      </c>
      <c r="W1159" s="462" t="s">
        <v>10751</v>
      </c>
      <c r="X1159" s="62" t="s">
        <v>30</v>
      </c>
      <c r="Y1159" s="100" t="s">
        <v>49</v>
      </c>
      <c r="Z1159" s="140" t="s">
        <v>10752</v>
      </c>
      <c r="AA1159" s="63" t="s">
        <v>1841</v>
      </c>
      <c r="AB1159" s="451">
        <v>45741</v>
      </c>
      <c r="AC1159" s="451">
        <v>47566</v>
      </c>
      <c r="AD1159" s="139">
        <v>9963159522</v>
      </c>
      <c r="AE1159" s="467" t="s">
        <v>10753</v>
      </c>
      <c r="AF1159" s="100" t="s">
        <v>2545</v>
      </c>
      <c r="AG1159" s="177" t="s">
        <v>10754</v>
      </c>
      <c r="AH1159" s="62" t="s">
        <v>10755</v>
      </c>
      <c r="AI1159" s="62" t="s">
        <v>10756</v>
      </c>
      <c r="AJ1159" s="337" t="s">
        <v>10757</v>
      </c>
      <c r="AK1159" s="63" t="s">
        <v>10758</v>
      </c>
      <c r="AL1159" s="338">
        <v>45860</v>
      </c>
      <c r="AM1159" s="446">
        <v>45854</v>
      </c>
      <c r="AN1159" s="63" t="s">
        <v>10759</v>
      </c>
      <c r="AO1159" s="63" t="s">
        <v>10760</v>
      </c>
      <c r="AP1159" s="61">
        <v>29</v>
      </c>
      <c r="AQ1159" s="100"/>
      <c r="AR1159" s="551"/>
      <c r="AS1159" s="338"/>
      <c r="AT1159" s="338"/>
      <c r="AU1159" s="453">
        <v>35086</v>
      </c>
      <c r="AV1159" s="62" t="s">
        <v>1352</v>
      </c>
      <c r="AW1159" s="31" t="s">
        <v>68</v>
      </c>
      <c r="AX1159" s="139">
        <v>8</v>
      </c>
      <c r="AY1159" s="58" t="s">
        <v>2006</v>
      </c>
      <c r="AZ1159" s="58" t="s">
        <v>26</v>
      </c>
      <c r="BA1159" s="58" t="s">
        <v>151</v>
      </c>
      <c r="BB1159" s="58" t="s">
        <v>1407</v>
      </c>
      <c r="BC1159" s="58"/>
    </row>
    <row r="1160" spans="1:55" x14ac:dyDescent="0.25">
      <c r="A1160" s="10">
        <f t="shared" si="47"/>
        <v>1159</v>
      </c>
      <c r="B1160" s="61" t="s">
        <v>1222</v>
      </c>
      <c r="C1160" s="592" t="s">
        <v>1407</v>
      </c>
      <c r="D1160" s="96">
        <v>401239</v>
      </c>
      <c r="E1160" s="62" t="s">
        <v>36</v>
      </c>
      <c r="F1160" s="97" t="s">
        <v>1223</v>
      </c>
      <c r="G1160" s="64">
        <v>6</v>
      </c>
      <c r="H1160" s="141">
        <v>0.375</v>
      </c>
      <c r="I1160" s="443" t="s">
        <v>989</v>
      </c>
      <c r="J1160" s="458">
        <f t="shared" si="46"/>
        <v>0.33333333333333337</v>
      </c>
      <c r="K1160" s="100" t="s">
        <v>1224</v>
      </c>
      <c r="L1160" s="59" t="s">
        <v>1225</v>
      </c>
      <c r="M1160" s="59" t="s">
        <v>26</v>
      </c>
      <c r="N1160" s="271" t="s">
        <v>38</v>
      </c>
      <c r="O1160" s="143" t="s">
        <v>1492</v>
      </c>
      <c r="P1160" s="273">
        <v>45792</v>
      </c>
      <c r="Q1160" s="273">
        <v>45792</v>
      </c>
      <c r="R1160" s="273">
        <v>46521</v>
      </c>
      <c r="S1160" s="273">
        <v>46522</v>
      </c>
      <c r="T1160" s="79">
        <v>2018</v>
      </c>
      <c r="U1160" s="59" t="s">
        <v>169</v>
      </c>
      <c r="V1160" s="64">
        <v>2023</v>
      </c>
      <c r="W1160" s="271" t="s">
        <v>924</v>
      </c>
      <c r="X1160" s="64" t="s">
        <v>30</v>
      </c>
      <c r="Y1160" s="100" t="s">
        <v>49</v>
      </c>
      <c r="Z1160" s="59" t="s">
        <v>4647</v>
      </c>
      <c r="AA1160" s="59" t="s">
        <v>1841</v>
      </c>
      <c r="AB1160" s="273">
        <v>45687</v>
      </c>
      <c r="AC1160" s="273">
        <v>47512</v>
      </c>
      <c r="AD1160" s="61">
        <v>9441185397</v>
      </c>
      <c r="AE1160" s="336" t="s">
        <v>1226</v>
      </c>
      <c r="AF1160" s="100" t="s">
        <v>1690</v>
      </c>
      <c r="AG1160" s="337" t="s">
        <v>4648</v>
      </c>
      <c r="AH1160" s="62" t="s">
        <v>4649</v>
      </c>
      <c r="AI1160" s="62" t="s">
        <v>4650</v>
      </c>
      <c r="AJ1160" s="337" t="s">
        <v>4651</v>
      </c>
      <c r="AK1160" s="63" t="s">
        <v>4652</v>
      </c>
      <c r="AL1160" s="338">
        <v>45860</v>
      </c>
      <c r="AM1160" s="446" t="s">
        <v>30</v>
      </c>
      <c r="AN1160" s="100" t="s">
        <v>1592</v>
      </c>
      <c r="AO1160" s="63" t="s">
        <v>4653</v>
      </c>
      <c r="AP1160" s="61">
        <v>29</v>
      </c>
      <c r="AQ1160" s="100" t="s">
        <v>1371</v>
      </c>
      <c r="AR1160" s="143" t="s">
        <v>4654</v>
      </c>
      <c r="AS1160" s="338">
        <v>45790</v>
      </c>
      <c r="AT1160" s="338">
        <v>46154</v>
      </c>
      <c r="AU1160" s="273">
        <v>34989</v>
      </c>
      <c r="AV1160" s="64" t="s">
        <v>1352</v>
      </c>
      <c r="AW1160" s="31" t="s">
        <v>68</v>
      </c>
      <c r="AX1160" s="139">
        <v>8</v>
      </c>
      <c r="AY1160" s="58" t="s">
        <v>2006</v>
      </c>
      <c r="AZ1160" s="58" t="s">
        <v>26</v>
      </c>
      <c r="BA1160" s="58" t="s">
        <v>151</v>
      </c>
      <c r="BB1160" s="58" t="s">
        <v>1407</v>
      </c>
      <c r="BC1160" s="100"/>
    </row>
    <row r="1161" spans="1:55" x14ac:dyDescent="0.25">
      <c r="A1161" s="10">
        <f t="shared" si="47"/>
        <v>1160</v>
      </c>
      <c r="B1161" s="61" t="s">
        <v>10761</v>
      </c>
      <c r="C1161" s="592" t="s">
        <v>1407</v>
      </c>
      <c r="D1161" s="96">
        <v>400017</v>
      </c>
      <c r="E1161" s="62" t="s">
        <v>36</v>
      </c>
      <c r="F1161" s="97" t="s">
        <v>10762</v>
      </c>
      <c r="G1161" s="61">
        <v>6</v>
      </c>
      <c r="H1161" s="141">
        <v>0.33333333333333331</v>
      </c>
      <c r="I1161" s="141">
        <v>0.66666666666666663</v>
      </c>
      <c r="J1161" s="458">
        <f t="shared" si="46"/>
        <v>0.33333333333333331</v>
      </c>
      <c r="K1161" s="143" t="s">
        <v>1884</v>
      </c>
      <c r="L1161" s="63" t="s">
        <v>2015</v>
      </c>
      <c r="M1161" s="63" t="s">
        <v>1355</v>
      </c>
      <c r="N1161" s="100" t="s">
        <v>1520</v>
      </c>
      <c r="O1161" s="100" t="s">
        <v>4752</v>
      </c>
      <c r="P1161" s="446">
        <v>42005</v>
      </c>
      <c r="Q1161" s="446">
        <v>45748</v>
      </c>
      <c r="R1161" s="446">
        <v>46477</v>
      </c>
      <c r="S1161" s="338">
        <v>46478</v>
      </c>
      <c r="T1161" s="61">
        <v>2001</v>
      </c>
      <c r="U1161" s="63" t="s">
        <v>10613</v>
      </c>
      <c r="V1161" s="61">
        <v>2008</v>
      </c>
      <c r="W1161" s="99" t="s">
        <v>424</v>
      </c>
      <c r="X1161" s="62" t="s">
        <v>30</v>
      </c>
      <c r="Y1161" s="143" t="s">
        <v>1360</v>
      </c>
      <c r="Z1161" s="99" t="s">
        <v>10763</v>
      </c>
      <c r="AA1161" s="63" t="s">
        <v>1886</v>
      </c>
      <c r="AB1161" s="451">
        <v>45617</v>
      </c>
      <c r="AC1161" s="451">
        <v>47442</v>
      </c>
      <c r="AD1161" s="220" t="s">
        <v>10764</v>
      </c>
      <c r="AE1161" s="336" t="s">
        <v>10765</v>
      </c>
      <c r="AF1161" s="100" t="s">
        <v>1430</v>
      </c>
      <c r="AG1161" s="337" t="s">
        <v>10766</v>
      </c>
      <c r="AH1161" s="62" t="s">
        <v>2027</v>
      </c>
      <c r="AI1161" s="62" t="s">
        <v>10767</v>
      </c>
      <c r="AJ1161" s="337" t="s">
        <v>10768</v>
      </c>
      <c r="AK1161" s="63" t="s">
        <v>10769</v>
      </c>
      <c r="AL1161" s="446">
        <v>45869</v>
      </c>
      <c r="AM1161" s="446">
        <v>45810</v>
      </c>
      <c r="AN1161" s="63" t="s">
        <v>10366</v>
      </c>
      <c r="AO1161" s="63" t="s">
        <v>10770</v>
      </c>
      <c r="AP1161" s="61">
        <v>48</v>
      </c>
      <c r="AQ1161" s="100"/>
      <c r="AR1161" s="143"/>
      <c r="AS1161" s="338"/>
      <c r="AT1161" s="338"/>
      <c r="AU1161" s="453">
        <v>28236</v>
      </c>
      <c r="AV1161" s="62" t="s">
        <v>1352</v>
      </c>
      <c r="AW1161" s="31" t="s">
        <v>68</v>
      </c>
      <c r="AX1161" s="139">
        <v>8</v>
      </c>
      <c r="AY1161" s="466" t="s">
        <v>1895</v>
      </c>
      <c r="AZ1161" s="58" t="s">
        <v>1373</v>
      </c>
      <c r="BA1161" s="58" t="s">
        <v>151</v>
      </c>
      <c r="BB1161" s="58" t="s">
        <v>1407</v>
      </c>
      <c r="BC1161" s="58"/>
    </row>
    <row r="1162" spans="1:55" x14ac:dyDescent="0.25">
      <c r="A1162" s="10">
        <f t="shared" si="47"/>
        <v>1161</v>
      </c>
      <c r="B1162" s="61" t="s">
        <v>6666</v>
      </c>
      <c r="C1162" s="592" t="s">
        <v>1407</v>
      </c>
      <c r="D1162" s="96">
        <v>401032</v>
      </c>
      <c r="E1162" s="62" t="s">
        <v>36</v>
      </c>
      <c r="F1162" s="97" t="s">
        <v>10771</v>
      </c>
      <c r="G1162" s="64">
        <v>6</v>
      </c>
      <c r="H1162" s="141">
        <v>0.375</v>
      </c>
      <c r="I1162" s="141">
        <v>0.70833333333333337</v>
      </c>
      <c r="J1162" s="458">
        <f t="shared" si="46"/>
        <v>0.33333333333333337</v>
      </c>
      <c r="K1162" s="143" t="s">
        <v>640</v>
      </c>
      <c r="L1162" s="63" t="s">
        <v>10772</v>
      </c>
      <c r="M1162" s="63" t="s">
        <v>26</v>
      </c>
      <c r="N1162" s="100" t="s">
        <v>38</v>
      </c>
      <c r="O1162" s="143" t="s">
        <v>1492</v>
      </c>
      <c r="P1162" s="273">
        <v>45495</v>
      </c>
      <c r="Q1162" s="338">
        <v>45495</v>
      </c>
      <c r="R1162" s="338">
        <v>46224</v>
      </c>
      <c r="S1162" s="338">
        <v>46225</v>
      </c>
      <c r="T1162" s="61">
        <v>2012</v>
      </c>
      <c r="U1162" s="63" t="s">
        <v>10773</v>
      </c>
      <c r="V1162" s="61">
        <v>2020</v>
      </c>
      <c r="W1162" s="100" t="s">
        <v>406</v>
      </c>
      <c r="X1162" s="62" t="s">
        <v>30</v>
      </c>
      <c r="Y1162" s="100" t="s">
        <v>49</v>
      </c>
      <c r="Z1162" s="99" t="s">
        <v>10774</v>
      </c>
      <c r="AA1162" s="63" t="s">
        <v>1841</v>
      </c>
      <c r="AB1162" s="338">
        <v>44246</v>
      </c>
      <c r="AC1162" s="338">
        <v>46071</v>
      </c>
      <c r="AD1162" s="220">
        <v>8790155528</v>
      </c>
      <c r="AE1162" s="552" t="s">
        <v>10775</v>
      </c>
      <c r="AF1162" s="100" t="s">
        <v>1759</v>
      </c>
      <c r="AG1162" s="337" t="s">
        <v>6672</v>
      </c>
      <c r="AH1162" s="62" t="s">
        <v>3754</v>
      </c>
      <c r="AI1162" s="62" t="s">
        <v>6673</v>
      </c>
      <c r="AJ1162" s="337" t="s">
        <v>6674</v>
      </c>
      <c r="AK1162" s="63" t="s">
        <v>6675</v>
      </c>
      <c r="AL1162" s="338">
        <v>45869</v>
      </c>
      <c r="AM1162" s="446">
        <v>45813</v>
      </c>
      <c r="AN1162" s="63" t="s">
        <v>10776</v>
      </c>
      <c r="AO1162" s="63" t="s">
        <v>10777</v>
      </c>
      <c r="AP1162" s="61">
        <v>36</v>
      </c>
      <c r="AQ1162" s="100"/>
      <c r="AR1162" s="143"/>
      <c r="AS1162" s="338"/>
      <c r="AT1162" s="338"/>
      <c r="AU1162" s="338">
        <v>32744</v>
      </c>
      <c r="AV1162" s="62" t="s">
        <v>1389</v>
      </c>
      <c r="AW1162" s="31" t="s">
        <v>68</v>
      </c>
      <c r="AX1162" s="139">
        <v>8</v>
      </c>
      <c r="AY1162" s="58" t="s">
        <v>2068</v>
      </c>
      <c r="AZ1162" s="58" t="s">
        <v>26</v>
      </c>
      <c r="BA1162" s="58" t="s">
        <v>151</v>
      </c>
      <c r="BB1162" s="58" t="s">
        <v>1407</v>
      </c>
      <c r="BC1162" s="58"/>
    </row>
    <row r="1163" spans="1:55" x14ac:dyDescent="0.25">
      <c r="A1163" s="10">
        <f t="shared" si="47"/>
        <v>1162</v>
      </c>
      <c r="B1163" s="61" t="s">
        <v>10778</v>
      </c>
      <c r="C1163" s="592" t="s">
        <v>1407</v>
      </c>
      <c r="D1163" s="96">
        <v>401200</v>
      </c>
      <c r="E1163" s="62" t="s">
        <v>36</v>
      </c>
      <c r="F1163" s="97" t="s">
        <v>10779</v>
      </c>
      <c r="G1163" s="139">
        <v>6</v>
      </c>
      <c r="H1163" s="141">
        <v>0.375</v>
      </c>
      <c r="I1163" s="141">
        <v>0.70833333333333337</v>
      </c>
      <c r="J1163" s="443">
        <v>0.33333333333333331</v>
      </c>
      <c r="K1163" s="143" t="s">
        <v>538</v>
      </c>
      <c r="L1163" s="99" t="s">
        <v>10780</v>
      </c>
      <c r="M1163" s="63" t="s">
        <v>26</v>
      </c>
      <c r="N1163" s="100" t="s">
        <v>38</v>
      </c>
      <c r="O1163" s="143" t="s">
        <v>1492</v>
      </c>
      <c r="P1163" s="273">
        <v>45751</v>
      </c>
      <c r="Q1163" s="273">
        <v>45803</v>
      </c>
      <c r="R1163" s="273">
        <v>46480</v>
      </c>
      <c r="S1163" s="273">
        <v>46481</v>
      </c>
      <c r="T1163" s="61">
        <v>2016</v>
      </c>
      <c r="U1163" s="99" t="s">
        <v>141</v>
      </c>
      <c r="V1163" s="61">
        <v>2021</v>
      </c>
      <c r="W1163" s="143" t="s">
        <v>10781</v>
      </c>
      <c r="X1163" s="62" t="s">
        <v>30</v>
      </c>
      <c r="Y1163" s="100" t="s">
        <v>39</v>
      </c>
      <c r="Z1163" s="99" t="s">
        <v>10782</v>
      </c>
      <c r="AA1163" s="63" t="s">
        <v>1841</v>
      </c>
      <c r="AB1163" s="451">
        <v>44740</v>
      </c>
      <c r="AC1163" s="451">
        <v>46595</v>
      </c>
      <c r="AD1163" s="61">
        <v>7702575647</v>
      </c>
      <c r="AE1163" s="540" t="s">
        <v>10783</v>
      </c>
      <c r="AF1163" s="63" t="s">
        <v>2284</v>
      </c>
      <c r="AG1163" s="177" t="s">
        <v>10784</v>
      </c>
      <c r="AH1163" s="62" t="s">
        <v>10785</v>
      </c>
      <c r="AI1163" s="62" t="s">
        <v>10786</v>
      </c>
      <c r="AJ1163" s="337" t="s">
        <v>10787</v>
      </c>
      <c r="AK1163" s="63" t="s">
        <v>10788</v>
      </c>
      <c r="AL1163" s="338">
        <v>45869</v>
      </c>
      <c r="AM1163" s="446" t="s">
        <v>30</v>
      </c>
      <c r="AN1163" s="100" t="s">
        <v>1516</v>
      </c>
      <c r="AO1163" s="63" t="s">
        <v>10789</v>
      </c>
      <c r="AP1163" s="61">
        <v>31</v>
      </c>
      <c r="AQ1163" s="100" t="s">
        <v>1371</v>
      </c>
      <c r="AR1163" s="58" t="s">
        <v>10790</v>
      </c>
      <c r="AS1163" s="181">
        <v>45744</v>
      </c>
      <c r="AT1163" s="181">
        <v>46108</v>
      </c>
      <c r="AU1163" s="453">
        <v>34407</v>
      </c>
      <c r="AV1163" s="62" t="s">
        <v>1389</v>
      </c>
      <c r="AW1163" s="31" t="s">
        <v>68</v>
      </c>
      <c r="AX1163" s="139">
        <v>8</v>
      </c>
      <c r="AY1163" s="58" t="s">
        <v>1904</v>
      </c>
      <c r="AZ1163" s="58" t="s">
        <v>26</v>
      </c>
      <c r="BA1163" s="58" t="s">
        <v>151</v>
      </c>
      <c r="BB1163" s="58" t="s">
        <v>1407</v>
      </c>
      <c r="BC1163" s="58"/>
    </row>
    <row r="1164" spans="1:55" x14ac:dyDescent="0.25">
      <c r="A1164" s="10">
        <f t="shared" si="47"/>
        <v>1163</v>
      </c>
      <c r="B1164" s="61" t="s">
        <v>10791</v>
      </c>
      <c r="C1164" s="592" t="s">
        <v>1407</v>
      </c>
      <c r="D1164" s="96">
        <v>401224</v>
      </c>
      <c r="E1164" s="62" t="s">
        <v>36</v>
      </c>
      <c r="F1164" s="97" t="s">
        <v>10792</v>
      </c>
      <c r="G1164" s="61">
        <v>6</v>
      </c>
      <c r="H1164" s="141">
        <v>0.375</v>
      </c>
      <c r="I1164" s="443" t="s">
        <v>1084</v>
      </c>
      <c r="J1164" s="458">
        <f>I1164-H1164</f>
        <v>0.16666666666666663</v>
      </c>
      <c r="K1164" s="143" t="s">
        <v>7112</v>
      </c>
      <c r="L1164" s="99" t="s">
        <v>10793</v>
      </c>
      <c r="M1164" s="63" t="s">
        <v>26</v>
      </c>
      <c r="N1164" s="100" t="s">
        <v>38</v>
      </c>
      <c r="O1164" s="143" t="s">
        <v>1492</v>
      </c>
      <c r="P1164" s="273">
        <v>45778</v>
      </c>
      <c r="Q1164" s="273">
        <v>45778</v>
      </c>
      <c r="R1164" s="273">
        <v>46507</v>
      </c>
      <c r="S1164" s="273">
        <v>46508</v>
      </c>
      <c r="T1164" s="61">
        <v>2019</v>
      </c>
      <c r="U1164" s="63" t="s">
        <v>528</v>
      </c>
      <c r="V1164" s="61">
        <v>2025</v>
      </c>
      <c r="W1164" s="100" t="s">
        <v>10794</v>
      </c>
      <c r="X1164" s="62" t="s">
        <v>30</v>
      </c>
      <c r="Y1164" s="100" t="s">
        <v>97</v>
      </c>
      <c r="Z1164" s="99" t="s">
        <v>10795</v>
      </c>
      <c r="AA1164" s="63" t="s">
        <v>1841</v>
      </c>
      <c r="AB1164" s="451">
        <v>45750</v>
      </c>
      <c r="AC1164" s="451">
        <v>46479</v>
      </c>
      <c r="AD1164" s="61">
        <v>8330909873</v>
      </c>
      <c r="AE1164" s="336" t="s">
        <v>10796</v>
      </c>
      <c r="AF1164" s="100" t="s">
        <v>1805</v>
      </c>
      <c r="AG1164" s="177" t="s">
        <v>10797</v>
      </c>
      <c r="AH1164" s="62" t="s">
        <v>10798</v>
      </c>
      <c r="AI1164" s="62" t="s">
        <v>10799</v>
      </c>
      <c r="AJ1164" s="337" t="s">
        <v>10800</v>
      </c>
      <c r="AK1164" s="63" t="s">
        <v>10801</v>
      </c>
      <c r="AL1164" s="338">
        <v>45869</v>
      </c>
      <c r="AM1164" s="446">
        <v>45843</v>
      </c>
      <c r="AN1164" s="63" t="s">
        <v>10802</v>
      </c>
      <c r="AO1164" s="63" t="s">
        <v>10803</v>
      </c>
      <c r="AP1164" s="61">
        <v>28</v>
      </c>
      <c r="AQ1164" s="100"/>
      <c r="AR1164" s="143"/>
      <c r="AS1164" s="338"/>
      <c r="AT1164" s="338"/>
      <c r="AU1164" s="453">
        <v>35349</v>
      </c>
      <c r="AV1164" s="62" t="s">
        <v>1389</v>
      </c>
      <c r="AW1164" s="31" t="s">
        <v>32</v>
      </c>
      <c r="AX1164" s="139">
        <v>4</v>
      </c>
      <c r="AY1164" s="58" t="s">
        <v>1968</v>
      </c>
      <c r="AZ1164" s="58" t="s">
        <v>26</v>
      </c>
      <c r="BA1164" s="58" t="s">
        <v>151</v>
      </c>
      <c r="BB1164" s="58" t="s">
        <v>1407</v>
      </c>
      <c r="BC1164" s="58"/>
    </row>
    <row r="1165" spans="1:55" x14ac:dyDescent="0.25">
      <c r="A1165" s="10">
        <f t="shared" si="47"/>
        <v>1164</v>
      </c>
      <c r="B1165" s="181"/>
      <c r="C1165" s="592" t="s">
        <v>1407</v>
      </c>
      <c r="D1165" s="459">
        <v>401246</v>
      </c>
      <c r="E1165" s="62" t="s">
        <v>192</v>
      </c>
      <c r="F1165" s="97" t="s">
        <v>10804</v>
      </c>
      <c r="G1165" s="64"/>
      <c r="H1165" s="141"/>
      <c r="I1165" s="141"/>
      <c r="J1165" s="141"/>
      <c r="K1165" s="21" t="s">
        <v>334</v>
      </c>
      <c r="L1165" s="59"/>
      <c r="M1165" s="59" t="s">
        <v>26</v>
      </c>
      <c r="N1165" s="58" t="s">
        <v>38</v>
      </c>
      <c r="O1165" s="143"/>
      <c r="P1165" s="258"/>
      <c r="Q1165" s="258"/>
      <c r="R1165" s="258"/>
      <c r="S1165" s="273"/>
      <c r="T1165" s="79"/>
      <c r="U1165" s="64"/>
      <c r="V1165" s="64"/>
      <c r="W1165" s="59"/>
      <c r="X1165" s="64"/>
      <c r="Y1165" s="100"/>
      <c r="Z1165" s="59"/>
      <c r="AA1165" s="59"/>
      <c r="AB1165" s="273"/>
      <c r="AC1165" s="273"/>
      <c r="AD1165" s="139"/>
      <c r="AE1165" s="473"/>
      <c r="AF1165" s="100"/>
      <c r="AG1165" s="337"/>
      <c r="AH1165" s="62"/>
      <c r="AI1165" s="62"/>
      <c r="AJ1165" s="493"/>
      <c r="AK1165" s="63"/>
      <c r="AL1165" s="338" t="s">
        <v>5711</v>
      </c>
      <c r="AM1165" s="446" t="s">
        <v>30</v>
      </c>
      <c r="AN1165" s="100" t="s">
        <v>5712</v>
      </c>
      <c r="AO1165" s="63"/>
      <c r="AP1165" s="61"/>
      <c r="AQ1165" s="100"/>
      <c r="AR1165" s="143"/>
      <c r="AS1165" s="338"/>
      <c r="AT1165" s="338"/>
      <c r="AU1165" s="273"/>
      <c r="AV1165" s="64" t="s">
        <v>1352</v>
      </c>
      <c r="AW1165" s="64"/>
      <c r="AX1165" s="139"/>
      <c r="AY1165" s="58" t="s">
        <v>30</v>
      </c>
      <c r="AZ1165" s="58" t="s">
        <v>26</v>
      </c>
      <c r="BA1165" s="58" t="s">
        <v>151</v>
      </c>
      <c r="BB1165" s="58" t="s">
        <v>1407</v>
      </c>
      <c r="BC1165" s="100"/>
    </row>
    <row r="1166" spans="1:55" x14ac:dyDescent="0.25">
      <c r="A1166" s="10">
        <f t="shared" si="47"/>
        <v>1165</v>
      </c>
      <c r="B1166" s="61" t="s">
        <v>10805</v>
      </c>
      <c r="C1166" s="592" t="s">
        <v>1407</v>
      </c>
      <c r="D1166" s="96">
        <v>401035</v>
      </c>
      <c r="E1166" s="62" t="s">
        <v>36</v>
      </c>
      <c r="F1166" s="97" t="s">
        <v>10806</v>
      </c>
      <c r="G1166" s="139">
        <v>6</v>
      </c>
      <c r="H1166" s="141">
        <v>0.33333333333333331</v>
      </c>
      <c r="I1166" s="141">
        <v>0.875</v>
      </c>
      <c r="J1166" s="458">
        <v>0.33333333333333331</v>
      </c>
      <c r="K1166" s="143" t="s">
        <v>147</v>
      </c>
      <c r="L1166" s="63" t="s">
        <v>30</v>
      </c>
      <c r="M1166" s="63" t="s">
        <v>3643</v>
      </c>
      <c r="N1166" s="100" t="s">
        <v>1520</v>
      </c>
      <c r="O1166" s="100" t="s">
        <v>4752</v>
      </c>
      <c r="P1166" s="273">
        <v>45502</v>
      </c>
      <c r="Q1166" s="338">
        <v>45502</v>
      </c>
      <c r="R1166" s="338">
        <v>46231</v>
      </c>
      <c r="S1166" s="338">
        <v>46232</v>
      </c>
      <c r="T1166" s="61">
        <v>2013</v>
      </c>
      <c r="U1166" s="63" t="s">
        <v>906</v>
      </c>
      <c r="V1166" s="61">
        <v>2018</v>
      </c>
      <c r="W1166" s="143" t="s">
        <v>10807</v>
      </c>
      <c r="X1166" s="62" t="s">
        <v>30</v>
      </c>
      <c r="Y1166" s="143" t="s">
        <v>1360</v>
      </c>
      <c r="Z1166" s="99" t="s">
        <v>10808</v>
      </c>
      <c r="AA1166" s="63" t="s">
        <v>1841</v>
      </c>
      <c r="AB1166" s="451">
        <v>45644</v>
      </c>
      <c r="AC1166" s="451">
        <v>47469</v>
      </c>
      <c r="AD1166" s="220" t="s">
        <v>10809</v>
      </c>
      <c r="AE1166" s="336" t="s">
        <v>10810</v>
      </c>
      <c r="AF1166" s="63" t="s">
        <v>1833</v>
      </c>
      <c r="AG1166" s="337" t="s">
        <v>10811</v>
      </c>
      <c r="AH1166" s="62" t="s">
        <v>10812</v>
      </c>
      <c r="AI1166" s="62" t="s">
        <v>10813</v>
      </c>
      <c r="AJ1166" s="337" t="s">
        <v>10814</v>
      </c>
      <c r="AK1166" s="63" t="s">
        <v>10815</v>
      </c>
      <c r="AL1166" s="446">
        <v>45874</v>
      </c>
      <c r="AM1166" s="446">
        <v>45814</v>
      </c>
      <c r="AN1166" s="63" t="s">
        <v>1592</v>
      </c>
      <c r="AO1166" s="63" t="s">
        <v>10816</v>
      </c>
      <c r="AP1166" s="61">
        <v>36</v>
      </c>
      <c r="AQ1166" s="100"/>
      <c r="AR1166" s="143"/>
      <c r="AS1166" s="338"/>
      <c r="AT1166" s="338"/>
      <c r="AU1166" s="453">
        <v>32755</v>
      </c>
      <c r="AV1166" s="62" t="s">
        <v>1389</v>
      </c>
      <c r="AW1166" s="31" t="s">
        <v>68</v>
      </c>
      <c r="AX1166" s="139">
        <v>8</v>
      </c>
      <c r="AY1166" s="58" t="s">
        <v>1849</v>
      </c>
      <c r="AZ1166" s="58" t="s">
        <v>1373</v>
      </c>
      <c r="BA1166" s="58" t="s">
        <v>151</v>
      </c>
      <c r="BB1166" s="58" t="s">
        <v>1407</v>
      </c>
      <c r="BC1166" s="58"/>
    </row>
    <row r="1167" spans="1:55" x14ac:dyDescent="0.25">
      <c r="A1167" s="10">
        <f t="shared" si="47"/>
        <v>1166</v>
      </c>
      <c r="B1167" s="181"/>
      <c r="C1167" s="592" t="s">
        <v>1407</v>
      </c>
      <c r="D1167" s="96">
        <v>401264</v>
      </c>
      <c r="E1167" s="62" t="s">
        <v>192</v>
      </c>
      <c r="F1167" s="97" t="s">
        <v>10817</v>
      </c>
      <c r="G1167" s="64">
        <v>6</v>
      </c>
      <c r="H1167" s="141"/>
      <c r="I1167" s="141"/>
      <c r="J1167" s="141"/>
      <c r="K1167" s="143" t="s">
        <v>466</v>
      </c>
      <c r="L1167" s="59" t="s">
        <v>202</v>
      </c>
      <c r="M1167" s="63" t="s">
        <v>26</v>
      </c>
      <c r="N1167" s="100" t="s">
        <v>38</v>
      </c>
      <c r="O1167" s="143" t="s">
        <v>1492</v>
      </c>
      <c r="P1167" s="273">
        <v>45819</v>
      </c>
      <c r="Q1167" s="273">
        <v>45819</v>
      </c>
      <c r="R1167" s="273">
        <v>46548</v>
      </c>
      <c r="S1167" s="273">
        <v>46549</v>
      </c>
      <c r="T1167" s="79">
        <v>2015</v>
      </c>
      <c r="U1167" s="59" t="s">
        <v>8609</v>
      </c>
      <c r="V1167" s="64">
        <v>2020</v>
      </c>
      <c r="W1167" s="271" t="s">
        <v>1128</v>
      </c>
      <c r="X1167" s="64" t="s">
        <v>30</v>
      </c>
      <c r="Y1167" s="100" t="s">
        <v>49</v>
      </c>
      <c r="Z1167" s="59">
        <v>73661</v>
      </c>
      <c r="AA1167" s="59" t="s">
        <v>10818</v>
      </c>
      <c r="AB1167" s="273">
        <v>44329</v>
      </c>
      <c r="AC1167" s="273" t="s">
        <v>30</v>
      </c>
      <c r="AD1167" s="61">
        <v>9956281704</v>
      </c>
      <c r="AE1167" s="336" t="s">
        <v>10819</v>
      </c>
      <c r="AF1167" s="100"/>
      <c r="AG1167" s="553"/>
      <c r="AH1167" s="62"/>
      <c r="AI1167" s="62" t="s">
        <v>10820</v>
      </c>
      <c r="AJ1167" s="337" t="s">
        <v>10821</v>
      </c>
      <c r="AK1167" s="63" t="s">
        <v>10822</v>
      </c>
      <c r="AL1167" s="338" t="s">
        <v>9647</v>
      </c>
      <c r="AM1167" s="446" t="s">
        <v>30</v>
      </c>
      <c r="AN1167" s="446" t="s">
        <v>30</v>
      </c>
      <c r="AO1167" s="63" t="s">
        <v>10823</v>
      </c>
      <c r="AP1167" s="61">
        <v>32</v>
      </c>
      <c r="AQ1167" s="100" t="s">
        <v>1371</v>
      </c>
      <c r="AR1167" s="143" t="s">
        <v>10824</v>
      </c>
      <c r="AS1167" s="338">
        <v>45587</v>
      </c>
      <c r="AT1167" s="338">
        <v>45951</v>
      </c>
      <c r="AU1167" s="273">
        <v>33879</v>
      </c>
      <c r="AV1167" s="64"/>
      <c r="AW1167" s="64"/>
      <c r="AX1167" s="139"/>
      <c r="AY1167" s="58" t="s">
        <v>2703</v>
      </c>
      <c r="AZ1167" s="58" t="s">
        <v>26</v>
      </c>
      <c r="BA1167" s="58" t="s">
        <v>151</v>
      </c>
      <c r="BB1167" s="58" t="s">
        <v>1407</v>
      </c>
      <c r="BC1167" s="100"/>
    </row>
    <row r="1168" spans="1:55" x14ac:dyDescent="0.25">
      <c r="A1168" s="10">
        <f t="shared" si="47"/>
        <v>1167</v>
      </c>
      <c r="B1168" s="181"/>
      <c r="C1168" s="592" t="s">
        <v>1407</v>
      </c>
      <c r="D1168" s="96">
        <v>401268</v>
      </c>
      <c r="E1168" s="62" t="s">
        <v>36</v>
      </c>
      <c r="F1168" s="97" t="s">
        <v>10825</v>
      </c>
      <c r="G1168" s="554"/>
      <c r="H1168" s="141"/>
      <c r="I1168" s="141"/>
      <c r="J1168" s="141"/>
      <c r="K1168" s="143" t="s">
        <v>9647</v>
      </c>
      <c r="L1168" s="63"/>
      <c r="M1168" s="63" t="s">
        <v>26</v>
      </c>
      <c r="N1168" s="100" t="s">
        <v>1520</v>
      </c>
      <c r="O1168" s="555"/>
      <c r="P1168" s="258"/>
      <c r="Q1168" s="258"/>
      <c r="R1168" s="258"/>
      <c r="S1168" s="273"/>
      <c r="T1168" s="79"/>
      <c r="U1168" s="59"/>
      <c r="V1168" s="64"/>
      <c r="W1168" s="62"/>
      <c r="X1168" s="62"/>
      <c r="Y1168" s="271"/>
      <c r="Z1168" s="556"/>
      <c r="AA1168" s="556"/>
      <c r="AB1168" s="61"/>
      <c r="AC1168" s="557"/>
      <c r="AD1168" s="62"/>
      <c r="AE1168" s="539"/>
      <c r="AF1168" s="62"/>
      <c r="AG1168" s="62"/>
      <c r="AH1168" s="337"/>
      <c r="AI1168" s="62"/>
      <c r="AJ1168" s="338"/>
      <c r="AK1168" s="558"/>
      <c r="AL1168" s="338" t="s">
        <v>10586</v>
      </c>
      <c r="AM1168" s="446" t="s">
        <v>30</v>
      </c>
      <c r="AN1168" s="446" t="s">
        <v>30</v>
      </c>
      <c r="AO1168" s="63"/>
      <c r="AP1168" s="338"/>
      <c r="AQ1168" s="338"/>
      <c r="AR1168" s="100"/>
      <c r="AS1168" s="62"/>
      <c r="AT1168" s="62"/>
      <c r="AU1168" s="64"/>
      <c r="AV1168" s="64"/>
      <c r="AW1168" s="98"/>
      <c r="AX1168" s="139"/>
      <c r="AY1168" s="58" t="s">
        <v>30</v>
      </c>
      <c r="AZ1168" s="58" t="s">
        <v>26</v>
      </c>
      <c r="BA1168" s="58" t="s">
        <v>151</v>
      </c>
      <c r="BB1168" s="58" t="s">
        <v>1407</v>
      </c>
      <c r="BC1168" s="100"/>
    </row>
    <row r="1169" spans="1:55" x14ac:dyDescent="0.25">
      <c r="A1169" s="10">
        <f t="shared" si="47"/>
        <v>1168</v>
      </c>
      <c r="B1169" s="61" t="s">
        <v>10826</v>
      </c>
      <c r="C1169" s="592" t="s">
        <v>1407</v>
      </c>
      <c r="D1169" s="96">
        <v>401138</v>
      </c>
      <c r="E1169" s="62" t="s">
        <v>36</v>
      </c>
      <c r="F1169" s="97" t="s">
        <v>10827</v>
      </c>
      <c r="G1169" s="139">
        <v>6</v>
      </c>
      <c r="H1169" s="141">
        <v>0.33333333333333331</v>
      </c>
      <c r="I1169" s="141">
        <v>0.875</v>
      </c>
      <c r="J1169" s="458">
        <v>0.33333333333333331</v>
      </c>
      <c r="K1169" s="100" t="s">
        <v>287</v>
      </c>
      <c r="L1169" s="63" t="s">
        <v>30</v>
      </c>
      <c r="M1169" s="63" t="s">
        <v>2097</v>
      </c>
      <c r="N1169" s="58" t="s">
        <v>2098</v>
      </c>
      <c r="O1169" s="100" t="s">
        <v>4752</v>
      </c>
      <c r="P1169" s="273">
        <v>45621</v>
      </c>
      <c r="Q1169" s="338">
        <v>45621</v>
      </c>
      <c r="R1169" s="338">
        <v>46350</v>
      </c>
      <c r="S1169" s="338">
        <v>46351</v>
      </c>
      <c r="T1169" s="61">
        <v>2018</v>
      </c>
      <c r="U1169" s="63" t="s">
        <v>2370</v>
      </c>
      <c r="V1169" s="61">
        <v>2023</v>
      </c>
      <c r="W1169" s="100" t="s">
        <v>2370</v>
      </c>
      <c r="X1169" s="62" t="s">
        <v>30</v>
      </c>
      <c r="Y1169" s="100" t="s">
        <v>4862</v>
      </c>
      <c r="Z1169" s="99" t="s">
        <v>10828</v>
      </c>
      <c r="AA1169" s="63" t="s">
        <v>1841</v>
      </c>
      <c r="AB1169" s="62">
        <v>45629</v>
      </c>
      <c r="AC1169" s="62">
        <v>47454</v>
      </c>
      <c r="AD1169" s="220">
        <v>8374289908</v>
      </c>
      <c r="AE1169" s="336" t="s">
        <v>10829</v>
      </c>
      <c r="AF1169" s="63" t="s">
        <v>1430</v>
      </c>
      <c r="AG1169" s="337" t="s">
        <v>10830</v>
      </c>
      <c r="AH1169" s="62" t="s">
        <v>10831</v>
      </c>
      <c r="AI1169" s="62" t="s">
        <v>10832</v>
      </c>
      <c r="AJ1169" s="337" t="s">
        <v>10833</v>
      </c>
      <c r="AK1169" s="63" t="s">
        <v>10834</v>
      </c>
      <c r="AL1169" s="446">
        <v>45874</v>
      </c>
      <c r="AM1169" s="446" t="s">
        <v>30</v>
      </c>
      <c r="AN1169" s="100" t="s">
        <v>4363</v>
      </c>
      <c r="AO1169" s="63" t="s">
        <v>10835</v>
      </c>
      <c r="AP1169" s="61">
        <v>34</v>
      </c>
      <c r="AQ1169" s="100"/>
      <c r="AR1169" s="143"/>
      <c r="AS1169" s="338"/>
      <c r="AT1169" s="338"/>
      <c r="AU1169" s="453">
        <v>33311</v>
      </c>
      <c r="AV1169" s="62" t="s">
        <v>1389</v>
      </c>
      <c r="AW1169" s="31" t="s">
        <v>68</v>
      </c>
      <c r="AX1169" s="139">
        <v>8</v>
      </c>
      <c r="AY1169" s="58" t="s">
        <v>1881</v>
      </c>
      <c r="AZ1169" s="58" t="s">
        <v>1373</v>
      </c>
      <c r="BA1169" s="58" t="s">
        <v>151</v>
      </c>
      <c r="BB1169" s="58" t="s">
        <v>1407</v>
      </c>
      <c r="BC1169" s="58"/>
    </row>
    <row r="1170" spans="1:55" x14ac:dyDescent="0.25">
      <c r="A1170" s="10">
        <f t="shared" si="47"/>
        <v>1169</v>
      </c>
      <c r="B1170" s="61" t="s">
        <v>10836</v>
      </c>
      <c r="C1170" s="592" t="s">
        <v>1407</v>
      </c>
      <c r="D1170" s="96">
        <v>401177</v>
      </c>
      <c r="E1170" s="61" t="s">
        <v>36</v>
      </c>
      <c r="F1170" s="97" t="s">
        <v>10837</v>
      </c>
      <c r="G1170" s="139">
        <v>6</v>
      </c>
      <c r="H1170" s="141" t="s">
        <v>5491</v>
      </c>
      <c r="I1170" s="141" t="s">
        <v>1084</v>
      </c>
      <c r="J1170" s="141">
        <v>0.16666666666666666</v>
      </c>
      <c r="K1170" s="143" t="s">
        <v>826</v>
      </c>
      <c r="L1170" s="99" t="s">
        <v>10838</v>
      </c>
      <c r="M1170" s="99" t="s">
        <v>26</v>
      </c>
      <c r="N1170" s="143" t="s">
        <v>38</v>
      </c>
      <c r="O1170" s="143" t="s">
        <v>1492</v>
      </c>
      <c r="P1170" s="273">
        <v>45701</v>
      </c>
      <c r="Q1170" s="273">
        <v>45701</v>
      </c>
      <c r="R1170" s="273">
        <v>46430</v>
      </c>
      <c r="S1170" s="273">
        <v>46431</v>
      </c>
      <c r="T1170" s="61">
        <v>2012</v>
      </c>
      <c r="U1170" s="99" t="s">
        <v>326</v>
      </c>
      <c r="V1170" s="61">
        <v>2019</v>
      </c>
      <c r="W1170" s="143" t="s">
        <v>10839</v>
      </c>
      <c r="X1170" s="61" t="s">
        <v>30</v>
      </c>
      <c r="Y1170" s="100" t="s">
        <v>49</v>
      </c>
      <c r="Z1170" s="99" t="s">
        <v>10840</v>
      </c>
      <c r="AA1170" s="99" t="s">
        <v>2910</v>
      </c>
      <c r="AB1170" s="451">
        <v>45498</v>
      </c>
      <c r="AC1170" s="451">
        <v>47323</v>
      </c>
      <c r="AD1170" s="61">
        <v>9650079117</v>
      </c>
      <c r="AE1170" s="99" t="s">
        <v>10841</v>
      </c>
      <c r="AF1170" s="63" t="s">
        <v>1511</v>
      </c>
      <c r="AG1170" s="337" t="s">
        <v>10842</v>
      </c>
      <c r="AH1170" s="62" t="s">
        <v>10843</v>
      </c>
      <c r="AI1170" s="62" t="s">
        <v>10844</v>
      </c>
      <c r="AJ1170" s="337" t="s">
        <v>10845</v>
      </c>
      <c r="AK1170" s="63" t="s">
        <v>10846</v>
      </c>
      <c r="AL1170" s="338">
        <v>45879</v>
      </c>
      <c r="AM1170" s="446">
        <v>45819</v>
      </c>
      <c r="AN1170" s="63" t="s">
        <v>1592</v>
      </c>
      <c r="AO1170" s="63" t="s">
        <v>10847</v>
      </c>
      <c r="AP1170" s="61">
        <v>38</v>
      </c>
      <c r="AQ1170" s="100"/>
      <c r="AR1170" s="143"/>
      <c r="AS1170" s="338"/>
      <c r="AT1170" s="338"/>
      <c r="AU1170" s="453">
        <v>31878</v>
      </c>
      <c r="AV1170" s="61" t="s">
        <v>1389</v>
      </c>
      <c r="AW1170" s="31" t="s">
        <v>32</v>
      </c>
      <c r="AX1170" s="139">
        <v>4</v>
      </c>
      <c r="AY1170" s="58" t="s">
        <v>2251</v>
      </c>
      <c r="AZ1170" s="58" t="s">
        <v>26</v>
      </c>
      <c r="BA1170" s="58" t="s">
        <v>151</v>
      </c>
      <c r="BB1170" s="58" t="s">
        <v>1407</v>
      </c>
      <c r="BC1170" s="58"/>
    </row>
    <row r="1171" spans="1:55" x14ac:dyDescent="0.25">
      <c r="A1171" s="10">
        <f t="shared" si="47"/>
        <v>1170</v>
      </c>
      <c r="B1171" s="61" t="s">
        <v>10848</v>
      </c>
      <c r="C1171" s="592" t="s">
        <v>1407</v>
      </c>
      <c r="D1171" s="96">
        <v>400824</v>
      </c>
      <c r="E1171" s="62" t="s">
        <v>36</v>
      </c>
      <c r="F1171" s="97" t="s">
        <v>10849</v>
      </c>
      <c r="G1171" s="139">
        <v>6</v>
      </c>
      <c r="H1171" s="141">
        <v>0.41666666666666669</v>
      </c>
      <c r="I1171" s="141">
        <v>0.58333333333333337</v>
      </c>
      <c r="J1171" s="141">
        <v>0.16666666666666666</v>
      </c>
      <c r="K1171" s="143" t="s">
        <v>1884</v>
      </c>
      <c r="L1171" s="63" t="s">
        <v>1424</v>
      </c>
      <c r="M1171" s="63" t="s">
        <v>1355</v>
      </c>
      <c r="N1171" s="100" t="s">
        <v>1520</v>
      </c>
      <c r="O1171" s="100" t="s">
        <v>4752</v>
      </c>
      <c r="P1171" s="446">
        <v>45149</v>
      </c>
      <c r="Q1171" s="446">
        <v>45149</v>
      </c>
      <c r="R1171" s="446">
        <v>45879</v>
      </c>
      <c r="S1171" s="338">
        <v>45880</v>
      </c>
      <c r="T1171" s="61">
        <v>2010</v>
      </c>
      <c r="U1171" s="63" t="s">
        <v>10660</v>
      </c>
      <c r="V1171" s="61">
        <v>2016</v>
      </c>
      <c r="W1171" s="99" t="s">
        <v>343</v>
      </c>
      <c r="X1171" s="62" t="s">
        <v>30</v>
      </c>
      <c r="Y1171" s="143" t="s">
        <v>1360</v>
      </c>
      <c r="Z1171" s="99">
        <v>68093</v>
      </c>
      <c r="AA1171" s="63" t="s">
        <v>1886</v>
      </c>
      <c r="AB1171" s="451">
        <v>44894</v>
      </c>
      <c r="AC1171" s="451">
        <v>46719</v>
      </c>
      <c r="AD1171" s="220">
        <v>7702393802</v>
      </c>
      <c r="AE1171" s="336" t="s">
        <v>10850</v>
      </c>
      <c r="AF1171" s="63" t="s">
        <v>1805</v>
      </c>
      <c r="AG1171" s="337" t="s">
        <v>10851</v>
      </c>
      <c r="AH1171" s="62" t="s">
        <v>1889</v>
      </c>
      <c r="AI1171" s="62" t="s">
        <v>10852</v>
      </c>
      <c r="AJ1171" s="337" t="s">
        <v>10853</v>
      </c>
      <c r="AK1171" s="63"/>
      <c r="AL1171" s="446">
        <v>45880</v>
      </c>
      <c r="AM1171" s="477">
        <v>45820</v>
      </c>
      <c r="AN1171" s="63" t="s">
        <v>10854</v>
      </c>
      <c r="AO1171" s="63" t="s">
        <v>10855</v>
      </c>
      <c r="AP1171" s="61">
        <v>40</v>
      </c>
      <c r="AQ1171" s="100"/>
      <c r="AR1171" s="143" t="s">
        <v>10856</v>
      </c>
      <c r="AS1171" s="338">
        <v>45147</v>
      </c>
      <c r="AT1171" s="338">
        <v>45512</v>
      </c>
      <c r="AU1171" s="453">
        <v>31170</v>
      </c>
      <c r="AV1171" s="62" t="s">
        <v>1389</v>
      </c>
      <c r="AW1171" s="31" t="s">
        <v>32</v>
      </c>
      <c r="AX1171" s="139">
        <v>4</v>
      </c>
      <c r="AY1171" s="58" t="s">
        <v>1895</v>
      </c>
      <c r="AZ1171" s="58" t="s">
        <v>1373</v>
      </c>
      <c r="BA1171" s="58" t="s">
        <v>151</v>
      </c>
      <c r="BB1171" s="58" t="s">
        <v>1407</v>
      </c>
      <c r="BC1171" s="58"/>
    </row>
    <row r="1172" spans="1:55" x14ac:dyDescent="0.25">
      <c r="A1172" s="10">
        <f t="shared" si="47"/>
        <v>1171</v>
      </c>
      <c r="B1172" s="61" t="s">
        <v>10857</v>
      </c>
      <c r="C1172" s="592" t="s">
        <v>1407</v>
      </c>
      <c r="D1172" s="96">
        <v>400859</v>
      </c>
      <c r="E1172" s="62" t="s">
        <v>36</v>
      </c>
      <c r="F1172" s="97" t="s">
        <v>10858</v>
      </c>
      <c r="G1172" s="139">
        <v>6</v>
      </c>
      <c r="H1172" s="141">
        <v>0.33333333333333331</v>
      </c>
      <c r="I1172" s="141">
        <v>0.875</v>
      </c>
      <c r="J1172" s="141">
        <v>0.33333333333333331</v>
      </c>
      <c r="K1172" s="143" t="s">
        <v>1884</v>
      </c>
      <c r="L1172" s="63" t="s">
        <v>1424</v>
      </c>
      <c r="M1172" s="63" t="s">
        <v>1355</v>
      </c>
      <c r="N1172" s="100" t="s">
        <v>1520</v>
      </c>
      <c r="O1172" s="100" t="s">
        <v>4752</v>
      </c>
      <c r="P1172" s="446">
        <v>45210</v>
      </c>
      <c r="Q1172" s="446">
        <v>45210</v>
      </c>
      <c r="R1172" s="446">
        <v>45940</v>
      </c>
      <c r="S1172" s="338">
        <v>45941</v>
      </c>
      <c r="T1172" s="61">
        <v>2009</v>
      </c>
      <c r="U1172" s="63" t="s">
        <v>343</v>
      </c>
      <c r="V1172" s="61">
        <v>2017</v>
      </c>
      <c r="W1172" s="99" t="s">
        <v>10859</v>
      </c>
      <c r="X1172" s="62" t="s">
        <v>30</v>
      </c>
      <c r="Y1172" s="143" t="s">
        <v>1360</v>
      </c>
      <c r="Z1172" s="99">
        <v>63037</v>
      </c>
      <c r="AA1172" s="63" t="s">
        <v>1886</v>
      </c>
      <c r="AB1172" s="451">
        <v>45324</v>
      </c>
      <c r="AC1172" s="451">
        <v>47150</v>
      </c>
      <c r="AD1172" s="220">
        <v>7416872628</v>
      </c>
      <c r="AE1172" s="336" t="s">
        <v>10860</v>
      </c>
      <c r="AF1172" s="63" t="s">
        <v>1805</v>
      </c>
      <c r="AG1172" s="337" t="s">
        <v>10861</v>
      </c>
      <c r="AH1172" s="62" t="s">
        <v>10862</v>
      </c>
      <c r="AI1172" s="62" t="s">
        <v>10863</v>
      </c>
      <c r="AJ1172" s="337" t="s">
        <v>10864</v>
      </c>
      <c r="AK1172" s="63"/>
      <c r="AL1172" s="446">
        <v>45880</v>
      </c>
      <c r="AM1172" s="477">
        <v>45821</v>
      </c>
      <c r="AN1172" s="63" t="s">
        <v>10865</v>
      </c>
      <c r="AO1172" s="63" t="s">
        <v>10866</v>
      </c>
      <c r="AP1172" s="61">
        <v>40</v>
      </c>
      <c r="AQ1172" s="100"/>
      <c r="AR1172" s="143"/>
      <c r="AS1172" s="338"/>
      <c r="AT1172" s="338"/>
      <c r="AU1172" s="453">
        <v>31191</v>
      </c>
      <c r="AV1172" s="62" t="s">
        <v>1389</v>
      </c>
      <c r="AW1172" s="31" t="s">
        <v>68</v>
      </c>
      <c r="AX1172" s="139">
        <v>8</v>
      </c>
      <c r="AY1172" s="58" t="s">
        <v>1895</v>
      </c>
      <c r="AZ1172" s="58" t="s">
        <v>1373</v>
      </c>
      <c r="BA1172" s="58" t="s">
        <v>151</v>
      </c>
      <c r="BB1172" s="58" t="s">
        <v>1407</v>
      </c>
      <c r="BC1172" s="58"/>
    </row>
    <row r="1173" spans="1:55" x14ac:dyDescent="0.25">
      <c r="A1173" s="10">
        <f t="shared" si="47"/>
        <v>1172</v>
      </c>
      <c r="B1173" s="62" t="s">
        <v>10867</v>
      </c>
      <c r="C1173" s="592" t="s">
        <v>1407</v>
      </c>
      <c r="D1173" s="96">
        <v>401273</v>
      </c>
      <c r="E1173" s="62" t="s">
        <v>36</v>
      </c>
      <c r="F1173" s="97" t="s">
        <v>10868</v>
      </c>
      <c r="G1173" s="139">
        <v>6</v>
      </c>
      <c r="H1173" s="141">
        <v>0.35416666666666669</v>
      </c>
      <c r="I1173" s="141" t="s">
        <v>4213</v>
      </c>
      <c r="J1173" s="141">
        <v>0.25</v>
      </c>
      <c r="K1173" s="100" t="s">
        <v>1187</v>
      </c>
      <c r="L1173" s="59" t="s">
        <v>10869</v>
      </c>
      <c r="M1173" s="63" t="s">
        <v>26</v>
      </c>
      <c r="N1173" s="100" t="s">
        <v>38</v>
      </c>
      <c r="O1173" s="100" t="s">
        <v>1492</v>
      </c>
      <c r="P1173" s="273">
        <v>45831</v>
      </c>
      <c r="Q1173" s="273">
        <v>45831</v>
      </c>
      <c r="R1173" s="273">
        <v>46560</v>
      </c>
      <c r="S1173" s="273">
        <v>46561</v>
      </c>
      <c r="T1173" s="79">
        <v>2018</v>
      </c>
      <c r="U1173" s="63" t="s">
        <v>499</v>
      </c>
      <c r="V1173" s="64">
        <v>2023</v>
      </c>
      <c r="W1173" s="143" t="s">
        <v>142</v>
      </c>
      <c r="X1173" s="64" t="s">
        <v>30</v>
      </c>
      <c r="Y1173" s="100" t="s">
        <v>49</v>
      </c>
      <c r="Z1173" s="63" t="s">
        <v>10870</v>
      </c>
      <c r="AA1173" s="59" t="s">
        <v>1841</v>
      </c>
      <c r="AB1173" s="273">
        <v>45210</v>
      </c>
      <c r="AC1173" s="273">
        <v>47036</v>
      </c>
      <c r="AD1173" s="61">
        <v>9550866418</v>
      </c>
      <c r="AE1173" s="336" t="s">
        <v>10871</v>
      </c>
      <c r="AF1173" s="63" t="s">
        <v>1495</v>
      </c>
      <c r="AG1173" s="177" t="s">
        <v>10872</v>
      </c>
      <c r="AH1173" s="62" t="s">
        <v>10873</v>
      </c>
      <c r="AI1173" s="62" t="s">
        <v>10874</v>
      </c>
      <c r="AJ1173" s="337" t="s">
        <v>10875</v>
      </c>
      <c r="AK1173" s="63" t="s">
        <v>10876</v>
      </c>
      <c r="AL1173" s="338">
        <v>45884</v>
      </c>
      <c r="AM1173" s="446">
        <v>45873</v>
      </c>
      <c r="AN1173" s="63" t="s">
        <v>10877</v>
      </c>
      <c r="AO1173" s="63" t="s">
        <v>10878</v>
      </c>
      <c r="AP1173" s="61">
        <v>30</v>
      </c>
      <c r="AQ1173" s="100"/>
      <c r="AR1173" s="143"/>
      <c r="AS1173" s="338"/>
      <c r="AT1173" s="338"/>
      <c r="AU1173" s="273">
        <v>34947</v>
      </c>
      <c r="AV1173" s="64" t="s">
        <v>1352</v>
      </c>
      <c r="AW1173" s="31" t="s">
        <v>32</v>
      </c>
      <c r="AX1173" s="139">
        <v>6</v>
      </c>
      <c r="AY1173" s="58" t="s">
        <v>2006</v>
      </c>
      <c r="AZ1173" s="58" t="s">
        <v>26</v>
      </c>
      <c r="BA1173" s="58" t="s">
        <v>151</v>
      </c>
      <c r="BB1173" s="58" t="s">
        <v>1407</v>
      </c>
      <c r="BC1173" s="143"/>
    </row>
    <row r="1174" spans="1:55" x14ac:dyDescent="0.25">
      <c r="A1174" s="10">
        <f t="shared" si="47"/>
        <v>1173</v>
      </c>
      <c r="B1174" s="61" t="s">
        <v>10879</v>
      </c>
      <c r="C1174" s="592" t="s">
        <v>1407</v>
      </c>
      <c r="D1174" s="96">
        <v>400517</v>
      </c>
      <c r="E1174" s="62" t="s">
        <v>36</v>
      </c>
      <c r="F1174" s="97" t="s">
        <v>10880</v>
      </c>
      <c r="G1174" s="139">
        <v>6</v>
      </c>
      <c r="H1174" s="141">
        <v>0.375</v>
      </c>
      <c r="I1174" s="141">
        <v>0.54166666666666663</v>
      </c>
      <c r="J1174" s="141">
        <v>0.16666666666666666</v>
      </c>
      <c r="K1174" s="143" t="s">
        <v>147</v>
      </c>
      <c r="L1174" s="63" t="s">
        <v>10881</v>
      </c>
      <c r="M1174" s="63" t="s">
        <v>26</v>
      </c>
      <c r="N1174" s="100" t="s">
        <v>38</v>
      </c>
      <c r="O1174" s="143" t="s">
        <v>1492</v>
      </c>
      <c r="P1174" s="446">
        <v>44755</v>
      </c>
      <c r="Q1174" s="446">
        <v>45486</v>
      </c>
      <c r="R1174" s="446">
        <v>46215</v>
      </c>
      <c r="S1174" s="338">
        <v>46216</v>
      </c>
      <c r="T1174" s="61">
        <v>2013</v>
      </c>
      <c r="U1174" s="63" t="s">
        <v>10882</v>
      </c>
      <c r="V1174" s="61">
        <v>2021</v>
      </c>
      <c r="W1174" s="99" t="s">
        <v>10883</v>
      </c>
      <c r="X1174" s="62" t="s">
        <v>30</v>
      </c>
      <c r="Y1174" s="100" t="s">
        <v>49</v>
      </c>
      <c r="Z1174" s="99" t="s">
        <v>10884</v>
      </c>
      <c r="AA1174" s="63" t="s">
        <v>1841</v>
      </c>
      <c r="AB1174" s="451">
        <v>44929</v>
      </c>
      <c r="AC1174" s="451">
        <v>46754</v>
      </c>
      <c r="AD1174" s="220">
        <v>9573110271</v>
      </c>
      <c r="AE1174" s="336" t="s">
        <v>10885</v>
      </c>
      <c r="AF1174" s="63" t="s">
        <v>5086</v>
      </c>
      <c r="AG1174" s="337" t="s">
        <v>10886</v>
      </c>
      <c r="AH1174" s="62" t="s">
        <v>4205</v>
      </c>
      <c r="AI1174" s="62" t="s">
        <v>10887</v>
      </c>
      <c r="AJ1174" s="337" t="s">
        <v>10888</v>
      </c>
      <c r="AK1174" s="63" t="s">
        <v>10889</v>
      </c>
      <c r="AL1174" s="338">
        <v>45890</v>
      </c>
      <c r="AM1174" s="477" t="s">
        <v>30</v>
      </c>
      <c r="AN1174" s="100" t="s">
        <v>1765</v>
      </c>
      <c r="AO1174" s="63" t="s">
        <v>10890</v>
      </c>
      <c r="AP1174" s="61">
        <v>35</v>
      </c>
      <c r="AQ1174" s="100"/>
      <c r="AR1174" s="143"/>
      <c r="AS1174" s="338"/>
      <c r="AT1174" s="338"/>
      <c r="AU1174" s="453">
        <v>32940</v>
      </c>
      <c r="AV1174" s="62" t="s">
        <v>1389</v>
      </c>
      <c r="AW1174" s="31" t="s">
        <v>32</v>
      </c>
      <c r="AX1174" s="139">
        <v>4</v>
      </c>
      <c r="AY1174" s="58" t="s">
        <v>1849</v>
      </c>
      <c r="AZ1174" s="58" t="s">
        <v>26</v>
      </c>
      <c r="BA1174" s="58" t="s">
        <v>151</v>
      </c>
      <c r="BB1174" s="58" t="s">
        <v>1407</v>
      </c>
      <c r="BC1174" s="58"/>
    </row>
    <row r="1175" spans="1:55" x14ac:dyDescent="0.25">
      <c r="A1175" s="10">
        <f t="shared" si="47"/>
        <v>1174</v>
      </c>
      <c r="B1175" s="61" t="s">
        <v>10891</v>
      </c>
      <c r="C1175" s="592" t="s">
        <v>1407</v>
      </c>
      <c r="D1175" s="96">
        <v>400861</v>
      </c>
      <c r="E1175" s="181" t="s">
        <v>9124</v>
      </c>
      <c r="F1175" s="97" t="s">
        <v>10892</v>
      </c>
      <c r="G1175" s="139">
        <v>6</v>
      </c>
      <c r="H1175" s="141" t="s">
        <v>10893</v>
      </c>
      <c r="I1175" s="141" t="s">
        <v>10894</v>
      </c>
      <c r="J1175" s="141">
        <v>0.33333333333333331</v>
      </c>
      <c r="K1175" s="143" t="s">
        <v>477</v>
      </c>
      <c r="L1175" s="63" t="s">
        <v>1424</v>
      </c>
      <c r="M1175" s="63" t="s">
        <v>1355</v>
      </c>
      <c r="N1175" s="100" t="s">
        <v>1520</v>
      </c>
      <c r="O1175" s="100" t="s">
        <v>4752</v>
      </c>
      <c r="P1175" s="446">
        <v>45213</v>
      </c>
      <c r="Q1175" s="446">
        <v>45213</v>
      </c>
      <c r="R1175" s="446">
        <v>45943</v>
      </c>
      <c r="S1175" s="338">
        <v>45944</v>
      </c>
      <c r="T1175" s="61">
        <v>2017</v>
      </c>
      <c r="U1175" s="63" t="s">
        <v>10895</v>
      </c>
      <c r="V1175" s="61">
        <v>2023</v>
      </c>
      <c r="W1175" s="99" t="s">
        <v>924</v>
      </c>
      <c r="X1175" s="62" t="s">
        <v>30</v>
      </c>
      <c r="Y1175" s="143" t="s">
        <v>1360</v>
      </c>
      <c r="Z1175" s="99" t="s">
        <v>10896</v>
      </c>
      <c r="AA1175" s="63" t="s">
        <v>1841</v>
      </c>
      <c r="AB1175" s="451">
        <v>45173</v>
      </c>
      <c r="AC1175" s="451">
        <v>46999</v>
      </c>
      <c r="AD1175" s="220">
        <v>8897416656</v>
      </c>
      <c r="AE1175" s="336" t="s">
        <v>10897</v>
      </c>
      <c r="AF1175" s="63" t="s">
        <v>5086</v>
      </c>
      <c r="AG1175" s="337" t="s">
        <v>10898</v>
      </c>
      <c r="AH1175" s="62" t="s">
        <v>10255</v>
      </c>
      <c r="AI1175" s="62" t="s">
        <v>10899</v>
      </c>
      <c r="AJ1175" s="337" t="s">
        <v>10900</v>
      </c>
      <c r="AK1175" s="63"/>
      <c r="AL1175" s="446">
        <v>45895</v>
      </c>
      <c r="AM1175" s="477">
        <v>45871</v>
      </c>
      <c r="AN1175" s="63" t="s">
        <v>10901</v>
      </c>
      <c r="AO1175" s="63" t="s">
        <v>10902</v>
      </c>
      <c r="AP1175" s="61">
        <v>32</v>
      </c>
      <c r="AQ1175" s="100"/>
      <c r="AR1175" s="143"/>
      <c r="AS1175" s="338"/>
      <c r="AT1175" s="338"/>
      <c r="AU1175" s="453">
        <v>34148</v>
      </c>
      <c r="AV1175" s="62" t="s">
        <v>1352</v>
      </c>
      <c r="AW1175" s="31" t="s">
        <v>68</v>
      </c>
      <c r="AX1175" s="139">
        <v>8</v>
      </c>
      <c r="AY1175" s="58" t="s">
        <v>2053</v>
      </c>
      <c r="AZ1175" s="58" t="s">
        <v>1373</v>
      </c>
      <c r="BA1175" s="58" t="s">
        <v>151</v>
      </c>
      <c r="BB1175" s="58" t="s">
        <v>1407</v>
      </c>
      <c r="BC1175" s="58"/>
    </row>
    <row r="1176" spans="1:55" x14ac:dyDescent="0.25">
      <c r="A1176" s="10">
        <f t="shared" si="47"/>
        <v>1175</v>
      </c>
      <c r="B1176" s="61" t="s">
        <v>4859</v>
      </c>
      <c r="C1176" s="592" t="s">
        <v>1407</v>
      </c>
      <c r="D1176" s="96">
        <v>401100</v>
      </c>
      <c r="E1176" s="62" t="s">
        <v>36</v>
      </c>
      <c r="F1176" s="97" t="s">
        <v>4860</v>
      </c>
      <c r="G1176" s="139">
        <v>6</v>
      </c>
      <c r="H1176" s="141">
        <v>0.70833333333333337</v>
      </c>
      <c r="I1176" s="141">
        <v>0.875</v>
      </c>
      <c r="J1176" s="141">
        <v>0.16666666666666666</v>
      </c>
      <c r="K1176" s="100" t="s">
        <v>287</v>
      </c>
      <c r="L1176" s="63" t="s">
        <v>30</v>
      </c>
      <c r="M1176" s="63" t="s">
        <v>2097</v>
      </c>
      <c r="N1176" s="58" t="s">
        <v>2098</v>
      </c>
      <c r="O1176" s="100" t="s">
        <v>4752</v>
      </c>
      <c r="P1176" s="273">
        <v>45589</v>
      </c>
      <c r="Q1176" s="338">
        <v>45589</v>
      </c>
      <c r="R1176" s="338">
        <v>46318</v>
      </c>
      <c r="S1176" s="338">
        <v>46319</v>
      </c>
      <c r="T1176" s="61">
        <v>2007</v>
      </c>
      <c r="U1176" s="63" t="s">
        <v>169</v>
      </c>
      <c r="V1176" s="61">
        <v>2013</v>
      </c>
      <c r="W1176" s="143" t="s">
        <v>4861</v>
      </c>
      <c r="X1176" s="61" t="s">
        <v>30</v>
      </c>
      <c r="Y1176" s="100" t="s">
        <v>4862</v>
      </c>
      <c r="Z1176" s="99">
        <v>60608</v>
      </c>
      <c r="AA1176" s="99" t="s">
        <v>1841</v>
      </c>
      <c r="AB1176" s="451">
        <v>44141</v>
      </c>
      <c r="AC1176" s="451">
        <v>45966</v>
      </c>
      <c r="AD1176" s="220">
        <v>9908971331</v>
      </c>
      <c r="AE1176" s="336" t="s">
        <v>4863</v>
      </c>
      <c r="AF1176" s="63" t="s">
        <v>1430</v>
      </c>
      <c r="AG1176" s="337" t="s">
        <v>4864</v>
      </c>
      <c r="AH1176" s="62" t="s">
        <v>4865</v>
      </c>
      <c r="AI1176" s="62" t="s">
        <v>4866</v>
      </c>
      <c r="AJ1176" s="337" t="s">
        <v>4867</v>
      </c>
      <c r="AK1176" s="63" t="s">
        <v>4868</v>
      </c>
      <c r="AL1176" s="446">
        <v>45903</v>
      </c>
      <c r="AM1176" s="446">
        <v>45842</v>
      </c>
      <c r="AN1176" s="63" t="s">
        <v>1592</v>
      </c>
      <c r="AO1176" s="63" t="s">
        <v>4869</v>
      </c>
      <c r="AP1176" s="61">
        <v>42</v>
      </c>
      <c r="AQ1176" s="100"/>
      <c r="AR1176" s="143"/>
      <c r="AS1176" s="338"/>
      <c r="AT1176" s="338"/>
      <c r="AU1176" s="453">
        <v>30483</v>
      </c>
      <c r="AV1176" s="62" t="s">
        <v>1352</v>
      </c>
      <c r="AW1176" s="31" t="s">
        <v>32</v>
      </c>
      <c r="AX1176" s="139">
        <v>4</v>
      </c>
      <c r="AY1176" s="58" t="s">
        <v>1881</v>
      </c>
      <c r="AZ1176" s="58" t="s">
        <v>1373</v>
      </c>
      <c r="BA1176" s="58" t="s">
        <v>151</v>
      </c>
      <c r="BB1176" s="58" t="s">
        <v>1407</v>
      </c>
      <c r="BC1176" s="58"/>
    </row>
    <row r="1177" spans="1:55" x14ac:dyDescent="0.25">
      <c r="A1177" s="10">
        <f t="shared" si="47"/>
        <v>1176</v>
      </c>
      <c r="B1177" s="181"/>
      <c r="C1177" s="592" t="s">
        <v>1407</v>
      </c>
      <c r="D1177" s="65">
        <v>401317</v>
      </c>
      <c r="E1177" s="31" t="s">
        <v>42</v>
      </c>
      <c r="F1177" s="14" t="s">
        <v>10903</v>
      </c>
      <c r="G1177" s="10">
        <v>6</v>
      </c>
      <c r="H1177" s="103">
        <v>0.66666666666666663</v>
      </c>
      <c r="I1177" s="103">
        <v>0.83333333333333337</v>
      </c>
      <c r="J1177" s="103">
        <v>0.16666666666666666</v>
      </c>
      <c r="K1177" s="23" t="s">
        <v>713</v>
      </c>
      <c r="L1177" s="59" t="s">
        <v>10904</v>
      </c>
      <c r="M1177" s="30" t="s">
        <v>26</v>
      </c>
      <c r="N1177" s="35" t="s">
        <v>38</v>
      </c>
      <c r="O1177" s="35" t="s">
        <v>1492</v>
      </c>
      <c r="P1177" s="210">
        <v>45903</v>
      </c>
      <c r="Q1177" s="210">
        <v>45903</v>
      </c>
      <c r="R1177" s="210">
        <v>46632</v>
      </c>
      <c r="S1177" s="210">
        <v>46633</v>
      </c>
      <c r="T1177" s="10">
        <v>2010</v>
      </c>
      <c r="U1177" s="30" t="s">
        <v>10650</v>
      </c>
      <c r="V1177" s="10">
        <v>2021</v>
      </c>
      <c r="W1177" s="35" t="s">
        <v>7109</v>
      </c>
      <c r="X1177" s="31" t="s">
        <v>30</v>
      </c>
      <c r="Y1177" s="35" t="s">
        <v>49</v>
      </c>
      <c r="Z1177" s="333">
        <v>73287</v>
      </c>
      <c r="AA1177" s="30" t="s">
        <v>1886</v>
      </c>
      <c r="AB1177" s="273">
        <v>44477</v>
      </c>
      <c r="AC1177" s="273">
        <v>46302</v>
      </c>
      <c r="AD1177" s="10">
        <v>8096707205</v>
      </c>
      <c r="AE1177" s="30" t="s">
        <v>10905</v>
      </c>
      <c r="AF1177" s="35" t="s">
        <v>1833</v>
      </c>
      <c r="AG1177" s="230" t="s">
        <v>10906</v>
      </c>
      <c r="AH1177" s="31" t="s">
        <v>10907</v>
      </c>
      <c r="AI1177" s="31"/>
      <c r="AJ1177" s="174" t="s">
        <v>10908</v>
      </c>
      <c r="AK1177" s="30" t="s">
        <v>10909</v>
      </c>
      <c r="AL1177" s="210">
        <v>45904</v>
      </c>
      <c r="AM1177" s="161" t="s">
        <v>30</v>
      </c>
      <c r="AN1177" s="35" t="s">
        <v>1765</v>
      </c>
      <c r="AO1177" s="30" t="s">
        <v>10910</v>
      </c>
      <c r="AP1177" s="10">
        <v>125</v>
      </c>
      <c r="AQ1177" s="35"/>
      <c r="AR1177" s="23"/>
      <c r="AS1177" s="210"/>
      <c r="AT1177" s="210"/>
      <c r="AU1177" s="223"/>
      <c r="AV1177" s="31" t="s">
        <v>1389</v>
      </c>
      <c r="AW1177" s="31" t="s">
        <v>32</v>
      </c>
      <c r="AX1177" s="139">
        <v>4</v>
      </c>
      <c r="AY1177" s="58" t="s">
        <v>2262</v>
      </c>
      <c r="AZ1177" s="58" t="s">
        <v>26</v>
      </c>
      <c r="BA1177" s="58" t="s">
        <v>151</v>
      </c>
      <c r="BB1177" s="58" t="s">
        <v>1407</v>
      </c>
      <c r="BC1177" s="43"/>
    </row>
    <row r="1178" spans="1:55" x14ac:dyDescent="0.25">
      <c r="A1178" s="10">
        <f t="shared" si="47"/>
        <v>1177</v>
      </c>
      <c r="B1178" s="61" t="s">
        <v>10911</v>
      </c>
      <c r="C1178" s="592" t="s">
        <v>1407</v>
      </c>
      <c r="D1178" s="96">
        <v>400947</v>
      </c>
      <c r="E1178" s="62" t="s">
        <v>36</v>
      </c>
      <c r="F1178" s="97" t="s">
        <v>10912</v>
      </c>
      <c r="G1178" s="139">
        <v>6</v>
      </c>
      <c r="H1178" s="141">
        <v>0.33333333333333331</v>
      </c>
      <c r="I1178" s="141">
        <v>0.875</v>
      </c>
      <c r="J1178" s="458">
        <v>0.33333333333333331</v>
      </c>
      <c r="K1178" s="35" t="s">
        <v>784</v>
      </c>
      <c r="L1178" s="63" t="s">
        <v>1424</v>
      </c>
      <c r="M1178" s="63" t="s">
        <v>1355</v>
      </c>
      <c r="N1178" s="100" t="s">
        <v>1520</v>
      </c>
      <c r="O1178" s="100" t="s">
        <v>4752</v>
      </c>
      <c r="P1178" s="446">
        <v>45342</v>
      </c>
      <c r="Q1178" s="446">
        <v>45342</v>
      </c>
      <c r="R1178" s="446">
        <v>46072</v>
      </c>
      <c r="S1178" s="338">
        <v>46073</v>
      </c>
      <c r="T1178" s="61">
        <v>2018</v>
      </c>
      <c r="U1178" s="63" t="s">
        <v>7924</v>
      </c>
      <c r="V1178" s="61">
        <v>2023</v>
      </c>
      <c r="W1178" s="63" t="s">
        <v>10913</v>
      </c>
      <c r="X1178" s="62" t="s">
        <v>30</v>
      </c>
      <c r="Y1178" s="143" t="s">
        <v>1360</v>
      </c>
      <c r="Z1178" s="99" t="s">
        <v>10914</v>
      </c>
      <c r="AA1178" s="63" t="s">
        <v>1886</v>
      </c>
      <c r="AB1178" s="451">
        <v>45337</v>
      </c>
      <c r="AC1178" s="451">
        <v>47163</v>
      </c>
      <c r="AD1178" s="220">
        <v>9381319667</v>
      </c>
      <c r="AE1178" s="336" t="s">
        <v>10915</v>
      </c>
      <c r="AF1178" s="63" t="s">
        <v>5086</v>
      </c>
      <c r="AG1178" s="337" t="s">
        <v>10916</v>
      </c>
      <c r="AH1178" s="62" t="s">
        <v>10917</v>
      </c>
      <c r="AI1178" s="62" t="s">
        <v>10918</v>
      </c>
      <c r="AJ1178" s="337" t="s">
        <v>10919</v>
      </c>
      <c r="AK1178" s="63"/>
      <c r="AL1178" s="446">
        <v>45890</v>
      </c>
      <c r="AM1178" s="477">
        <v>45846</v>
      </c>
      <c r="AN1178" s="63" t="s">
        <v>10920</v>
      </c>
      <c r="AO1178" s="63" t="s">
        <v>10921</v>
      </c>
      <c r="AP1178" s="61">
        <v>32</v>
      </c>
      <c r="AQ1178" s="100"/>
      <c r="AR1178" s="143"/>
      <c r="AS1178" s="338"/>
      <c r="AT1178" s="338"/>
      <c r="AU1178" s="453">
        <v>34224</v>
      </c>
      <c r="AV1178" s="62" t="s">
        <v>1352</v>
      </c>
      <c r="AW1178" s="31" t="s">
        <v>68</v>
      </c>
      <c r="AX1178" s="139">
        <v>8</v>
      </c>
      <c r="AY1178" s="58" t="s">
        <v>2262</v>
      </c>
      <c r="AZ1178" s="58" t="s">
        <v>1373</v>
      </c>
      <c r="BA1178" s="58" t="s">
        <v>151</v>
      </c>
      <c r="BB1178" s="58" t="s">
        <v>1407</v>
      </c>
      <c r="BC1178" s="58"/>
    </row>
    <row r="1179" spans="1:55" x14ac:dyDescent="0.25">
      <c r="A1179" s="10">
        <f t="shared" si="47"/>
        <v>1178</v>
      </c>
      <c r="B1179" s="181"/>
      <c r="C1179" s="592" t="s">
        <v>1407</v>
      </c>
      <c r="D1179" s="65">
        <v>401327</v>
      </c>
      <c r="E1179" s="31" t="s">
        <v>36</v>
      </c>
      <c r="F1179" s="14" t="s">
        <v>10922</v>
      </c>
      <c r="G1179" s="10">
        <v>6</v>
      </c>
      <c r="H1179" s="103">
        <v>0.375</v>
      </c>
      <c r="I1179" s="103">
        <v>0.41666666666666669</v>
      </c>
      <c r="J1179" s="458">
        <v>4.1666666666666664E-2</v>
      </c>
      <c r="K1179" s="35" t="s">
        <v>693</v>
      </c>
      <c r="L1179" s="30" t="s">
        <v>30</v>
      </c>
      <c r="M1179" s="97" t="s">
        <v>1376</v>
      </c>
      <c r="N1179" s="58" t="s">
        <v>1393</v>
      </c>
      <c r="O1179" s="35" t="s">
        <v>30</v>
      </c>
      <c r="P1179" s="210">
        <v>45908</v>
      </c>
      <c r="Q1179" s="210">
        <v>45908</v>
      </c>
      <c r="R1179" s="210">
        <v>46637</v>
      </c>
      <c r="S1179" s="210">
        <v>46638</v>
      </c>
      <c r="T1179" s="10">
        <v>2023</v>
      </c>
      <c r="U1179" s="30" t="s">
        <v>3416</v>
      </c>
      <c r="V1179" s="10" t="s">
        <v>30</v>
      </c>
      <c r="W1179" s="35" t="s">
        <v>30</v>
      </c>
      <c r="X1179" s="31" t="s">
        <v>30</v>
      </c>
      <c r="Y1179" s="35" t="s">
        <v>226</v>
      </c>
      <c r="Z1179" s="333" t="s">
        <v>10923</v>
      </c>
      <c r="AA1179" s="30" t="s">
        <v>1841</v>
      </c>
      <c r="AB1179" s="273">
        <v>45541</v>
      </c>
      <c r="AC1179" s="273">
        <v>47366</v>
      </c>
      <c r="AD1179" s="10">
        <v>7995108576</v>
      </c>
      <c r="AE1179" s="236" t="s">
        <v>10924</v>
      </c>
      <c r="AF1179" s="35"/>
      <c r="AG1179" s="221"/>
      <c r="AH1179" s="31"/>
      <c r="AI1179" s="31" t="s">
        <v>10925</v>
      </c>
      <c r="AJ1179" s="174" t="s">
        <v>10926</v>
      </c>
      <c r="AK1179" s="30" t="s">
        <v>10927</v>
      </c>
      <c r="AL1179" s="161">
        <v>45910</v>
      </c>
      <c r="AM1179" s="161" t="s">
        <v>30</v>
      </c>
      <c r="AN1179" s="35" t="s">
        <v>4954</v>
      </c>
      <c r="AO1179" s="30" t="s">
        <v>10928</v>
      </c>
      <c r="AP1179" s="10">
        <v>24</v>
      </c>
      <c r="AQ1179" s="35"/>
      <c r="AR1179" s="23"/>
      <c r="AS1179" s="210"/>
      <c r="AT1179" s="210"/>
      <c r="AU1179" s="223">
        <v>36850</v>
      </c>
      <c r="AV1179" s="31" t="s">
        <v>1352</v>
      </c>
      <c r="AW1179" s="31" t="s">
        <v>32</v>
      </c>
      <c r="AX1179" s="139">
        <v>1</v>
      </c>
      <c r="AY1179" s="58" t="s">
        <v>2469</v>
      </c>
      <c r="AZ1179" s="58" t="s">
        <v>1390</v>
      </c>
      <c r="BA1179" s="58" t="s">
        <v>151</v>
      </c>
      <c r="BB1179" s="58" t="s">
        <v>1407</v>
      </c>
      <c r="BC1179" s="43"/>
    </row>
    <row r="1180" spans="1:55" x14ac:dyDescent="0.25">
      <c r="A1180" s="10">
        <f t="shared" si="47"/>
        <v>1179</v>
      </c>
      <c r="B1180" s="181" t="s">
        <v>10929</v>
      </c>
      <c r="C1180" s="592" t="s">
        <v>1407</v>
      </c>
      <c r="D1180" s="96">
        <v>401238</v>
      </c>
      <c r="E1180" s="62" t="s">
        <v>36</v>
      </c>
      <c r="F1180" s="97" t="s">
        <v>10930</v>
      </c>
      <c r="G1180" s="64">
        <v>6</v>
      </c>
      <c r="H1180" s="443" t="s">
        <v>989</v>
      </c>
      <c r="I1180" s="141">
        <v>0.79166666666666663</v>
      </c>
      <c r="J1180" s="141">
        <v>8.3333333333333329E-2</v>
      </c>
      <c r="K1180" s="58" t="s">
        <v>446</v>
      </c>
      <c r="L1180" s="59" t="s">
        <v>979</v>
      </c>
      <c r="M1180" s="59" t="s">
        <v>26</v>
      </c>
      <c r="N1180" s="271" t="s">
        <v>38</v>
      </c>
      <c r="O1180" s="143" t="s">
        <v>1492</v>
      </c>
      <c r="P1180" s="273">
        <v>45792</v>
      </c>
      <c r="Q1180" s="273">
        <v>45792</v>
      </c>
      <c r="R1180" s="273">
        <v>46521</v>
      </c>
      <c r="S1180" s="273">
        <v>46522</v>
      </c>
      <c r="T1180" s="79">
        <v>2019</v>
      </c>
      <c r="U1180" s="59" t="s">
        <v>499</v>
      </c>
      <c r="V1180" s="64">
        <v>2025</v>
      </c>
      <c r="W1180" s="271" t="s">
        <v>924</v>
      </c>
      <c r="X1180" s="64" t="s">
        <v>30</v>
      </c>
      <c r="Y1180" s="100" t="s">
        <v>49</v>
      </c>
      <c r="Z1180" s="59" t="s">
        <v>10931</v>
      </c>
      <c r="AA1180" s="59" t="s">
        <v>1841</v>
      </c>
      <c r="AB1180" s="273">
        <v>45742</v>
      </c>
      <c r="AC1180" s="273">
        <v>47567</v>
      </c>
      <c r="AD1180" s="139" t="s">
        <v>10932</v>
      </c>
      <c r="AE1180" s="473" t="s">
        <v>10933</v>
      </c>
      <c r="AF1180" s="100" t="s">
        <v>1495</v>
      </c>
      <c r="AG1180" s="337" t="s">
        <v>10934</v>
      </c>
      <c r="AH1180" s="62" t="s">
        <v>5820</v>
      </c>
      <c r="AI1180" s="62" t="s">
        <v>10935</v>
      </c>
      <c r="AJ1180" s="337" t="s">
        <v>10936</v>
      </c>
      <c r="AK1180" s="63" t="s">
        <v>10937</v>
      </c>
      <c r="AL1180" s="338">
        <v>45861</v>
      </c>
      <c r="AM1180" s="446">
        <v>45854</v>
      </c>
      <c r="AN1180" s="63" t="s">
        <v>1457</v>
      </c>
      <c r="AO1180" s="63" t="s">
        <v>10938</v>
      </c>
      <c r="AP1180" s="61">
        <v>28</v>
      </c>
      <c r="AQ1180" s="100" t="s">
        <v>1371</v>
      </c>
      <c r="AR1180" s="58" t="s">
        <v>10939</v>
      </c>
      <c r="AS1180" s="181">
        <v>45791</v>
      </c>
      <c r="AT1180" s="181">
        <v>46886</v>
      </c>
      <c r="AU1180" s="273">
        <v>35610</v>
      </c>
      <c r="AV1180" s="64"/>
      <c r="AW1180" s="64"/>
      <c r="AX1180" s="139">
        <v>2</v>
      </c>
      <c r="AY1180" s="58" t="s">
        <v>1849</v>
      </c>
      <c r="AZ1180" s="58" t="s">
        <v>26</v>
      </c>
      <c r="BA1180" s="58" t="s">
        <v>151</v>
      </c>
      <c r="BB1180" s="58" t="s">
        <v>1407</v>
      </c>
      <c r="BC1180" s="100"/>
    </row>
    <row r="1181" spans="1:55" x14ac:dyDescent="0.25">
      <c r="A1181" s="10">
        <f t="shared" si="47"/>
        <v>1180</v>
      </c>
      <c r="B1181" s="61" t="s">
        <v>10940</v>
      </c>
      <c r="C1181" s="592" t="s">
        <v>1407</v>
      </c>
      <c r="D1181" s="96">
        <v>400846</v>
      </c>
      <c r="E1181" s="62" t="s">
        <v>36</v>
      </c>
      <c r="F1181" s="97" t="s">
        <v>10941</v>
      </c>
      <c r="G1181" s="139">
        <v>6</v>
      </c>
      <c r="H1181" s="141">
        <v>0.35416666666666669</v>
      </c>
      <c r="I1181" s="141">
        <v>0.5625</v>
      </c>
      <c r="J1181" s="141">
        <v>0.20833333333333334</v>
      </c>
      <c r="K1181" s="143" t="s">
        <v>5501</v>
      </c>
      <c r="L1181" s="63" t="s">
        <v>10942</v>
      </c>
      <c r="M1181" s="63" t="s">
        <v>26</v>
      </c>
      <c r="N1181" s="100" t="s">
        <v>38</v>
      </c>
      <c r="O1181" s="143" t="s">
        <v>1492</v>
      </c>
      <c r="P1181" s="446">
        <v>45190</v>
      </c>
      <c r="Q1181" s="446">
        <v>45190</v>
      </c>
      <c r="R1181" s="446">
        <v>45920</v>
      </c>
      <c r="S1181" s="338">
        <v>45921</v>
      </c>
      <c r="T1181" s="61">
        <v>2019</v>
      </c>
      <c r="U1181" s="63" t="s">
        <v>197</v>
      </c>
      <c r="V1181" s="61">
        <v>2023</v>
      </c>
      <c r="W1181" s="99" t="s">
        <v>5065</v>
      </c>
      <c r="X1181" s="62" t="s">
        <v>30</v>
      </c>
      <c r="Y1181" s="100" t="s">
        <v>49</v>
      </c>
      <c r="Z1181" s="99" t="s">
        <v>10943</v>
      </c>
      <c r="AA1181" s="63" t="s">
        <v>1841</v>
      </c>
      <c r="AB1181" s="451">
        <v>45162</v>
      </c>
      <c r="AC1181" s="451">
        <v>46988</v>
      </c>
      <c r="AD1181" s="220">
        <v>9449993333</v>
      </c>
      <c r="AE1181" s="336" t="s">
        <v>10944</v>
      </c>
      <c r="AF1181" s="63" t="s">
        <v>5086</v>
      </c>
      <c r="AG1181" s="337" t="s">
        <v>10945</v>
      </c>
      <c r="AH1181" s="62" t="s">
        <v>10946</v>
      </c>
      <c r="AI1181" s="62" t="s">
        <v>10947</v>
      </c>
      <c r="AJ1181" s="337" t="s">
        <v>10948</v>
      </c>
      <c r="AK1181" s="63"/>
      <c r="AL1181" s="338">
        <v>45882</v>
      </c>
      <c r="AM1181" s="477">
        <v>45884</v>
      </c>
      <c r="AN1181" s="63" t="s">
        <v>1592</v>
      </c>
      <c r="AO1181" s="63" t="s">
        <v>10949</v>
      </c>
      <c r="AP1181" s="61">
        <v>29</v>
      </c>
      <c r="AQ1181" s="100"/>
      <c r="AR1181" s="143"/>
      <c r="AS1181" s="338"/>
      <c r="AT1181" s="338"/>
      <c r="AU1181" s="453">
        <v>35025</v>
      </c>
      <c r="AV1181" s="62" t="s">
        <v>1389</v>
      </c>
      <c r="AW1181" s="31" t="s">
        <v>32</v>
      </c>
      <c r="AX1181" s="139">
        <v>5</v>
      </c>
      <c r="AY1181" s="58" t="s">
        <v>2006</v>
      </c>
      <c r="AZ1181" s="58" t="s">
        <v>26</v>
      </c>
      <c r="BA1181" s="58" t="s">
        <v>151</v>
      </c>
      <c r="BB1181" s="58" t="s">
        <v>1407</v>
      </c>
      <c r="BC1181" s="58"/>
    </row>
    <row r="1182" spans="1:55" x14ac:dyDescent="0.25">
      <c r="A1182" s="10">
        <f t="shared" si="47"/>
        <v>1181</v>
      </c>
      <c r="B1182" s="61" t="s">
        <v>10950</v>
      </c>
      <c r="C1182" s="592" t="s">
        <v>1407</v>
      </c>
      <c r="D1182" s="459">
        <v>401253</v>
      </c>
      <c r="E1182" s="62" t="s">
        <v>36</v>
      </c>
      <c r="F1182" s="97" t="s">
        <v>10951</v>
      </c>
      <c r="G1182" s="64">
        <v>6</v>
      </c>
      <c r="H1182" s="443" t="s">
        <v>989</v>
      </c>
      <c r="I1182" s="141">
        <v>0.79166666666666663</v>
      </c>
      <c r="J1182" s="458">
        <f>I1182-H1182</f>
        <v>8.3333333333333259E-2</v>
      </c>
      <c r="K1182" s="58" t="s">
        <v>791</v>
      </c>
      <c r="L1182" s="59" t="s">
        <v>10952</v>
      </c>
      <c r="M1182" s="63" t="s">
        <v>26</v>
      </c>
      <c r="N1182" s="100" t="s">
        <v>38</v>
      </c>
      <c r="O1182" s="143" t="s">
        <v>1492</v>
      </c>
      <c r="P1182" s="273">
        <v>45813</v>
      </c>
      <c r="Q1182" s="273">
        <v>45813</v>
      </c>
      <c r="R1182" s="273">
        <v>46511</v>
      </c>
      <c r="S1182" s="273">
        <v>46543</v>
      </c>
      <c r="T1182" s="79">
        <v>2019</v>
      </c>
      <c r="U1182" s="59" t="s">
        <v>10953</v>
      </c>
      <c r="V1182" s="64">
        <v>2025</v>
      </c>
      <c r="W1182" s="271" t="s">
        <v>10954</v>
      </c>
      <c r="X1182" s="64" t="s">
        <v>30</v>
      </c>
      <c r="Y1182" s="100" t="s">
        <v>49</v>
      </c>
      <c r="Z1182" s="140" t="s">
        <v>10955</v>
      </c>
      <c r="AA1182" s="59" t="s">
        <v>1841</v>
      </c>
      <c r="AB1182" s="273">
        <v>45792</v>
      </c>
      <c r="AC1182" s="273">
        <v>47617</v>
      </c>
      <c r="AD1182" s="220">
        <v>9110527258</v>
      </c>
      <c r="AE1182" s="336" t="s">
        <v>10956</v>
      </c>
      <c r="AF1182" s="100" t="s">
        <v>1495</v>
      </c>
      <c r="AG1182" s="337" t="s">
        <v>10957</v>
      </c>
      <c r="AH1182" s="181" t="s">
        <v>10958</v>
      </c>
      <c r="AI1182" s="62" t="s">
        <v>10959</v>
      </c>
      <c r="AJ1182" s="337" t="s">
        <v>10960</v>
      </c>
      <c r="AK1182" s="63" t="s">
        <v>10961</v>
      </c>
      <c r="AL1182" s="338">
        <v>45868</v>
      </c>
      <c r="AM1182" s="446">
        <v>45861</v>
      </c>
      <c r="AN1182" s="63" t="s">
        <v>10962</v>
      </c>
      <c r="AO1182" s="63" t="s">
        <v>10963</v>
      </c>
      <c r="AP1182" s="61">
        <v>29</v>
      </c>
      <c r="AQ1182" s="100"/>
      <c r="AR1182" s="143"/>
      <c r="AS1182" s="338"/>
      <c r="AT1182" s="338"/>
      <c r="AU1182" s="273">
        <v>35298</v>
      </c>
      <c r="AV1182" s="64" t="s">
        <v>1389</v>
      </c>
      <c r="AW1182" s="31" t="s">
        <v>32</v>
      </c>
      <c r="AX1182" s="139">
        <v>2</v>
      </c>
      <c r="AY1182" s="58" t="s">
        <v>1959</v>
      </c>
      <c r="AZ1182" s="58" t="s">
        <v>26</v>
      </c>
      <c r="BA1182" s="58" t="s">
        <v>151</v>
      </c>
      <c r="BB1182" s="58" t="s">
        <v>1407</v>
      </c>
      <c r="BC1182" s="100"/>
    </row>
    <row r="1183" spans="1:55" x14ac:dyDescent="0.25">
      <c r="A1183" s="10">
        <f t="shared" si="47"/>
        <v>1182</v>
      </c>
      <c r="B1183" s="61" t="s">
        <v>10964</v>
      </c>
      <c r="C1183" s="592" t="s">
        <v>1407</v>
      </c>
      <c r="D1183" s="96">
        <v>400417</v>
      </c>
      <c r="E1183" s="62" t="s">
        <v>36</v>
      </c>
      <c r="F1183" s="97" t="s">
        <v>10965</v>
      </c>
      <c r="G1183" s="139">
        <v>6</v>
      </c>
      <c r="H1183" s="141">
        <v>0.35416666666666669</v>
      </c>
      <c r="I1183" s="141">
        <v>0.52083333333333337</v>
      </c>
      <c r="J1183" s="141">
        <v>0.16666666666666666</v>
      </c>
      <c r="K1183" s="143" t="s">
        <v>587</v>
      </c>
      <c r="L1183" s="63" t="s">
        <v>2015</v>
      </c>
      <c r="M1183" s="63" t="s">
        <v>1355</v>
      </c>
      <c r="N1183" s="100" t="s">
        <v>1520</v>
      </c>
      <c r="O1183" s="100" t="s">
        <v>4752</v>
      </c>
      <c r="P1183" s="446">
        <v>44548</v>
      </c>
      <c r="Q1183" s="446">
        <v>45278</v>
      </c>
      <c r="R1183" s="446">
        <v>46008</v>
      </c>
      <c r="S1183" s="338">
        <v>46009</v>
      </c>
      <c r="T1183" s="61">
        <v>2011</v>
      </c>
      <c r="U1183" s="63" t="s">
        <v>343</v>
      </c>
      <c r="V1183" s="61">
        <v>2019</v>
      </c>
      <c r="W1183" s="99" t="s">
        <v>10966</v>
      </c>
      <c r="X1183" s="62" t="s">
        <v>30</v>
      </c>
      <c r="Y1183" s="143" t="s">
        <v>1360</v>
      </c>
      <c r="Z1183" s="99">
        <v>72699</v>
      </c>
      <c r="AA1183" s="63" t="s">
        <v>1841</v>
      </c>
      <c r="AB1183" s="451">
        <v>44495</v>
      </c>
      <c r="AC1183" s="451">
        <v>46320</v>
      </c>
      <c r="AD1183" s="220">
        <v>8499974468</v>
      </c>
      <c r="AE1183" s="336" t="s">
        <v>10967</v>
      </c>
      <c r="AF1183" s="63" t="s">
        <v>1805</v>
      </c>
      <c r="AG1183" s="337" t="s">
        <v>10968</v>
      </c>
      <c r="AH1183" s="62" t="s">
        <v>10969</v>
      </c>
      <c r="AI1183" s="62" t="s">
        <v>10970</v>
      </c>
      <c r="AJ1183" s="337" t="s">
        <v>10971</v>
      </c>
      <c r="AK1183" s="63" t="s">
        <v>10972</v>
      </c>
      <c r="AL1183" s="446">
        <v>45895</v>
      </c>
      <c r="AM1183" s="477">
        <v>45866</v>
      </c>
      <c r="AN1183" s="63" t="s">
        <v>1592</v>
      </c>
      <c r="AO1183" s="99"/>
      <c r="AP1183" s="61">
        <v>39</v>
      </c>
      <c r="AQ1183" s="100"/>
      <c r="AR1183" s="143"/>
      <c r="AS1183" s="338"/>
      <c r="AT1183" s="338"/>
      <c r="AU1183" s="273">
        <v>31600</v>
      </c>
      <c r="AV1183" s="62" t="s">
        <v>1389</v>
      </c>
      <c r="AW1183" s="31" t="s">
        <v>32</v>
      </c>
      <c r="AX1183" s="139">
        <v>4</v>
      </c>
      <c r="AY1183" s="466" t="s">
        <v>2053</v>
      </c>
      <c r="AZ1183" s="58" t="s">
        <v>1373</v>
      </c>
      <c r="BA1183" s="58" t="s">
        <v>151</v>
      </c>
      <c r="BB1183" s="58" t="s">
        <v>1407</v>
      </c>
      <c r="BC1183" s="58"/>
    </row>
    <row r="1184" spans="1:55" ht="15.75" x14ac:dyDescent="0.25">
      <c r="A1184" s="10">
        <f t="shared" si="47"/>
        <v>1183</v>
      </c>
      <c r="B1184" s="31" t="s">
        <v>1232</v>
      </c>
      <c r="C1184" s="30" t="s">
        <v>34</v>
      </c>
      <c r="D1184" s="80">
        <v>401344</v>
      </c>
      <c r="E1184" s="40" t="s">
        <v>36</v>
      </c>
      <c r="F1184" s="120" t="s">
        <v>1233</v>
      </c>
      <c r="G1184" s="121">
        <v>6</v>
      </c>
      <c r="H1184" s="115">
        <v>0.375</v>
      </c>
      <c r="I1184" s="115">
        <v>0.70833333333333337</v>
      </c>
      <c r="J1184" s="66">
        <v>0.33333333333333331</v>
      </c>
      <c r="K1184" s="21" t="s">
        <v>275</v>
      </c>
      <c r="L1184" s="125" t="s">
        <v>1251</v>
      </c>
      <c r="M1184" s="125" t="s">
        <v>26</v>
      </c>
      <c r="N1184" s="23" t="s">
        <v>38</v>
      </c>
      <c r="O1184" s="23" t="s">
        <v>1321</v>
      </c>
      <c r="P1184" s="258">
        <v>45954</v>
      </c>
      <c r="Q1184" s="258">
        <v>45954</v>
      </c>
      <c r="R1184" s="258">
        <v>46683</v>
      </c>
      <c r="S1184" s="258">
        <v>46684</v>
      </c>
      <c r="T1184" s="126">
        <v>2003</v>
      </c>
      <c r="U1184" s="60" t="s">
        <v>1235</v>
      </c>
      <c r="V1184" s="64">
        <v>2018</v>
      </c>
      <c r="W1184" s="60" t="s">
        <v>1128</v>
      </c>
      <c r="X1184" s="27" t="s">
        <v>30</v>
      </c>
      <c r="Y1184" s="39" t="s">
        <v>1236</v>
      </c>
      <c r="Z1184" s="410" t="s">
        <v>4686</v>
      </c>
      <c r="AA1184" s="28" t="s">
        <v>1841</v>
      </c>
      <c r="AB1184" s="424">
        <v>44236</v>
      </c>
      <c r="AC1184" s="424">
        <v>46061</v>
      </c>
      <c r="AD1184" s="430">
        <v>8639079405</v>
      </c>
      <c r="AE1184" s="431" t="s">
        <v>1237</v>
      </c>
      <c r="AF1184" s="278" t="s">
        <v>1364</v>
      </c>
      <c r="AG1184" s="427" t="s">
        <v>4687</v>
      </c>
      <c r="AH1184" s="26" t="s">
        <v>4688</v>
      </c>
      <c r="AI1184" s="40" t="s">
        <v>4689</v>
      </c>
      <c r="AJ1184" s="173" t="s">
        <v>4690</v>
      </c>
      <c r="AK1184" s="39" t="s">
        <v>4691</v>
      </c>
      <c r="AL1184" s="182"/>
      <c r="AM1184" s="182"/>
      <c r="AN1184" s="40"/>
      <c r="AO1184" s="28" t="s">
        <v>4692</v>
      </c>
      <c r="AP1184" s="26">
        <f t="shared" ref="AP1184:AP1204" ca="1" si="48">ROUNDDOWN((TODAY() -AU1184)/365.25,0)</f>
        <v>48</v>
      </c>
      <c r="AQ1184" s="33"/>
      <c r="AR1184" s="429"/>
      <c r="AS1184" s="171"/>
      <c r="AT1184" s="171"/>
      <c r="AU1184" s="424">
        <v>28278</v>
      </c>
      <c r="AV1184" s="121" t="s">
        <v>1389</v>
      </c>
      <c r="AW1184" s="31" t="s">
        <v>68</v>
      </c>
      <c r="AX1184" s="87">
        <v>8</v>
      </c>
      <c r="AY1184" s="39" t="s">
        <v>1959</v>
      </c>
      <c r="AZ1184" s="39" t="s">
        <v>26</v>
      </c>
      <c r="BA1184" s="128" t="s">
        <v>151</v>
      </c>
      <c r="BB1184" s="30" t="s">
        <v>34</v>
      </c>
      <c r="BC1184" s="26"/>
    </row>
    <row r="1185" spans="1:55" x14ac:dyDescent="0.25">
      <c r="A1185" s="10">
        <f t="shared" si="47"/>
        <v>1184</v>
      </c>
      <c r="B1185" s="10"/>
      <c r="C1185" s="30" t="s">
        <v>34</v>
      </c>
      <c r="D1185" s="137">
        <v>401345</v>
      </c>
      <c r="E1185" s="31" t="s">
        <v>192</v>
      </c>
      <c r="F1185" s="135" t="s">
        <v>1252</v>
      </c>
      <c r="G1185" s="64"/>
      <c r="H1185" s="66"/>
      <c r="I1185" s="68"/>
      <c r="J1185" s="66"/>
      <c r="K1185" s="29" t="s">
        <v>334</v>
      </c>
      <c r="L1185" s="59" t="s">
        <v>1253</v>
      </c>
      <c r="M1185" s="125" t="s">
        <v>26</v>
      </c>
      <c r="N1185" s="23" t="s">
        <v>38</v>
      </c>
      <c r="O1185" s="23" t="s">
        <v>1321</v>
      </c>
      <c r="P1185" s="258">
        <v>45962</v>
      </c>
      <c r="Q1185" s="258">
        <v>45962</v>
      </c>
      <c r="R1185" s="258">
        <v>46686</v>
      </c>
      <c r="S1185" s="258">
        <v>46687</v>
      </c>
      <c r="T1185" s="79">
        <v>1988</v>
      </c>
      <c r="U1185" s="136" t="s">
        <v>1254</v>
      </c>
      <c r="V1185" s="64">
        <v>1991</v>
      </c>
      <c r="W1185" s="136" t="s">
        <v>1254</v>
      </c>
      <c r="X1185" s="27" t="s">
        <v>30</v>
      </c>
      <c r="Y1185" s="100" t="s">
        <v>1255</v>
      </c>
      <c r="Z1185" s="407" t="s">
        <v>10973</v>
      </c>
      <c r="AA1185" s="34" t="s">
        <v>1841</v>
      </c>
      <c r="AB1185" s="273">
        <v>45037</v>
      </c>
      <c r="AC1185" s="273">
        <v>46864</v>
      </c>
      <c r="AD1185" s="412">
        <v>9963653331</v>
      </c>
      <c r="AE1185" s="435" t="s">
        <v>1256</v>
      </c>
      <c r="AF1185" s="278" t="s">
        <v>1364</v>
      </c>
      <c r="AG1185" s="422" t="s">
        <v>10974</v>
      </c>
      <c r="AH1185" s="438" t="s">
        <v>3293</v>
      </c>
      <c r="AI1185" s="31" t="s">
        <v>10975</v>
      </c>
      <c r="AJ1185" s="433" t="s">
        <v>10976</v>
      </c>
      <c r="AK1185" s="30" t="s">
        <v>10977</v>
      </c>
      <c r="AL1185" s="210"/>
      <c r="AM1185" s="210"/>
      <c r="AN1185" s="31"/>
      <c r="AO1185" s="34" t="s">
        <v>10978</v>
      </c>
      <c r="AP1185" s="26">
        <f t="shared" ca="1" si="48"/>
        <v>61</v>
      </c>
      <c r="AQ1185" s="29" t="s">
        <v>10979</v>
      </c>
      <c r="AR1185" s="104" t="s">
        <v>10980</v>
      </c>
      <c r="AS1185" s="389">
        <v>45644</v>
      </c>
      <c r="AT1185" s="389">
        <v>46008</v>
      </c>
      <c r="AU1185" s="273">
        <v>23646</v>
      </c>
      <c r="AV1185" s="64" t="s">
        <v>1389</v>
      </c>
      <c r="AW1185" s="64" t="s">
        <v>32</v>
      </c>
      <c r="AX1185" s="10" t="s">
        <v>30</v>
      </c>
      <c r="AY1185" s="30" t="s">
        <v>30</v>
      </c>
      <c r="AZ1185" s="39" t="s">
        <v>26</v>
      </c>
      <c r="BA1185" s="128" t="s">
        <v>151</v>
      </c>
      <c r="BB1185" s="30" t="s">
        <v>34</v>
      </c>
      <c r="BC1185" s="27"/>
    </row>
    <row r="1186" spans="1:55" ht="15.75" x14ac:dyDescent="0.25">
      <c r="A1186" s="10">
        <f t="shared" si="47"/>
        <v>1185</v>
      </c>
      <c r="B1186" s="31" t="s">
        <v>1257</v>
      </c>
      <c r="C1186" s="58" t="s">
        <v>34</v>
      </c>
      <c r="D1186" s="131">
        <v>401346</v>
      </c>
      <c r="E1186" s="31" t="s">
        <v>42</v>
      </c>
      <c r="F1186" s="132" t="s">
        <v>1258</v>
      </c>
      <c r="G1186" s="64">
        <v>6</v>
      </c>
      <c r="H1186" s="66">
        <v>0.70833333333333337</v>
      </c>
      <c r="I1186" s="68">
        <v>0.91666666666666663</v>
      </c>
      <c r="J1186" s="66">
        <v>0.20833333333333334</v>
      </c>
      <c r="K1186" s="138" t="s">
        <v>411</v>
      </c>
      <c r="L1186" s="138" t="s">
        <v>1259</v>
      </c>
      <c r="M1186" s="125" t="s">
        <v>26</v>
      </c>
      <c r="N1186" s="23" t="s">
        <v>38</v>
      </c>
      <c r="O1186" s="23" t="s">
        <v>1321</v>
      </c>
      <c r="P1186" s="258">
        <v>45964</v>
      </c>
      <c r="Q1186" s="258">
        <v>45964</v>
      </c>
      <c r="R1186" s="258">
        <v>46693</v>
      </c>
      <c r="S1186" s="258">
        <v>45964</v>
      </c>
      <c r="T1186" s="139">
        <v>2014</v>
      </c>
      <c r="U1186" s="97" t="s">
        <v>1260</v>
      </c>
      <c r="V1186" s="139">
        <v>2023</v>
      </c>
      <c r="W1186" s="140" t="s">
        <v>1261</v>
      </c>
      <c r="X1186" s="27" t="s">
        <v>30</v>
      </c>
      <c r="Y1186" s="35" t="s">
        <v>49</v>
      </c>
      <c r="Z1186" s="138" t="s">
        <v>8574</v>
      </c>
      <c r="AA1186" s="97" t="s">
        <v>1886</v>
      </c>
      <c r="AB1186" s="471">
        <v>45194</v>
      </c>
      <c r="AC1186" s="471">
        <v>47020</v>
      </c>
      <c r="AD1186" s="472" t="s">
        <v>1262</v>
      </c>
      <c r="AE1186" s="473" t="s">
        <v>1263</v>
      </c>
      <c r="AF1186" s="97" t="s">
        <v>2840</v>
      </c>
      <c r="AG1186" s="482">
        <v>10049725085</v>
      </c>
      <c r="AH1186" s="181" t="s">
        <v>4072</v>
      </c>
      <c r="AI1186" s="139" t="s">
        <v>8575</v>
      </c>
      <c r="AJ1186" s="464">
        <v>767591869781</v>
      </c>
      <c r="AK1186" s="97" t="s">
        <v>10981</v>
      </c>
      <c r="AL1186" s="461"/>
      <c r="AM1186" s="477"/>
      <c r="AN1186" s="465"/>
      <c r="AO1186" s="140" t="s">
        <v>8576</v>
      </c>
      <c r="AP1186" s="26">
        <f t="shared" ca="1" si="48"/>
        <v>35</v>
      </c>
      <c r="AQ1186" s="29" t="s">
        <v>10979</v>
      </c>
      <c r="AR1186" s="559" t="s">
        <v>10982</v>
      </c>
      <c r="AS1186" s="282">
        <v>45614</v>
      </c>
      <c r="AT1186" s="282">
        <v>45978</v>
      </c>
      <c r="AU1186" s="461">
        <v>33106</v>
      </c>
      <c r="AV1186" s="181" t="s">
        <v>1352</v>
      </c>
      <c r="AW1186" s="31" t="s">
        <v>68</v>
      </c>
      <c r="AX1186" s="139">
        <v>5</v>
      </c>
      <c r="AY1186" s="58" t="s">
        <v>1920</v>
      </c>
      <c r="AZ1186" s="58" t="s">
        <v>26</v>
      </c>
      <c r="BA1186" s="58" t="s">
        <v>151</v>
      </c>
      <c r="BB1186" s="58" t="s">
        <v>34</v>
      </c>
      <c r="BC1186" s="58"/>
    </row>
    <row r="1187" spans="1:55" x14ac:dyDescent="0.25">
      <c r="A1187" s="10">
        <f t="shared" si="47"/>
        <v>1186</v>
      </c>
      <c r="B1187" s="31" t="s">
        <v>1264</v>
      </c>
      <c r="C1187" s="100" t="s">
        <v>34</v>
      </c>
      <c r="D1187" s="137">
        <v>401347</v>
      </c>
      <c r="E1187" s="31" t="s">
        <v>36</v>
      </c>
      <c r="F1187" s="135" t="s">
        <v>1265</v>
      </c>
      <c r="G1187" s="61">
        <v>6</v>
      </c>
      <c r="H1187" s="66">
        <v>0.35416666666666669</v>
      </c>
      <c r="I1187" s="68">
        <v>0.6875</v>
      </c>
      <c r="J1187" s="141">
        <v>0.33333333333333331</v>
      </c>
      <c r="K1187" s="142" t="s">
        <v>1266</v>
      </c>
      <c r="L1187" s="99" t="s">
        <v>1267</v>
      </c>
      <c r="M1187" s="63" t="s">
        <v>26</v>
      </c>
      <c r="N1187" s="100" t="s">
        <v>38</v>
      </c>
      <c r="O1187" s="23" t="s">
        <v>1321</v>
      </c>
      <c r="P1187" s="258">
        <v>45961</v>
      </c>
      <c r="Q1187" s="258">
        <v>45961</v>
      </c>
      <c r="R1187" s="258">
        <v>46690</v>
      </c>
      <c r="S1187" s="258">
        <v>46691</v>
      </c>
      <c r="T1187" s="61">
        <v>2018</v>
      </c>
      <c r="U1187" s="99" t="s">
        <v>675</v>
      </c>
      <c r="V1187" s="61">
        <v>2023</v>
      </c>
      <c r="W1187" s="143" t="s">
        <v>1268</v>
      </c>
      <c r="X1187" s="61" t="s">
        <v>30</v>
      </c>
      <c r="Y1187" s="100" t="s">
        <v>49</v>
      </c>
      <c r="Z1187" s="99" t="s">
        <v>10389</v>
      </c>
      <c r="AA1187" s="99" t="s">
        <v>1841</v>
      </c>
      <c r="AB1187" s="451">
        <v>45532</v>
      </c>
      <c r="AC1187" s="451">
        <v>47357</v>
      </c>
      <c r="AD1187" s="220">
        <v>9573326226</v>
      </c>
      <c r="AE1187" s="336" t="s">
        <v>1269</v>
      </c>
      <c r="AF1187" s="100" t="s">
        <v>1833</v>
      </c>
      <c r="AG1187" s="337" t="s">
        <v>10390</v>
      </c>
      <c r="AH1187" s="62" t="s">
        <v>10391</v>
      </c>
      <c r="AI1187" s="62" t="s">
        <v>10392</v>
      </c>
      <c r="AJ1187" s="493">
        <v>228227583553</v>
      </c>
      <c r="AK1187" s="63" t="s">
        <v>10393</v>
      </c>
      <c r="AL1187" s="210"/>
      <c r="AM1187" s="210"/>
      <c r="AN1187" s="31"/>
      <c r="AO1187" s="63" t="s">
        <v>10395</v>
      </c>
      <c r="AP1187" s="26">
        <f t="shared" ca="1" si="48"/>
        <v>29</v>
      </c>
      <c r="AQ1187" s="100" t="s">
        <v>1371</v>
      </c>
      <c r="AR1187" s="143" t="s">
        <v>10396</v>
      </c>
      <c r="AS1187" s="338">
        <v>45603</v>
      </c>
      <c r="AT1187" s="338">
        <v>45967</v>
      </c>
      <c r="AU1187" s="453">
        <v>35182</v>
      </c>
      <c r="AV1187" s="62" t="s">
        <v>1389</v>
      </c>
      <c r="AW1187" s="31" t="s">
        <v>68</v>
      </c>
      <c r="AX1187" s="61">
        <v>8</v>
      </c>
      <c r="AY1187" s="100" t="s">
        <v>1904</v>
      </c>
      <c r="AZ1187" s="100" t="s">
        <v>26</v>
      </c>
      <c r="BA1187" s="100" t="s">
        <v>151</v>
      </c>
      <c r="BB1187" s="100" t="s">
        <v>34</v>
      </c>
      <c r="BC1187" s="100"/>
    </row>
    <row r="1188" spans="1:55" x14ac:dyDescent="0.25">
      <c r="A1188" s="10">
        <f t="shared" si="47"/>
        <v>1187</v>
      </c>
      <c r="B1188" s="10"/>
      <c r="C1188" s="100" t="s">
        <v>34</v>
      </c>
      <c r="D1188" s="137">
        <v>401348</v>
      </c>
      <c r="E1188" s="31" t="s">
        <v>36</v>
      </c>
      <c r="F1188" s="135" t="s">
        <v>1270</v>
      </c>
      <c r="G1188" s="61">
        <v>6</v>
      </c>
      <c r="H1188" s="66">
        <v>0.375</v>
      </c>
      <c r="I1188" s="68">
        <v>0.54166666666666663</v>
      </c>
      <c r="J1188" s="66">
        <v>0.16666666666666666</v>
      </c>
      <c r="K1188" s="144" t="s">
        <v>1271</v>
      </c>
      <c r="L1188" s="99" t="s">
        <v>1272</v>
      </c>
      <c r="M1188" s="63" t="s">
        <v>26</v>
      </c>
      <c r="N1188" s="100" t="s">
        <v>38</v>
      </c>
      <c r="O1188" s="23" t="s">
        <v>1321</v>
      </c>
      <c r="P1188" s="258">
        <v>45964</v>
      </c>
      <c r="Q1188" s="258">
        <v>45964</v>
      </c>
      <c r="R1188" s="258">
        <v>46693</v>
      </c>
      <c r="S1188" s="258">
        <v>46694</v>
      </c>
      <c r="T1188" s="79">
        <v>2014</v>
      </c>
      <c r="U1188" s="63" t="s">
        <v>1273</v>
      </c>
      <c r="V1188" s="64">
        <v>2021</v>
      </c>
      <c r="W1188" s="63" t="s">
        <v>642</v>
      </c>
      <c r="X1188" s="61" t="s">
        <v>30</v>
      </c>
      <c r="Y1188" s="100" t="s">
        <v>49</v>
      </c>
      <c r="Z1188" s="63" t="s">
        <v>10983</v>
      </c>
      <c r="AA1188" s="99" t="s">
        <v>1841</v>
      </c>
      <c r="AB1188" s="273">
        <v>44847</v>
      </c>
      <c r="AC1188" s="273">
        <v>46672</v>
      </c>
      <c r="AD1188" s="220" t="s">
        <v>1274</v>
      </c>
      <c r="AE1188" s="560" t="s">
        <v>1275</v>
      </c>
      <c r="AF1188" s="432" t="s">
        <v>1430</v>
      </c>
      <c r="AG1188" s="422" t="s">
        <v>10984</v>
      </c>
      <c r="AH1188" s="561" t="s">
        <v>10985</v>
      </c>
      <c r="AI1188" s="31" t="s">
        <v>10986</v>
      </c>
      <c r="AJ1188" s="433" t="s">
        <v>10987</v>
      </c>
      <c r="AK1188" s="30" t="s">
        <v>10988</v>
      </c>
      <c r="AL1188" s="210"/>
      <c r="AM1188" s="210"/>
      <c r="AN1188" s="31"/>
      <c r="AO1188" s="34" t="s">
        <v>10989</v>
      </c>
      <c r="AP1188" s="26">
        <f t="shared" ca="1" si="48"/>
        <v>33</v>
      </c>
      <c r="AQ1188" s="561" t="s">
        <v>1677</v>
      </c>
      <c r="AR1188" s="104" t="s">
        <v>10990</v>
      </c>
      <c r="AS1188" s="562">
        <v>45953</v>
      </c>
      <c r="AT1188" s="562">
        <v>46317</v>
      </c>
      <c r="AU1188" s="273">
        <v>33652</v>
      </c>
      <c r="AV1188" s="62" t="s">
        <v>1389</v>
      </c>
      <c r="AW1188" s="64" t="s">
        <v>32</v>
      </c>
      <c r="AX1188" s="10">
        <v>4</v>
      </c>
      <c r="AY1188" s="30" t="s">
        <v>1968</v>
      </c>
      <c r="AZ1188" s="100" t="s">
        <v>26</v>
      </c>
      <c r="BA1188" s="100" t="s">
        <v>151</v>
      </c>
      <c r="BB1188" s="100" t="s">
        <v>34</v>
      </c>
      <c r="BC1188" s="27"/>
    </row>
    <row r="1189" spans="1:55" x14ac:dyDescent="0.25">
      <c r="A1189" s="10">
        <f t="shared" si="47"/>
        <v>1188</v>
      </c>
      <c r="B1189" s="10"/>
      <c r="C1189" s="100" t="s">
        <v>34</v>
      </c>
      <c r="D1189" s="137">
        <v>401349</v>
      </c>
      <c r="E1189" s="181" t="s">
        <v>9124</v>
      </c>
      <c r="F1189" s="135" t="s">
        <v>10991</v>
      </c>
      <c r="G1189" s="61">
        <v>6</v>
      </c>
      <c r="H1189" s="66" t="s">
        <v>10992</v>
      </c>
      <c r="I1189" s="68" t="s">
        <v>10993</v>
      </c>
      <c r="J1189" s="66">
        <v>0.125</v>
      </c>
      <c r="K1189" s="144" t="s">
        <v>1884</v>
      </c>
      <c r="L1189" s="59" t="s">
        <v>30</v>
      </c>
      <c r="M1189" s="30" t="s">
        <v>1544</v>
      </c>
      <c r="N1189" s="100" t="s">
        <v>1992</v>
      </c>
      <c r="O1189" s="23" t="s">
        <v>1357</v>
      </c>
      <c r="P1189" s="258">
        <v>45964</v>
      </c>
      <c r="Q1189" s="258">
        <v>45964</v>
      </c>
      <c r="R1189" s="258">
        <v>46693</v>
      </c>
      <c r="S1189" s="258">
        <v>46694</v>
      </c>
      <c r="T1189" s="79">
        <v>2014</v>
      </c>
      <c r="U1189" s="63" t="s">
        <v>10650</v>
      </c>
      <c r="V1189" s="64">
        <v>2023</v>
      </c>
      <c r="W1189" s="63" t="s">
        <v>715</v>
      </c>
      <c r="X1189" s="61" t="s">
        <v>30</v>
      </c>
      <c r="Y1189" s="100" t="s">
        <v>1549</v>
      </c>
      <c r="Z1189" s="63" t="s">
        <v>10994</v>
      </c>
      <c r="AA1189" s="34" t="s">
        <v>1886</v>
      </c>
      <c r="AB1189" s="273">
        <v>45174</v>
      </c>
      <c r="AC1189" s="273">
        <v>47000</v>
      </c>
      <c r="AD1189" s="220">
        <v>9160342334</v>
      </c>
      <c r="AE1189" s="563" t="s">
        <v>10995</v>
      </c>
      <c r="AF1189" s="432"/>
      <c r="AG1189" s="422"/>
      <c r="AH1189" s="438"/>
      <c r="AI1189" s="31" t="s">
        <v>10996</v>
      </c>
      <c r="AJ1189" s="433" t="s">
        <v>10997</v>
      </c>
      <c r="AK1189" s="30" t="s">
        <v>10998</v>
      </c>
      <c r="AL1189" s="210"/>
      <c r="AM1189" s="210"/>
      <c r="AN1189" s="31"/>
      <c r="AO1189" s="34" t="s">
        <v>10999</v>
      </c>
      <c r="AP1189" s="26">
        <f t="shared" ca="1" si="48"/>
        <v>33</v>
      </c>
      <c r="AQ1189" s="29"/>
      <c r="AR1189" s="104"/>
      <c r="AS1189" s="389"/>
      <c r="AT1189" s="389"/>
      <c r="AU1189" s="273">
        <v>33641</v>
      </c>
      <c r="AV1189" s="62" t="s">
        <v>1389</v>
      </c>
      <c r="AW1189" s="64" t="s">
        <v>32</v>
      </c>
      <c r="AX1189" s="10">
        <v>3</v>
      </c>
      <c r="AY1189" s="30" t="s">
        <v>1895</v>
      </c>
      <c r="AZ1189" s="39" t="s">
        <v>1373</v>
      </c>
      <c r="BA1189" s="100" t="s">
        <v>151</v>
      </c>
      <c r="BB1189" s="100" t="s">
        <v>34</v>
      </c>
      <c r="BC1189" s="27"/>
    </row>
    <row r="1190" spans="1:55" x14ac:dyDescent="0.25">
      <c r="A1190" s="10">
        <f t="shared" si="47"/>
        <v>1189</v>
      </c>
      <c r="B1190" s="10"/>
      <c r="C1190" s="30" t="s">
        <v>34</v>
      </c>
      <c r="D1190" s="137">
        <v>401350</v>
      </c>
      <c r="E1190" s="31" t="s">
        <v>36</v>
      </c>
      <c r="F1190" s="135" t="s">
        <v>1276</v>
      </c>
      <c r="G1190" s="64">
        <v>6</v>
      </c>
      <c r="H1190" s="66">
        <v>0.33333333333333331</v>
      </c>
      <c r="I1190" s="68">
        <v>0.66666666666666663</v>
      </c>
      <c r="J1190" s="66">
        <v>0.33333333333333331</v>
      </c>
      <c r="K1190" s="29" t="s">
        <v>899</v>
      </c>
      <c r="L1190" s="99" t="s">
        <v>1277</v>
      </c>
      <c r="M1190" s="30" t="s">
        <v>26</v>
      </c>
      <c r="N1190" s="100" t="s">
        <v>38</v>
      </c>
      <c r="O1190" s="23" t="s">
        <v>1321</v>
      </c>
      <c r="P1190" s="258">
        <v>45962</v>
      </c>
      <c r="Q1190" s="258">
        <v>45962</v>
      </c>
      <c r="R1190" s="258">
        <v>46691</v>
      </c>
      <c r="S1190" s="258">
        <v>46692</v>
      </c>
      <c r="T1190" s="79">
        <v>2018</v>
      </c>
      <c r="U1190" s="145" t="s">
        <v>1278</v>
      </c>
      <c r="V1190" s="64">
        <v>2023</v>
      </c>
      <c r="W1190" s="145" t="s">
        <v>1279</v>
      </c>
      <c r="X1190" s="61" t="s">
        <v>30</v>
      </c>
      <c r="Y1190" s="100" t="s">
        <v>49</v>
      </c>
      <c r="Z1190" s="145" t="s">
        <v>11000</v>
      </c>
      <c r="AA1190" s="34" t="s">
        <v>1841</v>
      </c>
      <c r="AB1190" s="273">
        <v>45947</v>
      </c>
      <c r="AC1190" s="273">
        <v>47772</v>
      </c>
      <c r="AD1190" s="220">
        <v>8017110245</v>
      </c>
      <c r="AE1190" s="563" t="s">
        <v>1280</v>
      </c>
      <c r="AF1190" s="35" t="s">
        <v>1410</v>
      </c>
      <c r="AG1190" s="422" t="s">
        <v>11001</v>
      </c>
      <c r="AH1190" s="561" t="s">
        <v>11002</v>
      </c>
      <c r="AI1190" s="31" t="s">
        <v>11003</v>
      </c>
      <c r="AJ1190" s="433" t="s">
        <v>11004</v>
      </c>
      <c r="AK1190" s="30" t="s">
        <v>11005</v>
      </c>
      <c r="AL1190" s="210"/>
      <c r="AM1190" s="210"/>
      <c r="AN1190" s="31"/>
      <c r="AO1190" s="564" t="s">
        <v>11006</v>
      </c>
      <c r="AP1190" s="10">
        <f t="shared" ca="1" si="48"/>
        <v>31</v>
      </c>
      <c r="AQ1190" s="29" t="s">
        <v>1605</v>
      </c>
      <c r="AR1190" s="104" t="s">
        <v>11007</v>
      </c>
      <c r="AS1190" s="565">
        <v>45688</v>
      </c>
      <c r="AT1190" s="565">
        <v>46782</v>
      </c>
      <c r="AU1190" s="273">
        <v>34498</v>
      </c>
      <c r="AV1190" s="64" t="s">
        <v>1389</v>
      </c>
      <c r="AW1190" s="64" t="s">
        <v>68</v>
      </c>
      <c r="AX1190" s="10">
        <v>8</v>
      </c>
      <c r="AY1190" s="30" t="s">
        <v>2006</v>
      </c>
      <c r="AZ1190" s="30" t="s">
        <v>26</v>
      </c>
      <c r="BA1190" s="23" t="s">
        <v>151</v>
      </c>
      <c r="BB1190" s="30" t="s">
        <v>34</v>
      </c>
      <c r="BC1190" s="27"/>
    </row>
    <row r="1191" spans="1:55" x14ac:dyDescent="0.25">
      <c r="A1191" s="10">
        <f t="shared" si="47"/>
        <v>1190</v>
      </c>
      <c r="B1191" s="31" t="s">
        <v>11008</v>
      </c>
      <c r="C1191" s="30" t="s">
        <v>34</v>
      </c>
      <c r="D1191" s="137">
        <v>401351</v>
      </c>
      <c r="E1191" s="31" t="s">
        <v>36</v>
      </c>
      <c r="F1191" s="135" t="s">
        <v>11009</v>
      </c>
      <c r="G1191" s="64">
        <v>6</v>
      </c>
      <c r="H1191" s="66">
        <v>0.33333333333333331</v>
      </c>
      <c r="I1191" s="68">
        <v>0.66666666666666663</v>
      </c>
      <c r="J1191" s="66">
        <v>0.33333333333333331</v>
      </c>
      <c r="K1191" s="29" t="s">
        <v>207</v>
      </c>
      <c r="L1191" s="59" t="s">
        <v>30</v>
      </c>
      <c r="M1191" s="30" t="s">
        <v>1504</v>
      </c>
      <c r="N1191" s="23" t="s">
        <v>2144</v>
      </c>
      <c r="O1191" s="23" t="s">
        <v>30</v>
      </c>
      <c r="P1191" s="258">
        <v>45962</v>
      </c>
      <c r="Q1191" s="258">
        <v>45962</v>
      </c>
      <c r="R1191" s="258">
        <v>46691</v>
      </c>
      <c r="S1191" s="258">
        <v>46692</v>
      </c>
      <c r="T1191" s="79">
        <v>2003</v>
      </c>
      <c r="U1191" s="136" t="s">
        <v>11010</v>
      </c>
      <c r="V1191" s="64">
        <v>2017</v>
      </c>
      <c r="W1191" s="136" t="s">
        <v>11011</v>
      </c>
      <c r="X1191" s="61" t="s">
        <v>30</v>
      </c>
      <c r="Y1191" s="35" t="s">
        <v>11012</v>
      </c>
      <c r="Z1191" s="407" t="s">
        <v>11013</v>
      </c>
      <c r="AA1191" s="34" t="s">
        <v>1886</v>
      </c>
      <c r="AB1191" s="273">
        <v>44232</v>
      </c>
      <c r="AC1191" s="273">
        <v>45657</v>
      </c>
      <c r="AD1191" s="412">
        <v>9849747595</v>
      </c>
      <c r="AE1191" s="435" t="s">
        <v>11014</v>
      </c>
      <c r="AF1191" s="432" t="s">
        <v>1833</v>
      </c>
      <c r="AG1191" s="422" t="s">
        <v>11015</v>
      </c>
      <c r="AH1191" s="438" t="s">
        <v>1984</v>
      </c>
      <c r="AI1191" s="31" t="s">
        <v>11016</v>
      </c>
      <c r="AJ1191" s="433" t="s">
        <v>11017</v>
      </c>
      <c r="AK1191" s="30" t="s">
        <v>11018</v>
      </c>
      <c r="AL1191" s="210"/>
      <c r="AM1191" s="210"/>
      <c r="AN1191" s="31"/>
      <c r="AO1191" s="34" t="s">
        <v>11019</v>
      </c>
      <c r="AP1191" s="10">
        <f t="shared" ca="1" si="48"/>
        <v>47</v>
      </c>
      <c r="AQ1191" s="29"/>
      <c r="AR1191" s="104"/>
      <c r="AS1191" s="389"/>
      <c r="AT1191" s="389"/>
      <c r="AU1191" s="273">
        <v>28694</v>
      </c>
      <c r="AV1191" s="64" t="s">
        <v>1389</v>
      </c>
      <c r="AW1191" s="64" t="s">
        <v>68</v>
      </c>
      <c r="AX1191" s="10">
        <v>8</v>
      </c>
      <c r="AY1191" s="30" t="s">
        <v>1920</v>
      </c>
      <c r="AZ1191" s="39" t="s">
        <v>1504</v>
      </c>
      <c r="BA1191" s="23" t="s">
        <v>151</v>
      </c>
      <c r="BB1191" s="30" t="s">
        <v>34</v>
      </c>
      <c r="BC1191" s="27"/>
    </row>
    <row r="1192" spans="1:55" x14ac:dyDescent="0.25">
      <c r="A1192" s="10">
        <f t="shared" si="47"/>
        <v>1191</v>
      </c>
      <c r="B1192" s="31" t="s">
        <v>656</v>
      </c>
      <c r="C1192" s="30" t="s">
        <v>34</v>
      </c>
      <c r="D1192" s="137">
        <v>401352</v>
      </c>
      <c r="E1192" s="31" t="s">
        <v>36</v>
      </c>
      <c r="F1192" s="146" t="s">
        <v>657</v>
      </c>
      <c r="G1192" s="10">
        <v>6</v>
      </c>
      <c r="H1192" s="66">
        <v>0.375</v>
      </c>
      <c r="I1192" s="66">
        <v>0.5</v>
      </c>
      <c r="J1192" s="66">
        <v>0.125</v>
      </c>
      <c r="K1192" s="21" t="s">
        <v>287</v>
      </c>
      <c r="L1192" s="30" t="s">
        <v>658</v>
      </c>
      <c r="M1192" s="30" t="s">
        <v>26</v>
      </c>
      <c r="N1192" s="23" t="s">
        <v>38</v>
      </c>
      <c r="O1192" s="23" t="s">
        <v>1321</v>
      </c>
      <c r="P1192" s="258">
        <v>45964</v>
      </c>
      <c r="Q1192" s="258">
        <v>45964</v>
      </c>
      <c r="R1192" s="258">
        <v>46693</v>
      </c>
      <c r="S1192" s="258">
        <v>46694</v>
      </c>
      <c r="T1192" s="10">
        <v>2017</v>
      </c>
      <c r="U1192" s="14" t="s">
        <v>659</v>
      </c>
      <c r="V1192" s="10">
        <v>2023</v>
      </c>
      <c r="W1192" s="14" t="s">
        <v>163</v>
      </c>
      <c r="X1192" s="31" t="s">
        <v>30</v>
      </c>
      <c r="Y1192" s="35" t="s">
        <v>49</v>
      </c>
      <c r="Z1192" s="14" t="s">
        <v>3226</v>
      </c>
      <c r="AA1192" s="23" t="s">
        <v>1841</v>
      </c>
      <c r="AB1192" s="161">
        <v>45266</v>
      </c>
      <c r="AC1192" s="161">
        <v>47092</v>
      </c>
      <c r="AD1192" s="10">
        <v>7981149795</v>
      </c>
      <c r="AE1192" s="272" t="s">
        <v>660</v>
      </c>
      <c r="AF1192" s="30" t="s">
        <v>2284</v>
      </c>
      <c r="AG1192" s="221" t="s">
        <v>3227</v>
      </c>
      <c r="AH1192" s="31" t="s">
        <v>3228</v>
      </c>
      <c r="AI1192" s="31" t="s">
        <v>3229</v>
      </c>
      <c r="AJ1192" s="221" t="s">
        <v>3230</v>
      </c>
      <c r="AK1192" s="30" t="s">
        <v>3231</v>
      </c>
      <c r="AL1192" s="210"/>
      <c r="AM1192" s="210"/>
      <c r="AN1192" s="35"/>
      <c r="AO1192" s="35" t="s">
        <v>3232</v>
      </c>
      <c r="AP1192" s="10">
        <f t="shared" ca="1" si="48"/>
        <v>31</v>
      </c>
      <c r="AQ1192" s="29" t="s">
        <v>1605</v>
      </c>
      <c r="AR1192" s="222" t="s">
        <v>3233</v>
      </c>
      <c r="AS1192" s="282">
        <v>45591</v>
      </c>
      <c r="AT1192" s="282">
        <v>46320</v>
      </c>
      <c r="AU1192" s="223">
        <v>34532</v>
      </c>
      <c r="AV1192" s="31" t="s">
        <v>1389</v>
      </c>
      <c r="AW1192" s="31" t="s">
        <v>68</v>
      </c>
      <c r="AX1192" s="10">
        <v>8</v>
      </c>
      <c r="AY1192" s="14" t="s">
        <v>1881</v>
      </c>
      <c r="AZ1192" s="30" t="s">
        <v>26</v>
      </c>
      <c r="BA1192" s="23" t="s">
        <v>151</v>
      </c>
      <c r="BB1192" s="30" t="s">
        <v>34</v>
      </c>
      <c r="BC1192" s="27"/>
    </row>
    <row r="1193" spans="1:55" x14ac:dyDescent="0.25">
      <c r="A1193" s="10">
        <f t="shared" si="47"/>
        <v>1192</v>
      </c>
      <c r="B1193" s="22"/>
      <c r="C1193" s="30" t="s">
        <v>34</v>
      </c>
      <c r="D1193" s="137">
        <v>401353</v>
      </c>
      <c r="E1193" s="31" t="s">
        <v>36</v>
      </c>
      <c r="F1193" s="146" t="s">
        <v>11020</v>
      </c>
      <c r="G1193" s="13">
        <v>6</v>
      </c>
      <c r="H1193" s="66">
        <v>0.41666666666666669</v>
      </c>
      <c r="I1193" s="66">
        <v>0.58333333333333337</v>
      </c>
      <c r="J1193" s="66">
        <v>0.16666666666666666</v>
      </c>
      <c r="K1193" s="587" t="s">
        <v>11082</v>
      </c>
      <c r="L1193" s="70" t="s">
        <v>30</v>
      </c>
      <c r="M1193" s="70" t="s">
        <v>1376</v>
      </c>
      <c r="N1193" s="100" t="s">
        <v>1393</v>
      </c>
      <c r="O1193" s="23" t="s">
        <v>30</v>
      </c>
      <c r="P1193" s="258">
        <v>45964</v>
      </c>
      <c r="Q1193" s="258">
        <v>45964</v>
      </c>
      <c r="R1193" s="258">
        <v>46693</v>
      </c>
      <c r="S1193" s="258">
        <v>46694</v>
      </c>
      <c r="T1193" s="13">
        <v>2020</v>
      </c>
      <c r="U1193" s="564" t="s">
        <v>11021</v>
      </c>
      <c r="V1193" s="13" t="s">
        <v>30</v>
      </c>
      <c r="W1193" s="13" t="s">
        <v>30</v>
      </c>
      <c r="X1193" s="31" t="s">
        <v>30</v>
      </c>
      <c r="Y1193" s="100" t="s">
        <v>226</v>
      </c>
      <c r="Z1193" s="146" t="s">
        <v>11022</v>
      </c>
      <c r="AA1193" s="23" t="s">
        <v>1841</v>
      </c>
      <c r="AB1193" s="166">
        <v>45845</v>
      </c>
      <c r="AC1193" s="166">
        <v>47670</v>
      </c>
      <c r="AD1193" s="566">
        <v>8019418818</v>
      </c>
      <c r="AE1193" s="567" t="s">
        <v>11023</v>
      </c>
      <c r="AF1193" s="22"/>
      <c r="AG1193" s="13"/>
      <c r="AH1193" s="22"/>
      <c r="AI1193" s="13" t="s">
        <v>11024</v>
      </c>
      <c r="AJ1193" s="178" t="s">
        <v>11025</v>
      </c>
      <c r="AK1193" s="30" t="s">
        <v>11026</v>
      </c>
      <c r="AL1193" s="166"/>
      <c r="AM1193" s="13"/>
      <c r="AN1193" s="22"/>
      <c r="AO1193" s="34" t="s">
        <v>11027</v>
      </c>
      <c r="AP1193" s="10">
        <f t="shared" ca="1" si="48"/>
        <v>30</v>
      </c>
      <c r="AQ1193" s="70"/>
      <c r="AR1193" s="22"/>
      <c r="AS1193" s="166"/>
      <c r="AT1193" s="166"/>
      <c r="AU1193" s="166">
        <v>35011</v>
      </c>
      <c r="AV1193" s="31" t="s">
        <v>1352</v>
      </c>
      <c r="AW1193" s="13" t="s">
        <v>32</v>
      </c>
      <c r="AX1193" s="13">
        <v>4</v>
      </c>
      <c r="AY1193" s="466" t="s">
        <v>2053</v>
      </c>
      <c r="AZ1193" s="70" t="s">
        <v>1390</v>
      </c>
      <c r="BA1193" s="23" t="s">
        <v>151</v>
      </c>
      <c r="BB1193" s="30" t="s">
        <v>34</v>
      </c>
      <c r="BC1193" s="22"/>
    </row>
    <row r="1194" spans="1:55" ht="15.75" x14ac:dyDescent="0.25">
      <c r="A1194" s="10">
        <f t="shared" si="47"/>
        <v>1193</v>
      </c>
      <c r="B1194" s="22"/>
      <c r="C1194" s="30" t="s">
        <v>34</v>
      </c>
      <c r="D1194" s="67">
        <v>401354</v>
      </c>
      <c r="E1194" s="31" t="s">
        <v>36</v>
      </c>
      <c r="F1194" s="138" t="s">
        <v>11028</v>
      </c>
      <c r="G1194" s="281">
        <v>6</v>
      </c>
      <c r="H1194" s="66">
        <v>0.35416666666666669</v>
      </c>
      <c r="I1194" s="66">
        <v>0.39583333333333331</v>
      </c>
      <c r="J1194" s="66">
        <v>4.1666666666666664E-2</v>
      </c>
      <c r="K1194" s="67" t="s">
        <v>680</v>
      </c>
      <c r="L1194" s="70" t="s">
        <v>30</v>
      </c>
      <c r="M1194" s="70" t="s">
        <v>1376</v>
      </c>
      <c r="N1194" s="100" t="s">
        <v>1393</v>
      </c>
      <c r="O1194" s="23" t="s">
        <v>30</v>
      </c>
      <c r="P1194" s="258">
        <v>45968</v>
      </c>
      <c r="Q1194" s="258">
        <v>45968</v>
      </c>
      <c r="R1194" s="258">
        <v>46697</v>
      </c>
      <c r="S1194" s="258">
        <v>46698</v>
      </c>
      <c r="T1194" s="13">
        <v>2020</v>
      </c>
      <c r="U1194" s="564" t="s">
        <v>11021</v>
      </c>
      <c r="V1194" s="13" t="s">
        <v>30</v>
      </c>
      <c r="W1194" s="13" t="s">
        <v>30</v>
      </c>
      <c r="X1194" s="31" t="s">
        <v>30</v>
      </c>
      <c r="Y1194" s="100" t="s">
        <v>226</v>
      </c>
      <c r="Z1194" s="146" t="s">
        <v>7785</v>
      </c>
      <c r="AA1194" s="23" t="s">
        <v>1841</v>
      </c>
      <c r="AB1194" s="166">
        <v>45833</v>
      </c>
      <c r="AC1194" s="166">
        <v>45832</v>
      </c>
      <c r="AD1194" s="566">
        <v>7799090050</v>
      </c>
      <c r="AE1194" s="67" t="s">
        <v>11029</v>
      </c>
      <c r="AF1194" s="67"/>
      <c r="AG1194" s="281"/>
      <c r="AH1194" s="67"/>
      <c r="AI1194" s="13" t="s">
        <v>7788</v>
      </c>
      <c r="AJ1194" s="568" t="s">
        <v>11030</v>
      </c>
      <c r="AK1194" s="67" t="s">
        <v>11031</v>
      </c>
      <c r="AL1194" s="67"/>
      <c r="AM1194" s="67"/>
      <c r="AN1194" s="67"/>
      <c r="AO1194" s="67" t="s">
        <v>11032</v>
      </c>
      <c r="AP1194" s="10">
        <f t="shared" ca="1" si="48"/>
        <v>31</v>
      </c>
      <c r="AQ1194" s="67"/>
      <c r="AR1194" s="67"/>
      <c r="AS1194" s="67"/>
      <c r="AT1194" s="67"/>
      <c r="AU1194" s="231">
        <v>34644</v>
      </c>
      <c r="AV1194" s="31" t="s">
        <v>1352</v>
      </c>
      <c r="AW1194" s="13" t="s">
        <v>32</v>
      </c>
      <c r="AX1194" s="281">
        <v>1</v>
      </c>
      <c r="AY1194" s="67" t="s">
        <v>11033</v>
      </c>
      <c r="AZ1194" s="70" t="s">
        <v>1390</v>
      </c>
      <c r="BA1194" s="23" t="s">
        <v>151</v>
      </c>
      <c r="BB1194" s="30" t="s">
        <v>34</v>
      </c>
      <c r="BC1194" s="22"/>
    </row>
    <row r="1195" spans="1:55" x14ac:dyDescent="0.25">
      <c r="A1195" s="10">
        <f t="shared" si="47"/>
        <v>1194</v>
      </c>
      <c r="B1195" s="22"/>
      <c r="C1195" s="30" t="s">
        <v>34</v>
      </c>
      <c r="D1195" s="67">
        <v>401355</v>
      </c>
      <c r="E1195" s="31" t="s">
        <v>36</v>
      </c>
      <c r="F1195" s="135" t="s">
        <v>11034</v>
      </c>
      <c r="G1195" s="13">
        <v>6</v>
      </c>
      <c r="H1195" s="18">
        <v>0.33333333333333331</v>
      </c>
      <c r="I1195" s="66">
        <v>0.875</v>
      </c>
      <c r="J1195" s="66">
        <v>0.33333333333333331</v>
      </c>
      <c r="K1195" s="29" t="s">
        <v>147</v>
      </c>
      <c r="L1195" s="70" t="s">
        <v>30</v>
      </c>
      <c r="M1195" s="70" t="s">
        <v>1582</v>
      </c>
      <c r="N1195" s="23" t="s">
        <v>1853</v>
      </c>
      <c r="O1195" s="23" t="s">
        <v>1357</v>
      </c>
      <c r="P1195" s="258">
        <v>45968</v>
      </c>
      <c r="Q1195" s="258">
        <v>45968</v>
      </c>
      <c r="R1195" s="258">
        <v>46697</v>
      </c>
      <c r="S1195" s="258">
        <v>46698</v>
      </c>
      <c r="T1195" s="13">
        <v>2001</v>
      </c>
      <c r="U1195" s="564" t="s">
        <v>343</v>
      </c>
      <c r="V1195" s="13">
        <v>2006</v>
      </c>
      <c r="W1195" s="564" t="s">
        <v>2778</v>
      </c>
      <c r="X1195" s="31" t="s">
        <v>30</v>
      </c>
      <c r="Y1195" s="100" t="s">
        <v>11035</v>
      </c>
      <c r="Z1195" s="70">
        <v>48779</v>
      </c>
      <c r="AA1195" s="23" t="s">
        <v>1841</v>
      </c>
      <c r="AB1195" s="166">
        <v>45948</v>
      </c>
      <c r="AC1195" s="166">
        <v>47773</v>
      </c>
      <c r="AD1195" s="566">
        <v>9989989661</v>
      </c>
      <c r="AE1195" s="567" t="s">
        <v>11036</v>
      </c>
      <c r="AF1195" s="22" t="s">
        <v>1833</v>
      </c>
      <c r="AG1195" s="178" t="s">
        <v>11037</v>
      </c>
      <c r="AH1195" s="22" t="s">
        <v>2055</v>
      </c>
      <c r="AI1195" s="13" t="s">
        <v>11038</v>
      </c>
      <c r="AJ1195" s="178" t="s">
        <v>11039</v>
      </c>
      <c r="AK1195" s="30" t="s">
        <v>11040</v>
      </c>
      <c r="AL1195" s="166"/>
      <c r="AM1195" s="13"/>
      <c r="AN1195" s="22"/>
      <c r="AO1195" s="22" t="s">
        <v>11041</v>
      </c>
      <c r="AP1195" s="10">
        <f t="shared" ca="1" si="48"/>
        <v>47</v>
      </c>
      <c r="AQ1195" s="70"/>
      <c r="AR1195" s="22"/>
      <c r="AS1195" s="166"/>
      <c r="AT1195" s="166"/>
      <c r="AU1195" s="166">
        <v>28721</v>
      </c>
      <c r="AV1195" s="31" t="s">
        <v>1352</v>
      </c>
      <c r="AW1195" s="13" t="s">
        <v>68</v>
      </c>
      <c r="AX1195" s="13">
        <v>8</v>
      </c>
      <c r="AY1195" s="14" t="s">
        <v>1849</v>
      </c>
      <c r="AZ1195" s="70" t="s">
        <v>1355</v>
      </c>
      <c r="BA1195" s="23" t="s">
        <v>151</v>
      </c>
      <c r="BB1195" s="30" t="s">
        <v>34</v>
      </c>
      <c r="BC1195" s="22"/>
    </row>
    <row r="1196" spans="1:55" ht="15.75" x14ac:dyDescent="0.25">
      <c r="A1196" s="10">
        <f t="shared" si="47"/>
        <v>1195</v>
      </c>
      <c r="B1196" s="22"/>
      <c r="C1196" s="30" t="s">
        <v>34</v>
      </c>
      <c r="D1196" s="67">
        <v>401356</v>
      </c>
      <c r="E1196" s="31" t="s">
        <v>36</v>
      </c>
      <c r="F1196" s="135" t="s">
        <v>11042</v>
      </c>
      <c r="G1196" s="13">
        <v>6</v>
      </c>
      <c r="H1196" s="18">
        <v>0.33333333333333331</v>
      </c>
      <c r="I1196" s="18">
        <v>0.91666666666666663</v>
      </c>
      <c r="J1196" s="66">
        <v>0.33333333333333331</v>
      </c>
      <c r="K1196" s="29" t="s">
        <v>147</v>
      </c>
      <c r="L1196" s="70" t="s">
        <v>30</v>
      </c>
      <c r="M1196" s="70" t="s">
        <v>1582</v>
      </c>
      <c r="N1196" s="23" t="s">
        <v>1583</v>
      </c>
      <c r="O1196" s="23" t="s">
        <v>1357</v>
      </c>
      <c r="P1196" s="258">
        <v>45968</v>
      </c>
      <c r="Q1196" s="258">
        <v>45968</v>
      </c>
      <c r="R1196" s="258">
        <v>46697</v>
      </c>
      <c r="S1196" s="258">
        <v>46698</v>
      </c>
      <c r="T1196" s="13">
        <v>2011</v>
      </c>
      <c r="U1196" s="569" t="s">
        <v>10650</v>
      </c>
      <c r="V1196" s="13">
        <v>2022</v>
      </c>
      <c r="W1196" s="22" t="s">
        <v>11043</v>
      </c>
      <c r="X1196" s="31" t="s">
        <v>30</v>
      </c>
      <c r="Y1196" s="100" t="s">
        <v>11035</v>
      </c>
      <c r="Z1196" s="569" t="s">
        <v>11044</v>
      </c>
      <c r="AA1196" s="23" t="s">
        <v>1841</v>
      </c>
      <c r="AB1196" s="166">
        <v>45944</v>
      </c>
      <c r="AC1196" s="166">
        <v>47769</v>
      </c>
      <c r="AD1196" s="570">
        <v>9914946699</v>
      </c>
      <c r="AE1196" s="571" t="s">
        <v>11045</v>
      </c>
      <c r="AF1196" s="22" t="s">
        <v>1833</v>
      </c>
      <c r="AG1196" s="178" t="s">
        <v>11046</v>
      </c>
      <c r="AH1196" s="33" t="s">
        <v>3016</v>
      </c>
      <c r="AI1196" s="13" t="s">
        <v>11047</v>
      </c>
      <c r="AJ1196" s="178" t="s">
        <v>11048</v>
      </c>
      <c r="AK1196" s="30" t="s">
        <v>11049</v>
      </c>
      <c r="AL1196" s="166"/>
      <c r="AM1196" s="13"/>
      <c r="AN1196" s="22"/>
      <c r="AO1196" s="22" t="s">
        <v>11050</v>
      </c>
      <c r="AP1196" s="10">
        <f t="shared" ca="1" si="48"/>
        <v>36</v>
      </c>
      <c r="AQ1196" s="70"/>
      <c r="AR1196" s="22"/>
      <c r="AS1196" s="166"/>
      <c r="AT1196" s="166"/>
      <c r="AU1196" s="166">
        <v>32737</v>
      </c>
      <c r="AV1196" s="31" t="s">
        <v>1352</v>
      </c>
      <c r="AW1196" s="13" t="s">
        <v>68</v>
      </c>
      <c r="AX1196" s="13">
        <v>8</v>
      </c>
      <c r="AY1196" s="14" t="s">
        <v>1849</v>
      </c>
      <c r="AZ1196" s="70" t="s">
        <v>1355</v>
      </c>
      <c r="BA1196" s="23" t="s">
        <v>151</v>
      </c>
      <c r="BB1196" s="30" t="s">
        <v>34</v>
      </c>
      <c r="BC1196" s="22"/>
    </row>
    <row r="1197" spans="1:55" ht="15.75" x14ac:dyDescent="0.25">
      <c r="A1197" s="87">
        <f t="shared" si="47"/>
        <v>1196</v>
      </c>
      <c r="B1197" s="22"/>
      <c r="C1197" s="30" t="s">
        <v>34</v>
      </c>
      <c r="D1197" s="20">
        <v>401357</v>
      </c>
      <c r="E1197" s="31" t="s">
        <v>36</v>
      </c>
      <c r="F1197" s="569" t="s">
        <v>11051</v>
      </c>
      <c r="G1197" s="13">
        <v>6</v>
      </c>
      <c r="H1197" s="18">
        <v>0.70833333333333337</v>
      </c>
      <c r="I1197" s="18">
        <v>0.875</v>
      </c>
      <c r="J1197" s="66">
        <v>0.16666666666666666</v>
      </c>
      <c r="K1197" s="29" t="s">
        <v>287</v>
      </c>
      <c r="L1197" s="70" t="s">
        <v>30</v>
      </c>
      <c r="M1197" s="70" t="s">
        <v>1355</v>
      </c>
      <c r="N1197" s="23" t="s">
        <v>1520</v>
      </c>
      <c r="O1197" s="23" t="s">
        <v>1357</v>
      </c>
      <c r="P1197" s="258">
        <v>45972</v>
      </c>
      <c r="Q1197" s="258">
        <v>45972</v>
      </c>
      <c r="R1197" s="176">
        <v>46701</v>
      </c>
      <c r="S1197" s="258">
        <v>46702</v>
      </c>
      <c r="T1197" s="13">
        <v>2018</v>
      </c>
      <c r="U1197" s="569" t="s">
        <v>4589</v>
      </c>
      <c r="V1197" s="13">
        <v>2023</v>
      </c>
      <c r="W1197" s="569" t="s">
        <v>689</v>
      </c>
      <c r="X1197" s="31" t="s">
        <v>30</v>
      </c>
      <c r="Y1197" s="100" t="s">
        <v>11035</v>
      </c>
      <c r="Z1197" s="70" t="s">
        <v>10023</v>
      </c>
      <c r="AA1197" s="23" t="s">
        <v>1841</v>
      </c>
      <c r="AB1197" s="166">
        <v>45075</v>
      </c>
      <c r="AC1197" s="166">
        <v>46901</v>
      </c>
      <c r="AD1197" s="570">
        <v>9959260586</v>
      </c>
      <c r="AE1197" s="572" t="s">
        <v>10024</v>
      </c>
      <c r="AF1197" s="22"/>
      <c r="AG1197" s="13"/>
      <c r="AH1197" s="22"/>
      <c r="AI1197" s="13" t="s">
        <v>10027</v>
      </c>
      <c r="AJ1197" s="178" t="s">
        <v>11052</v>
      </c>
      <c r="AK1197" s="22" t="s">
        <v>11053</v>
      </c>
      <c r="AL1197" s="166"/>
      <c r="AM1197" s="13"/>
      <c r="AN1197" s="22"/>
      <c r="AO1197" s="22" t="s">
        <v>11054</v>
      </c>
      <c r="AP1197" s="10">
        <f t="shared" ca="1" si="48"/>
        <v>33</v>
      </c>
      <c r="AQ1197" s="70"/>
      <c r="AR1197" s="22"/>
      <c r="AS1197" s="166"/>
      <c r="AT1197" s="166"/>
      <c r="AU1197" s="166">
        <v>33721</v>
      </c>
      <c r="AV1197" s="22" t="s">
        <v>1389</v>
      </c>
      <c r="AW1197" s="13" t="s">
        <v>32</v>
      </c>
      <c r="AX1197" s="13">
        <v>4</v>
      </c>
      <c r="AY1197" s="22" t="s">
        <v>287</v>
      </c>
      <c r="AZ1197" s="70" t="s">
        <v>1355</v>
      </c>
      <c r="BA1197" s="23" t="s">
        <v>151</v>
      </c>
      <c r="BB1197" s="30" t="s">
        <v>34</v>
      </c>
      <c r="BC1197" s="22"/>
    </row>
    <row r="1198" spans="1:55" ht="15.75" x14ac:dyDescent="0.25">
      <c r="A1198" s="87">
        <f t="shared" si="47"/>
        <v>1197</v>
      </c>
      <c r="B1198" s="22"/>
      <c r="C1198" s="22" t="s">
        <v>34</v>
      </c>
      <c r="D1198" s="20">
        <v>401358</v>
      </c>
      <c r="E1198" s="31" t="s">
        <v>36</v>
      </c>
      <c r="F1198" s="569" t="s">
        <v>11055</v>
      </c>
      <c r="G1198" s="13">
        <v>6</v>
      </c>
      <c r="H1198" s="18">
        <v>0.75</v>
      </c>
      <c r="I1198" s="18">
        <v>0.875</v>
      </c>
      <c r="J1198" s="66">
        <v>0.125</v>
      </c>
      <c r="K1198" s="29" t="s">
        <v>1884</v>
      </c>
      <c r="L1198" s="70" t="s">
        <v>30</v>
      </c>
      <c r="M1198" s="70" t="s">
        <v>2097</v>
      </c>
      <c r="N1198" s="58" t="s">
        <v>2098</v>
      </c>
      <c r="O1198" s="23" t="s">
        <v>1357</v>
      </c>
      <c r="P1198" s="258">
        <v>45971</v>
      </c>
      <c r="Q1198" s="258">
        <v>45971</v>
      </c>
      <c r="R1198" s="258">
        <v>46700</v>
      </c>
      <c r="S1198" s="258">
        <v>46701</v>
      </c>
      <c r="T1198" s="13">
        <v>2007</v>
      </c>
      <c r="U1198" s="569" t="s">
        <v>11056</v>
      </c>
      <c r="V1198" s="13">
        <v>2014</v>
      </c>
      <c r="W1198" s="569" t="s">
        <v>343</v>
      </c>
      <c r="X1198" s="31" t="s">
        <v>30</v>
      </c>
      <c r="Y1198" s="22" t="s">
        <v>9412</v>
      </c>
      <c r="Z1198" s="70">
        <v>60717</v>
      </c>
      <c r="AA1198" s="70" t="s">
        <v>1886</v>
      </c>
      <c r="AB1198" s="166">
        <v>44270</v>
      </c>
      <c r="AC1198" s="166">
        <v>46095</v>
      </c>
      <c r="AD1198" s="570">
        <v>7207107087</v>
      </c>
      <c r="AE1198" s="572" t="s">
        <v>11057</v>
      </c>
      <c r="AF1198" s="22"/>
      <c r="AG1198" s="13"/>
      <c r="AH1198" s="22"/>
      <c r="AI1198" s="13" t="s">
        <v>11058</v>
      </c>
      <c r="AJ1198" s="178" t="s">
        <v>11059</v>
      </c>
      <c r="AK1198" s="22" t="s">
        <v>11060</v>
      </c>
      <c r="AL1198" s="166"/>
      <c r="AM1198" s="13"/>
      <c r="AN1198" s="22"/>
      <c r="AO1198" s="22" t="s">
        <v>11061</v>
      </c>
      <c r="AP1198" s="10">
        <f t="shared" ca="1" si="48"/>
        <v>41</v>
      </c>
      <c r="AQ1198" s="70"/>
      <c r="AR1198" s="22"/>
      <c r="AS1198" s="166"/>
      <c r="AT1198" s="166"/>
      <c r="AU1198" s="166">
        <v>30901</v>
      </c>
      <c r="AV1198" s="22" t="s">
        <v>1389</v>
      </c>
      <c r="AW1198" s="13" t="s">
        <v>32</v>
      </c>
      <c r="AX1198" s="13">
        <v>3</v>
      </c>
      <c r="AY1198" s="22" t="s">
        <v>1895</v>
      </c>
      <c r="AZ1198" s="70" t="s">
        <v>2097</v>
      </c>
      <c r="BA1198" s="22" t="s">
        <v>151</v>
      </c>
      <c r="BB1198" s="22" t="s">
        <v>34</v>
      </c>
      <c r="BC1198" s="22"/>
    </row>
    <row r="1199" spans="1:55" x14ac:dyDescent="0.25">
      <c r="A1199" s="87">
        <f t="shared" si="47"/>
        <v>1198</v>
      </c>
      <c r="B1199" s="22"/>
      <c r="C1199" s="22" t="s">
        <v>34</v>
      </c>
      <c r="D1199" s="20">
        <v>401359</v>
      </c>
      <c r="E1199" s="40" t="s">
        <v>36</v>
      </c>
      <c r="F1199" s="127" t="s">
        <v>1281</v>
      </c>
      <c r="G1199" s="13">
        <v>6</v>
      </c>
      <c r="H1199" s="18">
        <v>0.375</v>
      </c>
      <c r="I1199" s="18">
        <v>0.54166666666666663</v>
      </c>
      <c r="J1199" s="122">
        <v>0.16666666666666666</v>
      </c>
      <c r="K1199" s="33" t="s">
        <v>1282</v>
      </c>
      <c r="L1199" s="127" t="s">
        <v>1283</v>
      </c>
      <c r="M1199" s="70" t="s">
        <v>26</v>
      </c>
      <c r="N1199" s="128" t="s">
        <v>38</v>
      </c>
      <c r="O1199" s="128" t="s">
        <v>1321</v>
      </c>
      <c r="P1199" s="423">
        <v>45971</v>
      </c>
      <c r="Q1199" s="423">
        <v>45971</v>
      </c>
      <c r="R1199" s="423">
        <v>46700</v>
      </c>
      <c r="S1199" s="423">
        <v>46701</v>
      </c>
      <c r="T1199" s="13">
        <v>2018</v>
      </c>
      <c r="U1199" s="127" t="s">
        <v>642</v>
      </c>
      <c r="V1199" s="13">
        <v>2023</v>
      </c>
      <c r="W1199" s="127" t="s">
        <v>1284</v>
      </c>
      <c r="X1199" s="40" t="s">
        <v>30</v>
      </c>
      <c r="Y1199" s="43" t="s">
        <v>49</v>
      </c>
      <c r="Z1199" s="127" t="s">
        <v>8767</v>
      </c>
      <c r="AA1199" s="128" t="s">
        <v>1841</v>
      </c>
      <c r="AB1199" s="166">
        <v>45378</v>
      </c>
      <c r="AC1199" s="166">
        <v>47204</v>
      </c>
      <c r="AD1199" s="573">
        <v>9989083944</v>
      </c>
      <c r="AE1199" s="574" t="s">
        <v>1285</v>
      </c>
      <c r="AF1199" s="22"/>
      <c r="AG1199" s="13"/>
      <c r="AH1199" s="22"/>
      <c r="AI1199" s="13" t="s">
        <v>8770</v>
      </c>
      <c r="AJ1199" s="178" t="s">
        <v>11062</v>
      </c>
      <c r="AK1199" s="22" t="s">
        <v>11063</v>
      </c>
      <c r="AL1199" s="166"/>
      <c r="AM1199" s="13"/>
      <c r="AN1199" s="22"/>
      <c r="AO1199" s="22" t="s">
        <v>11064</v>
      </c>
      <c r="AP1199" s="13">
        <f t="shared" ca="1" si="48"/>
        <v>30</v>
      </c>
      <c r="AQ1199" s="70"/>
      <c r="AR1199" s="22"/>
      <c r="AS1199" s="166"/>
      <c r="AT1199" s="166"/>
      <c r="AU1199" s="166">
        <v>34877</v>
      </c>
      <c r="AV1199" s="22" t="s">
        <v>1389</v>
      </c>
      <c r="AW1199" s="13" t="s">
        <v>32</v>
      </c>
      <c r="AX1199" s="13">
        <v>4</v>
      </c>
      <c r="AY1199" s="22" t="s">
        <v>1968</v>
      </c>
      <c r="AZ1199" s="39" t="s">
        <v>26</v>
      </c>
      <c r="BA1199" s="22" t="s">
        <v>151</v>
      </c>
      <c r="BB1199" s="22" t="s">
        <v>34</v>
      </c>
      <c r="BC1199" s="22"/>
    </row>
    <row r="1200" spans="1:55" x14ac:dyDescent="0.25">
      <c r="A1200" s="87">
        <f t="shared" si="47"/>
        <v>1199</v>
      </c>
      <c r="B1200" s="22"/>
      <c r="C1200" s="39" t="s">
        <v>34</v>
      </c>
      <c r="D1200" s="20">
        <v>401360</v>
      </c>
      <c r="E1200" s="13" t="s">
        <v>192</v>
      </c>
      <c r="F1200" s="130" t="s">
        <v>1247</v>
      </c>
      <c r="G1200" s="13">
        <v>7</v>
      </c>
      <c r="H1200" s="13"/>
      <c r="I1200" s="13"/>
      <c r="J1200" s="13"/>
      <c r="K1200" s="33" t="s">
        <v>334</v>
      </c>
      <c r="L1200" s="125" t="s">
        <v>1248</v>
      </c>
      <c r="M1200" s="39" t="s">
        <v>26</v>
      </c>
      <c r="N1200" s="128" t="s">
        <v>38</v>
      </c>
      <c r="O1200" s="128" t="s">
        <v>1321</v>
      </c>
      <c r="P1200" s="176">
        <v>45973</v>
      </c>
      <c r="Q1200" s="176">
        <v>45973</v>
      </c>
      <c r="R1200" s="176">
        <v>45972</v>
      </c>
      <c r="S1200" s="176">
        <v>46703</v>
      </c>
      <c r="T1200" s="126">
        <v>2017</v>
      </c>
      <c r="U1200" s="147" t="s">
        <v>1249</v>
      </c>
      <c r="V1200" s="121">
        <v>2025</v>
      </c>
      <c r="W1200" s="147" t="s">
        <v>1154</v>
      </c>
      <c r="X1200" s="26" t="s">
        <v>30</v>
      </c>
      <c r="Y1200" s="43" t="s">
        <v>49</v>
      </c>
      <c r="Z1200" s="575" t="s">
        <v>4723</v>
      </c>
      <c r="AA1200" s="28" t="s">
        <v>1841</v>
      </c>
      <c r="AB1200" s="424">
        <v>45768</v>
      </c>
      <c r="AC1200" s="424">
        <v>47593</v>
      </c>
      <c r="AD1200" s="576">
        <v>8884443798</v>
      </c>
      <c r="AE1200" s="577" t="s">
        <v>1250</v>
      </c>
      <c r="AF1200" s="278" t="s">
        <v>1640</v>
      </c>
      <c r="AG1200" s="427" t="s">
        <v>4724</v>
      </c>
      <c r="AH1200" s="578" t="s">
        <v>4593</v>
      </c>
      <c r="AI1200" s="40" t="s">
        <v>4725</v>
      </c>
      <c r="AJ1200" s="173" t="s">
        <v>4726</v>
      </c>
      <c r="AK1200" s="39" t="s">
        <v>4727</v>
      </c>
      <c r="AL1200" s="182" t="s">
        <v>5711</v>
      </c>
      <c r="AM1200" s="206" t="s">
        <v>30</v>
      </c>
      <c r="AN1200" s="40"/>
      <c r="AO1200" s="28" t="s">
        <v>4728</v>
      </c>
      <c r="AP1200" s="87">
        <f t="shared" ca="1" si="48"/>
        <v>31</v>
      </c>
      <c r="AQ1200" s="33"/>
      <c r="AR1200" s="429"/>
      <c r="AS1200" s="171"/>
      <c r="AT1200" s="171"/>
      <c r="AU1200" s="424">
        <v>34622</v>
      </c>
      <c r="AV1200" s="121" t="s">
        <v>1389</v>
      </c>
      <c r="AW1200" s="13" t="s">
        <v>192</v>
      </c>
      <c r="AX1200" s="13" t="s">
        <v>30</v>
      </c>
      <c r="AY1200" s="58" t="s">
        <v>30</v>
      </c>
      <c r="AZ1200" s="39" t="s">
        <v>26</v>
      </c>
      <c r="BA1200" s="128" t="s">
        <v>151</v>
      </c>
      <c r="BB1200" s="39" t="s">
        <v>34</v>
      </c>
      <c r="BC1200" s="22"/>
    </row>
    <row r="1201" spans="1:55" x14ac:dyDescent="0.25">
      <c r="A1201" s="87">
        <f t="shared" si="47"/>
        <v>1200</v>
      </c>
      <c r="B1201" s="22"/>
      <c r="C1201" s="39" t="s">
        <v>34</v>
      </c>
      <c r="D1201" s="20">
        <v>401361</v>
      </c>
      <c r="E1201" s="13" t="s">
        <v>192</v>
      </c>
      <c r="F1201" s="130" t="s">
        <v>1276</v>
      </c>
      <c r="G1201" s="13">
        <v>7</v>
      </c>
      <c r="H1201" s="13"/>
      <c r="I1201" s="13"/>
      <c r="J1201" s="13"/>
      <c r="K1201" s="22" t="s">
        <v>334</v>
      </c>
      <c r="L1201" s="140" t="s">
        <v>1277</v>
      </c>
      <c r="M1201" s="39" t="s">
        <v>26</v>
      </c>
      <c r="N1201" s="58" t="s">
        <v>38</v>
      </c>
      <c r="O1201" s="128" t="s">
        <v>1321</v>
      </c>
      <c r="P1201" s="176">
        <v>45973</v>
      </c>
      <c r="Q1201" s="176">
        <v>45973</v>
      </c>
      <c r="R1201" s="176">
        <v>46702</v>
      </c>
      <c r="S1201" s="176">
        <v>46703</v>
      </c>
      <c r="T1201" s="126">
        <v>2018</v>
      </c>
      <c r="U1201" s="148" t="s">
        <v>1278</v>
      </c>
      <c r="V1201" s="121">
        <v>2023</v>
      </c>
      <c r="W1201" s="148" t="s">
        <v>1279</v>
      </c>
      <c r="X1201" s="139" t="s">
        <v>30</v>
      </c>
      <c r="Y1201" s="58" t="s">
        <v>49</v>
      </c>
      <c r="Z1201" s="148" t="s">
        <v>11000</v>
      </c>
      <c r="AA1201" s="28" t="s">
        <v>1841</v>
      </c>
      <c r="AB1201" s="424">
        <v>45947</v>
      </c>
      <c r="AC1201" s="424">
        <v>47772</v>
      </c>
      <c r="AD1201" s="263">
        <v>8017110245</v>
      </c>
      <c r="AE1201" s="579" t="s">
        <v>1280</v>
      </c>
      <c r="AF1201" s="43" t="s">
        <v>1410</v>
      </c>
      <c r="AG1201" s="427" t="s">
        <v>11001</v>
      </c>
      <c r="AH1201" s="578" t="s">
        <v>11002</v>
      </c>
      <c r="AI1201" s="40" t="s">
        <v>11003</v>
      </c>
      <c r="AJ1201" s="173" t="s">
        <v>11004</v>
      </c>
      <c r="AK1201" s="39" t="s">
        <v>11005</v>
      </c>
      <c r="AL1201" s="182" t="s">
        <v>5711</v>
      </c>
      <c r="AM1201" s="206" t="s">
        <v>30</v>
      </c>
      <c r="AN1201" s="40"/>
      <c r="AO1201" s="580" t="s">
        <v>11006</v>
      </c>
      <c r="AP1201" s="87">
        <f t="shared" ca="1" si="48"/>
        <v>31</v>
      </c>
      <c r="AQ1201" s="33" t="s">
        <v>1605</v>
      </c>
      <c r="AR1201" s="429" t="s">
        <v>11007</v>
      </c>
      <c r="AS1201" s="581">
        <v>45688</v>
      </c>
      <c r="AT1201" s="581">
        <v>46782</v>
      </c>
      <c r="AU1201" s="424">
        <v>34498</v>
      </c>
      <c r="AV1201" s="121" t="s">
        <v>1389</v>
      </c>
      <c r="AW1201" s="13" t="s">
        <v>192</v>
      </c>
      <c r="AX1201" s="13" t="s">
        <v>30</v>
      </c>
      <c r="AY1201" s="58" t="s">
        <v>30</v>
      </c>
      <c r="AZ1201" s="39" t="s">
        <v>26</v>
      </c>
      <c r="BA1201" s="128" t="s">
        <v>151</v>
      </c>
      <c r="BB1201" s="39" t="s">
        <v>34</v>
      </c>
      <c r="BC1201" s="22"/>
    </row>
    <row r="1202" spans="1:55" x14ac:dyDescent="0.25">
      <c r="A1202" s="87">
        <f t="shared" si="47"/>
        <v>1201</v>
      </c>
      <c r="B1202" s="22"/>
      <c r="C1202" s="39" t="s">
        <v>34</v>
      </c>
      <c r="D1202" s="20">
        <v>401362</v>
      </c>
      <c r="E1202" s="13" t="s">
        <v>192</v>
      </c>
      <c r="F1202" s="130" t="s">
        <v>1286</v>
      </c>
      <c r="G1202" s="13">
        <v>7</v>
      </c>
      <c r="H1202" s="13"/>
      <c r="I1202" s="13"/>
      <c r="J1202" s="13"/>
      <c r="K1202" s="33" t="s">
        <v>334</v>
      </c>
      <c r="L1202" s="70"/>
      <c r="M1202" s="70" t="s">
        <v>26</v>
      </c>
      <c r="N1202" s="58" t="s">
        <v>38</v>
      </c>
      <c r="O1202" s="128" t="s">
        <v>1321</v>
      </c>
      <c r="P1202" s="176">
        <v>45973</v>
      </c>
      <c r="Q1202" s="176">
        <v>45973</v>
      </c>
      <c r="R1202" s="176">
        <v>46702</v>
      </c>
      <c r="S1202" s="176">
        <v>46703</v>
      </c>
      <c r="T1202" s="13">
        <v>2017</v>
      </c>
      <c r="U1202" s="70" t="s">
        <v>1287</v>
      </c>
      <c r="V1202" s="13">
        <v>2022</v>
      </c>
      <c r="W1202" s="22" t="s">
        <v>1288</v>
      </c>
      <c r="X1202" s="139" t="s">
        <v>30</v>
      </c>
      <c r="Y1202" s="58" t="s">
        <v>49</v>
      </c>
      <c r="Z1202" s="70" t="s">
        <v>11065</v>
      </c>
      <c r="AA1202" s="70" t="s">
        <v>2910</v>
      </c>
      <c r="AB1202" s="166">
        <v>45042</v>
      </c>
      <c r="AC1202" s="166">
        <v>46868</v>
      </c>
      <c r="AD1202" s="13">
        <v>7837172745</v>
      </c>
      <c r="AE1202" s="582" t="s">
        <v>1289</v>
      </c>
      <c r="AF1202" s="22" t="s">
        <v>11066</v>
      </c>
      <c r="AG1202" s="178" t="s">
        <v>11067</v>
      </c>
      <c r="AH1202" s="22" t="s">
        <v>11068</v>
      </c>
      <c r="AI1202" s="13" t="s">
        <v>11069</v>
      </c>
      <c r="AJ1202" s="178" t="s">
        <v>11070</v>
      </c>
      <c r="AK1202" s="33" t="s">
        <v>11071</v>
      </c>
      <c r="AL1202" s="166" t="s">
        <v>5711</v>
      </c>
      <c r="AM1202" s="13"/>
      <c r="AN1202" s="22"/>
      <c r="AO1202" s="33" t="s">
        <v>11072</v>
      </c>
      <c r="AP1202" s="87">
        <f t="shared" ca="1" si="48"/>
        <v>32</v>
      </c>
      <c r="AQ1202" s="70"/>
      <c r="AR1202" s="22"/>
      <c r="AS1202" s="166"/>
      <c r="AT1202" s="166"/>
      <c r="AU1202" s="166">
        <v>34178</v>
      </c>
      <c r="AV1202" s="33" t="s">
        <v>1352</v>
      </c>
      <c r="AW1202" s="13" t="s">
        <v>192</v>
      </c>
      <c r="AX1202" s="13" t="s">
        <v>30</v>
      </c>
      <c r="AY1202" s="70" t="s">
        <v>30</v>
      </c>
      <c r="AZ1202" s="39" t="s">
        <v>26</v>
      </c>
      <c r="BA1202" s="128" t="s">
        <v>151</v>
      </c>
      <c r="BB1202" s="39" t="s">
        <v>34</v>
      </c>
      <c r="BC1202" s="22"/>
    </row>
    <row r="1203" spans="1:55" x14ac:dyDescent="0.25">
      <c r="A1203" s="87">
        <f t="shared" si="47"/>
        <v>1202</v>
      </c>
      <c r="B1203" s="22"/>
      <c r="C1203" s="39" t="s">
        <v>34</v>
      </c>
      <c r="D1203" s="20">
        <v>401363</v>
      </c>
      <c r="E1203" s="13" t="s">
        <v>36</v>
      </c>
      <c r="F1203" s="22" t="s">
        <v>11073</v>
      </c>
      <c r="G1203" s="13">
        <v>6</v>
      </c>
      <c r="H1203" s="18">
        <v>0.72916666666666663</v>
      </c>
      <c r="I1203" s="18">
        <v>0.89583333333333337</v>
      </c>
      <c r="J1203" s="122">
        <v>0.16666666666666666</v>
      </c>
      <c r="K1203" s="33" t="s">
        <v>154</v>
      </c>
      <c r="L1203" s="70" t="s">
        <v>30</v>
      </c>
      <c r="M1203" s="70" t="s">
        <v>2097</v>
      </c>
      <c r="N1203" s="58" t="s">
        <v>2098</v>
      </c>
      <c r="O1203" s="23" t="s">
        <v>1357</v>
      </c>
      <c r="P1203" s="176">
        <v>45974</v>
      </c>
      <c r="Q1203" s="176">
        <v>45974</v>
      </c>
      <c r="R1203" s="176">
        <v>45973</v>
      </c>
      <c r="S1203" s="176">
        <v>46704</v>
      </c>
      <c r="T1203" s="13">
        <v>2019</v>
      </c>
      <c r="U1203" s="70" t="s">
        <v>906</v>
      </c>
      <c r="V1203" s="13">
        <v>2025</v>
      </c>
      <c r="W1203" s="22" t="s">
        <v>209</v>
      </c>
      <c r="X1203" s="139" t="s">
        <v>30</v>
      </c>
      <c r="Y1203" s="22" t="s">
        <v>9412</v>
      </c>
      <c r="Z1203" s="583" t="s">
        <v>11074</v>
      </c>
      <c r="AA1203" s="28" t="s">
        <v>1841</v>
      </c>
      <c r="AB1203" s="166">
        <v>45791</v>
      </c>
      <c r="AC1203" s="166">
        <v>47617</v>
      </c>
      <c r="AD1203" s="584">
        <v>9700428252</v>
      </c>
      <c r="AE1203" s="585" t="s">
        <v>11075</v>
      </c>
      <c r="AF1203" s="22"/>
      <c r="AG1203" s="13"/>
      <c r="AH1203" s="22"/>
      <c r="AI1203" s="13" t="s">
        <v>11076</v>
      </c>
      <c r="AJ1203" s="178" t="s">
        <v>11077</v>
      </c>
      <c r="AK1203" s="33" t="s">
        <v>11078</v>
      </c>
      <c r="AL1203" s="166"/>
      <c r="AM1203" s="13"/>
      <c r="AN1203" s="22"/>
      <c r="AO1203" s="33" t="s">
        <v>11079</v>
      </c>
      <c r="AP1203" s="87">
        <f t="shared" ca="1" si="48"/>
        <v>33</v>
      </c>
      <c r="AQ1203" s="70"/>
      <c r="AR1203" s="22"/>
      <c r="AS1203" s="166"/>
      <c r="AT1203" s="166"/>
      <c r="AU1203" s="166">
        <v>33810</v>
      </c>
      <c r="AV1203" s="33" t="s">
        <v>1352</v>
      </c>
      <c r="AW1203" s="13" t="s">
        <v>32</v>
      </c>
      <c r="AX1203" s="13">
        <v>4</v>
      </c>
      <c r="AY1203" s="22" t="s">
        <v>1904</v>
      </c>
      <c r="AZ1203" s="70" t="s">
        <v>2097</v>
      </c>
      <c r="BA1203" s="128" t="s">
        <v>151</v>
      </c>
      <c r="BB1203" s="39" t="s">
        <v>34</v>
      </c>
      <c r="BC1203" s="22"/>
    </row>
    <row r="1204" spans="1:55" x14ac:dyDescent="0.25">
      <c r="A1204" s="10">
        <f t="shared" si="47"/>
        <v>1203</v>
      </c>
      <c r="B1204" s="22"/>
      <c r="C1204" s="22" t="s">
        <v>34</v>
      </c>
      <c r="D1204" s="20">
        <v>401364</v>
      </c>
      <c r="E1204" s="31" t="s">
        <v>36</v>
      </c>
      <c r="F1204" s="130" t="s">
        <v>4822</v>
      </c>
      <c r="G1204" s="10">
        <v>6</v>
      </c>
      <c r="H1204" s="66">
        <v>0.70833333333333337</v>
      </c>
      <c r="I1204" s="66">
        <v>0.83333333333333337</v>
      </c>
      <c r="J1204" s="66">
        <v>0.125</v>
      </c>
      <c r="K1204" s="35" t="s">
        <v>593</v>
      </c>
      <c r="L1204" s="30" t="s">
        <v>1424</v>
      </c>
      <c r="M1204" s="30" t="s">
        <v>2097</v>
      </c>
      <c r="N1204" s="23" t="s">
        <v>2098</v>
      </c>
      <c r="O1204" s="22" t="s">
        <v>1357</v>
      </c>
      <c r="P1204" s="176">
        <v>45974</v>
      </c>
      <c r="Q1204" s="176">
        <v>45974</v>
      </c>
      <c r="R1204" s="176">
        <v>46703</v>
      </c>
      <c r="S1204" s="176">
        <v>46704</v>
      </c>
      <c r="T1204" s="10">
        <v>2016</v>
      </c>
      <c r="U1204" s="591" t="s">
        <v>487</v>
      </c>
      <c r="V1204" s="10">
        <v>2022</v>
      </c>
      <c r="W1204" s="23" t="s">
        <v>473</v>
      </c>
      <c r="X1204" s="31" t="s">
        <v>1424</v>
      </c>
      <c r="Y1204" s="35" t="s">
        <v>2099</v>
      </c>
      <c r="Z1204" s="586" t="s">
        <v>4823</v>
      </c>
      <c r="AA1204" s="35" t="s">
        <v>1886</v>
      </c>
      <c r="AB1204" s="161">
        <v>45090</v>
      </c>
      <c r="AC1204" s="161">
        <v>46916</v>
      </c>
      <c r="AD1204" s="220" t="s">
        <v>4824</v>
      </c>
      <c r="AE1204" s="236" t="s">
        <v>4825</v>
      </c>
      <c r="AF1204" s="30" t="s">
        <v>1466</v>
      </c>
      <c r="AG1204" s="221" t="s">
        <v>4826</v>
      </c>
      <c r="AH1204" s="31" t="s">
        <v>4827</v>
      </c>
      <c r="AI1204" s="31" t="s">
        <v>4828</v>
      </c>
      <c r="AJ1204" s="221" t="s">
        <v>4829</v>
      </c>
      <c r="AK1204" s="35" t="s">
        <v>4830</v>
      </c>
      <c r="AL1204" s="166"/>
      <c r="AM1204" s="13"/>
      <c r="AN1204" s="22"/>
      <c r="AO1204" s="35" t="s">
        <v>4832</v>
      </c>
      <c r="AP1204" s="10">
        <f t="shared" ca="1" si="48"/>
        <v>32</v>
      </c>
      <c r="AQ1204" s="70"/>
      <c r="AR1204" s="22"/>
      <c r="AS1204" s="166"/>
      <c r="AT1204" s="166"/>
      <c r="AU1204" s="223">
        <v>34180</v>
      </c>
      <c r="AV1204" s="31" t="s">
        <v>1389</v>
      </c>
      <c r="AW1204" s="31" t="s">
        <v>32</v>
      </c>
      <c r="AX1204" s="10">
        <v>3</v>
      </c>
      <c r="AY1204" s="14" t="s">
        <v>1920</v>
      </c>
      <c r="AZ1204" s="30" t="s">
        <v>1373</v>
      </c>
      <c r="BA1204" s="23" t="s">
        <v>151</v>
      </c>
      <c r="BB1204" s="22" t="s">
        <v>34</v>
      </c>
      <c r="BC1204" s="22"/>
    </row>
  </sheetData>
  <conditionalFormatting sqref="AG237">
    <cfRule type="duplicateValues" dxfId="550" priority="528"/>
  </conditionalFormatting>
  <conditionalFormatting sqref="AI237">
    <cfRule type="duplicateValues" dxfId="549" priority="529"/>
  </conditionalFormatting>
  <conditionalFormatting sqref="D199">
    <cfRule type="duplicateValues" dxfId="548" priority="532"/>
  </conditionalFormatting>
  <conditionalFormatting sqref="D200">
    <cfRule type="duplicateValues" dxfId="547" priority="533"/>
    <cfRule type="duplicateValues" dxfId="546" priority="534"/>
    <cfRule type="duplicateValues" dxfId="545" priority="535"/>
  </conditionalFormatting>
  <conditionalFormatting sqref="D210">
    <cfRule type="duplicateValues" dxfId="544" priority="536"/>
  </conditionalFormatting>
  <conditionalFormatting sqref="D135">
    <cfRule type="duplicateValues" dxfId="543" priority="537"/>
  </conditionalFormatting>
  <conditionalFormatting sqref="D104">
    <cfRule type="duplicateValues" dxfId="542" priority="538"/>
  </conditionalFormatting>
  <conditionalFormatting sqref="D257 D255">
    <cfRule type="duplicateValues" dxfId="541" priority="539"/>
  </conditionalFormatting>
  <conditionalFormatting sqref="D255">
    <cfRule type="duplicateValues" dxfId="540" priority="540"/>
  </conditionalFormatting>
  <conditionalFormatting sqref="D289">
    <cfRule type="duplicateValues" dxfId="539" priority="541"/>
  </conditionalFormatting>
  <conditionalFormatting sqref="D297:D298">
    <cfRule type="duplicateValues" dxfId="538" priority="542"/>
  </conditionalFormatting>
  <conditionalFormatting sqref="D300">
    <cfRule type="duplicateValues" dxfId="537" priority="543"/>
  </conditionalFormatting>
  <conditionalFormatting sqref="D314">
    <cfRule type="duplicateValues" dxfId="536" priority="544"/>
  </conditionalFormatting>
  <conditionalFormatting sqref="D344">
    <cfRule type="duplicateValues" dxfId="535" priority="545"/>
  </conditionalFormatting>
  <conditionalFormatting sqref="D235">
    <cfRule type="duplicateValues" dxfId="534" priority="527"/>
  </conditionalFormatting>
  <conditionalFormatting sqref="D170">
    <cfRule type="duplicateValues" dxfId="533" priority="522"/>
  </conditionalFormatting>
  <conditionalFormatting sqref="D170">
    <cfRule type="duplicateValues" dxfId="532" priority="523"/>
  </conditionalFormatting>
  <conditionalFormatting sqref="D170">
    <cfRule type="duplicateValues" dxfId="531" priority="524"/>
  </conditionalFormatting>
  <conditionalFormatting sqref="D170">
    <cfRule type="duplicateValues" dxfId="530" priority="525"/>
  </conditionalFormatting>
  <conditionalFormatting sqref="D170">
    <cfRule type="duplicateValues" dxfId="529" priority="526"/>
  </conditionalFormatting>
  <conditionalFormatting sqref="AG831">
    <cfRule type="duplicateValues" dxfId="528" priority="264"/>
  </conditionalFormatting>
  <conditionalFormatting sqref="AI831">
    <cfRule type="duplicateValues" dxfId="527" priority="263"/>
  </conditionalFormatting>
  <conditionalFormatting sqref="AG854">
    <cfRule type="duplicateValues" dxfId="526" priority="262"/>
  </conditionalFormatting>
  <conditionalFormatting sqref="AI854">
    <cfRule type="duplicateValues" dxfId="525" priority="261"/>
  </conditionalFormatting>
  <conditionalFormatting sqref="AG855">
    <cfRule type="duplicateValues" dxfId="524" priority="260"/>
  </conditionalFormatting>
  <conditionalFormatting sqref="AI855">
    <cfRule type="duplicateValues" dxfId="523" priority="259"/>
  </conditionalFormatting>
  <conditionalFormatting sqref="AG856">
    <cfRule type="duplicateValues" dxfId="522" priority="258"/>
  </conditionalFormatting>
  <conditionalFormatting sqref="AI856">
    <cfRule type="duplicateValues" dxfId="521" priority="257"/>
  </conditionalFormatting>
  <conditionalFormatting sqref="AG857">
    <cfRule type="duplicateValues" dxfId="520" priority="256"/>
  </conditionalFormatting>
  <conditionalFormatting sqref="AI857">
    <cfRule type="duplicateValues" dxfId="519" priority="255"/>
  </conditionalFormatting>
  <conditionalFormatting sqref="AG858">
    <cfRule type="duplicateValues" dxfId="518" priority="254"/>
  </conditionalFormatting>
  <conditionalFormatting sqref="AI858">
    <cfRule type="duplicateValues" dxfId="517" priority="253"/>
  </conditionalFormatting>
  <conditionalFormatting sqref="AG859">
    <cfRule type="duplicateValues" dxfId="516" priority="252"/>
  </conditionalFormatting>
  <conditionalFormatting sqref="AI859">
    <cfRule type="duplicateValues" dxfId="515" priority="251"/>
  </conditionalFormatting>
  <conditionalFormatting sqref="AG860">
    <cfRule type="duplicateValues" dxfId="514" priority="250"/>
  </conditionalFormatting>
  <conditionalFormatting sqref="AI860">
    <cfRule type="duplicateValues" dxfId="513" priority="249"/>
  </conditionalFormatting>
  <conditionalFormatting sqref="AG861">
    <cfRule type="duplicateValues" dxfId="512" priority="248"/>
  </conditionalFormatting>
  <conditionalFormatting sqref="AI861">
    <cfRule type="duplicateValues" dxfId="511" priority="247"/>
  </conditionalFormatting>
  <conditionalFormatting sqref="AG862">
    <cfRule type="duplicateValues" dxfId="510" priority="246"/>
  </conditionalFormatting>
  <conditionalFormatting sqref="AI862">
    <cfRule type="duplicateValues" dxfId="509" priority="245"/>
  </conditionalFormatting>
  <conditionalFormatting sqref="AG863">
    <cfRule type="duplicateValues" dxfId="508" priority="244"/>
  </conditionalFormatting>
  <conditionalFormatting sqref="AI863">
    <cfRule type="duplicateValues" dxfId="507" priority="243"/>
  </conditionalFormatting>
  <conditionalFormatting sqref="AG864">
    <cfRule type="duplicateValues" dxfId="506" priority="242"/>
  </conditionalFormatting>
  <conditionalFormatting sqref="AI864">
    <cfRule type="duplicateValues" dxfId="505" priority="241"/>
  </conditionalFormatting>
  <conditionalFormatting sqref="AG865">
    <cfRule type="duplicateValues" dxfId="504" priority="240"/>
  </conditionalFormatting>
  <conditionalFormatting sqref="AI865">
    <cfRule type="duplicateValues" dxfId="503" priority="239"/>
  </conditionalFormatting>
  <conditionalFormatting sqref="AG866">
    <cfRule type="duplicateValues" dxfId="502" priority="238"/>
  </conditionalFormatting>
  <conditionalFormatting sqref="AI866">
    <cfRule type="duplicateValues" dxfId="501" priority="237"/>
  </conditionalFormatting>
  <conditionalFormatting sqref="AG867">
    <cfRule type="duplicateValues" dxfId="500" priority="236"/>
  </conditionalFormatting>
  <conditionalFormatting sqref="AI867">
    <cfRule type="duplicateValues" dxfId="499" priority="235"/>
  </conditionalFormatting>
  <conditionalFormatting sqref="AG868">
    <cfRule type="duplicateValues" dxfId="498" priority="234"/>
  </conditionalFormatting>
  <conditionalFormatting sqref="AI868">
    <cfRule type="duplicateValues" dxfId="497" priority="233"/>
  </conditionalFormatting>
  <conditionalFormatting sqref="AG869:AG870">
    <cfRule type="duplicateValues" dxfId="496" priority="232"/>
  </conditionalFormatting>
  <conditionalFormatting sqref="AI869:AI870">
    <cfRule type="duplicateValues" dxfId="495" priority="231"/>
  </conditionalFormatting>
  <conditionalFormatting sqref="AG871">
    <cfRule type="duplicateValues" dxfId="494" priority="230"/>
  </conditionalFormatting>
  <conditionalFormatting sqref="AI871">
    <cfRule type="duplicateValues" dxfId="493" priority="229"/>
  </conditionalFormatting>
  <conditionalFormatting sqref="AG872:AG873">
    <cfRule type="duplicateValues" dxfId="492" priority="228"/>
  </conditionalFormatting>
  <conditionalFormatting sqref="AI872:AI873">
    <cfRule type="duplicateValues" dxfId="491" priority="227"/>
  </conditionalFormatting>
  <conditionalFormatting sqref="AG874">
    <cfRule type="duplicateValues" dxfId="490" priority="226"/>
  </conditionalFormatting>
  <conditionalFormatting sqref="AI874">
    <cfRule type="duplicateValues" dxfId="489" priority="225"/>
  </conditionalFormatting>
  <conditionalFormatting sqref="AG875">
    <cfRule type="duplicateValues" dxfId="488" priority="224"/>
  </conditionalFormatting>
  <conditionalFormatting sqref="AI875">
    <cfRule type="duplicateValues" dxfId="487" priority="223"/>
  </conditionalFormatting>
  <conditionalFormatting sqref="AG876">
    <cfRule type="duplicateValues" dxfId="486" priority="222"/>
  </conditionalFormatting>
  <conditionalFormatting sqref="AI876">
    <cfRule type="duplicateValues" dxfId="485" priority="221"/>
  </conditionalFormatting>
  <conditionalFormatting sqref="AG877:AG878">
    <cfRule type="duplicateValues" dxfId="484" priority="220"/>
  </conditionalFormatting>
  <conditionalFormatting sqref="AI877:AI878">
    <cfRule type="duplicateValues" dxfId="483" priority="219"/>
  </conditionalFormatting>
  <conditionalFormatting sqref="AG879">
    <cfRule type="duplicateValues" dxfId="482" priority="217"/>
  </conditionalFormatting>
  <conditionalFormatting sqref="AI879">
    <cfRule type="duplicateValues" dxfId="481" priority="218"/>
  </conditionalFormatting>
  <conditionalFormatting sqref="AG880:AG882">
    <cfRule type="duplicateValues" dxfId="480" priority="215"/>
  </conditionalFormatting>
  <conditionalFormatting sqref="AI880:AI882">
    <cfRule type="duplicateValues" dxfId="479" priority="216"/>
  </conditionalFormatting>
  <conditionalFormatting sqref="AG883:AG884">
    <cfRule type="duplicateValues" dxfId="478" priority="213"/>
  </conditionalFormatting>
  <conditionalFormatting sqref="AI883:AI884">
    <cfRule type="duplicateValues" dxfId="477" priority="214"/>
  </conditionalFormatting>
  <conditionalFormatting sqref="AG832">
    <cfRule type="duplicateValues" dxfId="476" priority="211"/>
  </conditionalFormatting>
  <conditionalFormatting sqref="AI832">
    <cfRule type="duplicateValues" dxfId="475" priority="212"/>
  </conditionalFormatting>
  <conditionalFormatting sqref="AG885">
    <cfRule type="duplicateValues" dxfId="474" priority="209"/>
  </conditionalFormatting>
  <conditionalFormatting sqref="AI885">
    <cfRule type="duplicateValues" dxfId="473" priority="210"/>
  </conditionalFormatting>
  <conditionalFormatting sqref="AG886">
    <cfRule type="duplicateValues" dxfId="472" priority="207"/>
  </conditionalFormatting>
  <conditionalFormatting sqref="AI886">
    <cfRule type="duplicateValues" dxfId="471" priority="208"/>
  </conditionalFormatting>
  <conditionalFormatting sqref="AG887">
    <cfRule type="duplicateValues" dxfId="470" priority="205"/>
  </conditionalFormatting>
  <conditionalFormatting sqref="AI887">
    <cfRule type="duplicateValues" dxfId="469" priority="206"/>
  </conditionalFormatting>
  <conditionalFormatting sqref="AG888">
    <cfRule type="duplicateValues" dxfId="468" priority="203"/>
  </conditionalFormatting>
  <conditionalFormatting sqref="AI888">
    <cfRule type="duplicateValues" dxfId="467" priority="204"/>
  </conditionalFormatting>
  <conditionalFormatting sqref="AG889">
    <cfRule type="duplicateValues" dxfId="466" priority="201"/>
  </conditionalFormatting>
  <conditionalFormatting sqref="AI889">
    <cfRule type="duplicateValues" dxfId="465" priority="202"/>
  </conditionalFormatting>
  <conditionalFormatting sqref="AG890">
    <cfRule type="duplicateValues" dxfId="464" priority="199"/>
  </conditionalFormatting>
  <conditionalFormatting sqref="AI890">
    <cfRule type="duplicateValues" dxfId="463" priority="200"/>
  </conditionalFormatting>
  <conditionalFormatting sqref="AG891">
    <cfRule type="duplicateValues" dxfId="462" priority="197"/>
  </conditionalFormatting>
  <conditionalFormatting sqref="AI891">
    <cfRule type="duplicateValues" dxfId="461" priority="198"/>
  </conditionalFormatting>
  <conditionalFormatting sqref="AG892">
    <cfRule type="duplicateValues" dxfId="460" priority="195"/>
  </conditionalFormatting>
  <conditionalFormatting sqref="AI892">
    <cfRule type="duplicateValues" dxfId="459" priority="196"/>
  </conditionalFormatting>
  <conditionalFormatting sqref="AG893">
    <cfRule type="duplicateValues" dxfId="458" priority="193"/>
  </conditionalFormatting>
  <conditionalFormatting sqref="AI893">
    <cfRule type="duplicateValues" dxfId="457" priority="194"/>
  </conditionalFormatting>
  <conditionalFormatting sqref="AG894">
    <cfRule type="duplicateValues" dxfId="456" priority="191"/>
  </conditionalFormatting>
  <conditionalFormatting sqref="AI894">
    <cfRule type="duplicateValues" dxfId="455" priority="192"/>
  </conditionalFormatting>
  <conditionalFormatting sqref="AG895">
    <cfRule type="duplicateValues" dxfId="454" priority="189"/>
  </conditionalFormatting>
  <conditionalFormatting sqref="AI895">
    <cfRule type="duplicateValues" dxfId="453" priority="190"/>
  </conditionalFormatting>
  <conditionalFormatting sqref="AG896">
    <cfRule type="duplicateValues" dxfId="452" priority="187"/>
  </conditionalFormatting>
  <conditionalFormatting sqref="AI896">
    <cfRule type="duplicateValues" dxfId="451" priority="188"/>
  </conditionalFormatting>
  <conditionalFormatting sqref="AG897">
    <cfRule type="duplicateValues" dxfId="450" priority="185"/>
  </conditionalFormatting>
  <conditionalFormatting sqref="AI897">
    <cfRule type="duplicateValues" dxfId="449" priority="186"/>
  </conditionalFormatting>
  <conditionalFormatting sqref="AG898">
    <cfRule type="duplicateValues" dxfId="448" priority="183"/>
  </conditionalFormatting>
  <conditionalFormatting sqref="AI898">
    <cfRule type="duplicateValues" dxfId="447" priority="184"/>
  </conditionalFormatting>
  <conditionalFormatting sqref="AG899">
    <cfRule type="duplicateValues" dxfId="446" priority="181"/>
  </conditionalFormatting>
  <conditionalFormatting sqref="AI899">
    <cfRule type="duplicateValues" dxfId="445" priority="182"/>
  </conditionalFormatting>
  <conditionalFormatting sqref="AG900">
    <cfRule type="duplicateValues" dxfId="444" priority="179"/>
  </conditionalFormatting>
  <conditionalFormatting sqref="AI900">
    <cfRule type="duplicateValues" dxfId="443" priority="180"/>
  </conditionalFormatting>
  <conditionalFormatting sqref="AG901">
    <cfRule type="duplicateValues" dxfId="442" priority="177"/>
  </conditionalFormatting>
  <conditionalFormatting sqref="AI901">
    <cfRule type="duplicateValues" dxfId="441" priority="178"/>
  </conditionalFormatting>
  <conditionalFormatting sqref="AG902">
    <cfRule type="duplicateValues" dxfId="440" priority="175"/>
  </conditionalFormatting>
  <conditionalFormatting sqref="AI902">
    <cfRule type="duplicateValues" dxfId="439" priority="176"/>
  </conditionalFormatting>
  <conditionalFormatting sqref="AJ903">
    <cfRule type="duplicateValues" dxfId="438" priority="174"/>
  </conditionalFormatting>
  <conditionalFormatting sqref="AG904">
    <cfRule type="duplicateValues" dxfId="437" priority="172"/>
  </conditionalFormatting>
  <conditionalFormatting sqref="AI904">
    <cfRule type="duplicateValues" dxfId="436" priority="173"/>
  </conditionalFormatting>
  <conditionalFormatting sqref="AG905">
    <cfRule type="duplicateValues" dxfId="435" priority="170"/>
  </conditionalFormatting>
  <conditionalFormatting sqref="AI905">
    <cfRule type="duplicateValues" dxfId="434" priority="171"/>
  </conditionalFormatting>
  <conditionalFormatting sqref="AG906">
    <cfRule type="duplicateValues" dxfId="433" priority="168"/>
  </conditionalFormatting>
  <conditionalFormatting sqref="AI906">
    <cfRule type="duplicateValues" dxfId="432" priority="169"/>
  </conditionalFormatting>
  <conditionalFormatting sqref="AG907">
    <cfRule type="duplicateValues" dxfId="431" priority="166"/>
  </conditionalFormatting>
  <conditionalFormatting sqref="AI907">
    <cfRule type="duplicateValues" dxfId="430" priority="167"/>
  </conditionalFormatting>
  <conditionalFormatting sqref="AG908">
    <cfRule type="duplicateValues" dxfId="429" priority="164"/>
  </conditionalFormatting>
  <conditionalFormatting sqref="AI908">
    <cfRule type="duplicateValues" dxfId="428" priority="165"/>
  </conditionalFormatting>
  <conditionalFormatting sqref="AG909">
    <cfRule type="duplicateValues" dxfId="427" priority="162"/>
  </conditionalFormatting>
  <conditionalFormatting sqref="AI909">
    <cfRule type="duplicateValues" dxfId="426" priority="163"/>
  </conditionalFormatting>
  <conditionalFormatting sqref="AG910">
    <cfRule type="duplicateValues" dxfId="425" priority="160"/>
  </conditionalFormatting>
  <conditionalFormatting sqref="AI910">
    <cfRule type="duplicateValues" dxfId="424" priority="161"/>
  </conditionalFormatting>
  <conditionalFormatting sqref="AI915:AI940 AI911:AI913">
    <cfRule type="duplicateValues" dxfId="423" priority="158"/>
  </conditionalFormatting>
  <conditionalFormatting sqref="AG933:AG940 AG920:AG930 AG911:AG913">
    <cfRule type="duplicateValues" dxfId="422" priority="159"/>
  </conditionalFormatting>
  <conditionalFormatting sqref="AI913">
    <cfRule type="duplicateValues" dxfId="421" priority="156"/>
    <cfRule type="duplicateValues" dxfId="420" priority="157"/>
  </conditionalFormatting>
  <conditionalFormatting sqref="AG915:AG919">
    <cfRule type="duplicateValues" dxfId="419" priority="155"/>
  </conditionalFormatting>
  <conditionalFormatting sqref="AG931:AG932">
    <cfRule type="duplicateValues" dxfId="418" priority="154"/>
  </conditionalFormatting>
  <conditionalFormatting sqref="AI941:AI956 AI958:AI964">
    <cfRule type="duplicateValues" dxfId="417" priority="152"/>
  </conditionalFormatting>
  <conditionalFormatting sqref="AG958:AG964 AG941:AG956">
    <cfRule type="duplicateValues" dxfId="416" priority="153"/>
  </conditionalFormatting>
  <conditionalFormatting sqref="AG965">
    <cfRule type="duplicateValues" dxfId="415" priority="150"/>
  </conditionalFormatting>
  <conditionalFormatting sqref="AI965">
    <cfRule type="duplicateValues" dxfId="414" priority="151"/>
  </conditionalFormatting>
  <conditionalFormatting sqref="AG966">
    <cfRule type="duplicateValues" dxfId="413" priority="148"/>
  </conditionalFormatting>
  <conditionalFormatting sqref="AI966">
    <cfRule type="duplicateValues" dxfId="412" priority="149"/>
  </conditionalFormatting>
  <conditionalFormatting sqref="AI967">
    <cfRule type="duplicateValues" dxfId="411" priority="146"/>
  </conditionalFormatting>
  <conditionalFormatting sqref="AG967">
    <cfRule type="duplicateValues" dxfId="410" priority="147"/>
  </conditionalFormatting>
  <conditionalFormatting sqref="AI968">
    <cfRule type="duplicateValues" dxfId="409" priority="144"/>
  </conditionalFormatting>
  <conditionalFormatting sqref="AG968">
    <cfRule type="duplicateValues" dxfId="408" priority="145"/>
  </conditionalFormatting>
  <conditionalFormatting sqref="AI969">
    <cfRule type="duplicateValues" dxfId="407" priority="142"/>
  </conditionalFormatting>
  <conditionalFormatting sqref="AG969">
    <cfRule type="duplicateValues" dxfId="406" priority="143"/>
  </conditionalFormatting>
  <conditionalFormatting sqref="AI970">
    <cfRule type="duplicateValues" dxfId="405" priority="140"/>
  </conditionalFormatting>
  <conditionalFormatting sqref="AG970">
    <cfRule type="duplicateValues" dxfId="404" priority="141"/>
  </conditionalFormatting>
  <conditionalFormatting sqref="AI971">
    <cfRule type="duplicateValues" dxfId="403" priority="139"/>
  </conditionalFormatting>
  <conditionalFormatting sqref="AI972">
    <cfRule type="duplicateValues" dxfId="402" priority="137"/>
  </conditionalFormatting>
  <conditionalFormatting sqref="AG972">
    <cfRule type="duplicateValues" dxfId="401" priority="138"/>
  </conditionalFormatting>
  <conditionalFormatting sqref="AI973">
    <cfRule type="duplicateValues" dxfId="400" priority="136"/>
  </conditionalFormatting>
  <conditionalFormatting sqref="AI974">
    <cfRule type="duplicateValues" dxfId="399" priority="134"/>
  </conditionalFormatting>
  <conditionalFormatting sqref="AG974">
    <cfRule type="duplicateValues" dxfId="398" priority="135"/>
  </conditionalFormatting>
  <conditionalFormatting sqref="AI975">
    <cfRule type="duplicateValues" dxfId="397" priority="132"/>
  </conditionalFormatting>
  <conditionalFormatting sqref="AG975">
    <cfRule type="duplicateValues" dxfId="396" priority="133"/>
  </conditionalFormatting>
  <conditionalFormatting sqref="W976">
    <cfRule type="duplicateValues" dxfId="395" priority="129"/>
  </conditionalFormatting>
  <conditionalFormatting sqref="AI976">
    <cfRule type="duplicateValues" dxfId="394" priority="130"/>
  </conditionalFormatting>
  <conditionalFormatting sqref="U976">
    <cfRule type="duplicateValues" dxfId="393" priority="131"/>
  </conditionalFormatting>
  <conditionalFormatting sqref="AI977">
    <cfRule type="duplicateValues" dxfId="392" priority="127"/>
  </conditionalFormatting>
  <conditionalFormatting sqref="AG977">
    <cfRule type="duplicateValues" dxfId="391" priority="128"/>
  </conditionalFormatting>
  <conditionalFormatting sqref="AI978">
    <cfRule type="duplicateValues" dxfId="390" priority="125"/>
  </conditionalFormatting>
  <conditionalFormatting sqref="AG978">
    <cfRule type="duplicateValues" dxfId="389" priority="126"/>
  </conditionalFormatting>
  <conditionalFormatting sqref="AI979">
    <cfRule type="duplicateValues" dxfId="388" priority="123"/>
  </conditionalFormatting>
  <conditionalFormatting sqref="AG979">
    <cfRule type="duplicateValues" dxfId="387" priority="124"/>
  </conditionalFormatting>
  <conditionalFormatting sqref="AU979">
    <cfRule type="duplicateValues" dxfId="386" priority="122"/>
  </conditionalFormatting>
  <conditionalFormatting sqref="AU979">
    <cfRule type="duplicateValues" dxfId="385" priority="120"/>
    <cfRule type="duplicateValues" dxfId="384" priority="121"/>
  </conditionalFormatting>
  <conditionalFormatting sqref="AU979 D979">
    <cfRule type="duplicateValues" dxfId="383" priority="119"/>
  </conditionalFormatting>
  <conditionalFormatting sqref="AI980">
    <cfRule type="duplicateValues" dxfId="382" priority="117"/>
  </conditionalFormatting>
  <conditionalFormatting sqref="AG980">
    <cfRule type="duplicateValues" dxfId="381" priority="118"/>
  </conditionalFormatting>
  <conditionalFormatting sqref="AI981">
    <cfRule type="duplicateValues" dxfId="380" priority="115"/>
  </conditionalFormatting>
  <conditionalFormatting sqref="AG981">
    <cfRule type="duplicateValues" dxfId="379" priority="116"/>
  </conditionalFormatting>
  <conditionalFormatting sqref="AI982">
    <cfRule type="duplicateValues" dxfId="378" priority="113"/>
  </conditionalFormatting>
  <conditionalFormatting sqref="AG982">
    <cfRule type="duplicateValues" dxfId="377" priority="114"/>
  </conditionalFormatting>
  <conditionalFormatting sqref="AI983">
    <cfRule type="duplicateValues" dxfId="376" priority="111"/>
  </conditionalFormatting>
  <conditionalFormatting sqref="AG983">
    <cfRule type="duplicateValues" dxfId="375" priority="112"/>
  </conditionalFormatting>
  <conditionalFormatting sqref="AU983 D983">
    <cfRule type="duplicateValues" dxfId="374" priority="110"/>
  </conditionalFormatting>
  <conditionalFormatting sqref="AI984">
    <cfRule type="duplicateValues" dxfId="373" priority="108"/>
  </conditionalFormatting>
  <conditionalFormatting sqref="AG984">
    <cfRule type="duplicateValues" dxfId="372" priority="109"/>
  </conditionalFormatting>
  <conditionalFormatting sqref="AG833:AG853">
    <cfRule type="duplicateValues" dxfId="371" priority="265"/>
  </conditionalFormatting>
  <conditionalFormatting sqref="AI833:AI853">
    <cfRule type="duplicateValues" dxfId="370" priority="266"/>
  </conditionalFormatting>
  <conditionalFormatting sqref="D1143">
    <cfRule type="duplicateValues" dxfId="369" priority="103"/>
  </conditionalFormatting>
  <conditionalFormatting sqref="D1143">
    <cfRule type="duplicateValues" dxfId="368" priority="104"/>
  </conditionalFormatting>
  <conditionalFormatting sqref="D1143">
    <cfRule type="duplicateValues" dxfId="367" priority="105"/>
  </conditionalFormatting>
  <conditionalFormatting sqref="D1143">
    <cfRule type="duplicateValues" dxfId="366" priority="106"/>
  </conditionalFormatting>
  <conditionalFormatting sqref="D1143">
    <cfRule type="duplicateValues" dxfId="365" priority="107"/>
  </conditionalFormatting>
  <conditionalFormatting sqref="D1144">
    <cfRule type="duplicateValues" dxfId="364" priority="98"/>
  </conditionalFormatting>
  <conditionalFormatting sqref="D1144">
    <cfRule type="duplicateValues" dxfId="363" priority="99"/>
  </conditionalFormatting>
  <conditionalFormatting sqref="D1144">
    <cfRule type="duplicateValues" dxfId="362" priority="100"/>
  </conditionalFormatting>
  <conditionalFormatting sqref="D1144">
    <cfRule type="duplicateValues" dxfId="361" priority="101"/>
  </conditionalFormatting>
  <conditionalFormatting sqref="D1144">
    <cfRule type="duplicateValues" dxfId="360" priority="102"/>
  </conditionalFormatting>
  <conditionalFormatting sqref="D1145">
    <cfRule type="duplicateValues" dxfId="359" priority="93"/>
  </conditionalFormatting>
  <conditionalFormatting sqref="D1145">
    <cfRule type="duplicateValues" dxfId="358" priority="94"/>
  </conditionalFormatting>
  <conditionalFormatting sqref="D1145">
    <cfRule type="duplicateValues" dxfId="357" priority="95"/>
  </conditionalFormatting>
  <conditionalFormatting sqref="D1145">
    <cfRule type="duplicateValues" dxfId="356" priority="96"/>
  </conditionalFormatting>
  <conditionalFormatting sqref="D1145">
    <cfRule type="duplicateValues" dxfId="355" priority="97"/>
  </conditionalFormatting>
  <conditionalFormatting sqref="D449:D458">
    <cfRule type="duplicateValues" dxfId="354" priority="267"/>
    <cfRule type="duplicateValues" dxfId="353" priority="268"/>
  </conditionalFormatting>
  <conditionalFormatting sqref="D450">
    <cfRule type="duplicateValues" dxfId="352" priority="269"/>
    <cfRule type="duplicateValues" dxfId="351" priority="270"/>
  </conditionalFormatting>
  <conditionalFormatting sqref="D451">
    <cfRule type="duplicateValues" dxfId="350" priority="271"/>
    <cfRule type="duplicateValues" dxfId="349" priority="272"/>
  </conditionalFormatting>
  <conditionalFormatting sqref="D452">
    <cfRule type="duplicateValues" dxfId="348" priority="273"/>
    <cfRule type="duplicateValues" dxfId="347" priority="274"/>
  </conditionalFormatting>
  <conditionalFormatting sqref="D453:D454 D449">
    <cfRule type="duplicateValues" dxfId="346" priority="275"/>
    <cfRule type="duplicateValues" dxfId="345" priority="276"/>
  </conditionalFormatting>
  <conditionalFormatting sqref="D455">
    <cfRule type="duplicateValues" dxfId="344" priority="277"/>
    <cfRule type="duplicateValues" dxfId="343" priority="278"/>
  </conditionalFormatting>
  <conditionalFormatting sqref="D456">
    <cfRule type="duplicateValues" dxfId="342" priority="279"/>
    <cfRule type="duplicateValues" dxfId="341" priority="280"/>
  </conditionalFormatting>
  <conditionalFormatting sqref="D457">
    <cfRule type="duplicateValues" dxfId="340" priority="281"/>
    <cfRule type="duplicateValues" dxfId="339" priority="282"/>
  </conditionalFormatting>
  <conditionalFormatting sqref="D458">
    <cfRule type="duplicateValues" dxfId="338" priority="283"/>
    <cfRule type="duplicateValues" dxfId="337" priority="284"/>
  </conditionalFormatting>
  <conditionalFormatting sqref="D467:D471">
    <cfRule type="duplicateValues" dxfId="336" priority="285"/>
    <cfRule type="duplicateValues" dxfId="335" priority="286"/>
  </conditionalFormatting>
  <conditionalFormatting sqref="D553">
    <cfRule type="duplicateValues" dxfId="334" priority="287"/>
    <cfRule type="duplicateValues" dxfId="333" priority="288"/>
  </conditionalFormatting>
  <conditionalFormatting sqref="D558">
    <cfRule type="duplicateValues" dxfId="332" priority="289"/>
    <cfRule type="duplicateValues" dxfId="331" priority="290"/>
  </conditionalFormatting>
  <conditionalFormatting sqref="D568">
    <cfRule type="duplicateValues" dxfId="330" priority="291"/>
    <cfRule type="duplicateValues" dxfId="329" priority="292"/>
  </conditionalFormatting>
  <conditionalFormatting sqref="D571">
    <cfRule type="duplicateValues" dxfId="328" priority="293"/>
    <cfRule type="duplicateValues" dxfId="327" priority="294"/>
  </conditionalFormatting>
  <conditionalFormatting sqref="D632">
    <cfRule type="duplicateValues" dxfId="326" priority="295"/>
    <cfRule type="duplicateValues" dxfId="325" priority="296"/>
  </conditionalFormatting>
  <conditionalFormatting sqref="D639">
    <cfRule type="duplicateValues" dxfId="324" priority="297"/>
    <cfRule type="duplicateValues" dxfId="323" priority="298"/>
  </conditionalFormatting>
  <conditionalFormatting sqref="D661 D651:D659">
    <cfRule type="duplicateValues" dxfId="322" priority="299"/>
    <cfRule type="duplicateValues" dxfId="321" priority="300"/>
    <cfRule type="duplicateValues" dxfId="320" priority="301"/>
  </conditionalFormatting>
  <conditionalFormatting sqref="D662:D703">
    <cfRule type="duplicateValues" dxfId="319" priority="302"/>
    <cfRule type="duplicateValues" dxfId="318" priority="303"/>
  </conditionalFormatting>
  <conditionalFormatting sqref="D662:D704">
    <cfRule type="duplicateValues" dxfId="317" priority="304"/>
  </conditionalFormatting>
  <conditionalFormatting sqref="D703">
    <cfRule type="duplicateValues" dxfId="316" priority="305"/>
    <cfRule type="duplicateValues" dxfId="315" priority="306"/>
  </conditionalFormatting>
  <conditionalFormatting sqref="D704">
    <cfRule type="duplicateValues" dxfId="314" priority="307"/>
    <cfRule type="duplicateValues" dxfId="313" priority="308"/>
    <cfRule type="duplicateValues" dxfId="312" priority="309"/>
    <cfRule type="duplicateValues" dxfId="311" priority="310"/>
  </conditionalFormatting>
  <conditionalFormatting sqref="D760:D761">
    <cfRule type="duplicateValues" dxfId="310" priority="311"/>
    <cfRule type="duplicateValues" dxfId="309" priority="312"/>
    <cfRule type="duplicateValues" dxfId="308" priority="313"/>
  </conditionalFormatting>
  <conditionalFormatting sqref="D762:D769">
    <cfRule type="duplicateValues" dxfId="307" priority="314"/>
    <cfRule type="duplicateValues" dxfId="306" priority="315"/>
    <cfRule type="duplicateValues" dxfId="305" priority="316"/>
  </conditionalFormatting>
  <conditionalFormatting sqref="D780">
    <cfRule type="duplicateValues" dxfId="304" priority="317"/>
    <cfRule type="duplicateValues" dxfId="303" priority="318"/>
    <cfRule type="duplicateValues" dxfId="302" priority="319"/>
  </conditionalFormatting>
  <conditionalFormatting sqref="D784:D785">
    <cfRule type="duplicateValues" dxfId="301" priority="320"/>
    <cfRule type="duplicateValues" dxfId="300" priority="321"/>
    <cfRule type="duplicateValues" dxfId="299" priority="322"/>
  </conditionalFormatting>
  <conditionalFormatting sqref="D786:D793">
    <cfRule type="duplicateValues" dxfId="298" priority="323"/>
    <cfRule type="duplicateValues" dxfId="297" priority="324"/>
    <cfRule type="duplicateValues" dxfId="296" priority="325"/>
  </conditionalFormatting>
  <conditionalFormatting sqref="D794:D795">
    <cfRule type="duplicateValues" dxfId="295" priority="326"/>
    <cfRule type="duplicateValues" dxfId="294" priority="327"/>
    <cfRule type="duplicateValues" dxfId="293" priority="328"/>
  </conditionalFormatting>
  <conditionalFormatting sqref="D796">
    <cfRule type="duplicateValues" dxfId="292" priority="329"/>
    <cfRule type="duplicateValues" dxfId="291" priority="330"/>
    <cfRule type="duplicateValues" dxfId="290" priority="331"/>
  </conditionalFormatting>
  <conditionalFormatting sqref="D797:D798">
    <cfRule type="duplicateValues" dxfId="289" priority="332"/>
    <cfRule type="duplicateValues" dxfId="288" priority="333"/>
    <cfRule type="duplicateValues" dxfId="287" priority="334"/>
  </conditionalFormatting>
  <conditionalFormatting sqref="D1130 D395:D830">
    <cfRule type="duplicateValues" dxfId="286" priority="335"/>
  </conditionalFormatting>
  <conditionalFormatting sqref="D781:D783">
    <cfRule type="duplicateValues" dxfId="285" priority="336"/>
    <cfRule type="duplicateValues" dxfId="284" priority="337"/>
    <cfRule type="duplicateValues" dxfId="283" priority="338"/>
  </conditionalFormatting>
  <conditionalFormatting sqref="D770:D779">
    <cfRule type="duplicateValues" dxfId="282" priority="339"/>
    <cfRule type="duplicateValues" dxfId="281" priority="340"/>
    <cfRule type="duplicateValues" dxfId="280" priority="341"/>
  </conditionalFormatting>
  <conditionalFormatting sqref="D723:D759">
    <cfRule type="duplicateValues" dxfId="279" priority="342"/>
    <cfRule type="duplicateValues" dxfId="278" priority="343"/>
    <cfRule type="duplicateValues" dxfId="277" priority="344"/>
  </conditionalFormatting>
  <conditionalFormatting sqref="D705:D722">
    <cfRule type="duplicateValues" dxfId="276" priority="345"/>
    <cfRule type="duplicateValues" dxfId="275" priority="346"/>
    <cfRule type="duplicateValues" dxfId="274" priority="347"/>
  </conditionalFormatting>
  <conditionalFormatting sqref="D799:D830">
    <cfRule type="duplicateValues" dxfId="273" priority="348"/>
    <cfRule type="duplicateValues" dxfId="272" priority="349"/>
    <cfRule type="duplicateValues" dxfId="271" priority="350"/>
  </conditionalFormatting>
  <conditionalFormatting sqref="D885">
    <cfRule type="duplicateValues" dxfId="270" priority="351"/>
  </conditionalFormatting>
  <conditionalFormatting sqref="D886">
    <cfRule type="duplicateValues" dxfId="269" priority="352"/>
  </conditionalFormatting>
  <conditionalFormatting sqref="D887">
    <cfRule type="duplicateValues" dxfId="268" priority="353"/>
  </conditionalFormatting>
  <conditionalFormatting sqref="D888">
    <cfRule type="duplicateValues" dxfId="267" priority="354"/>
  </conditionalFormatting>
  <conditionalFormatting sqref="D889">
    <cfRule type="duplicateValues" dxfId="266" priority="355"/>
  </conditionalFormatting>
  <conditionalFormatting sqref="D890">
    <cfRule type="duplicateValues" dxfId="265" priority="356"/>
  </conditionalFormatting>
  <conditionalFormatting sqref="D891">
    <cfRule type="duplicateValues" dxfId="264" priority="357"/>
  </conditionalFormatting>
  <conditionalFormatting sqref="D892">
    <cfRule type="duplicateValues" dxfId="263" priority="358"/>
  </conditionalFormatting>
  <conditionalFormatting sqref="D893">
    <cfRule type="duplicateValues" dxfId="262" priority="359"/>
  </conditionalFormatting>
  <conditionalFormatting sqref="D894">
    <cfRule type="duplicateValues" dxfId="261" priority="360"/>
  </conditionalFormatting>
  <conditionalFormatting sqref="D895">
    <cfRule type="duplicateValues" dxfId="260" priority="361"/>
  </conditionalFormatting>
  <conditionalFormatting sqref="D896">
    <cfRule type="duplicateValues" dxfId="259" priority="362"/>
  </conditionalFormatting>
  <conditionalFormatting sqref="D897">
    <cfRule type="duplicateValues" dxfId="258" priority="363"/>
  </conditionalFormatting>
  <conditionalFormatting sqref="D898">
    <cfRule type="duplicateValues" dxfId="257" priority="364"/>
  </conditionalFormatting>
  <conditionalFormatting sqref="D899">
    <cfRule type="duplicateValues" dxfId="256" priority="365"/>
  </conditionalFormatting>
  <conditionalFormatting sqref="D900">
    <cfRule type="duplicateValues" dxfId="255" priority="366"/>
  </conditionalFormatting>
  <conditionalFormatting sqref="D901">
    <cfRule type="duplicateValues" dxfId="254" priority="367"/>
  </conditionalFormatting>
  <conditionalFormatting sqref="D902">
    <cfRule type="duplicateValues" dxfId="253" priority="368"/>
  </conditionalFormatting>
  <conditionalFormatting sqref="D903">
    <cfRule type="duplicateValues" dxfId="252" priority="369"/>
  </conditionalFormatting>
  <conditionalFormatting sqref="D904">
    <cfRule type="duplicateValues" dxfId="251" priority="370"/>
  </conditionalFormatting>
  <conditionalFormatting sqref="D905">
    <cfRule type="duplicateValues" dxfId="250" priority="371"/>
  </conditionalFormatting>
  <conditionalFormatting sqref="D906">
    <cfRule type="duplicateValues" dxfId="249" priority="372"/>
  </conditionalFormatting>
  <conditionalFormatting sqref="D907">
    <cfRule type="duplicateValues" dxfId="248" priority="373"/>
  </conditionalFormatting>
  <conditionalFormatting sqref="D908">
    <cfRule type="duplicateValues" dxfId="247" priority="374"/>
  </conditionalFormatting>
  <conditionalFormatting sqref="D909">
    <cfRule type="duplicateValues" dxfId="246" priority="375"/>
  </conditionalFormatting>
  <conditionalFormatting sqref="D910">
    <cfRule type="duplicateValues" dxfId="245" priority="376"/>
  </conditionalFormatting>
  <conditionalFormatting sqref="D911:D940">
    <cfRule type="duplicateValues" dxfId="244" priority="377"/>
  </conditionalFormatting>
  <conditionalFormatting sqref="D957">
    <cfRule type="duplicateValues" dxfId="243" priority="378"/>
    <cfRule type="duplicateValues" dxfId="242" priority="379"/>
    <cfRule type="duplicateValues" dxfId="241" priority="380"/>
  </conditionalFormatting>
  <conditionalFormatting sqref="D958:D964 D941:D956">
    <cfRule type="duplicateValues" dxfId="240" priority="381"/>
  </conditionalFormatting>
  <conditionalFormatting sqref="D941:D964">
    <cfRule type="duplicateValues" dxfId="239" priority="382"/>
  </conditionalFormatting>
  <conditionalFormatting sqref="D965">
    <cfRule type="duplicateValues" dxfId="238" priority="383"/>
  </conditionalFormatting>
  <conditionalFormatting sqref="D1130 D395:D965">
    <cfRule type="duplicateValues" dxfId="237" priority="384"/>
  </conditionalFormatting>
  <conditionalFormatting sqref="D1130">
    <cfRule type="duplicateValues" dxfId="236" priority="385"/>
  </conditionalFormatting>
  <conditionalFormatting sqref="D966">
    <cfRule type="duplicateValues" dxfId="235" priority="386"/>
  </conditionalFormatting>
  <conditionalFormatting sqref="D967">
    <cfRule type="duplicateValues" dxfId="234" priority="387"/>
  </conditionalFormatting>
  <conditionalFormatting sqref="D968">
    <cfRule type="duplicateValues" dxfId="233" priority="388"/>
  </conditionalFormatting>
  <conditionalFormatting sqref="D969">
    <cfRule type="duplicateValues" dxfId="232" priority="389"/>
  </conditionalFormatting>
  <conditionalFormatting sqref="D970">
    <cfRule type="duplicateValues" dxfId="231" priority="390"/>
  </conditionalFormatting>
  <conditionalFormatting sqref="D971">
    <cfRule type="duplicateValues" dxfId="230" priority="391"/>
  </conditionalFormatting>
  <conditionalFormatting sqref="D972">
    <cfRule type="duplicateValues" dxfId="229" priority="392"/>
  </conditionalFormatting>
  <conditionalFormatting sqref="D973">
    <cfRule type="duplicateValues" dxfId="228" priority="393"/>
  </conditionalFormatting>
  <conditionalFormatting sqref="D974">
    <cfRule type="duplicateValues" dxfId="227" priority="394"/>
  </conditionalFormatting>
  <conditionalFormatting sqref="D975">
    <cfRule type="duplicateValues" dxfId="226" priority="395"/>
  </conditionalFormatting>
  <conditionalFormatting sqref="D976">
    <cfRule type="duplicateValues" dxfId="225" priority="396"/>
  </conditionalFormatting>
  <conditionalFormatting sqref="D977">
    <cfRule type="duplicateValues" dxfId="224" priority="397"/>
  </conditionalFormatting>
  <conditionalFormatting sqref="D978">
    <cfRule type="duplicateValues" dxfId="223" priority="398"/>
  </conditionalFormatting>
  <conditionalFormatting sqref="D979">
    <cfRule type="duplicateValues" dxfId="222" priority="399"/>
  </conditionalFormatting>
  <conditionalFormatting sqref="D980">
    <cfRule type="duplicateValues" dxfId="221" priority="400"/>
  </conditionalFormatting>
  <conditionalFormatting sqref="D981">
    <cfRule type="duplicateValues" dxfId="220" priority="401"/>
  </conditionalFormatting>
  <conditionalFormatting sqref="D982">
    <cfRule type="duplicateValues" dxfId="219" priority="402"/>
  </conditionalFormatting>
  <conditionalFormatting sqref="D983">
    <cfRule type="duplicateValues" dxfId="218" priority="403"/>
  </conditionalFormatting>
  <conditionalFormatting sqref="D984">
    <cfRule type="duplicateValues" dxfId="217" priority="404"/>
  </conditionalFormatting>
  <conditionalFormatting sqref="D985:D992">
    <cfRule type="duplicateValues" dxfId="216" priority="405"/>
  </conditionalFormatting>
  <conditionalFormatting sqref="D993:D995">
    <cfRule type="duplicateValues" dxfId="215" priority="406"/>
  </conditionalFormatting>
  <conditionalFormatting sqref="D996">
    <cfRule type="duplicateValues" dxfId="214" priority="407"/>
  </conditionalFormatting>
  <conditionalFormatting sqref="D997">
    <cfRule type="duplicateValues" dxfId="213" priority="408"/>
  </conditionalFormatting>
  <conditionalFormatting sqref="D998:D1000">
    <cfRule type="duplicateValues" dxfId="212" priority="409"/>
  </conditionalFormatting>
  <conditionalFormatting sqref="D1001:D1005">
    <cfRule type="duplicateValues" dxfId="211" priority="410"/>
  </conditionalFormatting>
  <conditionalFormatting sqref="D1006">
    <cfRule type="duplicateValues" dxfId="210" priority="411"/>
  </conditionalFormatting>
  <conditionalFormatting sqref="D1007">
    <cfRule type="duplicateValues" dxfId="209" priority="412"/>
  </conditionalFormatting>
  <conditionalFormatting sqref="D1008">
    <cfRule type="duplicateValues" dxfId="208" priority="413"/>
  </conditionalFormatting>
  <conditionalFormatting sqref="D1009">
    <cfRule type="duplicateValues" dxfId="207" priority="414"/>
  </conditionalFormatting>
  <conditionalFormatting sqref="D1010">
    <cfRule type="duplicateValues" dxfId="206" priority="415"/>
  </conditionalFormatting>
  <conditionalFormatting sqref="D1011">
    <cfRule type="duplicateValues" dxfId="205" priority="416"/>
  </conditionalFormatting>
  <conditionalFormatting sqref="D1012">
    <cfRule type="duplicateValues" dxfId="204" priority="417"/>
  </conditionalFormatting>
  <conditionalFormatting sqref="D1013">
    <cfRule type="duplicateValues" dxfId="203" priority="418"/>
  </conditionalFormatting>
  <conditionalFormatting sqref="D1014">
    <cfRule type="duplicateValues" dxfId="202" priority="419"/>
  </conditionalFormatting>
  <conditionalFormatting sqref="D1015">
    <cfRule type="duplicateValues" dxfId="201" priority="420"/>
  </conditionalFormatting>
  <conditionalFormatting sqref="D1016">
    <cfRule type="duplicateValues" dxfId="200" priority="421"/>
  </conditionalFormatting>
  <conditionalFormatting sqref="D1017">
    <cfRule type="duplicateValues" dxfId="199" priority="422"/>
  </conditionalFormatting>
  <conditionalFormatting sqref="D1018">
    <cfRule type="duplicateValues" dxfId="198" priority="423"/>
  </conditionalFormatting>
  <conditionalFormatting sqref="D1019">
    <cfRule type="duplicateValues" dxfId="197" priority="424"/>
  </conditionalFormatting>
  <conditionalFormatting sqref="D1020">
    <cfRule type="duplicateValues" dxfId="196" priority="425"/>
  </conditionalFormatting>
  <conditionalFormatting sqref="D1021">
    <cfRule type="duplicateValues" dxfId="195" priority="426"/>
  </conditionalFormatting>
  <conditionalFormatting sqref="D1022">
    <cfRule type="duplicateValues" dxfId="194" priority="427"/>
  </conditionalFormatting>
  <conditionalFormatting sqref="D1023">
    <cfRule type="duplicateValues" dxfId="193" priority="428"/>
  </conditionalFormatting>
  <conditionalFormatting sqref="D1024">
    <cfRule type="duplicateValues" dxfId="192" priority="429"/>
  </conditionalFormatting>
  <conditionalFormatting sqref="D1025">
    <cfRule type="duplicateValues" dxfId="191" priority="430"/>
  </conditionalFormatting>
  <conditionalFormatting sqref="D1026">
    <cfRule type="duplicateValues" dxfId="190" priority="431"/>
  </conditionalFormatting>
  <conditionalFormatting sqref="D1027">
    <cfRule type="duplicateValues" dxfId="189" priority="432"/>
  </conditionalFormatting>
  <conditionalFormatting sqref="D1028">
    <cfRule type="duplicateValues" dxfId="188" priority="433"/>
  </conditionalFormatting>
  <conditionalFormatting sqref="D1029">
    <cfRule type="duplicateValues" dxfId="187" priority="434"/>
  </conditionalFormatting>
  <conditionalFormatting sqref="D1030">
    <cfRule type="duplicateValues" dxfId="186" priority="435"/>
  </conditionalFormatting>
  <conditionalFormatting sqref="D1031">
    <cfRule type="duplicateValues" dxfId="185" priority="436"/>
  </conditionalFormatting>
  <conditionalFormatting sqref="D1032">
    <cfRule type="duplicateValues" dxfId="184" priority="437"/>
  </conditionalFormatting>
  <conditionalFormatting sqref="D1033">
    <cfRule type="duplicateValues" dxfId="183" priority="438"/>
  </conditionalFormatting>
  <conditionalFormatting sqref="D1034">
    <cfRule type="duplicateValues" dxfId="182" priority="439"/>
  </conditionalFormatting>
  <conditionalFormatting sqref="D1035">
    <cfRule type="duplicateValues" dxfId="181" priority="440"/>
  </conditionalFormatting>
  <conditionalFormatting sqref="D1036">
    <cfRule type="duplicateValues" dxfId="180" priority="441"/>
  </conditionalFormatting>
  <conditionalFormatting sqref="D1037">
    <cfRule type="duplicateValues" dxfId="179" priority="442"/>
  </conditionalFormatting>
  <conditionalFormatting sqref="D1038">
    <cfRule type="duplicateValues" dxfId="178" priority="443"/>
  </conditionalFormatting>
  <conditionalFormatting sqref="D1039">
    <cfRule type="duplicateValues" dxfId="177" priority="444"/>
  </conditionalFormatting>
  <conditionalFormatting sqref="D1040">
    <cfRule type="duplicateValues" dxfId="176" priority="445"/>
  </conditionalFormatting>
  <conditionalFormatting sqref="D1041">
    <cfRule type="duplicateValues" dxfId="175" priority="446"/>
  </conditionalFormatting>
  <conditionalFormatting sqref="D1042">
    <cfRule type="duplicateValues" dxfId="174" priority="447"/>
  </conditionalFormatting>
  <conditionalFormatting sqref="D1043">
    <cfRule type="duplicateValues" dxfId="173" priority="448"/>
  </conditionalFormatting>
  <conditionalFormatting sqref="D1044">
    <cfRule type="duplicateValues" dxfId="172" priority="449"/>
  </conditionalFormatting>
  <conditionalFormatting sqref="D1045">
    <cfRule type="duplicateValues" dxfId="171" priority="450"/>
  </conditionalFormatting>
  <conditionalFormatting sqref="D1046">
    <cfRule type="duplicateValues" dxfId="170" priority="451"/>
  </conditionalFormatting>
  <conditionalFormatting sqref="D1047">
    <cfRule type="duplicateValues" dxfId="169" priority="452"/>
  </conditionalFormatting>
  <conditionalFormatting sqref="D1048">
    <cfRule type="duplicateValues" dxfId="168" priority="453"/>
  </conditionalFormatting>
  <conditionalFormatting sqref="D1049">
    <cfRule type="duplicateValues" dxfId="167" priority="454"/>
  </conditionalFormatting>
  <conditionalFormatting sqref="D1050">
    <cfRule type="duplicateValues" dxfId="166" priority="455"/>
  </conditionalFormatting>
  <conditionalFormatting sqref="D1051">
    <cfRule type="duplicateValues" dxfId="165" priority="456"/>
  </conditionalFormatting>
  <conditionalFormatting sqref="D1052">
    <cfRule type="duplicateValues" dxfId="164" priority="457"/>
  </conditionalFormatting>
  <conditionalFormatting sqref="D1053">
    <cfRule type="duplicateValues" dxfId="163" priority="458"/>
  </conditionalFormatting>
  <conditionalFormatting sqref="D1054">
    <cfRule type="duplicateValues" dxfId="162" priority="459"/>
  </conditionalFormatting>
  <conditionalFormatting sqref="D1055">
    <cfRule type="duplicateValues" dxfId="161" priority="460"/>
  </conditionalFormatting>
  <conditionalFormatting sqref="D1056">
    <cfRule type="duplicateValues" dxfId="160" priority="461"/>
  </conditionalFormatting>
  <conditionalFormatting sqref="D1057">
    <cfRule type="duplicateValues" dxfId="159" priority="462"/>
  </conditionalFormatting>
  <conditionalFormatting sqref="D1058">
    <cfRule type="duplicateValues" dxfId="158" priority="463"/>
  </conditionalFormatting>
  <conditionalFormatting sqref="D1059">
    <cfRule type="duplicateValues" dxfId="157" priority="464"/>
  </conditionalFormatting>
  <conditionalFormatting sqref="D1062">
    <cfRule type="duplicateValues" dxfId="156" priority="465"/>
  </conditionalFormatting>
  <conditionalFormatting sqref="D1063:D1068">
    <cfRule type="duplicateValues" dxfId="155" priority="466"/>
  </conditionalFormatting>
  <conditionalFormatting sqref="D1069">
    <cfRule type="duplicateValues" dxfId="154" priority="467"/>
  </conditionalFormatting>
  <conditionalFormatting sqref="D1071">
    <cfRule type="duplicateValues" dxfId="153" priority="468"/>
  </conditionalFormatting>
  <conditionalFormatting sqref="D1072:D1083">
    <cfRule type="duplicateValues" dxfId="152" priority="469"/>
  </conditionalFormatting>
  <conditionalFormatting sqref="D1084">
    <cfRule type="duplicateValues" dxfId="151" priority="470"/>
  </conditionalFormatting>
  <conditionalFormatting sqref="D1085">
    <cfRule type="duplicateValues" dxfId="150" priority="471"/>
  </conditionalFormatting>
  <conditionalFormatting sqref="D1086">
    <cfRule type="duplicateValues" dxfId="149" priority="472"/>
  </conditionalFormatting>
  <conditionalFormatting sqref="D1087">
    <cfRule type="duplicateValues" dxfId="148" priority="473"/>
  </conditionalFormatting>
  <conditionalFormatting sqref="D1088">
    <cfRule type="duplicateValues" dxfId="147" priority="474"/>
  </conditionalFormatting>
  <conditionalFormatting sqref="D1089">
    <cfRule type="duplicateValues" dxfId="146" priority="475"/>
  </conditionalFormatting>
  <conditionalFormatting sqref="D1091">
    <cfRule type="duplicateValues" dxfId="145" priority="476"/>
  </conditionalFormatting>
  <conditionalFormatting sqref="D1092">
    <cfRule type="duplicateValues" dxfId="144" priority="477"/>
  </conditionalFormatting>
  <conditionalFormatting sqref="D1093">
    <cfRule type="duplicateValues" dxfId="143" priority="478"/>
  </conditionalFormatting>
  <conditionalFormatting sqref="D1094">
    <cfRule type="duplicateValues" dxfId="142" priority="479"/>
  </conditionalFormatting>
  <conditionalFormatting sqref="D1095">
    <cfRule type="duplicateValues" dxfId="141" priority="480"/>
  </conditionalFormatting>
  <conditionalFormatting sqref="D1096">
    <cfRule type="duplicateValues" dxfId="140" priority="481"/>
  </conditionalFormatting>
  <conditionalFormatting sqref="D1097">
    <cfRule type="duplicateValues" dxfId="139" priority="482"/>
  </conditionalFormatting>
  <conditionalFormatting sqref="D1098">
    <cfRule type="duplicateValues" dxfId="138" priority="483"/>
  </conditionalFormatting>
  <conditionalFormatting sqref="D1099">
    <cfRule type="duplicateValues" dxfId="137" priority="484"/>
  </conditionalFormatting>
  <conditionalFormatting sqref="D1100">
    <cfRule type="duplicateValues" dxfId="136" priority="485"/>
  </conditionalFormatting>
  <conditionalFormatting sqref="D1101">
    <cfRule type="duplicateValues" dxfId="135" priority="486"/>
  </conditionalFormatting>
  <conditionalFormatting sqref="D1102">
    <cfRule type="duplicateValues" dxfId="134" priority="487"/>
  </conditionalFormatting>
  <conditionalFormatting sqref="D1103">
    <cfRule type="duplicateValues" dxfId="133" priority="488"/>
  </conditionalFormatting>
  <conditionalFormatting sqref="D1104">
    <cfRule type="duplicateValues" dxfId="132" priority="489"/>
  </conditionalFormatting>
  <conditionalFormatting sqref="D1105">
    <cfRule type="duplicateValues" dxfId="131" priority="490"/>
  </conditionalFormatting>
  <conditionalFormatting sqref="D1106">
    <cfRule type="duplicateValues" dxfId="130" priority="491"/>
  </conditionalFormatting>
  <conditionalFormatting sqref="D1107">
    <cfRule type="duplicateValues" dxfId="129" priority="492"/>
  </conditionalFormatting>
  <conditionalFormatting sqref="D1108">
    <cfRule type="duplicateValues" dxfId="128" priority="493"/>
  </conditionalFormatting>
  <conditionalFormatting sqref="D1109">
    <cfRule type="duplicateValues" dxfId="127" priority="494"/>
  </conditionalFormatting>
  <conditionalFormatting sqref="D1110">
    <cfRule type="duplicateValues" dxfId="126" priority="495"/>
  </conditionalFormatting>
  <conditionalFormatting sqref="D1112">
    <cfRule type="duplicateValues" dxfId="125" priority="496"/>
  </conditionalFormatting>
  <conditionalFormatting sqref="D1113">
    <cfRule type="duplicateValues" dxfId="124" priority="497"/>
  </conditionalFormatting>
  <conditionalFormatting sqref="D1111">
    <cfRule type="duplicateValues" dxfId="123" priority="498"/>
  </conditionalFormatting>
  <conditionalFormatting sqref="D1114">
    <cfRule type="duplicateValues" dxfId="122" priority="499"/>
  </conditionalFormatting>
  <conditionalFormatting sqref="D1115">
    <cfRule type="duplicateValues" dxfId="121" priority="500"/>
  </conditionalFormatting>
  <conditionalFormatting sqref="D1116">
    <cfRule type="duplicateValues" dxfId="120" priority="501"/>
  </conditionalFormatting>
  <conditionalFormatting sqref="D1117">
    <cfRule type="duplicateValues" dxfId="119" priority="502"/>
  </conditionalFormatting>
  <conditionalFormatting sqref="D1118">
    <cfRule type="duplicateValues" dxfId="118" priority="503"/>
  </conditionalFormatting>
  <conditionalFormatting sqref="D1119">
    <cfRule type="duplicateValues" dxfId="117" priority="504"/>
  </conditionalFormatting>
  <conditionalFormatting sqref="D1120">
    <cfRule type="duplicateValues" dxfId="116" priority="505"/>
  </conditionalFormatting>
  <conditionalFormatting sqref="D1121">
    <cfRule type="duplicateValues" dxfId="115" priority="506"/>
  </conditionalFormatting>
  <conditionalFormatting sqref="D1122">
    <cfRule type="duplicateValues" dxfId="114" priority="507"/>
  </conditionalFormatting>
  <conditionalFormatting sqref="D1123">
    <cfRule type="duplicateValues" dxfId="113" priority="508"/>
  </conditionalFormatting>
  <conditionalFormatting sqref="D1124">
    <cfRule type="duplicateValues" dxfId="112" priority="509"/>
  </conditionalFormatting>
  <conditionalFormatting sqref="D1125">
    <cfRule type="duplicateValues" dxfId="111" priority="510"/>
  </conditionalFormatting>
  <conditionalFormatting sqref="D1126">
    <cfRule type="duplicateValues" dxfId="110" priority="511"/>
  </conditionalFormatting>
  <conditionalFormatting sqref="D1127">
    <cfRule type="duplicateValues" dxfId="109" priority="512"/>
  </conditionalFormatting>
  <conditionalFormatting sqref="D1128">
    <cfRule type="duplicateValues" dxfId="108" priority="513"/>
  </conditionalFormatting>
  <conditionalFormatting sqref="D1129">
    <cfRule type="duplicateValues" dxfId="107" priority="514"/>
  </conditionalFormatting>
  <conditionalFormatting sqref="D459:D471">
    <cfRule type="duplicateValues" dxfId="106" priority="515"/>
    <cfRule type="duplicateValues" dxfId="105" priority="516"/>
  </conditionalFormatting>
  <conditionalFormatting sqref="D1132:D1136">
    <cfRule type="duplicateValues" dxfId="104" priority="517"/>
  </conditionalFormatting>
  <conditionalFormatting sqref="D1137:D1140">
    <cfRule type="duplicateValues" dxfId="103" priority="518"/>
  </conditionalFormatting>
  <conditionalFormatting sqref="D1146">
    <cfRule type="duplicateValues" dxfId="102" priority="88"/>
  </conditionalFormatting>
  <conditionalFormatting sqref="D1146">
    <cfRule type="duplicateValues" dxfId="101" priority="89"/>
  </conditionalFormatting>
  <conditionalFormatting sqref="D1146">
    <cfRule type="duplicateValues" dxfId="100" priority="90"/>
  </conditionalFormatting>
  <conditionalFormatting sqref="D1146">
    <cfRule type="duplicateValues" dxfId="99" priority="91"/>
  </conditionalFormatting>
  <conditionalFormatting sqref="D1146">
    <cfRule type="duplicateValues" dxfId="98" priority="92"/>
  </conditionalFormatting>
  <conditionalFormatting sqref="D1147">
    <cfRule type="duplicateValues" dxfId="97" priority="83"/>
  </conditionalFormatting>
  <conditionalFormatting sqref="D1147">
    <cfRule type="duplicateValues" dxfId="96" priority="84"/>
  </conditionalFormatting>
  <conditionalFormatting sqref="D1147">
    <cfRule type="duplicateValues" dxfId="95" priority="85"/>
  </conditionalFormatting>
  <conditionalFormatting sqref="D1147">
    <cfRule type="duplicateValues" dxfId="94" priority="86"/>
  </conditionalFormatting>
  <conditionalFormatting sqref="D1147">
    <cfRule type="duplicateValues" dxfId="93" priority="87"/>
  </conditionalFormatting>
  <conditionalFormatting sqref="D1148">
    <cfRule type="duplicateValues" dxfId="92" priority="78"/>
  </conditionalFormatting>
  <conditionalFormatting sqref="D1148">
    <cfRule type="duplicateValues" dxfId="91" priority="79"/>
  </conditionalFormatting>
  <conditionalFormatting sqref="D1148">
    <cfRule type="duplicateValues" dxfId="90" priority="80"/>
  </conditionalFormatting>
  <conditionalFormatting sqref="D1148">
    <cfRule type="duplicateValues" dxfId="89" priority="81"/>
  </conditionalFormatting>
  <conditionalFormatting sqref="D1148">
    <cfRule type="duplicateValues" dxfId="88" priority="82"/>
  </conditionalFormatting>
  <conditionalFormatting sqref="D1149">
    <cfRule type="duplicateValues" dxfId="87" priority="73"/>
  </conditionalFormatting>
  <conditionalFormatting sqref="D1149">
    <cfRule type="duplicateValues" dxfId="86" priority="74"/>
  </conditionalFormatting>
  <conditionalFormatting sqref="D1149">
    <cfRule type="duplicateValues" dxfId="85" priority="75"/>
  </conditionalFormatting>
  <conditionalFormatting sqref="D1149">
    <cfRule type="duplicateValues" dxfId="84" priority="76"/>
  </conditionalFormatting>
  <conditionalFormatting sqref="D1149">
    <cfRule type="duplicateValues" dxfId="83" priority="77"/>
  </conditionalFormatting>
  <conditionalFormatting sqref="D1150">
    <cfRule type="duplicateValues" dxfId="82" priority="68"/>
  </conditionalFormatting>
  <conditionalFormatting sqref="D1150">
    <cfRule type="duplicateValues" dxfId="81" priority="69"/>
  </conditionalFormatting>
  <conditionalFormatting sqref="D1150">
    <cfRule type="duplicateValues" dxfId="80" priority="70"/>
  </conditionalFormatting>
  <conditionalFormatting sqref="D1150">
    <cfRule type="duplicateValues" dxfId="79" priority="71"/>
  </conditionalFormatting>
  <conditionalFormatting sqref="D1150">
    <cfRule type="duplicateValues" dxfId="78" priority="72"/>
  </conditionalFormatting>
  <conditionalFormatting sqref="D1151">
    <cfRule type="duplicateValues" dxfId="77" priority="63"/>
  </conditionalFormatting>
  <conditionalFormatting sqref="D1151">
    <cfRule type="duplicateValues" dxfId="76" priority="64"/>
  </conditionalFormatting>
  <conditionalFormatting sqref="D1151">
    <cfRule type="duplicateValues" dxfId="75" priority="65"/>
  </conditionalFormatting>
  <conditionalFormatting sqref="D1151">
    <cfRule type="duplicateValues" dxfId="74" priority="66"/>
  </conditionalFormatting>
  <conditionalFormatting sqref="D1151">
    <cfRule type="duplicateValues" dxfId="73" priority="67"/>
  </conditionalFormatting>
  <conditionalFormatting sqref="D1152">
    <cfRule type="duplicateValues" dxfId="72" priority="58"/>
  </conditionalFormatting>
  <conditionalFormatting sqref="D1152">
    <cfRule type="duplicateValues" dxfId="71" priority="59"/>
  </conditionalFormatting>
  <conditionalFormatting sqref="D1152">
    <cfRule type="duplicateValues" dxfId="70" priority="60"/>
  </conditionalFormatting>
  <conditionalFormatting sqref="D1152">
    <cfRule type="duplicateValues" dxfId="69" priority="61"/>
  </conditionalFormatting>
  <conditionalFormatting sqref="D1152">
    <cfRule type="duplicateValues" dxfId="68" priority="62"/>
  </conditionalFormatting>
  <conditionalFormatting sqref="D1153">
    <cfRule type="duplicateValues" dxfId="67" priority="53"/>
  </conditionalFormatting>
  <conditionalFormatting sqref="D1153">
    <cfRule type="duplicateValues" dxfId="66" priority="54"/>
  </conditionalFormatting>
  <conditionalFormatting sqref="D1153">
    <cfRule type="duplicateValues" dxfId="65" priority="55"/>
  </conditionalFormatting>
  <conditionalFormatting sqref="D1153">
    <cfRule type="duplicateValues" dxfId="64" priority="56"/>
  </conditionalFormatting>
  <conditionalFormatting sqref="D1153">
    <cfRule type="duplicateValues" dxfId="63" priority="57"/>
  </conditionalFormatting>
  <conditionalFormatting sqref="D1154">
    <cfRule type="duplicateValues" dxfId="62" priority="48"/>
  </conditionalFormatting>
  <conditionalFormatting sqref="D1154">
    <cfRule type="duplicateValues" dxfId="61" priority="49"/>
  </conditionalFormatting>
  <conditionalFormatting sqref="D1154">
    <cfRule type="duplicateValues" dxfId="60" priority="50"/>
  </conditionalFormatting>
  <conditionalFormatting sqref="D1154">
    <cfRule type="duplicateValues" dxfId="59" priority="51"/>
  </conditionalFormatting>
  <conditionalFormatting sqref="D1154">
    <cfRule type="duplicateValues" dxfId="58" priority="52"/>
  </conditionalFormatting>
  <conditionalFormatting sqref="D1155">
    <cfRule type="duplicateValues" dxfId="57" priority="46"/>
  </conditionalFormatting>
  <conditionalFormatting sqref="D1155">
    <cfRule type="duplicateValues" dxfId="56" priority="47"/>
  </conditionalFormatting>
  <conditionalFormatting sqref="D1156">
    <cfRule type="duplicateValues" dxfId="55" priority="44"/>
  </conditionalFormatting>
  <conditionalFormatting sqref="D1156">
    <cfRule type="duplicateValues" dxfId="54" priority="45"/>
  </conditionalFormatting>
  <conditionalFormatting sqref="D1157">
    <cfRule type="duplicateValues" dxfId="53" priority="43"/>
  </conditionalFormatting>
  <conditionalFormatting sqref="D1158">
    <cfRule type="duplicateValues" dxfId="52" priority="42"/>
  </conditionalFormatting>
  <conditionalFormatting sqref="D1157">
    <cfRule type="duplicateValues" dxfId="51" priority="519"/>
  </conditionalFormatting>
  <conditionalFormatting sqref="D1158">
    <cfRule type="duplicateValues" dxfId="50" priority="520"/>
  </conditionalFormatting>
  <conditionalFormatting sqref="AG1130">
    <cfRule type="duplicateValues" dxfId="49" priority="40"/>
  </conditionalFormatting>
  <conditionalFormatting sqref="AI1130">
    <cfRule type="duplicateValues" dxfId="48" priority="41"/>
  </conditionalFormatting>
  <conditionalFormatting sqref="D1131">
    <cfRule type="duplicateValues" dxfId="47" priority="521"/>
  </conditionalFormatting>
  <conditionalFormatting sqref="D1159">
    <cfRule type="duplicateValues" dxfId="46" priority="34"/>
    <cfRule type="duplicateValues" dxfId="45" priority="35"/>
    <cfRule type="duplicateValues" dxfId="44" priority="36"/>
    <cfRule type="duplicateValues" dxfId="43" priority="37"/>
  </conditionalFormatting>
  <conditionalFormatting sqref="D1159">
    <cfRule type="duplicateValues" dxfId="42" priority="38"/>
  </conditionalFormatting>
  <conditionalFormatting sqref="D1160">
    <cfRule type="duplicateValues" dxfId="41" priority="29"/>
  </conditionalFormatting>
  <conditionalFormatting sqref="D1160">
    <cfRule type="duplicateValues" dxfId="40" priority="30"/>
    <cfRule type="duplicateValues" dxfId="39" priority="31"/>
    <cfRule type="duplicateValues" dxfId="38" priority="32"/>
    <cfRule type="duplicateValues" dxfId="37" priority="33"/>
  </conditionalFormatting>
  <conditionalFormatting sqref="D1161">
    <cfRule type="duplicateValues" dxfId="36" priority="24"/>
  </conditionalFormatting>
  <conditionalFormatting sqref="D1161">
    <cfRule type="duplicateValues" dxfId="35" priority="25"/>
    <cfRule type="duplicateValues" dxfId="34" priority="26"/>
    <cfRule type="duplicateValues" dxfId="33" priority="27"/>
    <cfRule type="duplicateValues" dxfId="32" priority="28"/>
  </conditionalFormatting>
  <conditionalFormatting sqref="D1162:D1163">
    <cfRule type="duplicateValues" dxfId="31" priority="19"/>
  </conditionalFormatting>
  <conditionalFormatting sqref="D1162:D1163">
    <cfRule type="duplicateValues" dxfId="30" priority="20"/>
    <cfRule type="duplicateValues" dxfId="29" priority="21"/>
    <cfRule type="duplicateValues" dxfId="28" priority="22"/>
    <cfRule type="duplicateValues" dxfId="27" priority="23"/>
  </conditionalFormatting>
  <conditionalFormatting sqref="D1164">
    <cfRule type="duplicateValues" dxfId="26" priority="14"/>
  </conditionalFormatting>
  <conditionalFormatting sqref="D1164">
    <cfRule type="duplicateValues" dxfId="25" priority="15"/>
    <cfRule type="duplicateValues" dxfId="24" priority="16"/>
    <cfRule type="duplicateValues" dxfId="23" priority="17"/>
    <cfRule type="duplicateValues" dxfId="22" priority="18"/>
  </conditionalFormatting>
  <conditionalFormatting sqref="D1165:D1166">
    <cfRule type="duplicateValues" dxfId="21" priority="9"/>
  </conditionalFormatting>
  <conditionalFormatting sqref="D1165:D1166">
    <cfRule type="duplicateValues" dxfId="20" priority="10"/>
    <cfRule type="duplicateValues" dxfId="19" priority="11"/>
    <cfRule type="duplicateValues" dxfId="18" priority="12"/>
    <cfRule type="duplicateValues" dxfId="17" priority="13"/>
  </conditionalFormatting>
  <conditionalFormatting sqref="D1167">
    <cfRule type="duplicateValues" dxfId="16" priority="4"/>
  </conditionalFormatting>
  <conditionalFormatting sqref="D1167">
    <cfRule type="duplicateValues" dxfId="15" priority="5"/>
    <cfRule type="duplicateValues" dxfId="14" priority="6"/>
    <cfRule type="duplicateValues" dxfId="13" priority="7"/>
    <cfRule type="duplicateValues" dxfId="12" priority="8"/>
  </conditionalFormatting>
  <conditionalFormatting sqref="D1168">
    <cfRule type="duplicateValues" dxfId="11" priority="39"/>
  </conditionalFormatting>
  <conditionalFormatting sqref="D350:D354">
    <cfRule type="duplicateValues" dxfId="10" priority="546"/>
  </conditionalFormatting>
  <conditionalFormatting sqref="D336">
    <cfRule type="duplicateValues" dxfId="9" priority="3"/>
  </conditionalFormatting>
  <conditionalFormatting sqref="D1198">
    <cfRule type="duplicateValues" dxfId="8" priority="2"/>
  </conditionalFormatting>
  <conditionalFormatting sqref="D1199">
    <cfRule type="duplicateValues" dxfId="7" priority="1"/>
  </conditionalFormatting>
  <conditionalFormatting sqref="D237:D238 D205:D209 D202:D203 D211:D220 D222 D225:D226 D240:D241 D229:D234 D243:D254 D105:D134 D136:D149 D151:D169 D171:D197 D2:D103">
    <cfRule type="duplicateValues" dxfId="6" priority="547"/>
  </conditionalFormatting>
  <conditionalFormatting sqref="D237:D238 D211:D220 D222 D225:D226 D240:D241 D229:D234 D243:D254 D105:D134 D136:D149 D151:D169 D171:D209 D2:D103">
    <cfRule type="duplicateValues" dxfId="5" priority="548"/>
  </conditionalFormatting>
  <conditionalFormatting sqref="D237:D238 D222 D225:D226 D240:D241 D229:D234 D243:D254 D105:D134 D136:D149 D151:D169 D171:D220 D2:D103">
    <cfRule type="duplicateValues" dxfId="4" priority="549"/>
  </conditionalFormatting>
  <conditionalFormatting sqref="D307:D310 D236:D305 D171:D234 D2:D169">
    <cfRule type="duplicateValues" dxfId="3" priority="550"/>
  </conditionalFormatting>
  <conditionalFormatting sqref="D290:D296 D299 D301 D303:D305 D236:D288 D171:D234 D2:D169">
    <cfRule type="duplicateValues" dxfId="2" priority="551"/>
  </conditionalFormatting>
  <conditionalFormatting sqref="D1">
    <cfRule type="duplicateValues" dxfId="1" priority="552"/>
  </conditionalFormatting>
  <conditionalFormatting sqref="D171:D234 D358:D394 D236:D335 D337:D354 D1193 D1197 D1200:D1204 D1:D169">
    <cfRule type="duplicateValues" dxfId="0" priority="553"/>
  </conditionalFormatting>
  <hyperlinks>
    <hyperlink ref="AE84" r:id="rId1" xr:uid="{E5E3565F-2953-4AFC-86C6-A7DA6CC9855D}"/>
    <hyperlink ref="AE100" r:id="rId2" xr:uid="{FD1A229B-4242-4BA0-956A-3AAA4C9BD1A3}"/>
    <hyperlink ref="AE65" r:id="rId3" xr:uid="{B5C02B09-6BE2-477B-8FF9-5C1F99CB73DE}"/>
    <hyperlink ref="AE77" r:id="rId4" xr:uid="{457B62F4-9E8A-4D0E-8455-68260194FB94}"/>
    <hyperlink ref="AE78" r:id="rId5" xr:uid="{F52245C3-F345-4E07-B6E6-83977A053330}"/>
    <hyperlink ref="AE90" r:id="rId6" xr:uid="{B4766219-6535-4855-9134-18E7E106EEEF}"/>
    <hyperlink ref="AE297" r:id="rId7" xr:uid="{9370244D-6D19-4DA4-A481-66D89D378D3C}"/>
    <hyperlink ref="AE103" r:id="rId8" xr:uid="{0E0220F9-DB35-4015-BD72-4DF3116560F5}"/>
    <hyperlink ref="AE61" r:id="rId9" xr:uid="{F0D0D55D-EB27-47D7-B639-310941190902}"/>
    <hyperlink ref="AE95" r:id="rId10" xr:uid="{A24C03FF-4425-4747-9467-B15F7FBB73C5}"/>
    <hyperlink ref="AE51" r:id="rId11" xr:uid="{D133329E-479A-4C81-A86D-F7E1DE365A2A}"/>
    <hyperlink ref="AE105" r:id="rId12" xr:uid="{771FC434-2746-4F4A-A340-50E2570C14FD}"/>
    <hyperlink ref="AE55" r:id="rId13" xr:uid="{5F165AA0-03D7-46E8-827E-14712251926C}"/>
    <hyperlink ref="AE89" r:id="rId14" xr:uid="{68CAA5B1-7AA6-4F43-9A23-272FF785D06F}"/>
    <hyperlink ref="AE60" r:id="rId15" xr:uid="{B4DF37C9-D174-45AF-BB4A-61A834BD4F08}"/>
    <hyperlink ref="AE96" r:id="rId16" xr:uid="{C7C372E0-AFFC-444C-BA1F-C35F2B2B81CE}"/>
    <hyperlink ref="AE124" r:id="rId17" xr:uid="{588D8503-5DB2-48D7-837B-F9A63822BA4F}"/>
    <hyperlink ref="AE101" r:id="rId18" xr:uid="{BFD5B394-EF9E-41DD-AC89-CA0194A6B08F}"/>
    <hyperlink ref="AE107" r:id="rId19" xr:uid="{D81F61C7-C204-48D2-84D5-C16D5EAB4DFA}"/>
    <hyperlink ref="AE109" r:id="rId20" display="mailto:drreddyvj@gmail.com" xr:uid="{164C5161-324B-4531-B97B-75E7B1B0FB13}"/>
    <hyperlink ref="AE110" r:id="rId21" xr:uid="{3FC8C8D2-D0D1-405A-BBC4-E45A0564EC14}"/>
    <hyperlink ref="AE50" r:id="rId22" xr:uid="{88AE4E1A-5A0B-4BA5-9060-F2D05E3CD835}"/>
    <hyperlink ref="AE57" r:id="rId23" xr:uid="{33FFB6A4-A178-4D8B-9F04-E820F56C3823}"/>
    <hyperlink ref="AE58" r:id="rId24" xr:uid="{F81995F5-FF01-46C9-8F9B-AD949F70EDAC}"/>
    <hyperlink ref="AE63" r:id="rId25" xr:uid="{35E0FDC9-1E26-4A74-B1B6-033D6285548B}"/>
    <hyperlink ref="AE64" r:id="rId26" xr:uid="{BB5F92C0-9BD7-4089-A2E2-A8C69BA7756E}"/>
    <hyperlink ref="AE66" r:id="rId27" xr:uid="{4A4B89CD-0C77-48F2-B37D-A6BB40768D81}"/>
    <hyperlink ref="AE69" r:id="rId28" xr:uid="{B231F47C-9281-42A1-994E-8BD4741FF12C}"/>
    <hyperlink ref="AE87" r:id="rId29" xr:uid="{28C35004-DBFA-4F76-87A3-AB303983B198}"/>
    <hyperlink ref="AE102" r:id="rId30" xr:uid="{3734ED29-FA11-47BA-B13D-2D41A49F8A33}"/>
    <hyperlink ref="AE85" r:id="rId31" xr:uid="{CB42213F-055E-4CD4-B5DD-4238483B8199}"/>
    <hyperlink ref="AE261" r:id="rId32" xr:uid="{115321C1-1A07-40BC-815E-08F1005C9262}"/>
    <hyperlink ref="AE111" r:id="rId33" xr:uid="{BF7BC083-0B33-43D3-B58D-CB9D4E887A07}"/>
    <hyperlink ref="AE318" r:id="rId34" xr:uid="{845B5A45-412B-4AC2-9CB4-25AC2444CFE5}"/>
    <hyperlink ref="AE114" r:id="rId35" xr:uid="{2DE080B5-E64C-4770-80C0-214878BB512C}"/>
    <hyperlink ref="AE260" r:id="rId36" xr:uid="{65D8F0A5-DDD0-4A44-A898-DCC311ADA826}"/>
    <hyperlink ref="AE118" r:id="rId37" xr:uid="{0A735F99-8C15-4FCA-9E62-A8FEFEB634C0}"/>
    <hyperlink ref="AE119" r:id="rId38" xr:uid="{5CDF8B76-E9AC-4649-876A-54207BB2592A}"/>
    <hyperlink ref="AE122" r:id="rId39" display="mailto:samsonvpras@yahoo.com" xr:uid="{F9A7BB4B-713A-466E-A2A5-941BAF3483E7}"/>
    <hyperlink ref="AE59" r:id="rId40" xr:uid="{B5A6E356-C4BC-4218-A8FB-BE6EA10EF9D1}"/>
    <hyperlink ref="AE129" r:id="rId41" xr:uid="{FB6786A2-7CB6-483F-AF46-B85733A5B33A}"/>
    <hyperlink ref="AE130" r:id="rId42" xr:uid="{784FF664-71F4-44C0-B90E-A3760C698FFA}"/>
    <hyperlink ref="AE133" r:id="rId43" xr:uid="{DBAFE81F-D49A-430D-B120-5D9856D6E113}"/>
    <hyperlink ref="AE134" r:id="rId44" xr:uid="{8257750D-537C-4C1D-A04C-541142F27B57}"/>
    <hyperlink ref="AE137" r:id="rId45" xr:uid="{CB904BC6-806E-40B0-8128-EB9F21F01F15}"/>
    <hyperlink ref="AE138" r:id="rId46" xr:uid="{CF7C6B81-6075-4FEC-8DC6-C269B5BE0685}"/>
    <hyperlink ref="AE180" r:id="rId47" xr:uid="{8AF0A7B4-930D-46E5-BFF2-575974FD3E8E}"/>
    <hyperlink ref="AE142" r:id="rId48" xr:uid="{EA9D9124-4141-4F62-AFAF-31A6F8731CC8}"/>
    <hyperlink ref="AE143" r:id="rId49" xr:uid="{9BB34CC7-CE74-41CA-B6FE-183B247A70A0}"/>
    <hyperlink ref="AE144" r:id="rId50" xr:uid="{2C2DD949-E6BF-42D7-9CF2-AAF8955852B1}"/>
    <hyperlink ref="AE145" r:id="rId51" xr:uid="{98DFE4E7-227A-4C67-99FD-4D16CE7D703C}"/>
    <hyperlink ref="AE146" r:id="rId52" xr:uid="{B3BAC063-6F2E-4A25-88B5-E4340144B38F}"/>
    <hyperlink ref="AE148" r:id="rId53" xr:uid="{C2413F70-3EEE-4A23-83AF-DCEAA66C03CF}"/>
    <hyperlink ref="AE149" r:id="rId54" xr:uid="{FF449EA4-3577-46D9-9545-240224C9A6D9}"/>
    <hyperlink ref="AE188" r:id="rId55" xr:uid="{B2F490CC-BF2A-4F2B-B8B7-BDFFDCA3F35B}"/>
    <hyperlink ref="AE151" r:id="rId56" xr:uid="{DF28F18D-28DD-4DA7-9830-78F9C62622C1}"/>
    <hyperlink ref="AE152" r:id="rId57" xr:uid="{C5A4449A-D835-4DA4-BF1E-E8C87CE82515}"/>
    <hyperlink ref="AE231" r:id="rId58" xr:uid="{9DCE59C3-19F6-4F6A-BA65-E0E8EDEDF41A}"/>
    <hyperlink ref="AE154" r:id="rId59" xr:uid="{6FDCA521-09BD-422C-BC83-43C9A5823F87}"/>
    <hyperlink ref="AE155" r:id="rId60" xr:uid="{8C7C3481-830F-427A-AA34-DB77D73459EF}"/>
    <hyperlink ref="AE156" r:id="rId61" xr:uid="{39C2C38E-5263-4323-BACA-BAB82BA4A399}"/>
    <hyperlink ref="AE157" r:id="rId62" xr:uid="{47541982-E157-47D6-B21D-330A4242EDC6}"/>
    <hyperlink ref="AE158" r:id="rId63" xr:uid="{18E06472-37E7-45D1-AA55-4F37437A3C10}"/>
    <hyperlink ref="AE159" r:id="rId64" xr:uid="{7B71AC8D-37BB-4E5B-9AF9-45423244CF8F}"/>
    <hyperlink ref="AE160" r:id="rId65" xr:uid="{32AC38E7-B0B1-4C29-BA48-1322A8F5F9BC}"/>
    <hyperlink ref="AE161" r:id="rId66" xr:uid="{6F427252-482E-4DC4-B2F5-5B8D83F4C4A1}"/>
    <hyperlink ref="AE162" r:id="rId67" xr:uid="{890B2A3C-DB0A-42C9-BD4B-5E9FED676245}"/>
    <hyperlink ref="AE163" r:id="rId68" xr:uid="{E2925D73-B7AF-42D1-B53F-16F1B0526EF9}"/>
    <hyperlink ref="AE164" r:id="rId69" xr:uid="{23B6884C-4A43-4981-95DF-E898A3378050}"/>
    <hyperlink ref="AE80" r:id="rId70" xr:uid="{740FBC98-D3DD-4855-9643-766BC2BD7EA9}"/>
    <hyperlink ref="AE167" r:id="rId71" xr:uid="{168EE031-182D-47FE-8806-BE188EF5B23F}"/>
    <hyperlink ref="AE112" r:id="rId72" xr:uid="{56D1B13A-D649-46CF-A1D2-44CB94B409F9}"/>
    <hyperlink ref="AE140" r:id="rId73" xr:uid="{F42A9C4B-42F6-4051-997F-C338C5F8D2D7}"/>
    <hyperlink ref="AE171" r:id="rId74" xr:uid="{8EE9A61E-3906-4E8A-A620-24EEFD8C834A}"/>
    <hyperlink ref="AE172" r:id="rId75" xr:uid="{3A3EDB29-CEF4-47C8-AF5A-8494C01DD63A}"/>
    <hyperlink ref="AE173" r:id="rId76" xr:uid="{C977D586-6438-4092-88B8-A2C7749EE328}"/>
    <hyperlink ref="AE174" r:id="rId77" xr:uid="{E210FEE6-EA76-411D-B535-DEE84FDEFEA8}"/>
    <hyperlink ref="AE175" r:id="rId78" xr:uid="{C61B2A80-0023-484C-AC7F-C02BEBA22467}"/>
    <hyperlink ref="AE176" r:id="rId79" xr:uid="{CC0C8DE2-E337-40BF-AF3C-5E2ECD032D5B}"/>
    <hyperlink ref="AE177" r:id="rId80" xr:uid="{077D9CED-4D17-4B99-B560-4941A476D588}"/>
    <hyperlink ref="AE165" r:id="rId81" xr:uid="{F7A59DE8-A060-4BFE-822B-E7FC75ACC361}"/>
    <hyperlink ref="AE181" r:id="rId82" xr:uid="{86078566-BB8A-46F5-B9B2-60A46C7873E3}"/>
    <hyperlink ref="AE183" r:id="rId83" xr:uid="{B44A8587-7D47-4561-A74E-FDF3CF111189}"/>
    <hyperlink ref="AE182" r:id="rId84" xr:uid="{08C3E27E-9C84-4F42-868E-F550F06D6FF1}"/>
    <hyperlink ref="AE184" r:id="rId85" xr:uid="{C710AF73-4F0A-47B2-A7D9-E9CEB6443443}"/>
    <hyperlink ref="AE185" r:id="rId86" xr:uid="{8AD21DF0-F5D3-4094-BFC1-64F2B5243168}"/>
    <hyperlink ref="AE186" r:id="rId87" xr:uid="{6C56BCD5-61CA-448E-A222-2A487090F50C}"/>
    <hyperlink ref="AE189" r:id="rId88" xr:uid="{F9691D15-FAE1-43F2-A77B-4955F3CCA81F}"/>
    <hyperlink ref="AE190" r:id="rId89" xr:uid="{E364E3E1-24ED-4AD6-80E7-E0717920E055}"/>
    <hyperlink ref="AE306" r:id="rId90" xr:uid="{914C55DA-FFEF-4CB6-AFAD-860E43361D18}"/>
    <hyperlink ref="AE398" r:id="rId91" xr:uid="{9EAE0F66-C8E4-462D-817B-905FE8934715}"/>
    <hyperlink ref="AE153" r:id="rId92" xr:uid="{9C6A5400-96ED-4468-A532-DF14B94CE6B6}"/>
    <hyperlink ref="AE192" r:id="rId93" xr:uid="{EB1C594F-97D7-4C75-9685-1C6B2B4A64F1}"/>
    <hyperlink ref="AE196" r:id="rId94" xr:uid="{48B7742E-0B61-4BF4-B2DA-5DAA9CA84104}"/>
    <hyperlink ref="AE193" r:id="rId95" xr:uid="{90530700-00C5-494E-83FE-59C4D0C6D81D}"/>
    <hyperlink ref="AE194" r:id="rId96" xr:uid="{B037E2EF-0EC5-4927-8C87-F75710970DDA}"/>
    <hyperlink ref="AE195" r:id="rId97" xr:uid="{621C9D78-BC61-4E63-A38F-CF226F49DF47}"/>
    <hyperlink ref="AE197" r:id="rId98" xr:uid="{9671FD9F-99A4-4B3A-973D-49047088D93E}"/>
    <hyperlink ref="AE187" r:id="rId99" xr:uid="{7679CA77-0B4F-4E69-B295-4C0B6506113C}"/>
    <hyperlink ref="AE115" r:id="rId100" xr:uid="{F3F9C452-5BB1-46EB-A1E1-34297274A236}"/>
    <hyperlink ref="AE199" r:id="rId101" xr:uid="{6C8DE1E5-3E77-4A02-9F59-33ABAA4890DA}"/>
    <hyperlink ref="AE198" r:id="rId102" xr:uid="{BBD49B90-A329-4FF3-A359-0BD283CFCDE5}"/>
    <hyperlink ref="AE202" r:id="rId103" xr:uid="{282372F9-00B7-4E94-8F64-877594F8E215}"/>
    <hyperlink ref="AE203" r:id="rId104" xr:uid="{5B6D17FF-1D13-4491-B543-377B7F16C366}"/>
    <hyperlink ref="AE204" r:id="rId105" xr:uid="{44054968-4C60-43F9-82EA-B74E153B1785}"/>
    <hyperlink ref="AE205" r:id="rId106" display="mailto:seemakazmi@gmail.com" xr:uid="{CA162858-4852-4547-9C64-44E0C92CC3E6}"/>
    <hyperlink ref="AE206" r:id="rId107" xr:uid="{D5C68F60-D975-4114-9964-A3FE6DD0766C}"/>
    <hyperlink ref="AE201" r:id="rId108" xr:uid="{3B7B918A-D8EC-410C-B66A-7AE21D9A97CD}"/>
    <hyperlink ref="AE209" r:id="rId109" xr:uid="{82A09D42-890C-4B1C-BF35-53889F09CFF2}"/>
    <hyperlink ref="AE211" r:id="rId110" xr:uid="{304ED9F6-9719-46DC-BD21-E1183F07C569}"/>
    <hyperlink ref="AE210" r:id="rId111" xr:uid="{5F1B5634-E0BA-41F3-8ADF-C887A2962AC7}"/>
    <hyperlink ref="AE208" r:id="rId112" xr:uid="{88F998A6-B823-4A8B-9F13-71E6EF8C15BB}"/>
    <hyperlink ref="AE214" r:id="rId113" xr:uid="{62F5CE1F-88C9-4C70-BADE-8C3BAE9A01FF}"/>
    <hyperlink ref="AE213" r:id="rId114" xr:uid="{966C03DC-D140-4043-BD46-0A2CEDAEFBBA}"/>
    <hyperlink ref="AE216" r:id="rId115" xr:uid="{7C0166E4-130F-4576-A510-2F5C774D7B6C}"/>
    <hyperlink ref="AE217" r:id="rId116" xr:uid="{EC112DBB-A8DC-4EFC-B367-7EDD600DEBB3}"/>
    <hyperlink ref="AE215" r:id="rId117" xr:uid="{6A11FCBA-E68C-4032-8EC5-59B9D78DADB3}"/>
    <hyperlink ref="AE127" r:id="rId118" xr:uid="{00469EFF-81C0-4C5A-896D-3F6D7FAC3942}"/>
    <hyperlink ref="AE62" r:id="rId119" xr:uid="{9776C449-2287-48F4-A098-A130F7945A1C}"/>
    <hyperlink ref="AE86" r:id="rId120" xr:uid="{80DF2A2B-1584-4A35-80DA-2824A0A9AF85}"/>
    <hyperlink ref="AE218" r:id="rId121" xr:uid="{D77C3337-4335-4936-A6D5-722645DE022B}"/>
    <hyperlink ref="AE219" r:id="rId122" xr:uid="{5DD11397-0771-4752-86E5-89C3806B4325}"/>
    <hyperlink ref="AE220" r:id="rId123" xr:uid="{1EFDDF67-47A7-4DEF-B37F-41C668471BE3}"/>
    <hyperlink ref="AE224" r:id="rId124" xr:uid="{C1FC7EFD-8486-4310-9054-41CA1C477FF2}"/>
    <hyperlink ref="AE223" r:id="rId125" xr:uid="{0F86ED76-EA5A-4278-A4CD-6E1FB021CE3E}"/>
    <hyperlink ref="AE226" r:id="rId126" xr:uid="{EA0BB684-AF90-443F-89F7-8169F253C120}"/>
    <hyperlink ref="AE400" r:id="rId127" xr:uid="{D633D9D9-B49F-49E3-9F92-6A76A3C1B0DD}"/>
    <hyperlink ref="AE229" r:id="rId128" xr:uid="{783D7553-3066-46DF-A029-CEF998005E45}"/>
    <hyperlink ref="AE221" r:id="rId129" xr:uid="{B0154DA1-55CD-4B8F-AF84-074A47AF342B}"/>
    <hyperlink ref="AE233" r:id="rId130" xr:uid="{F54A5E9F-2C2A-4025-A196-0701677F47D9}"/>
    <hyperlink ref="AE228" r:id="rId131" xr:uid="{DBE6827C-BE2E-4819-BD37-A128052FFB3B}"/>
    <hyperlink ref="AE222" r:id="rId132" xr:uid="{64044ED2-D372-45DA-A31E-58817B436001}"/>
    <hyperlink ref="AE191" r:id="rId133" xr:uid="{AEBC75B3-6551-4BA7-A9DE-EBCEDDE07F75}"/>
    <hyperlink ref="AE200" r:id="rId134" xr:uid="{EC3D4668-CA5C-4905-9C33-7E1A42AF19F5}"/>
    <hyperlink ref="AE232" r:id="rId135" xr:uid="{26930DC4-C526-4510-821B-688921FA7967}"/>
    <hyperlink ref="AE234" r:id="rId136" xr:uid="{7E36B633-9677-4ADE-A422-410989209F75}"/>
    <hyperlink ref="AE235" r:id="rId137" xr:uid="{30ACD214-0421-47C7-9573-1236C2703544}"/>
    <hyperlink ref="AE236" r:id="rId138" xr:uid="{48CB5AD1-5BA2-43D0-AEE6-9FA24D3F6500}"/>
    <hyperlink ref="AE93" r:id="rId139" xr:uid="{5FC34F3F-DE97-4EDC-B25C-8090BD26EE97}"/>
    <hyperlink ref="AE238" r:id="rId140" xr:uid="{268ADAD6-1E38-43B4-88C5-B27B0FC4B029}"/>
    <hyperlink ref="AE241" r:id="rId141" xr:uid="{4C5304B7-C8F3-40D6-B091-9A71A54744D4}"/>
    <hyperlink ref="AE401" r:id="rId142" xr:uid="{BC27C0FB-3CA9-4430-A788-5B732479A50F}"/>
    <hyperlink ref="AE243" r:id="rId143" xr:uid="{55CE27C6-5D6E-4451-AE35-C2ED1219A0E8}"/>
    <hyperlink ref="W242" r:id="rId144" display="https://smvmch.ac.in/" xr:uid="{9622B6E9-D3CE-4FA1-A752-653A4A179083}"/>
    <hyperlink ref="AE242" r:id="rId145" xr:uid="{EF626E9E-252C-4E5F-B66F-8AE8854CA816}"/>
    <hyperlink ref="AE139" r:id="rId146" xr:uid="{6D99EBDC-7373-4445-9553-86AA06CC6ACA}"/>
    <hyperlink ref="AE245" r:id="rId147" xr:uid="{EBB449B3-B796-4A90-BA9A-8B45A0B0F0EC}"/>
    <hyperlink ref="AE246" r:id="rId148" xr:uid="{1C9CC6FD-AB45-480A-B9EF-0DBBFD191B7B}"/>
    <hyperlink ref="AE402" r:id="rId149" xr:uid="{D553F645-EDE6-42E6-B0E9-E73624499233}"/>
    <hyperlink ref="AE251" r:id="rId150" xr:uid="{A331B7C3-9B08-4668-A37E-6E2AD3C5AB4D}"/>
    <hyperlink ref="AE252" r:id="rId151" xr:uid="{7790D223-DABA-4C53-85BD-30A78B79D36E}"/>
    <hyperlink ref="AE247" r:id="rId152" xr:uid="{1C5E7983-8A7D-410B-878D-61A34EC61B14}"/>
    <hyperlink ref="AE250" r:id="rId153" xr:uid="{16885193-F686-40F7-9467-24CC5E8EA92A}"/>
    <hyperlink ref="AE253" r:id="rId154" xr:uid="{5DE39EB4-D586-4A07-95D7-0EE125F2D2FA}"/>
    <hyperlink ref="AE249" r:id="rId155" xr:uid="{C5D4F232-08D0-4684-A5F4-79929A0B520C}"/>
    <hyperlink ref="AE254" r:id="rId156" xr:uid="{7F1C67F9-6A31-4A4A-BF6C-53694AD2A5C5}"/>
    <hyperlink ref="AE54" r:id="rId157" xr:uid="{7293E3F5-5BB0-4F77-8326-4C8B1330BFCC}"/>
    <hyperlink ref="AE255" r:id="rId158" xr:uid="{985D3E4A-B867-432B-B59C-D3510132B852}"/>
    <hyperlink ref="AE257" r:id="rId159" xr:uid="{E9DA883D-6A6D-464F-82F6-70655D33094A}"/>
    <hyperlink ref="AE258" r:id="rId160" xr:uid="{B1C4529A-A3A8-41F1-AC2A-29CAB7DF09DB}"/>
    <hyperlink ref="AE259" r:id="rId161" xr:uid="{D22D3132-85ED-4999-B36B-5B7BB92C9E94}"/>
    <hyperlink ref="AE262" r:id="rId162" xr:uid="{C0D13FF1-CD9D-419E-8F9B-93FF5261693A}"/>
    <hyperlink ref="AE263" r:id="rId163" xr:uid="{BD311E1D-163C-4E6D-9474-6C07AE08D9E0}"/>
    <hyperlink ref="AE265" r:id="rId164" xr:uid="{85A2DC34-4C23-45CA-953B-1CC402F097C1}"/>
    <hyperlink ref="AE264" r:id="rId165" xr:uid="{37EE0E74-B6EC-43F1-883F-7283F7D668C8}"/>
    <hyperlink ref="AE97" r:id="rId166" xr:uid="{5537B1EF-5DAE-4376-8F73-0F48A006AFEA}"/>
    <hyperlink ref="AE267" r:id="rId167" xr:uid="{F6221E5D-B632-4233-B153-ADE5F4A6F8C2}"/>
    <hyperlink ref="AE268" r:id="rId168" xr:uid="{2669DD2E-B668-4411-8FA3-574EE201EE2B}"/>
    <hyperlink ref="AE113" r:id="rId169" xr:uid="{A40ECEC0-6F3C-46E4-BF28-E43D123A2FFB}"/>
    <hyperlink ref="AE141" r:id="rId170" xr:uid="{BF5476B6-BA40-4B84-8489-A44F8456DA04}"/>
    <hyperlink ref="AE178" r:id="rId171" xr:uid="{C1E3E421-382D-4FE0-86AD-994A0F06E002}"/>
    <hyperlink ref="AE270" r:id="rId172" xr:uid="{3A8CD507-DD3F-44D6-9FB0-0C2DCFCDD6C1}"/>
    <hyperlink ref="AE271" r:id="rId173" xr:uid="{A62BFCD9-6AA6-4E15-A3ED-DEE594EB06BF}"/>
    <hyperlink ref="AE403" r:id="rId174" xr:uid="{227F7514-110B-4838-BA34-C48E14A2301E}"/>
    <hyperlink ref="AE404" r:id="rId175" xr:uid="{D6282930-DBC7-419C-8233-CB1CA9F47196}"/>
    <hyperlink ref="AE273" r:id="rId176" xr:uid="{0DE1E2F1-0ECC-4455-A43F-E92796AC4EB2}"/>
    <hyperlink ref="AE276" r:id="rId177" xr:uid="{A85914BD-0A4E-41EB-8D67-7471EEAD4D20}"/>
    <hyperlink ref="AE405" r:id="rId178" xr:uid="{78447B86-069F-4AA6-B62C-16048CBEF8A6}"/>
    <hyperlink ref="AE272" r:id="rId179" xr:uid="{01E2A4E2-8C87-4793-897C-62B8CA9C6080}"/>
    <hyperlink ref="AE277" r:id="rId180" xr:uid="{50903694-5618-4AC0-B12C-8822390F32EB}"/>
    <hyperlink ref="AE269" r:id="rId181" xr:uid="{8339D12E-9EBE-4DDF-91AE-6EB6EDCC45CB}"/>
    <hyperlink ref="AE280" r:id="rId182" xr:uid="{1636483C-31E2-487D-ADFE-FE5C2F2DCEA9}"/>
    <hyperlink ref="AE281" r:id="rId183" xr:uid="{21CE196D-5E66-4C65-984C-9F42C764F25C}"/>
    <hyperlink ref="AE283" r:id="rId184" xr:uid="{736757DE-E5E8-4CA3-99E2-6A41A27F70FB}"/>
    <hyperlink ref="AE286" r:id="rId185" xr:uid="{7D8954A7-16E5-46BB-9416-D4B923E4B859}"/>
    <hyperlink ref="AE290" r:id="rId186" xr:uid="{4B9E22EE-0354-49FE-A7F5-DA041671F6C2}"/>
    <hyperlink ref="AE284" r:id="rId187" xr:uid="{9FAB93D8-A6FD-4E7D-A833-F63CAECE1259}"/>
    <hyperlink ref="AE285" r:id="rId188" xr:uid="{A9EADBD6-4E94-4C5B-B445-683A432BEA97}"/>
    <hyperlink ref="AE287" r:id="rId189" xr:uid="{B8C33FE3-F9E8-47CD-99C4-CF0F06BDD447}"/>
    <hyperlink ref="AE288" r:id="rId190" xr:uid="{2B32CBB7-2346-42B0-8EFC-75CC10115CD9}"/>
    <hyperlink ref="AE292" r:id="rId191" xr:uid="{1758F255-4457-4132-BC4B-3840767A1AC5}"/>
    <hyperlink ref="AE289" r:id="rId192" xr:uid="{D1831116-0DEB-42CA-A706-3D416E4744AD}"/>
    <hyperlink ref="AE291" r:id="rId193" xr:uid="{44412C8A-BED5-4E4A-A24C-07B956BB48C3}"/>
    <hyperlink ref="AE293" r:id="rId194" xr:uid="{171AAF76-6F61-4178-8296-7AE88838BAC4}"/>
    <hyperlink ref="AE295" r:id="rId195" xr:uid="{BEEC118D-D68C-4E83-809C-7FACC3EAE301}"/>
    <hyperlink ref="AE407" r:id="rId196" xr:uid="{A9E5C9E1-4E9E-4BDB-A0AA-0769F6B66955}"/>
    <hyperlink ref="AE408" r:id="rId197" xr:uid="{323DDDD2-C570-4718-8051-75F68353C02A}"/>
    <hyperlink ref="AE296" r:id="rId198" xr:uid="{ED46BF16-CBF1-44BF-A60E-887244CA20AA}"/>
    <hyperlink ref="AE299" r:id="rId199" xr:uid="{399AAD6B-5D4D-42D4-80BE-B7C3E5DD0FFF}"/>
    <hyperlink ref="AE305" r:id="rId200" xr:uid="{1CF6C28D-9255-4826-BE1A-782A1571B749}"/>
    <hyperlink ref="AE409" r:id="rId201" xr:uid="{3453B5AF-51A6-4904-9197-D19180402064}"/>
    <hyperlink ref="AE303" r:id="rId202" xr:uid="{DABBDCD3-3DF2-40DE-AFC0-52965B364AF4}"/>
    <hyperlink ref="AE302" r:id="rId203" xr:uid="{59BCBF30-FCA4-493A-8030-C896C1B7C291}"/>
    <hyperlink ref="AE307" r:id="rId204" xr:uid="{F2A579EC-CF0B-44A9-8F54-7583FFF334DA}"/>
    <hyperlink ref="AE301" r:id="rId205" xr:uid="{DA915895-81DB-46E6-AA05-25D92CDA1AC9}"/>
    <hyperlink ref="AE304" r:id="rId206" xr:uid="{578E79E0-C707-493C-BF9D-E6FE10FA1FF1}"/>
    <hyperlink ref="AE411" r:id="rId207" xr:uid="{C06021E0-1BBD-48C4-AEDC-D9C69D95D778}"/>
    <hyperlink ref="AE309" r:id="rId208" xr:uid="{A8D2F8DC-3F29-4032-8E77-5A236A087CBE}"/>
    <hyperlink ref="AE312" r:id="rId209" xr:uid="{8B7EE9D6-F612-4572-BCE5-93C50C2C1FF3}"/>
    <hyperlink ref="AE313" r:id="rId210" xr:uid="{5209D3A6-D93E-4139-8BB1-35FDE336A665}"/>
    <hyperlink ref="AE308" r:id="rId211" xr:uid="{626321E2-A98F-416F-894A-F660E6C133C8}"/>
    <hyperlink ref="AE412" r:id="rId212" xr:uid="{E83794B5-6C27-4246-B13A-2019F772F7B4}"/>
    <hyperlink ref="AE314" r:id="rId213" xr:uid="{1D70E42B-4B4C-47E3-A241-242F44A60C63}"/>
    <hyperlink ref="AE315" r:id="rId214" xr:uid="{C90FA6E5-1A0B-45B9-8BFD-0B079AABCA0C}"/>
    <hyperlink ref="AE316" r:id="rId215" xr:uid="{3D1406CB-D8EE-4A07-8A30-86A11918D0F5}"/>
    <hyperlink ref="AE317" r:id="rId216" xr:uid="{6522434D-8B98-405B-A516-1C609876B534}"/>
    <hyperlink ref="AE413" r:id="rId217" xr:uid="{A9C3E473-66A9-4E66-8C7E-0A88BA926F48}"/>
    <hyperlink ref="AE311" r:id="rId218" xr:uid="{A9B37227-A821-4422-BD89-FE09065CBCE6}"/>
    <hyperlink ref="AE414" r:id="rId219" xr:uid="{9A4D3278-2527-4D48-9AEC-E8844226ACC4}"/>
    <hyperlink ref="AE321" r:id="rId220" xr:uid="{DF20F834-09F3-4D82-A203-33CC27242D91}"/>
    <hyperlink ref="AE319" r:id="rId221" xr:uid="{E0EB7350-B473-47F8-953D-5307225F53E3}"/>
    <hyperlink ref="AE415" r:id="rId222" xr:uid="{24F85A62-AAF6-49E0-AC4B-259C60ECA19E}"/>
    <hyperlink ref="AE322" r:id="rId223" xr:uid="{8CD43DFF-75C9-4348-8EB3-C6ECF85AC0AD}"/>
    <hyperlink ref="AE326" r:id="rId224" xr:uid="{72B50AD6-82EB-405A-9F15-659C36E9EF81}"/>
    <hyperlink ref="AE324" r:id="rId225" xr:uid="{AEBFFB41-CDE3-4289-A529-EC4B4CC34469}"/>
    <hyperlink ref="AE328" r:id="rId226" xr:uid="{3D59F37D-DC03-4D45-932A-3C7AFE135EC9}"/>
    <hyperlink ref="AE329" r:id="rId227" xr:uid="{EC618AB6-826B-4E20-8673-0B3B103202D4}"/>
    <hyperlink ref="AE330" r:id="rId228" xr:uid="{2B519870-C1BE-4689-9E29-3A7B7BC29EBE}"/>
    <hyperlink ref="AE331" r:id="rId229" xr:uid="{05121E68-ED9B-4A0C-8AB8-DCA4B36D5393}"/>
    <hyperlink ref="AE327" r:id="rId230" tooltip="mailto:nspalmopathologyndh@gmail.com" display="mailto:nspalmopathologyndh@gmail.com" xr:uid="{1CF6E55B-DFDE-44AD-B9D7-80ABD87CF510}"/>
    <hyperlink ref="AE333" r:id="rId231" xr:uid="{22AE8F82-AE9B-4AED-B4B2-38D4D6745EE5}"/>
    <hyperlink ref="AE325" r:id="rId232" xr:uid="{70C67D38-F368-400D-8C43-2A9DE3842DD9}"/>
    <hyperlink ref="AE335" r:id="rId233" xr:uid="{2098EA8C-DEB5-4A6B-BF9B-2F30D12238C1}"/>
    <hyperlink ref="AE337" r:id="rId234" xr:uid="{E7BD1732-FC49-4A66-AFB6-9E280421578E}"/>
    <hyperlink ref="AE342" r:id="rId235" xr:uid="{F60C8D11-CBA4-40E5-864E-547AD4B2DB4C}"/>
    <hyperlink ref="AE345" r:id="rId236" xr:uid="{80E4AF5E-D8BF-4F5B-B7C7-6A4B8EF2A3EF}"/>
    <hyperlink ref="AE346" r:id="rId237" xr:uid="{A441F705-6C09-401D-9708-3CB5190E9B09}"/>
    <hyperlink ref="AE351" r:id="rId238" xr:uid="{2A7E76AF-1C83-486B-9AB6-0520CEE5F7DE}"/>
    <hyperlink ref="AE350" r:id="rId239" xr:uid="{47A6E7A8-24BD-4C1E-B47D-FD1E21878155}"/>
    <hyperlink ref="AE354" r:id="rId240" xr:uid="{F1FC69AD-F282-4BE6-B140-D1E2CF3129C3}"/>
    <hyperlink ref="AE360" r:id="rId241" xr:uid="{AFD5414B-DE74-437D-8DAA-370011F1B300}"/>
    <hyperlink ref="AE362" r:id="rId242" xr:uid="{B7A77A7A-7C4A-40EB-B6D8-4E9B7407D4A5}"/>
    <hyperlink ref="AE365" r:id="rId243" xr:uid="{000A112F-21DC-4584-AC10-2D460853237D}"/>
    <hyperlink ref="AE366" r:id="rId244" xr:uid="{E27B99C6-244E-4D3A-B639-C50CF1227E71}"/>
    <hyperlink ref="AE355" r:id="rId245" xr:uid="{336D3C19-0580-481B-8DC5-BDE89251D91C}"/>
    <hyperlink ref="AE357" r:id="rId246" xr:uid="{88460C82-BC5F-4595-8CE4-3AF4B2519352}"/>
    <hyperlink ref="AE359" r:id="rId247" xr:uid="{F9F97494-9B9D-4507-A860-C6B5C19B6574}"/>
    <hyperlink ref="AE363" r:id="rId248" xr:uid="{FDE976FB-A20F-4345-B394-558ED4FEEEEC}"/>
    <hyperlink ref="AE364" r:id="rId249" xr:uid="{66E2D8B2-3C47-4F5B-9CD1-03D85F11CF60}"/>
    <hyperlink ref="AE367" r:id="rId250" xr:uid="{C3E9EDA2-C30C-440F-9914-FF4AC2926389}"/>
    <hyperlink ref="AE361" r:id="rId251" xr:uid="{BE8B45B0-F861-42D6-9369-3C11E6DE1FE5}"/>
    <hyperlink ref="AE368" r:id="rId252" xr:uid="{ACF7D45E-DC72-42AA-B650-0813AB88AE49}"/>
    <hyperlink ref="AE369" r:id="rId253" xr:uid="{A7478704-5A4F-45E4-A666-36380F593CA4}"/>
    <hyperlink ref="AE371" r:id="rId254" xr:uid="{71066CE9-6BF8-421A-BBAB-4EA1140DB804}"/>
    <hyperlink ref="AE396" r:id="rId255" xr:uid="{BE289613-B97A-427B-BD37-A7C09CE351DE}"/>
    <hyperlink ref="AE43" r:id="rId256" tooltip="mailto:shrutiv1008@gmail.com" display="mailto:shrutiv1008@gmail.com" xr:uid="{715CA8EC-5168-4CAC-B70E-33DE09A3F542}"/>
    <hyperlink ref="AE44" r:id="rId257" xr:uid="{D87A3D63-588C-45B4-97D6-F18510F7B967}"/>
    <hyperlink ref="AH44" r:id="rId258" display="https://ifsc.bankifsccode.com/BARB0KOTHRU" xr:uid="{6547741E-6CDA-4B25-AF7C-0A08CCDDBA2B}"/>
    <hyperlink ref="AE46" r:id="rId259" xr:uid="{3AD2B17E-0EE7-44E7-8302-3935B7116B1D}"/>
    <hyperlink ref="AE47" r:id="rId260" xr:uid="{DAB19E65-9D48-4CD4-A2D9-1ABE3F4207DE}"/>
    <hyperlink ref="AE48" r:id="rId261" xr:uid="{D82B32DC-CB5E-4A5E-8218-414AB497E80D}"/>
    <hyperlink ref="AE2" r:id="rId262" xr:uid="{DB29C0CF-1C41-43F0-A575-C920DE47D52A}"/>
    <hyperlink ref="AE3" r:id="rId263" xr:uid="{F80CF786-519F-43F2-9BBD-87BE0A82F63E}"/>
    <hyperlink ref="AE275" r:id="rId264" xr:uid="{B5ABCDE8-711A-4847-86D8-AAE19E160D9B}"/>
    <hyperlink ref="AE372" r:id="rId265" xr:uid="{86C470C9-F4C9-45DA-94BD-D7FC2FB550AE}"/>
    <hyperlink ref="AE373" r:id="rId266" xr:uid="{3EA9E130-A1E0-4AA8-A995-AD9C69502A59}"/>
    <hyperlink ref="AE399" r:id="rId267" xr:uid="{FAFD64D4-7724-4EFE-A1BF-5612DA8E79D5}"/>
    <hyperlink ref="AE592" r:id="rId268" xr:uid="{19BC1023-D1ED-46AB-BBC9-B09EF17AA69A}"/>
    <hyperlink ref="AE582" r:id="rId269" display="samyuktha_89@yahoo.com" xr:uid="{85726DCA-8D16-4127-9F61-631AE49AB37A}"/>
    <hyperlink ref="AE470" r:id="rId270" xr:uid="{87BCC4CB-FB1B-4F71-ACAB-C9C5F2357C36}"/>
    <hyperlink ref="AE458" r:id="rId271" xr:uid="{2F1677B8-F5A0-4CE1-BB24-F838363F31BC}"/>
    <hyperlink ref="AE466" r:id="rId272" xr:uid="{8CB265D9-8E1B-4098-AD63-A02DD18EDE8E}"/>
    <hyperlink ref="AE669" r:id="rId273" xr:uid="{26A8F610-F111-43D3-9523-97E7BF295CFE}"/>
    <hyperlink ref="AE417" r:id="rId274" xr:uid="{4B410CFA-F0F2-4DFE-9413-0A1B3A594E31}"/>
    <hyperlink ref="AE479" r:id="rId275" xr:uid="{2E81A175-2558-4E94-8AA7-775F94ABB533}"/>
    <hyperlink ref="AE573" r:id="rId276" xr:uid="{0F55AEFD-B2E3-44DA-A9E8-1DDC67A8D1CC}"/>
    <hyperlink ref="AE576" r:id="rId277" xr:uid="{8D5D4533-0C44-42DC-B8B2-5A7C943269DC}"/>
    <hyperlink ref="AE510" r:id="rId278" xr:uid="{B269B029-8A5D-4BD0-A2D8-D27E884315FD}"/>
    <hyperlink ref="AE500" r:id="rId279" xr:uid="{E4833A79-7A85-4BE2-89EC-FC8C56FE39B2}"/>
    <hyperlink ref="AE491" r:id="rId280" xr:uid="{0A07A0C4-94F6-436F-9C38-EEEF142AA59E}"/>
    <hyperlink ref="AE718" r:id="rId281" xr:uid="{4359F536-8861-4487-9DB6-DA740D09BB50}"/>
    <hyperlink ref="AE501" r:id="rId282" xr:uid="{2C460072-2312-41A4-9A0A-67365A971680}"/>
    <hyperlink ref="AE477" r:id="rId283" xr:uid="{1DBCA1E1-7A30-41E0-B7E3-5FA067AE9BEE}"/>
    <hyperlink ref="AE586" r:id="rId284" xr:uid="{6F32009A-FDC0-4C6B-B587-78151C02750B}"/>
    <hyperlink ref="AE727" r:id="rId285" xr:uid="{7126F8D8-F416-4EEC-A4D1-81983E7C179B}"/>
    <hyperlink ref="AE738" r:id="rId286" xr:uid="{8E54FE4B-E476-4E70-B1A2-807A9349F091}"/>
    <hyperlink ref="AD649" r:id="rId287" xr:uid="{9C5EAE4A-07A6-432B-BDD0-2F9B1ECA8615}"/>
    <hyperlink ref="AE677" r:id="rId288" xr:uid="{EDB317D5-560B-4C29-8756-EC3857162BC8}"/>
    <hyperlink ref="AE532" r:id="rId289" xr:uid="{FCF19A94-8F3F-4677-9071-3F4A6FCBD99E}"/>
    <hyperlink ref="AE638" r:id="rId290" xr:uid="{4AFCF154-CD5A-46AE-9EC8-1BE7AA579ED0}"/>
    <hyperlink ref="AE655" r:id="rId291" xr:uid="{2F60C619-5498-469E-A4BC-BB2B985306D8}"/>
    <hyperlink ref="AE455" r:id="rId292" xr:uid="{A0F3C020-E2E9-4CE4-BFFC-8EDEAB90E5F7}"/>
    <hyperlink ref="AE605" r:id="rId293" xr:uid="{5D88DD7D-F5F5-4061-A961-F2343C806B4D}"/>
    <hyperlink ref="AE667" r:id="rId294" xr:uid="{382524E7-C058-4831-9011-4156298AA6B2}"/>
    <hyperlink ref="AE516" r:id="rId295" xr:uid="{8ABA5F17-73EE-4850-8AA5-9B61587DA9DC}"/>
    <hyperlink ref="AE717" r:id="rId296" xr:uid="{CA2E2118-D391-44E0-91DD-0DC26E658136}"/>
    <hyperlink ref="AE601" r:id="rId297" xr:uid="{A2CA0370-430A-4193-AFC7-61084CCEC18D}"/>
    <hyperlink ref="AE502" r:id="rId298" xr:uid="{CC4C89A6-0811-4503-B62A-B6542059332A}"/>
    <hyperlink ref="AE688" r:id="rId299" xr:uid="{E3F1CA23-921B-4184-8247-F9C7E3B870EB}"/>
    <hyperlink ref="AE756" r:id="rId300" xr:uid="{7D775AEE-7AB7-4C21-9316-ECEA9DE83CDA}"/>
    <hyperlink ref="AE783" r:id="rId301" xr:uid="{587E4D61-63F3-4FEE-884B-485E45DA9E64}"/>
    <hyperlink ref="AE533" r:id="rId302" xr:uid="{49B45D47-FCCA-4FAE-ADAC-ED71E569330F}"/>
    <hyperlink ref="AE676" r:id="rId303" xr:uid="{8091170F-63D5-4F6F-9112-C9DAE9A5D3C8}"/>
    <hyperlink ref="AE684" r:id="rId304" xr:uid="{4BEF2561-48C9-4936-9884-1E828BD938B6}"/>
    <hyperlink ref="AE686" r:id="rId305" xr:uid="{18E899C8-F1F5-4997-9A93-4E8FCD1E7EE9}"/>
    <hyperlink ref="AE712" r:id="rId306" xr:uid="{2218F0F4-662F-44B7-953F-4933DF56B36C}"/>
    <hyperlink ref="AE505" r:id="rId307" xr:uid="{A2B27CB8-DF76-4B15-BF46-CEA3EDD64380}"/>
    <hyperlink ref="AE710" r:id="rId308" xr:uid="{52B6EF7B-9E1D-4473-996E-4F7694CB8865}"/>
    <hyperlink ref="AE714" r:id="rId309" xr:uid="{EC3ED805-B6B8-4D79-A8A5-A9BD15A46D81}"/>
    <hyperlink ref="AE668" r:id="rId310" xr:uid="{7B77815F-0DA8-4291-B386-E04BF6D03753}"/>
    <hyperlink ref="AE679" r:id="rId311" xr:uid="{CFE6D8EB-BF56-4BA6-9314-05258311061E}"/>
    <hyperlink ref="AE685" r:id="rId312" xr:uid="{2EBE91F9-3E07-490B-8CBE-84250DD4427A}"/>
    <hyperlink ref="AE739" r:id="rId313" xr:uid="{91C5BE20-5904-4E6D-AEA5-EAB5CF9533B0}"/>
    <hyperlink ref="AE645" r:id="rId314" xr:uid="{3BC4C40D-6559-4FD8-9D5A-63FA262BC44B}"/>
    <hyperlink ref="AE795" r:id="rId315" xr:uid="{02071108-B9AA-41BC-B54B-7798C8E2A2AB}"/>
    <hyperlink ref="AE723" r:id="rId316" xr:uid="{957FF3D2-1821-4C47-8B36-32EE185C1DD0}"/>
    <hyperlink ref="AE730" r:id="rId317" xr:uid="{57E19503-B86C-4A9D-9D02-4ECC030554AB}"/>
    <hyperlink ref="AE672" r:id="rId318" xr:uid="{0C487672-F9EB-444E-9048-58D5892FCBED}"/>
    <hyperlink ref="AE683" r:id="rId319" xr:uid="{83398B0B-29EE-4523-A8F5-B6AD13C54C91}"/>
    <hyperlink ref="AE426" r:id="rId320" xr:uid="{977FD4B3-90B0-461A-BD9A-885DABF6E9C9}"/>
    <hyperlink ref="AE644" r:id="rId321" xr:uid="{FA3B55C1-FEBE-4501-85C9-04E1F41E4711}"/>
    <hyperlink ref="AE728" r:id="rId322" xr:uid="{C5F2F8B3-AE6C-48AF-B282-3A6D89250EBE}"/>
    <hyperlink ref="AE724" r:id="rId323" xr:uid="{EA41B34C-B1AB-417A-B0B0-098325756ACE}"/>
    <hyperlink ref="AE744" r:id="rId324" xr:uid="{5ACEA943-0E22-47BD-95A4-EB93CE06E629}"/>
    <hyperlink ref="AE682" r:id="rId325" xr:uid="{19805D70-84AE-4C36-8630-7D052E1845E6}"/>
    <hyperlink ref="AE766" r:id="rId326" xr:uid="{121497B3-5603-43C7-AC21-FFF93D5DE900}"/>
    <hyperlink ref="AE549" r:id="rId327" xr:uid="{0FECBC6C-7B73-46B9-B7C9-861CA4439A41}"/>
    <hyperlink ref="AE478" r:id="rId328" xr:uid="{3E88568E-88D3-4B10-B2BE-9B0A5347AC5C}"/>
    <hyperlink ref="AE450" r:id="rId329" xr:uid="{39C47EDE-4F3B-4053-9DDE-208881A92343}"/>
    <hyperlink ref="AE750" r:id="rId330" xr:uid="{06B4AE50-A86A-41C0-85FC-DF75BD1629D0}"/>
    <hyperlink ref="AE809" r:id="rId331" xr:uid="{EDDB43FB-6D1A-4228-8A85-1F066ECD389A}"/>
    <hyperlink ref="AE810" r:id="rId332" xr:uid="{1F108E92-AE26-4DD5-8A79-9801C1B1826B}"/>
    <hyperlink ref="AE681" r:id="rId333" xr:uid="{F0D47D97-2DAE-4E3D-A052-13ADB2366B30}"/>
    <hyperlink ref="AE736" r:id="rId334" xr:uid="{614DDEE5-6DB7-44E1-BC99-D413AFE97152}"/>
    <hyperlink ref="AE778" r:id="rId335" xr:uid="{5548E4AE-E66E-4FA6-81D7-EA288BD8F18D}"/>
    <hyperlink ref="AE746" r:id="rId336" xr:uid="{8B237741-C344-489C-AEE5-8D59A8B7EFD5}"/>
    <hyperlink ref="AE543" r:id="rId337" xr:uid="{6BACCC6D-DBF6-4B9B-BB4C-ACFB504B3A63}"/>
    <hyperlink ref="AE665" r:id="rId338" xr:uid="{31AC8604-C210-4E04-879B-BC0349C76C40}"/>
    <hyperlink ref="AE823" r:id="rId339" display="mailto:hadassahjohn@gmail.com" xr:uid="{5BEDC630-9A28-493D-B542-DB4BF4DE2886}"/>
    <hyperlink ref="AE709" r:id="rId340" xr:uid="{ADD6145E-15F3-4D3F-8157-6541B31ABF20}"/>
    <hyperlink ref="AE713" r:id="rId341" xr:uid="{F82A1355-427B-41F8-855D-05F33983FE17}"/>
    <hyperlink ref="AE708" r:id="rId342" xr:uid="{D1FB49FA-91B7-4D13-951A-CF201FC07973}"/>
    <hyperlink ref="AE719" r:id="rId343" xr:uid="{105D40D2-7278-4EF7-998C-F21AEEB131A9}"/>
    <hyperlink ref="AE773" r:id="rId344" xr:uid="{C395BA83-3080-4FC9-90CE-2EE534D7DE13}"/>
    <hyperlink ref="AE828" r:id="rId345" display="mailto:amithshuklag@gmail.com" xr:uid="{D8BB3866-3611-4589-BB61-901FF4EA0FAC}"/>
    <hyperlink ref="AE423" r:id="rId346" xr:uid="{1567A3F2-861D-4613-BC00-5BAC469E03DE}"/>
    <hyperlink ref="AE733" r:id="rId347" xr:uid="{5D33E69D-B12A-46F9-A918-D71AA0A4C7C3}"/>
    <hyperlink ref="AE741" r:id="rId348" xr:uid="{188B76EA-F156-4F44-B8CE-B8E8C561DE74}"/>
    <hyperlink ref="AE776" r:id="rId349" xr:uid="{D24A520B-DBB9-4AC8-81FF-0F5E724A534F}"/>
    <hyperlink ref="AE797" r:id="rId350" xr:uid="{5E9B1E79-EDDE-48B9-AC0E-B109BF74F76E}"/>
    <hyperlink ref="AE796" r:id="rId351" xr:uid="{0D2251BC-77CE-4E33-9495-C93368018BBA}"/>
    <hyperlink ref="AE845" r:id="rId352" xr:uid="{DE8A5630-D4E1-4884-AD7B-B8FDB2D131F3}"/>
    <hyperlink ref="AE706" r:id="rId353" xr:uid="{C64EC7D4-068C-4D2C-9815-C55315EF4A58}"/>
    <hyperlink ref="AE705" r:id="rId354" xr:uid="{4981AFFA-0B15-40E3-8226-26CFCB8D07A1}"/>
    <hyperlink ref="AE699" r:id="rId355" xr:uid="{334E8117-52D7-413E-9AC1-AC2EA632420F}"/>
    <hyperlink ref="AE519" r:id="rId356" xr:uid="{7F2B2070-C3B8-4616-AAF4-6D0A68A9CDC7}"/>
    <hyperlink ref="AE703" r:id="rId357" xr:uid="{887D9021-327A-46EB-8ABC-BB23F967FCD3}"/>
    <hyperlink ref="AE711" r:id="rId358" display="mailto:srikalasanangula@gmail.com" xr:uid="{F6D1CB94-622E-43BC-861E-38255A75BE54}"/>
    <hyperlink ref="AE829" r:id="rId359" display="mailto:drlovekesh_monga@yahoo.com" xr:uid="{6E1F27DD-0F94-4C3D-A18B-A5CF79A665E6}"/>
    <hyperlink ref="AE428" r:id="rId360" xr:uid="{A24059FA-54FA-422E-B3BC-5ECE93C07EA3}"/>
    <hyperlink ref="AE431" r:id="rId361" xr:uid="{446B4F5B-124E-49DE-B996-2FEDCB7203F0}"/>
    <hyperlink ref="AE512" r:id="rId362" xr:uid="{077C6A16-ACAB-46F3-9404-F10146E58541}"/>
    <hyperlink ref="AE513" r:id="rId363" xr:uid="{BC217279-79D9-4225-A50E-C7820E510B8C}"/>
    <hyperlink ref="AE641" r:id="rId364" xr:uid="{EF29731A-E721-454E-94C2-00BECDA9790B}"/>
    <hyperlink ref="AE642" r:id="rId365" xr:uid="{67B58E4E-9772-445C-B3F6-D809F53DF5D7}"/>
    <hyperlink ref="AE715" r:id="rId366" xr:uid="{B946D9B0-B0C7-4C12-8C7B-A89E6C357433}"/>
    <hyperlink ref="AE722" r:id="rId367" xr:uid="{365F84E3-9128-425B-8958-42344574E399}"/>
    <hyperlink ref="AE735" r:id="rId368" xr:uid="{569EBBFC-6B7B-4246-9EAD-0ADAFA8DAB96}"/>
    <hyperlink ref="AE726" r:id="rId369" xr:uid="{94C9A6EB-8F7F-4211-B001-FCFD06E7E563}"/>
    <hyperlink ref="AE731" r:id="rId370" display="tabibjawwad36@gmail.com" xr:uid="{3D39F638-5D80-431A-9B21-A9A3D818EA50}"/>
    <hyperlink ref="AE732" r:id="rId371" xr:uid="{9B27E5CA-BC6B-42A5-8D2A-3170178E92AD}"/>
    <hyperlink ref="AE734" r:id="rId372" xr:uid="{B456886D-A3F5-439A-AA0A-58F899777CBC}"/>
    <hyperlink ref="AE737" r:id="rId373" xr:uid="{22D0827D-4D52-404E-B1FB-4838B06C02F7}"/>
    <hyperlink ref="AE740" r:id="rId374" xr:uid="{16AA8D8A-8970-4282-9C62-285DBDB8742F}"/>
    <hyperlink ref="AE762" r:id="rId375" display="mailto:dr.roshikamaddeti@gmail.com" xr:uid="{A0C63D83-576E-4F1A-8B9E-E0EC69DBAFD0}"/>
    <hyperlink ref="AE768" r:id="rId376" xr:uid="{85AED269-67EC-4AA0-933B-F974A7CF7CB3}"/>
    <hyperlink ref="AE769" r:id="rId377" display="mailto:shaikkhuteja@gmail.com" xr:uid="{F7144E44-2859-4CC3-A40D-14B7C0C8391F}"/>
    <hyperlink ref="AE770" r:id="rId378" xr:uid="{AD9D5B8F-BEF1-4B26-BDC7-FFB7E5B05FA3}"/>
    <hyperlink ref="AE772" r:id="rId379" xr:uid="{BAF3D506-C483-4A26-B58B-05D0C61F201C}"/>
    <hyperlink ref="AE774" r:id="rId380" xr:uid="{39010EC6-CB21-40C9-A1DD-61C6354409D1}"/>
    <hyperlink ref="AE780" r:id="rId381" xr:uid="{9FA691BA-6BD0-4853-9680-41929E94AF68}"/>
    <hyperlink ref="AE798" r:id="rId382" xr:uid="{3C379E7C-BCE6-4892-8853-C637BD6D38D8}"/>
    <hyperlink ref="AE801" r:id="rId383" xr:uid="{595DCD0C-7CD6-47CF-AB83-28332836EFE8}"/>
    <hyperlink ref="AE802" r:id="rId384" xr:uid="{7E4EDBB6-98E4-43EA-92FF-41849A85AC4B}"/>
    <hyperlink ref="AE816" r:id="rId385" xr:uid="{6DC47B56-6F87-4BD7-A4A3-2F04BED311ED}"/>
    <hyperlink ref="AE826" r:id="rId386" display="mailto:drprararadiology@gmail.com" xr:uid="{82FBE20D-0B08-414D-A45C-FFE64400A960}"/>
    <hyperlink ref="AE857" r:id="rId387" xr:uid="{1C9A25D9-5C05-407F-82EB-33301E1A5D73}"/>
    <hyperlink ref="AE673" r:id="rId388" xr:uid="{10C47435-0831-48ED-B2EA-DAB327C32019}"/>
    <hyperlink ref="AE660" r:id="rId389" xr:uid="{8B820705-F475-47A2-9406-BB32CD0569C7}"/>
    <hyperlink ref="AE618" r:id="rId390" xr:uid="{8B5894BB-6660-4D58-8A5A-267B7611F461}"/>
    <hyperlink ref="AE886" r:id="rId391" xr:uid="{BFC0C734-A0E9-4F15-AC92-175A62C47918}"/>
    <hyperlink ref="AE437" r:id="rId392" xr:uid="{B98A919E-069A-43A6-BF86-942CF0755796}"/>
    <hyperlink ref="AE652" r:id="rId393" xr:uid="{62A1C9EC-4BC9-4FB9-B393-A3DDF2C65102}"/>
    <hyperlink ref="AE661" r:id="rId394" xr:uid="{2EF0D635-C3F9-4E02-BDB6-560C138B39D1}"/>
    <hyperlink ref="AE666" r:id="rId395" xr:uid="{8731F67A-4B13-42F0-9480-7D71FA268F61}"/>
    <hyperlink ref="AE704" r:id="rId396" xr:uid="{92BA71B6-FEFE-4560-8B20-25A564D121A2}"/>
    <hyperlink ref="AE707" r:id="rId397" xr:uid="{1E726A72-8853-498A-B8F3-8BEF69990EBA}"/>
    <hyperlink ref="AE743" r:id="rId398" xr:uid="{2496FA1B-BF6E-4819-A57B-BE7C9E5F503D}"/>
    <hyperlink ref="AE777" r:id="rId399" xr:uid="{726258EB-BE3D-435C-8E17-A085A9A8D5A5}"/>
    <hyperlink ref="AE803" r:id="rId400" xr:uid="{95D80D95-6277-48BC-B5D8-D9A17D6D8ACD}"/>
    <hyperlink ref="AE815" r:id="rId401" xr:uid="{95D30F93-0495-4917-8003-5087E2A853F6}"/>
    <hyperlink ref="AE830" r:id="rId402" display="mailto:awesali43@gmail.com" xr:uid="{84FC75F2-99EF-40C0-AE75-321AD0BD3DBF}"/>
    <hyperlink ref="AE846" r:id="rId403" xr:uid="{8274BA55-A9A9-49AE-9E63-E3204942B1C8}"/>
    <hyperlink ref="AE887" r:id="rId404" xr:uid="{59EE062A-353D-4AB1-8CEA-7065F34E8C34}"/>
    <hyperlink ref="AE580" r:id="rId405" xr:uid="{5F1309A5-8BF3-428F-9F9C-261CC1521C08}"/>
    <hyperlink ref="AE602" r:id="rId406" xr:uid="{7FF5C2C8-1CBD-4209-8CEC-8A2045ADB8E7}"/>
    <hyperlink ref="AE650" r:id="rId407" xr:uid="{2013822E-504C-4E0E-88CE-3929F23F12CE}"/>
    <hyperlink ref="AE689" r:id="rId408" xr:uid="{CC7837FD-EEC2-4B84-B539-756B9320B048}"/>
    <hyperlink ref="AE716" r:id="rId409" xr:uid="{C58DD368-0798-4505-9AED-574A89773811}"/>
    <hyperlink ref="AE721" r:id="rId410" xr:uid="{1A3154FE-9B30-4E10-96E9-0E25D87D928F}"/>
    <hyperlink ref="AE748" r:id="rId411" xr:uid="{A5E2E655-33E2-4497-931A-9301B3417727}"/>
    <hyperlink ref="AE754" r:id="rId412" xr:uid="{18F7A62A-D266-4FDB-BA81-8FFDF7CCC0C9}"/>
    <hyperlink ref="AE757" r:id="rId413" xr:uid="{C10D34FB-026A-4B16-AF1E-8C62554A84C6}"/>
    <hyperlink ref="AE786" r:id="rId414" xr:uid="{A870944A-868B-4645-8BAA-F05B71DEDDB3}"/>
    <hyperlink ref="AE790" r:id="rId415" xr:uid="{5EF7E143-61A8-49AE-A910-6EB8201D0A3A}"/>
    <hyperlink ref="AE807" r:id="rId416" xr:uid="{45975908-77D5-4DCA-9765-D1FA79B28EF4}"/>
    <hyperlink ref="AE812" r:id="rId417" xr:uid="{FE9510B1-0C3B-422F-9AF0-144D4E742C0A}"/>
    <hyperlink ref="AE821" r:id="rId418" display="mailto:sampathiraov@gmail.com" xr:uid="{39B43406-5D4A-49E4-9B9A-D1987DE9511B}"/>
    <hyperlink ref="AE834" r:id="rId419" xr:uid="{49505EED-D5E7-4DAF-BA9F-596A43FAA97B}"/>
    <hyperlink ref="AE865" r:id="rId420" xr:uid="{F47F2A61-E86B-4F9F-BE3A-C9BD6A31D494}"/>
    <hyperlink ref="AE874" r:id="rId421" xr:uid="{E08A267A-256A-40B5-B06B-052F529B2171}"/>
    <hyperlink ref="AE901" r:id="rId422" xr:uid="{BB4A9CBA-B6F0-433D-8FD6-9164D345EB9D}"/>
    <hyperlink ref="AE915" r:id="rId423" xr:uid="{6AED5174-DFCC-4EAC-ADE6-CD97F1E2E88C}"/>
    <hyperlink ref="AE916" r:id="rId424" xr:uid="{FF6FB731-9A60-450E-B59F-2DA85149D3D8}"/>
    <hyperlink ref="AE926" r:id="rId425" xr:uid="{68536D6C-6559-480D-A4FF-7FC360DB1510}"/>
    <hyperlink ref="AE927" r:id="rId426" xr:uid="{E2F0FEC0-9542-4E42-B54A-76A98562F271}"/>
    <hyperlink ref="AE929" r:id="rId427" xr:uid="{047FB9DB-D76B-48DE-96AC-E5E51E7E9C63}"/>
    <hyperlink ref="AE911" r:id="rId428" xr:uid="{EB797AEB-577F-410E-8523-C74AF6F827A0}"/>
    <hyperlink ref="AE944" r:id="rId429" xr:uid="{58204B00-83CB-49E0-A866-8F79AA0195C9}"/>
    <hyperlink ref="AE959" r:id="rId430" xr:uid="{284A6114-51F1-4022-9E78-F713C4BA2FE7}"/>
    <hyperlink ref="AE793" r:id="rId431" xr:uid="{EAA10328-4AF0-4F33-88C4-037B2A3DABE2}"/>
    <hyperlink ref="AE794" r:id="rId432" xr:uid="{2C9F41E0-8E50-40E2-8B07-EF224C44FC8A}"/>
    <hyperlink ref="AE884" r:id="rId433" xr:uid="{B1A0E103-9B15-46B0-9189-859999E9CA47}"/>
    <hyperlink ref="AE799" r:id="rId434" xr:uid="{0F2ACB63-EA53-4646-8822-38244E2FD04B}"/>
    <hyperlink ref="AE800" r:id="rId435" xr:uid="{27A98E0A-14E6-460E-9CA6-B537F58654AC}"/>
    <hyperlink ref="AE863" r:id="rId436" xr:uid="{D7C21599-DEB4-4ACA-A5EE-4EAA12FDE208}"/>
    <hyperlink ref="AE972" r:id="rId437" xr:uid="{9FBEEFEF-7502-4097-88E0-860B0CE6A718}"/>
    <hyperlink ref="AE1018" r:id="rId438" xr:uid="{1B368F49-A447-4AC9-8383-FB41E5D73AC6}"/>
    <hyperlink ref="AE1054" r:id="rId439" xr:uid="{5A80B9F8-3A14-4951-A30E-3F325D3E0A31}"/>
    <hyperlink ref="AE678" r:id="rId440" xr:uid="{7EF7DA90-627B-46B6-81BD-438B18AAE98D}"/>
    <hyperlink ref="AE701" r:id="rId441" xr:uid="{FDEED5B3-E344-4EE3-B0A3-60C45C0615F1}"/>
    <hyperlink ref="AE848" r:id="rId442" xr:uid="{54F6445C-0BBF-4B91-AA4C-5BF4EDBD140B}"/>
    <hyperlink ref="AE934" r:id="rId443" xr:uid="{6AC4FC1D-D7D1-44ED-AF9E-891032D5EE0A}"/>
    <hyperlink ref="AE953" r:id="rId444" xr:uid="{9C2127BD-EC73-4233-8CB7-3B23ABA766DC}"/>
    <hyperlink ref="AE960" r:id="rId445" xr:uid="{19CB84C6-B181-424F-8C9C-DFF3BAF7D791}"/>
    <hyperlink ref="AE963" r:id="rId446" xr:uid="{2A76A202-71CE-4C13-A30A-DF55C23DFEA9}"/>
    <hyperlink ref="AE985" r:id="rId447" xr:uid="{82893398-793F-4153-B17C-C3AA360BB336}"/>
    <hyperlink ref="AE986" r:id="rId448" xr:uid="{F1919EC5-4810-4755-921E-357655A0FD37}"/>
    <hyperlink ref="AE1006" r:id="rId449" xr:uid="{BE76F1E4-36B5-4B3C-A6C5-EA95EB6E0657}"/>
    <hyperlink ref="AE1007" r:id="rId450" xr:uid="{CA07A231-7E9A-43FF-9262-B4AA59815884}"/>
    <hyperlink ref="AE1028" r:id="rId451" xr:uid="{292873AC-3B64-47E6-8322-1C59C2F29019}"/>
    <hyperlink ref="AE1037" r:id="rId452" xr:uid="{62E4F592-3E7C-4AE0-9CC2-9476D06BE772}"/>
    <hyperlink ref="AE1039" r:id="rId453" xr:uid="{948DCFCE-D0F4-459B-9BC8-36DDCAD26E0D}"/>
    <hyperlink ref="AE922" r:id="rId454" xr:uid="{7321DFFF-C610-425D-B904-80459F3EF228}"/>
    <hyperlink ref="AE553" r:id="rId455" xr:uid="{495E0FC6-520D-4E45-8822-626F8057D6AB}"/>
    <hyperlink ref="AE620" r:id="rId456" xr:uid="{27ABA73F-3405-4FFC-A952-2E4EDB87D3EA}"/>
    <hyperlink ref="AE806" r:id="rId457" xr:uid="{94054187-3118-4992-A07F-91711C888701}"/>
    <hyperlink ref="AE938" r:id="rId458" xr:uid="{A53B2F1F-A121-47B7-8DBA-B746A885ACAE}"/>
    <hyperlink ref="AE941" r:id="rId459" xr:uid="{B1FA14B5-D4BC-4BE5-AA77-0CCBF22C1624}"/>
    <hyperlink ref="AE946" r:id="rId460" xr:uid="{79E4DEEC-6A99-46EE-9056-BDDB9ACA2048}"/>
    <hyperlink ref="AE964" r:id="rId461" xr:uid="{B57DB852-4F9B-497E-94B8-3DA37193C329}"/>
    <hyperlink ref="AE974" r:id="rId462" xr:uid="{E588C724-4429-45B8-8024-94CACD86DA3A}"/>
    <hyperlink ref="AE979" r:id="rId463" xr:uid="{E14C1F7A-7466-42D8-BF01-3857C151F2E3}"/>
    <hyperlink ref="AE995" r:id="rId464" xr:uid="{6AA837E6-D18E-43A0-9102-C9597C002D3A}"/>
    <hyperlink ref="AE1003" r:id="rId465" xr:uid="{AE3054D0-D3DF-44AA-8D8E-42C8E2DD9230}"/>
    <hyperlink ref="AE1016" r:id="rId466" xr:uid="{DA58EBEE-83BF-482E-ADDC-262C713DE524}"/>
    <hyperlink ref="AE1019" r:id="rId467" xr:uid="{69E17F7C-66AC-4F0D-ADB8-BE17A627D0EE}"/>
    <hyperlink ref="AE1024" r:id="rId468" xr:uid="{24E5DF8A-C60F-4A7B-ACB5-36635A1BBA76}"/>
    <hyperlink ref="AE1026" r:id="rId469" xr:uid="{320B0943-A499-4066-8DD8-3B1B442E0D0F}"/>
    <hyperlink ref="AE1027" r:id="rId470" xr:uid="{43935C3C-7DBB-47DB-8438-8D985D4975C0}"/>
    <hyperlink ref="AE1030" r:id="rId471" xr:uid="{F7ED9A27-340E-4E88-A3BA-67667DF110D1}"/>
    <hyperlink ref="AE1033" r:id="rId472" xr:uid="{907084CF-56C7-4C8C-BB04-D3C941AD6E73}"/>
    <hyperlink ref="AE1052" r:id="rId473" xr:uid="{BA113053-672F-4CD4-A11C-F82435088BCA}"/>
    <hyperlink ref="AE1063" r:id="rId474" xr:uid="{A7FD8B42-6F63-45AB-9ABA-A6F517BD2CC4}"/>
    <hyperlink ref="AE693" r:id="rId475" xr:uid="{D9478606-F2FF-4D3A-A9CF-0A127F982B7D}"/>
    <hyperlink ref="AE881" r:id="rId476" xr:uid="{3F2E0BB2-EDF8-49F5-827E-9A39892EB936}"/>
    <hyperlink ref="AE1004" r:id="rId477" xr:uid="{3AD14F92-2097-4C27-84BB-C9F13AA7DDD3}"/>
    <hyperlink ref="AE1056" r:id="rId478" xr:uid="{93C7ADDE-7997-4A98-9B9F-2E1216F3D43B}"/>
    <hyperlink ref="AE1021" r:id="rId479" xr:uid="{8F19021A-48C4-4821-86C3-1C99D9AA126E}"/>
    <hyperlink ref="AE836" r:id="rId480" xr:uid="{E7D59138-B65C-4F9C-9CB9-A5F7100909C4}"/>
    <hyperlink ref="AE862" r:id="rId481" xr:uid="{60CBC88C-5027-49F4-89F5-3F9384EAB04A}"/>
    <hyperlink ref="AE656" r:id="rId482" xr:uid="{666C5353-7E1E-4390-B194-5E1ED6C8D4CD}"/>
    <hyperlink ref="AE430" r:id="rId483" xr:uid="{A80BAD32-6F7C-418D-86F3-7750D65D048D}"/>
    <hyperlink ref="AE695" r:id="rId484" xr:uid="{EE259E95-4C70-4A10-85C9-5A99D67C7BD7}"/>
    <hyperlink ref="AE619" r:id="rId485" xr:uid="{964F03D1-47C7-4E38-9D7E-219EBC8DB01F}"/>
    <hyperlink ref="AE647" r:id="rId486" xr:uid="{DBF24389-0B77-44BB-A029-6A0E373EFBBF}"/>
    <hyperlink ref="AE424" r:id="rId487" xr:uid="{99BE8B3C-8A81-43F6-BFA2-7E2416AF3126}"/>
    <hyperlink ref="AE966" r:id="rId488" xr:uid="{2630AF52-E38C-44D8-BAD9-30CF2831FBED}"/>
    <hyperlink ref="AE422" r:id="rId489" xr:uid="{5CB8988A-A760-4CA0-AAEF-F09200A3E174}"/>
    <hyperlink ref="AE657" r:id="rId490" xr:uid="{2562AB50-99DB-4955-8C01-69AB06658FA1}"/>
    <hyperlink ref="AE779" r:id="rId491" xr:uid="{BCE4630B-3915-40E7-9F51-745A46D75FD6}"/>
    <hyperlink ref="AE419" r:id="rId492" xr:uid="{76AB27B1-0037-4A15-AC96-6E76162C7CEF}"/>
    <hyperlink ref="AE451" r:id="rId493" xr:uid="{DE330E8B-684E-439C-BB50-4BE3F118565A}"/>
    <hyperlink ref="AE755" r:id="rId494" xr:uid="{8D6CB65B-1687-4983-8308-94841122D96A}"/>
    <hyperlink ref="AE438" r:id="rId495" xr:uid="{2CFCBB0F-78C2-4DDB-A605-E1DFCBCDC44C}"/>
    <hyperlink ref="AE550" r:id="rId496" xr:uid="{A75F18F1-4E2C-4E90-82D0-E2FC39E7E7A4}"/>
    <hyperlink ref="AE745" r:id="rId497" xr:uid="{8475494C-438A-403A-9748-30F11990B02D}"/>
    <hyperlink ref="AE471" r:id="rId498" xr:uid="{EC80554E-4E41-46E6-9376-2C9C096D54DC}"/>
    <hyperlink ref="AE425" r:id="rId499" xr:uid="{215B8A83-4E07-4656-9A47-497F69F2450B}"/>
    <hyperlink ref="AE1110" r:id="rId500" xr:uid="{7040A6AF-0ABE-4AA3-8F03-083B4F206B90}"/>
    <hyperlink ref="AE883" r:id="rId501" xr:uid="{B7E638B6-96CF-411C-96B1-83166CB83EB2}"/>
    <hyperlink ref="AE855" r:id="rId502" xr:uid="{08D69189-FDF1-4E21-A93C-401C4DA701D7}"/>
    <hyperlink ref="AE967" r:id="rId503" xr:uid="{70C9A337-3EB2-43A9-A197-B56615A38A5C}"/>
    <hyperlink ref="AE968" r:id="rId504" display="dr_naseeruddin@yahoo.com" xr:uid="{6054E47B-D17A-42EA-8532-4151A215EFB2}"/>
    <hyperlink ref="AE914" r:id="rId505" xr:uid="{4F636A6F-C5A2-48EC-82D5-50FAFC2FC0AA}"/>
    <hyperlink ref="AE952" r:id="rId506" xr:uid="{CD4878CA-7825-44BC-AF26-EBC529247F41}"/>
    <hyperlink ref="AE908" r:id="rId507" xr:uid="{00EA362B-3AFA-44E0-A3D2-1F0C4948E926}"/>
    <hyperlink ref="AE871" r:id="rId508" xr:uid="{9D7BFCDC-F5EF-4EB9-B5B7-ABA3EFFB20AA}"/>
    <hyperlink ref="AE910" r:id="rId509" xr:uid="{DE5A5129-EFE9-45D2-BB2C-87320B3EF185}"/>
    <hyperlink ref="AE804" r:id="rId510" xr:uid="{3C00E5C7-1596-4A4D-B0CB-4AA303FD3490}"/>
    <hyperlink ref="AE948" r:id="rId511" xr:uid="{47C9974D-5770-4A3D-8D71-3FDFE57D4F92}"/>
    <hyperlink ref="AE842" r:id="rId512" xr:uid="{4318CDA8-26EA-45AF-9B10-D40F01C644FA}"/>
    <hyperlink ref="AE919" r:id="rId513" xr:uid="{D35E917D-F3CD-4F28-BEBF-226AAAAA563F}"/>
    <hyperlink ref="AE621" r:id="rId514" xr:uid="{4A30459E-4A7A-4633-9E9B-3F05A413F570}"/>
    <hyperlink ref="AE920" r:id="rId515" xr:uid="{24E4AC38-663C-4A74-BB3E-8909B7B2A1AC}"/>
    <hyperlink ref="AE923" r:id="rId516" xr:uid="{362D843D-4F2E-4F8A-B3B7-D1F7EC5F1C16}"/>
    <hyperlink ref="AE957" r:id="rId517" xr:uid="{BAF3394F-AF76-4A53-9AF6-3420447EC2CC}"/>
    <hyperlink ref="AE924" r:id="rId518" xr:uid="{7BE4D4F5-9D30-4D8B-BFDF-6C6FFDFFC40F}"/>
    <hyperlink ref="AE888" r:id="rId519" xr:uid="{76D1CFB0-7ED0-40BA-9F1C-9507E06A9713}"/>
    <hyperlink ref="AE904" r:id="rId520" xr:uid="{456CBDF1-3C76-4C20-B6DD-4A87380C1311}"/>
    <hyperlink ref="AE955" r:id="rId521" xr:uid="{163FCF41-992E-4EC1-81B2-B1E9F56F09E5}"/>
    <hyperlink ref="AE890" r:id="rId522" xr:uid="{9F2FE996-E459-4D71-BADD-68E7F31574F9}"/>
    <hyperlink ref="AE898" r:id="rId523" xr:uid="{64DBD9CC-3C2F-40DA-919F-7A01635C6C5A}"/>
    <hyperlink ref="AE951" r:id="rId524" xr:uid="{78418A94-E4B2-438A-B301-CE7226C71205}"/>
    <hyperlink ref="AE818" r:id="rId525" xr:uid="{05D37A32-27AB-4473-90C9-39C408F6EB66}"/>
    <hyperlink ref="AE568" r:id="rId526" xr:uid="{7CE3A516-2C43-4FD3-8C50-6938D9F45553}"/>
    <hyperlink ref="AE847" r:id="rId527" xr:uid="{34E1869F-C9EE-44CE-B5E4-AEB8E5C2DC34}"/>
    <hyperlink ref="AE956" r:id="rId528" xr:uid="{8593D24F-4633-47DD-92D0-D6BF0A529A2E}"/>
    <hyperlink ref="AE918" r:id="rId529" xr:uid="{D86B28F7-C58A-4F24-9942-C376EDACD7E9}"/>
    <hyperlink ref="AE900" r:id="rId530" xr:uid="{5A9F70E7-A0C7-47CB-9EE7-9750BBE4B0B8}"/>
    <hyperlink ref="AE856" r:id="rId531" xr:uid="{C282F409-3624-4AA7-871B-586F773FBE24}"/>
    <hyperlink ref="AE902" r:id="rId532" xr:uid="{88154015-90AC-4C38-88AB-DF5D1E86EC21}"/>
    <hyperlink ref="AE805" r:id="rId533" xr:uid="{C0F124F9-B332-4054-89AA-0BE7E1D1CA2D}"/>
    <hyperlink ref="AE897" r:id="rId534" xr:uid="{BFDE19BB-DB8F-499A-A4CE-110DA11C74B2}"/>
    <hyperlink ref="AE763" r:id="rId535" xr:uid="{22F7CF13-A9DE-44EB-B482-5576FDC4F2DE}"/>
    <hyperlink ref="AE653" r:id="rId536" xr:uid="{2E707D8D-7CE1-4CF3-8035-B2BC7E753636}"/>
    <hyperlink ref="AE958" r:id="rId537" xr:uid="{BCE72E37-494F-4DA7-AE7C-3EA052AE8442}"/>
    <hyperlink ref="AE514" r:id="rId538" xr:uid="{5F6C7F91-455B-4750-8A47-50AC7B3A4169}"/>
    <hyperlink ref="AE925" r:id="rId539" xr:uid="{1D269380-2AE2-40A1-846B-A1614CCBD550}"/>
    <hyperlink ref="AE607" r:id="rId540" xr:uid="{7526AE8F-E891-452F-B115-E57EB8CA6DE8}"/>
    <hyperlink ref="AE858" r:id="rId541" xr:uid="{D79EEE54-1389-417B-A16D-CDA1C2BE4DCE}"/>
    <hyperlink ref="AE844" r:id="rId542" xr:uid="{D1681438-7390-43F5-9649-8B52DF6A5688}"/>
    <hyperlink ref="AE760" r:id="rId543" xr:uid="{0F4FE800-55E3-4EE5-A31D-520E216981FC}"/>
    <hyperlink ref="AE860" r:id="rId544" xr:uid="{C59F24C9-5A7C-402D-AEBB-6B0431CF14B3}"/>
    <hyperlink ref="AE978" r:id="rId545" xr:uid="{12F5B215-4316-42E6-84F7-278D07FDCC5D}"/>
    <hyperlink ref="AE992" r:id="rId546" xr:uid="{E7400DA5-6066-475D-A9C5-04190F9D9162}"/>
    <hyperlink ref="AE976" r:id="rId547" xr:uid="{C240B2A2-0136-4505-9531-658D5FD1BC99}"/>
    <hyperlink ref="AE987" r:id="rId548" xr:uid="{72C3A586-7051-451E-962C-EBDCA9E4617F}"/>
    <hyperlink ref="AE994" r:id="rId549" xr:uid="{6C56080B-7568-447F-A64A-D2C960D6AC2D}"/>
    <hyperlink ref="AE989" r:id="rId550" xr:uid="{A0B38DC7-40CF-403B-A501-65BEA7C66059}"/>
    <hyperlink ref="AE977" r:id="rId551" display="mailto:pranayrdy@gmail.com" xr:uid="{38B220E7-AAB8-4B4E-BD6C-FE4A0DE282DE}"/>
    <hyperlink ref="AE949" r:id="rId552" xr:uid="{56DFF81C-9DA2-4CA4-965F-E06A902BDABF}"/>
    <hyperlink ref="AE935" r:id="rId553" xr:uid="{E78BED96-9EC6-42FD-990A-F825260F4EEE}"/>
    <hyperlink ref="AE909" r:id="rId554" xr:uid="{48E8CF57-4CF3-4D05-95B2-BA2F83F74992}"/>
    <hyperlink ref="AE933" r:id="rId555" xr:uid="{7C1D3517-1E08-4CB6-9BFB-0F9E53A1B00B}"/>
    <hyperlink ref="AE940" r:id="rId556" xr:uid="{FEB6C8CB-7735-49D1-BA41-ACF151916ECA}"/>
    <hyperlink ref="AE961" r:id="rId557" xr:uid="{C22CBF7E-D546-4723-8FDC-C335B2515467}"/>
    <hyperlink ref="AE947" r:id="rId558" xr:uid="{2F39153D-B50E-4D65-B056-A38FA3050C66}"/>
    <hyperlink ref="AE942" r:id="rId559" xr:uid="{13E32933-1685-45E2-A52B-0A6DF9B47153}"/>
    <hyperlink ref="AE1038" r:id="rId560" xr:uid="{DFA0E431-EE39-472B-9180-E489F93CA46D}"/>
    <hyperlink ref="AE1009" r:id="rId561" xr:uid="{8F8F15D1-2A38-4078-B942-5A302CE8421A}"/>
    <hyperlink ref="AE1012" r:id="rId562" xr:uid="{2A4A3ADE-6047-4D52-827D-03701292AB24}"/>
    <hyperlink ref="AE1010" r:id="rId563" display="mailto:garu6287@gmail.com" xr:uid="{5A050BBF-F5AF-47B6-8908-A8A3A61B9107}"/>
    <hyperlink ref="AE1001" r:id="rId564" display="mailto:drvidya08@outlook.com" xr:uid="{33E89FA4-68DD-4D50-B90E-83BF8FE4CA56}"/>
    <hyperlink ref="AE993" r:id="rId565" xr:uid="{6B957F23-7869-4425-B47B-B6717B034E06}"/>
    <hyperlink ref="AE1023" r:id="rId566" xr:uid="{C4E3E189-D4DF-4408-AD48-6DCC96830AFE}"/>
    <hyperlink ref="AE1044" r:id="rId567" xr:uid="{316BF728-04DF-4883-BF0E-812849011A34}"/>
    <hyperlink ref="AE1032" r:id="rId568" xr:uid="{FB6D59B2-C80E-44AB-96E1-54782C5C1168}"/>
    <hyperlink ref="AE999" r:id="rId569" xr:uid="{8F061F19-7BFF-4882-8D17-83F9C839ABC2}"/>
    <hyperlink ref="AE1034" r:id="rId570" xr:uid="{8AE521B3-080E-4C44-9376-D7EA3ED3F749}"/>
    <hyperlink ref="AE1011" r:id="rId571" xr:uid="{9FB8B48C-A65A-41E2-8C10-E44B2D0FCB34}"/>
    <hyperlink ref="AE998" r:id="rId572" xr:uid="{E07C3BB1-A110-428D-9977-7ECC99A25C74}"/>
    <hyperlink ref="AE1035" r:id="rId573" xr:uid="{6681C65E-0725-4B79-A81E-2E738EAA51EE}"/>
    <hyperlink ref="AE1008" r:id="rId574" xr:uid="{28A11BFD-D086-4494-853E-BD159B626C27}"/>
    <hyperlink ref="AE1125" r:id="rId575" xr:uid="{C9B70DFD-C0FF-4E1B-8408-B557A9D02A6E}"/>
    <hyperlink ref="AE1043" r:id="rId576" xr:uid="{DC1F7AA2-219E-4924-BC78-48C858C370AE}"/>
    <hyperlink ref="AE1022" r:id="rId577" xr:uid="{09D56C65-09FA-4D25-B397-E06ACC1F0A85}"/>
    <hyperlink ref="AE1025" r:id="rId578" xr:uid="{ADD0C2F5-FFC4-47B2-AEDF-72F483EB9212}"/>
    <hyperlink ref="AE1058" r:id="rId579" xr:uid="{49B3A25F-AC97-433D-8002-91DB5222CC1E}"/>
    <hyperlink ref="AE1060" r:id="rId580" xr:uid="{E1941566-3B55-46DF-B136-6FA5C07DCB57}"/>
    <hyperlink ref="AE1061" r:id="rId581" xr:uid="{415C24DD-2AA8-45D8-92D4-D31CDF7EF19D}"/>
    <hyperlink ref="AE1031" r:id="rId582" xr:uid="{3AE2E085-22E4-49A2-B92D-AE234BDC524B}"/>
    <hyperlink ref="AE1055" r:id="rId583" xr:uid="{F5FD8F01-D303-411E-97C0-ECD17236E7C2}"/>
    <hyperlink ref="AE1057" r:id="rId584" xr:uid="{1A629C8A-5607-4E8F-B657-A50922E17046}"/>
    <hyperlink ref="AE1049" r:id="rId585" xr:uid="{AA14ACCA-C9A8-4318-81E5-1A6B4AFDC3A9}"/>
    <hyperlink ref="AE1041" r:id="rId586" xr:uid="{CF974D60-0D9E-4E12-8308-660D83D8F182}"/>
    <hyperlink ref="AE1059" r:id="rId587" xr:uid="{DE93129F-4601-4D5E-9ED1-5CE4BB3B97F2}"/>
    <hyperlink ref="AE1050" r:id="rId588" xr:uid="{0EA9A9C7-2C2B-4548-BA1C-F443BB5662A7}"/>
    <hyperlink ref="AE954" r:id="rId589" xr:uid="{9AC2E6C6-0A2A-402C-B138-C8EB73D03F24}"/>
    <hyperlink ref="AE1045" r:id="rId590" xr:uid="{C91E510C-F027-4EA7-84CA-105F5C53E1B4}"/>
    <hyperlink ref="AE1051" r:id="rId591" xr:uid="{CC2BE95B-D825-4BEA-AFEF-8B862CD5D2D2}"/>
    <hyperlink ref="AE1047" r:id="rId592" xr:uid="{9A9A32F2-F5BF-4359-8128-9D271720D247}"/>
    <hyperlink ref="AE1029" r:id="rId593" xr:uid="{1D44444F-B12A-4AB9-B08F-EC5A6970209D}"/>
    <hyperlink ref="AE1042" r:id="rId594" xr:uid="{58D934EA-4EE4-44FA-8A4B-59D2CF719BAC}"/>
    <hyperlink ref="AE1067" r:id="rId595" xr:uid="{8A648F02-5721-4E4B-A543-62E273C2ABB8}"/>
    <hyperlink ref="AE1020" r:id="rId596" xr:uid="{58274D00-0E8C-43F3-9BA8-A56F5CB7CECE}"/>
    <hyperlink ref="AE1062" r:id="rId597" xr:uid="{C95CE34D-6722-455E-BE9F-887DBD157E05}"/>
    <hyperlink ref="AE1070" r:id="rId598" xr:uid="{2D7481AD-60EF-425A-AD46-F75FB77255FE}"/>
    <hyperlink ref="AE1068" r:id="rId599" xr:uid="{91EF67C5-BA01-42A4-9214-566834EF7B29}"/>
    <hyperlink ref="AE1087" r:id="rId600" xr:uid="{66AA58ED-60D3-4994-8AD1-DE8C164A5D62}"/>
    <hyperlink ref="AE1040" r:id="rId601" xr:uid="{87735D0A-40A9-45E5-89EA-56F44104F625}"/>
    <hyperlink ref="AE1144" r:id="rId602" xr:uid="{6C0113B6-88FB-46FC-A136-D25CF1FD9DF4}"/>
    <hyperlink ref="AE1072" r:id="rId603" xr:uid="{87157784-EF36-43AB-9DEC-965AE4295CD8}"/>
    <hyperlink ref="AE1048" r:id="rId604" xr:uid="{449FB54F-EA42-4C1A-96D0-F800D54EB0E2}"/>
    <hyperlink ref="AE1094" r:id="rId605" xr:uid="{6C43C673-9A00-4B31-9332-255D882A3CBD}"/>
    <hyperlink ref="AE1079" r:id="rId606" xr:uid="{7D86E54D-C262-45B3-9CBC-DD5AF56776AD}"/>
    <hyperlink ref="AE1074" r:id="rId607" xr:uid="{67D24188-5A9B-4CCB-B9C5-75240ACECD15}"/>
    <hyperlink ref="AE1078" r:id="rId608" xr:uid="{D531473C-6053-450E-BF21-5F2DBE96D48D}"/>
    <hyperlink ref="AE1081" r:id="rId609" xr:uid="{597BEC4F-ACAA-4066-B671-0495933E1F7D}"/>
    <hyperlink ref="AE1080" r:id="rId610" xr:uid="{0E08A6BF-6BC0-4ADD-A58F-467AD028A3D8}"/>
    <hyperlink ref="AE1075" r:id="rId611" xr:uid="{57D63FFA-5D4C-4206-94EE-9B6078BEA98C}"/>
    <hyperlink ref="AE1082" r:id="rId612" xr:uid="{F9DB8A31-6D2E-4C3F-8E47-EAE542176D9A}"/>
    <hyperlink ref="AE1077" r:id="rId613" xr:uid="{83B76F2F-1BDE-447D-B887-BD65B0E59807}"/>
    <hyperlink ref="AE1071" r:id="rId614" xr:uid="{953CAB15-5A08-4BC9-BE6F-F8B1BE6AE070}"/>
    <hyperlink ref="AE1066" r:id="rId615" xr:uid="{C23363B2-DEA5-435C-82A4-B587418CF129}"/>
    <hyperlink ref="AE1076" r:id="rId616" xr:uid="{35710937-BFC8-471D-8975-106A282CCF02}"/>
    <hyperlink ref="AE1088" r:id="rId617" xr:uid="{946B7C86-98B9-47B0-8158-57FFE002A0F8}"/>
    <hyperlink ref="AE1091" r:id="rId618" xr:uid="{5E4F8002-66D3-423D-929A-CE57D70B33FD}"/>
    <hyperlink ref="AE1086" r:id="rId619" xr:uid="{F106DDFC-AA8F-46E8-BB7C-C035A0AF0A1B}"/>
    <hyperlink ref="AE1089" r:id="rId620" xr:uid="{C85E1C9C-D396-4BF1-97A3-B8153A1DDEFD}"/>
    <hyperlink ref="AE1085" r:id="rId621" xr:uid="{42CD55DA-BAAA-4A96-8062-AC0620594AEA}"/>
    <hyperlink ref="AE1154" r:id="rId622" xr:uid="{345F1C6B-D7B5-4460-8B65-2A20AB24F05B}"/>
    <hyperlink ref="AE1084" r:id="rId623" xr:uid="{C6ACF71B-F131-4C15-814D-A2646BC1DF39}"/>
    <hyperlink ref="AE1104" r:id="rId624" xr:uid="{5E871B36-BC3E-4DCC-A7B0-C66452CBA688}"/>
    <hyperlink ref="AE1095" r:id="rId625" xr:uid="{271221C4-6696-40FF-A216-F2428DF65AF8}"/>
    <hyperlink ref="AE1096" r:id="rId626" xr:uid="{C3B3710F-5E30-4871-8AFA-A55F4A16DD6C}"/>
    <hyperlink ref="AE1124" r:id="rId627" xr:uid="{ACDB16DB-2559-4D80-A64D-5D5B0C28F3D4}"/>
    <hyperlink ref="AE1123" r:id="rId628" xr:uid="{302C7E74-6AD1-4D07-BDB9-FD60B20736D1}"/>
    <hyperlink ref="AE1129" r:id="rId629" xr:uid="{8A1A3BAC-25EA-4116-86FB-117616845B37}"/>
    <hyperlink ref="AE1128" r:id="rId630" xr:uid="{05863042-FD0B-4228-A10B-B1BBEE3E9F6C}"/>
    <hyperlink ref="AE1130" r:id="rId631" xr:uid="{1B632238-5569-4B22-8ACE-CB9C58F726C1}"/>
    <hyperlink ref="AE1073" r:id="rId632" xr:uid="{DBB5570B-C6E2-4F44-BC3A-C297CD755694}"/>
    <hyperlink ref="AE1101" r:id="rId633" tooltip="mailto:dr.anushakaranam23@gmail.com" display="mailto:dr.anushakaranam23@gmail.com" xr:uid="{67D6AE2E-9179-4132-9A7F-734397B36EB0}"/>
    <hyperlink ref="AE1102" r:id="rId634" xr:uid="{611ACEF0-C417-4B83-A3BC-0CB7ED8C8F7D}"/>
    <hyperlink ref="AE1097" r:id="rId635" xr:uid="{CF820674-566B-495C-9C06-C51CC38E1EF5}"/>
    <hyperlink ref="AE1098" r:id="rId636" xr:uid="{71FA18FD-A080-4104-BBD4-7C76019078B6}"/>
    <hyperlink ref="AE1099" r:id="rId637" xr:uid="{DA476EF6-54CF-440C-A3A2-5230BF626002}"/>
    <hyperlink ref="AE1100" r:id="rId638" xr:uid="{50124721-D7E6-4C97-B213-CD0131A9E2F7}"/>
    <hyperlink ref="AE1109" r:id="rId639" xr:uid="{4E612457-40F3-44D7-B64B-7CE94C5F41F7}"/>
    <hyperlink ref="AE1112" r:id="rId640" xr:uid="{63EF6A6E-D994-4836-9C9D-EDA55144FA37}"/>
    <hyperlink ref="AE1103" r:id="rId641" xr:uid="{B256B0A5-E12E-48A3-8901-3BA414F2A5AB}"/>
    <hyperlink ref="AE1108" r:id="rId642" xr:uid="{99FF22B1-18D1-4FD0-A648-C9C9BFC4C73F}"/>
    <hyperlink ref="AE1105" r:id="rId643" xr:uid="{E06FE9D8-552A-408D-86D7-43A91FC53E23}"/>
    <hyperlink ref="AE1106" r:id="rId644" xr:uid="{EAF47705-EEE0-4FAC-81C5-91003DB303DA}"/>
    <hyperlink ref="AE1107" r:id="rId645" xr:uid="{73E7916D-0786-432F-A6C0-1BC9C2306EF8}"/>
    <hyperlink ref="AE849" r:id="rId646" xr:uid="{41B5D3FC-9326-43A7-A037-C9C945886921}"/>
    <hyperlink ref="AE1121" r:id="rId647" xr:uid="{C13F3D3E-C006-4F90-A3DA-967664E7B385}"/>
    <hyperlink ref="AE1131" r:id="rId648" xr:uid="{2856AA71-72EC-4559-AC00-9E6FD9A3696B}"/>
    <hyperlink ref="AE1114" r:id="rId649" xr:uid="{6D6D1821-F71D-4EB9-88C8-737C979F5BED}"/>
    <hyperlink ref="AE1120" r:id="rId650" xr:uid="{FBED40E5-0095-4507-9A27-32C95392DEAE}"/>
    <hyperlink ref="AE1118" r:id="rId651" xr:uid="{901AFAA0-D196-4A78-AA36-D600872A91A4}"/>
    <hyperlink ref="AE1111" r:id="rId652" xr:uid="{BD4E867A-3425-46B3-B246-FC0ED70C5C6B}"/>
    <hyperlink ref="AE1127" r:id="rId653" xr:uid="{5AD41F72-892C-4941-B234-5597BDE38E75}"/>
    <hyperlink ref="AE1147" r:id="rId654" xr:uid="{B1C8254B-B076-4E0F-A142-92E883EBFA64}"/>
    <hyperlink ref="AE1117" r:id="rId655" xr:uid="{64E5FE8E-A800-4502-AFA0-AC909D656F8D}"/>
    <hyperlink ref="AE1119" r:id="rId656" xr:uid="{6604F74D-8A3E-4AE4-8CB2-C9DAD8200039}"/>
    <hyperlink ref="AE1150" r:id="rId657" xr:uid="{A3EBAA46-90B5-4CA1-89C3-A3E977137ECD}"/>
    <hyperlink ref="AE1151" r:id="rId658" xr:uid="{B53F0F94-9EBD-4C5A-A037-4F4798598691}"/>
    <hyperlink ref="AE1152" r:id="rId659" xr:uid="{76582DD7-5A18-4C3B-A767-5641918151FB}"/>
    <hyperlink ref="AE1153" r:id="rId660" xr:uid="{5F7CEFA0-6F1E-440E-BC9A-0C923516116F}"/>
    <hyperlink ref="AE1132" r:id="rId661" xr:uid="{A61B06EB-9FB5-4E2B-AF97-4860DDF1ABED}"/>
    <hyperlink ref="AE1138" r:id="rId662" xr:uid="{CE121981-7496-4FC0-9066-04D8738E05A9}"/>
    <hyperlink ref="AE1156" r:id="rId663" xr:uid="{34BCA778-2615-4D37-9F7D-46BD35AB2373}"/>
    <hyperlink ref="AE1139" r:id="rId664" xr:uid="{BC61DA67-F801-4622-9BFB-D9EB90542844}"/>
    <hyperlink ref="AE1133" r:id="rId665" xr:uid="{9F627372-1F9F-484A-A98A-E1D4EC99C437}"/>
    <hyperlink ref="AE1142" r:id="rId666" xr:uid="{FE655578-ABAF-4D4D-9665-D4D6836B089B}"/>
    <hyperlink ref="AE1135" r:id="rId667" xr:uid="{F1C2B94F-A90C-4539-A534-472089DB4ECC}"/>
    <hyperlink ref="AE1155" r:id="rId668" xr:uid="{EA77D7DA-20F8-42EC-B307-316FBF1969DF}"/>
    <hyperlink ref="AE939" r:id="rId669" xr:uid="{EC960227-0FA9-477C-BA89-04790BF6C640}"/>
    <hyperlink ref="AE962" r:id="rId670" xr:uid="{24FBDF0A-3425-4BE0-9DAD-AE7CF4144D9B}"/>
    <hyperlink ref="AE1145" r:id="rId671" xr:uid="{86141E92-F308-47A3-8B5F-EE65941274DC}"/>
    <hyperlink ref="AE1146" r:id="rId672" xr:uid="{39B0E3F0-5EB8-4EE3-BBA3-6D55C57864D8}"/>
    <hyperlink ref="AE1093" r:id="rId673" xr:uid="{12B7A719-AFC5-4D17-B72E-A795E950D856}"/>
    <hyperlink ref="AE1140" r:id="rId674" xr:uid="{A7823378-0759-481D-8610-1DC0D6316986}"/>
    <hyperlink ref="AE1115" r:id="rId675" xr:uid="{9975680B-77B8-4ABC-BD90-CAC79B9BA1CD}"/>
    <hyperlink ref="AE1134" r:id="rId676" xr:uid="{6CF5DAED-DAA7-4172-9C14-2355FD86F0F2}"/>
    <hyperlink ref="AE1162" r:id="rId677" xr:uid="{F50387CC-15D4-48A5-9D7A-C3D35F49209D}"/>
    <hyperlink ref="AE1159" r:id="rId678" xr:uid="{733082D3-E81C-4B5C-857B-399E46B7E81E}"/>
    <hyperlink ref="AE1164" r:id="rId679" xr:uid="{42DD9FBF-89E8-4EBF-B9EC-81F05FAF3508}"/>
    <hyperlink ref="AE1160" r:id="rId680" xr:uid="{217D34FE-147F-444F-AA71-2664F58B7AD3}"/>
    <hyperlink ref="AE1182" r:id="rId681" xr:uid="{16D123A6-5B00-4E58-BAE4-874D09B4312C}"/>
    <hyperlink ref="AE1167" r:id="rId682" xr:uid="{26C93399-F6E2-47E6-8388-329CD29EA32E}"/>
    <hyperlink ref="AE1180" r:id="rId683" xr:uid="{F7AC85EF-A874-41F7-8223-BB190574AE32}"/>
    <hyperlink ref="AE1163" r:id="rId684" xr:uid="{C9A867B7-A06C-40D1-B5E3-CFAAE45AF923}"/>
    <hyperlink ref="AE1174" r:id="rId685" xr:uid="{84ABC39E-7D9B-42ED-B808-06EF1123B471}"/>
    <hyperlink ref="AE1171" r:id="rId686" xr:uid="{8D930F9F-1C2D-4F24-A3E1-6C2923FA6D1E}"/>
    <hyperlink ref="AE1172" r:id="rId687" xr:uid="{FCD4FE1E-7763-47B6-9BA8-B5CD70705528}"/>
    <hyperlink ref="AE1175" r:id="rId688" xr:uid="{458C7ED2-1955-450A-9CE4-CFCA756C3757}"/>
    <hyperlink ref="AE1178" r:id="rId689" xr:uid="{A857ECF3-938D-4682-BFB8-66DE51E2E1E2}"/>
    <hyperlink ref="AE1166" r:id="rId690" xr:uid="{0292A2EF-C36B-4D0C-9F1D-B4A46925213F}"/>
    <hyperlink ref="AE1176" r:id="rId691" xr:uid="{CC1BE2B0-E2E6-49BC-AA9D-DB5DA1873E57}"/>
    <hyperlink ref="AE1169" r:id="rId692" xr:uid="{A45815E9-79DF-4FEF-B42A-DD1379B1A02D}"/>
    <hyperlink ref="AE1170" r:id="rId693" xr:uid="{47E12AC3-BC54-4BD1-85AF-1B1D84B714A2}"/>
    <hyperlink ref="AE1179" r:id="rId694" xr:uid="{6F4D98D3-D677-4E68-8805-5D6C2BE336D1}"/>
    <hyperlink ref="AE334" r:id="rId695" xr:uid="{E51F8EAA-78B3-455D-A8A0-A00899121DB5}"/>
    <hyperlink ref="AE381" r:id="rId696" xr:uid="{3786CF57-6602-4F52-8E73-FCBD2710793D}"/>
    <hyperlink ref="AE382" r:id="rId697" xr:uid="{0CAB7694-8634-463F-BC38-E19E8C1F3A3A}"/>
    <hyperlink ref="AE383" r:id="rId698" xr:uid="{81838D26-DFA0-4C46-8B54-C43E33096833}"/>
    <hyperlink ref="AE380" r:id="rId699" xr:uid="{42ED7D96-62EF-4DE7-8F0B-F27546DE629B}"/>
    <hyperlink ref="AE49" r:id="rId700" xr:uid="{D2645CE5-393E-4CDC-9EC0-C90EA95AA1A2}"/>
    <hyperlink ref="AE1187" r:id="rId701" xr:uid="{308FCDA3-DB33-4BE2-A91C-030E20B5400F}"/>
    <hyperlink ref="AE1188" r:id="rId702" xr:uid="{83CA45E5-2A53-4531-8F78-4F41B787B5C8}"/>
    <hyperlink ref="AE1186" r:id="rId703" xr:uid="{C4E16A7F-2CF6-4639-B6F7-97F35977020A}"/>
    <hyperlink ref="AE1185" r:id="rId704" xr:uid="{AA85677E-0467-4BF6-86FD-FE159948873A}"/>
    <hyperlink ref="AE1190" r:id="rId705" xr:uid="{C55F6CE7-C22F-4C0B-8134-A2EEB5FB670A}"/>
    <hyperlink ref="AE1191" r:id="rId706" xr:uid="{CC1EA23E-96B6-4B84-BA60-6A6BCCC48D04}"/>
    <hyperlink ref="AE1192" r:id="rId707" xr:uid="{D6C06DBF-FD84-467B-95BB-37BBE7BD591F}"/>
    <hyperlink ref="AE378" r:id="rId708" xr:uid="{6AEA6E00-BB32-41FD-AE69-F03F25D7E1EB}"/>
    <hyperlink ref="AE1193" r:id="rId709" xr:uid="{D831DA88-09B3-4406-AF1F-30D162D0F077}"/>
    <hyperlink ref="AE1200" r:id="rId710" xr:uid="{8C52F821-88B1-45BA-A84F-29F55F0FC208}"/>
    <hyperlink ref="AE1201" r:id="rId711" xr:uid="{7F9786CA-B1DF-428F-93C0-A0062FB5BD83}"/>
    <hyperlink ref="AE1202" r:id="rId712" xr:uid="{A6DD5AE8-39BE-4FDB-B884-0B12D37ECD9D}"/>
    <hyperlink ref="AE1204" r:id="rId713" xr:uid="{74C03A27-152C-4376-9E48-39DB38148ECA}"/>
  </hyperlinks>
  <pageMargins left="0.7" right="0.7" top="0.75" bottom="0.75" header="0.3" footer="0.3"/>
  <legacyDrawing r:id="rId7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Dharani Dharan</dc:creator>
  <cp:lastModifiedBy>Dharani Dharan</cp:lastModifiedBy>
  <dcterms:created xsi:type="dcterms:W3CDTF">2025-11-13T10:11:44Z</dcterms:created>
  <dcterms:modified xsi:type="dcterms:W3CDTF">2025-11-15T08:09:15Z</dcterms:modified>
</cp:coreProperties>
</file>